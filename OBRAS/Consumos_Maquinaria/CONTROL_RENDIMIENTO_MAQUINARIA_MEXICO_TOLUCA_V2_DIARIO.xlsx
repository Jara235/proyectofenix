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Histórico y Rendimiento" sheetId="1" state="visible" r:id="rId1"/>
    <sheet name="Análisis y Gráficas" sheetId="2" state="visible" r:id="rId2"/>
    <sheet name="Conciliación y Auditoría" sheetId="3" state="visible" r:id="rId3"/>
    <sheet name="Semana 24" sheetId="4" state="visible" r:id="rId4"/>
    <sheet name="Semana 25" sheetId="5" state="visible" r:id="rId5"/>
    <sheet name="Semana 26" sheetId="6" state="visible" r:id="rId6"/>
    <sheet name="Semana 27" sheetId="7" state="visible" r:id="rId7"/>
    <sheet name="Semana 28" sheetId="8" state="visible" r:id="rId8"/>
    <sheet name="Semana 29" sheetId="9" state="visible" r:id="rId9"/>
    <sheet name="Semana 30" sheetId="10" state="visible" r:id="rId10"/>
    <sheet name="Semana 31" sheetId="11" state="visible" r:id="rId11"/>
    <sheet name="Semana 32" sheetId="12" state="visible" r:id="rId12"/>
    <sheet name="Semana 33" sheetId="13" state="visible" r:id="rId13"/>
    <sheet name="Semana 34" sheetId="14" state="visible" r:id="rId14"/>
    <sheet name="Semana 35" sheetId="15" state="visible" r:id="rId15"/>
    <sheet name="Semana 36" sheetId="16" state="visible" r:id="rId16"/>
    <sheet name="Semana 37" sheetId="17" state="visible" r:id="rId17"/>
    <sheet name="Resumen Ejecutivo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11">
    <numFmt numFmtId="164" formatCode="0.000"/>
    <numFmt numFmtId="165" formatCode="#,##0.000"/>
    <numFmt numFmtId="166" formatCode="0.0 &quot;hrs&quot;"/>
    <numFmt numFmtId="167" formatCode="#,##0.00 &quot;L&quot;"/>
    <numFmt numFmtId="168" formatCode="#,##0.00 &quot;m³&quot;"/>
    <numFmt numFmtId="169" formatCode="#,##0.00 &quot;Ton&quot;"/>
    <numFmt numFmtId="170" formatCode="0.000 &quot;L/m³&quot;"/>
    <numFmt numFmtId="171" formatCode="+0.0%;-0.0%;0.0%"/>
    <numFmt numFmtId="172" formatCode="#,##0.0"/>
    <numFmt numFmtId="173" formatCode="$#,##0.00"/>
    <numFmt numFmtId="174" formatCode="0.0%"/>
  </numFmts>
  <fonts count="27">
    <font>
      <name val="Calibri"/>
      <color theme="1"/>
      <sz val="11"/>
      <scheme val="minor"/>
    </font>
    <font>
      <name val="Calibri"/>
      <b val="1"/>
      <color rgb="FFFFFFFF"/>
      <sz val="13"/>
    </font>
    <font/>
    <font>
      <name val="Calibri"/>
      <b val="1"/>
      <color rgb="FFFFFFFF"/>
      <sz val="10"/>
    </font>
    <font>
      <name val="Calibri"/>
      <b val="1"/>
      <color theme="1"/>
      <sz val="9"/>
    </font>
    <font>
      <name val="Calibri"/>
      <i val="1"/>
      <color rgb="FFFFFFFF"/>
      <sz val="9"/>
    </font>
    <font>
      <name val="Calibri"/>
      <color theme="1"/>
      <scheme val="minor"/>
    </font>
    <font>
      <name val="Calibri"/>
      <b val="1"/>
      <color rgb="FFFFFFFF"/>
      <sz val="9"/>
    </font>
    <font>
      <name val="Calibri"/>
      <color theme="1"/>
      <sz val="9"/>
    </font>
    <font>
      <name val="Calibri"/>
      <i val="1"/>
      <color theme="1"/>
      <sz val="8"/>
    </font>
    <font>
      <name val="Calibri"/>
      <b val="1"/>
      <color rgb="00FFFFFF"/>
      <sz val="14"/>
    </font>
    <font>
      <name val="Calibri"/>
      <b val="1"/>
      <color rgb="00FFFFFF"/>
      <sz val="10"/>
    </font>
    <font>
      <name val="Calibri"/>
      <b val="1"/>
      <color rgb="00595959"/>
      <sz val="8"/>
    </font>
    <font>
      <name val="Calibri"/>
      <b val="1"/>
      <color rgb="001B365D"/>
      <sz val="13"/>
    </font>
    <font>
      <name val="Calibri"/>
      <b val="1"/>
      <color rgb="00FFFFFF"/>
      <sz val="11"/>
    </font>
    <font>
      <name val="Calibri"/>
      <b val="1"/>
      <color rgb="00FFFFFF"/>
      <sz val="9"/>
    </font>
    <font>
      <name val="Calibri"/>
      <b val="1"/>
      <sz val="9"/>
    </font>
    <font>
      <name val="Calibri"/>
      <sz val="9"/>
    </font>
    <font>
      <name val="Calibri"/>
      <sz val="8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333333"/>
      <sz val="9"/>
    </font>
    <font>
      <name val="Calibri"/>
      <b val="1"/>
      <color rgb="00111111"/>
      <sz val="10"/>
    </font>
    <font>
      <name val="Calibri"/>
      <b val="1"/>
      <color rgb="00FFFFFF"/>
      <sz val="12"/>
    </font>
    <font>
      <name val="Calibri"/>
      <sz val="10"/>
    </font>
    <font>
      <name val="Calibri"/>
      <b val="1"/>
      <sz val="10"/>
    </font>
    <font>
      <name val="Calibri"/>
      <i val="1"/>
      <color rgb="00595959"/>
      <sz val="9"/>
    </font>
  </fonts>
  <fills count="20">
    <fill>
      <patternFill/>
    </fill>
    <fill>
      <patternFill patternType="lightGray"/>
    </fill>
    <fill>
      <patternFill patternType="solid">
        <fgColor rgb="FF1F497D"/>
        <bgColor rgb="FF1F497D"/>
      </patternFill>
    </fill>
    <fill>
      <patternFill patternType="solid">
        <fgColor rgb="FF0B2240"/>
        <bgColor rgb="FF0B2240"/>
      </patternFill>
    </fill>
    <fill>
      <patternFill patternType="solid">
        <fgColor rgb="FF2B4C7E"/>
        <bgColor rgb="FF2B4C7E"/>
      </patternFill>
    </fill>
    <fill>
      <patternFill patternType="solid">
        <fgColor rgb="FF2C5282"/>
        <bgColor rgb="FF2C5282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001B365D"/>
      </patternFill>
    </fill>
    <fill>
      <patternFill patternType="solid">
        <fgColor rgb="002C4D75"/>
      </patternFill>
    </fill>
    <fill>
      <patternFill patternType="solid">
        <fgColor rgb="00E8EEF5"/>
      </patternFill>
    </fill>
    <fill>
      <patternFill patternType="solid">
        <fgColor rgb="00F2F5F9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DCE6F1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2A4B7C"/>
      </patternFill>
    </fill>
    <fill>
      <patternFill patternType="solid">
        <fgColor rgb="00F2F2F2"/>
      </patternFill>
    </fill>
  </fills>
  <borders count="23">
    <border/>
    <border>
      <left/>
      <top/>
      <bottom/>
    </border>
    <border>
      <top/>
      <bottom/>
    </border>
    <border>
      <right/>
      <top/>
      <bottom/>
    </border>
    <border>
      <left style="thin">
        <color rgb="FFD9D9D9"/>
      </left>
      <right style="thin">
        <color rgb="FFD9D9D9"/>
      </right>
      <top style="medium">
        <color rgb="FF1F497D"/>
      </top>
      <bottom style="medium">
        <color rgb="FF1F497D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top style="medium">
        <color rgb="FF1F497D"/>
      </top>
      <bottom style="medium">
        <color rgb="FF1F497D"/>
      </bottom>
    </border>
    <border>
      <top style="medium">
        <color rgb="FF1F497D"/>
      </top>
      <bottom style="medium">
        <color rgb="FF1F497D"/>
      </bottom>
    </border>
    <border>
      <right style="thin">
        <color rgb="FFD9D9D9"/>
      </right>
      <top style="medium">
        <color rgb="FF1F497D"/>
      </top>
      <bottom style="medium">
        <color rgb="FF1F497D"/>
      </bottom>
    </border>
    <border>
      <left/>
      <right/>
      <top/>
      <bottom/>
    </border>
    <border>
      <top style="medium">
        <color rgb="FF1F497D"/>
      </top>
    </border>
    <border>
      <right style="thin">
        <color rgb="FFD9D9D9"/>
      </right>
      <top style="medium">
        <color rgb="FF1F497D"/>
      </top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left style="thin">
        <color rgb="00D3D3D3"/>
      </left>
      <right style="thin">
        <color rgb="00D3D3D3"/>
      </right>
      <top style="medium">
        <color rgb="001B365D"/>
      </top>
      <bottom style="medium">
        <color rgb="001B365D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double">
        <color rgb="001B365D"/>
      </bottom>
    </border>
    <border>
      <top style="thin">
        <color rgb="00D3D3D3"/>
      </top>
    </border>
    <border>
      <right style="thin">
        <color rgb="00D3D3D3"/>
      </right>
      <top style="thin">
        <color rgb="00D3D3D3"/>
      </top>
    </border>
    <border>
      <right style="thin">
        <color rgb="00D3D3D3"/>
      </right>
      <top style="thin">
        <color rgb="00D3D3D3"/>
      </top>
      <bottom style="thin">
        <color rgb="00D3D3D3"/>
      </bottom>
    </border>
    <border>
      <top style="thin">
        <color rgb="00D3D3D3"/>
      </top>
      <bottom style="double">
        <color rgb="001B365D"/>
      </bottom>
    </border>
    <border>
      <right style="thin">
        <color rgb="00D3D3D3"/>
      </right>
      <top style="thin">
        <color rgb="00D3D3D3"/>
      </top>
      <bottom style="double">
        <color rgb="001B365D"/>
      </bottom>
    </border>
    <border>
      <top style="thin">
        <color rgb="00D3D3D3"/>
      </top>
      <bottom style="thin">
        <color rgb="00D3D3D3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41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center" wrapText="1"/>
    </xf>
    <xf numFmtId="0" fontId="2" fillId="0" borderId="2" pivotButton="0" quotePrefix="0" xfId="0"/>
    <xf numFmtId="0" fontId="2" fillId="0" borderId="3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164" fontId="4" fillId="0" borderId="0" applyAlignment="1" pivotButton="0" quotePrefix="0" xfId="0">
      <alignment horizontal="right" vertical="center"/>
    </xf>
    <xf numFmtId="0" fontId="6" fillId="0" borderId="0" pivotButton="0" quotePrefix="0" xfId="0"/>
    <xf numFmtId="0" fontId="4" fillId="0" borderId="0" applyAlignment="1" pivotButton="0" quotePrefix="0" xfId="0">
      <alignment horizontal="right" vertical="center"/>
    </xf>
    <xf numFmtId="0" fontId="7" fillId="2" borderId="4" applyAlignment="1" pivotButton="0" quotePrefix="0" xfId="0">
      <alignment horizontal="center" vertical="center" wrapText="1"/>
    </xf>
    <xf numFmtId="4" fontId="4" fillId="0" borderId="0" applyAlignment="1" pivotButton="0" quotePrefix="0" xfId="0">
      <alignment horizontal="right" vertical="center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left" vertical="center"/>
    </xf>
    <xf numFmtId="3" fontId="8" fillId="0" borderId="5" pivotButton="0" quotePrefix="0" xfId="0"/>
    <xf numFmtId="4" fontId="8" fillId="0" borderId="5" pivotButton="0" quotePrefix="0" xfId="0"/>
    <xf numFmtId="165" fontId="8" fillId="0" borderId="5" pivotButton="0" quotePrefix="0" xfId="0"/>
    <xf numFmtId="165" fontId="4" fillId="0" borderId="0" applyAlignment="1" pivotButton="0" quotePrefix="0" xfId="0">
      <alignment horizontal="right" vertical="center"/>
    </xf>
    <xf numFmtId="165" fontId="8" fillId="0" borderId="5" applyAlignment="1" pivotButton="0" quotePrefix="0" xfId="0">
      <alignment horizontal="center" vertical="center" wrapText="1"/>
    </xf>
    <xf numFmtId="164" fontId="8" fillId="0" borderId="5" applyAlignment="1" pivotButton="0" quotePrefix="0" xfId="0">
      <alignment horizontal="center" vertical="center" wrapText="1"/>
    </xf>
    <xf numFmtId="164" fontId="8" fillId="0" borderId="5" pivotButton="0" quotePrefix="0" xfId="0"/>
    <xf numFmtId="2" fontId="8" fillId="0" borderId="5" pivotButton="0" quotePrefix="0" xfId="0"/>
    <xf numFmtId="166" fontId="8" fillId="0" borderId="5" pivotButton="0" quotePrefix="0" xfId="0"/>
    <xf numFmtId="0" fontId="3" fillId="3" borderId="6" applyAlignment="1" pivotButton="0" quotePrefix="0" xfId="0">
      <alignment horizontal="center" vertical="center" wrapText="1"/>
    </xf>
    <xf numFmtId="0" fontId="2" fillId="0" borderId="7" pivotButton="0" quotePrefix="0" xfId="0"/>
    <xf numFmtId="0" fontId="2" fillId="0" borderId="8" pivotButton="0" quotePrefix="0" xfId="0"/>
    <xf numFmtId="3" fontId="3" fillId="3" borderId="4" pivotButton="0" quotePrefix="0" xfId="0"/>
    <xf numFmtId="4" fontId="3" fillId="3" borderId="4" pivotButton="0" quotePrefix="0" xfId="0"/>
    <xf numFmtId="165" fontId="3" fillId="3" borderId="4" pivotButton="0" quotePrefix="0" xfId="0"/>
    <xf numFmtId="164" fontId="3" fillId="3" borderId="4" pivotButton="0" quotePrefix="0" xfId="0"/>
    <xf numFmtId="0" fontId="3" fillId="3" borderId="4" applyAlignment="1" pivotButton="0" quotePrefix="0" xfId="0">
      <alignment horizontal="center" vertical="center" wrapText="1"/>
    </xf>
    <xf numFmtId="166" fontId="3" fillId="3" borderId="4" pivotButton="0" quotePrefix="0" xfId="0"/>
    <xf numFmtId="0" fontId="1" fillId="4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7" fillId="5" borderId="4" applyAlignment="1" pivotButton="0" quotePrefix="0" xfId="0">
      <alignment horizontal="center" vertical="center" wrapText="1"/>
    </xf>
    <xf numFmtId="0" fontId="7" fillId="3" borderId="4" applyAlignment="1" pivotButton="0" quotePrefix="0" xfId="0">
      <alignment horizontal="center" vertical="center" wrapText="1"/>
    </xf>
    <xf numFmtId="4" fontId="8" fillId="6" borderId="5" pivotButton="0" quotePrefix="0" xfId="0"/>
    <xf numFmtId="4" fontId="8" fillId="0" borderId="5" pivotButton="0" quotePrefix="0" xfId="0"/>
    <xf numFmtId="4" fontId="8" fillId="7" borderId="5" pivotButton="0" quotePrefix="0" xfId="0"/>
    <xf numFmtId="165" fontId="8" fillId="6" borderId="5" pivotButton="0" quotePrefix="0" xfId="0"/>
    <xf numFmtId="0" fontId="9" fillId="0" borderId="0" applyAlignment="1" pivotButton="0" quotePrefix="0" xfId="0">
      <alignment vertical="top" wrapText="1"/>
    </xf>
    <xf numFmtId="0" fontId="4" fillId="0" borderId="0" applyAlignment="1" pivotButton="0" quotePrefix="0" xfId="0">
      <alignment horizontal="right" vertical="center"/>
    </xf>
    <xf numFmtId="4" fontId="4" fillId="0" borderId="0" applyAlignment="1" pivotButton="0" quotePrefix="0" xfId="0">
      <alignment horizontal="right" vertical="center"/>
    </xf>
    <xf numFmtId="0" fontId="3" fillId="5" borderId="1" applyAlignment="1" pivotButton="0" quotePrefix="0" xfId="0">
      <alignment horizontal="left" vertical="center"/>
    </xf>
    <xf numFmtId="4" fontId="6" fillId="0" borderId="0" pivotButton="0" quotePrefix="0" xfId="0"/>
    <xf numFmtId="0" fontId="8" fillId="0" borderId="5" pivotButton="0" quotePrefix="0" xfId="0"/>
    <xf numFmtId="0" fontId="0" fillId="0" borderId="0" pivotButton="0" quotePrefix="0" xfId="0"/>
    <xf numFmtId="0" fontId="1" fillId="2" borderId="9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10" fillId="8" borderId="0" applyAlignment="1" pivotButton="0" quotePrefix="0" xfId="0">
      <alignment horizontal="center" vertical="center" wrapText="1"/>
    </xf>
    <xf numFmtId="0" fontId="11" fillId="9" borderId="0" applyAlignment="1" pivotButton="0" quotePrefix="0" xfId="0">
      <alignment horizontal="center" vertical="center" wrapText="1"/>
    </xf>
    <xf numFmtId="0" fontId="12" fillId="10" borderId="12" applyAlignment="1" pivotButton="0" quotePrefix="0" xfId="0">
      <alignment horizontal="center" vertical="center" wrapText="1"/>
    </xf>
    <xf numFmtId="167" fontId="13" fillId="10" borderId="12" applyAlignment="1" pivotButton="0" quotePrefix="0" xfId="0">
      <alignment horizontal="center" vertical="center" wrapText="1"/>
    </xf>
    <xf numFmtId="168" fontId="13" fillId="10" borderId="12" applyAlignment="1" pivotButton="0" quotePrefix="0" xfId="0">
      <alignment horizontal="center" vertical="center" wrapText="1"/>
    </xf>
    <xf numFmtId="169" fontId="13" fillId="10" borderId="12" applyAlignment="1" pivotButton="0" quotePrefix="0" xfId="0">
      <alignment horizontal="center" vertical="center" wrapText="1"/>
    </xf>
    <xf numFmtId="170" fontId="13" fillId="10" borderId="12" applyAlignment="1" pivotButton="0" quotePrefix="0" xfId="0">
      <alignment horizontal="center" vertical="center" wrapText="1"/>
    </xf>
    <xf numFmtId="0" fontId="14" fillId="8" borderId="0" applyAlignment="1" pivotButton="0" quotePrefix="0" xfId="0">
      <alignment horizontal="center" vertical="center" wrapText="1"/>
    </xf>
    <xf numFmtId="0" fontId="15" fillId="9" borderId="13" applyAlignment="1" pivotButton="0" quotePrefix="0" xfId="0">
      <alignment horizontal="center" vertical="center" wrapText="1"/>
    </xf>
    <xf numFmtId="0" fontId="16" fillId="0" borderId="12" applyAlignment="1" pivotButton="0" quotePrefix="0" xfId="0">
      <alignment horizontal="left" vertical="center"/>
    </xf>
    <xf numFmtId="0" fontId="17" fillId="0" borderId="12" applyAlignment="1" pivotButton="0" quotePrefix="0" xfId="0">
      <alignment horizontal="center" vertical="center" wrapText="1"/>
    </xf>
    <xf numFmtId="4" fontId="17" fillId="0" borderId="12" applyAlignment="1" pivotButton="0" quotePrefix="0" xfId="0">
      <alignment horizontal="right" vertical="center"/>
    </xf>
    <xf numFmtId="2" fontId="17" fillId="0" borderId="12" applyAlignment="1" pivotButton="0" quotePrefix="0" xfId="0">
      <alignment horizontal="right" vertical="center"/>
    </xf>
    <xf numFmtId="0" fontId="16" fillId="0" borderId="12" applyAlignment="1" pivotButton="0" quotePrefix="0" xfId="0">
      <alignment horizontal="right" vertical="center"/>
    </xf>
    <xf numFmtId="0" fontId="16" fillId="0" borderId="12" applyAlignment="1" pivotButton="0" quotePrefix="0" xfId="0">
      <alignment horizontal="center" vertical="center" wrapText="1"/>
    </xf>
    <xf numFmtId="0" fontId="18" fillId="0" borderId="12" applyAlignment="1" pivotButton="0" quotePrefix="0" xfId="0">
      <alignment horizontal="left" vertical="center"/>
    </xf>
    <xf numFmtId="0" fontId="16" fillId="11" borderId="12" applyAlignment="1" pivotButton="0" quotePrefix="0" xfId="0">
      <alignment horizontal="left" vertical="center"/>
    </xf>
    <xf numFmtId="0" fontId="17" fillId="11" borderId="12" applyAlignment="1" pivotButton="0" quotePrefix="0" xfId="0">
      <alignment horizontal="center" vertical="center" wrapText="1"/>
    </xf>
    <xf numFmtId="4" fontId="17" fillId="11" borderId="12" applyAlignment="1" pivotButton="0" quotePrefix="0" xfId="0">
      <alignment horizontal="right" vertical="center"/>
    </xf>
    <xf numFmtId="2" fontId="17" fillId="11" borderId="12" applyAlignment="1" pivotButton="0" quotePrefix="0" xfId="0">
      <alignment horizontal="right" vertical="center"/>
    </xf>
    <xf numFmtId="0" fontId="16" fillId="11" borderId="12" applyAlignment="1" pivotButton="0" quotePrefix="0" xfId="0">
      <alignment horizontal="right" vertical="center"/>
    </xf>
    <xf numFmtId="0" fontId="16" fillId="11" borderId="12" applyAlignment="1" pivotButton="0" quotePrefix="0" xfId="0">
      <alignment horizontal="center" vertical="center" wrapText="1"/>
    </xf>
    <xf numFmtId="0" fontId="18" fillId="11" borderId="12" applyAlignment="1" pivotButton="0" quotePrefix="0" xfId="0">
      <alignment horizontal="left" vertical="center"/>
    </xf>
    <xf numFmtId="164" fontId="17" fillId="0" borderId="12" applyAlignment="1" pivotButton="0" quotePrefix="0" xfId="0">
      <alignment horizontal="right" vertical="center"/>
    </xf>
    <xf numFmtId="164" fontId="17" fillId="11" borderId="12" applyAlignment="1" pivotButton="0" quotePrefix="0" xfId="0">
      <alignment horizontal="right" vertical="center"/>
    </xf>
    <xf numFmtId="0" fontId="17" fillId="0" borderId="12" applyAlignment="1" pivotButton="0" quotePrefix="0" xfId="0">
      <alignment horizontal="left" vertical="center"/>
    </xf>
    <xf numFmtId="4" fontId="16" fillId="0" borderId="12" applyAlignment="1" pivotButton="0" quotePrefix="0" xfId="0">
      <alignment horizontal="right" vertical="center"/>
    </xf>
    <xf numFmtId="164" fontId="16" fillId="0" borderId="12" applyAlignment="1" pivotButton="0" quotePrefix="0" xfId="0">
      <alignment horizontal="right" vertical="center"/>
    </xf>
    <xf numFmtId="171" fontId="16" fillId="0" borderId="12" applyAlignment="1" pivotButton="0" quotePrefix="0" xfId="0">
      <alignment horizontal="right" vertical="center"/>
    </xf>
    <xf numFmtId="172" fontId="17" fillId="0" borderId="12" applyAlignment="1" pivotButton="0" quotePrefix="0" xfId="0">
      <alignment horizontal="right" vertical="center"/>
    </xf>
    <xf numFmtId="0" fontId="16" fillId="12" borderId="12" applyAlignment="1" pivotButton="0" quotePrefix="0" xfId="0">
      <alignment horizontal="center" vertical="center" wrapText="1"/>
    </xf>
    <xf numFmtId="0" fontId="17" fillId="11" borderId="12" applyAlignment="1" pivotButton="0" quotePrefix="0" xfId="0">
      <alignment horizontal="left" vertical="center"/>
    </xf>
    <xf numFmtId="4" fontId="16" fillId="11" borderId="12" applyAlignment="1" pivotButton="0" quotePrefix="0" xfId="0">
      <alignment horizontal="right" vertical="center"/>
    </xf>
    <xf numFmtId="164" fontId="16" fillId="11" borderId="12" applyAlignment="1" pivotButton="0" quotePrefix="0" xfId="0">
      <alignment horizontal="right" vertical="center"/>
    </xf>
    <xf numFmtId="171" fontId="16" fillId="11" borderId="12" applyAlignment="1" pivotButton="0" quotePrefix="0" xfId="0">
      <alignment horizontal="right" vertical="center"/>
    </xf>
    <xf numFmtId="172" fontId="17" fillId="11" borderId="12" applyAlignment="1" pivotButton="0" quotePrefix="0" xfId="0">
      <alignment horizontal="right" vertical="center"/>
    </xf>
    <xf numFmtId="0" fontId="16" fillId="13" borderId="12" applyAlignment="1" pivotButton="0" quotePrefix="0" xfId="0">
      <alignment horizontal="center" vertical="center" wrapText="1"/>
    </xf>
    <xf numFmtId="0" fontId="16" fillId="14" borderId="14" applyAlignment="1" pivotButton="0" quotePrefix="0" xfId="0">
      <alignment horizontal="right" vertical="center"/>
    </xf>
    <xf numFmtId="0" fontId="0" fillId="14" borderId="14" pivotButton="0" quotePrefix="0" xfId="0"/>
    <xf numFmtId="4" fontId="16" fillId="14" borderId="14" applyAlignment="1" pivotButton="0" quotePrefix="0" xfId="0">
      <alignment horizontal="right" vertical="center"/>
    </xf>
    <xf numFmtId="164" fontId="16" fillId="14" borderId="14" applyAlignment="1" pivotButton="0" quotePrefix="0" xfId="0">
      <alignment horizontal="right" vertical="center"/>
    </xf>
    <xf numFmtId="0" fontId="16" fillId="14" borderId="14" applyAlignment="1" pivotButton="0" quotePrefix="0" xfId="0">
      <alignment horizontal="center" vertical="center" wrapText="1"/>
    </xf>
    <xf numFmtId="172" fontId="16" fillId="14" borderId="14" applyAlignment="1" pivotButton="0" quotePrefix="0" xfId="0">
      <alignment horizontal="right" vertical="center"/>
    </xf>
    <xf numFmtId="164" fontId="16" fillId="15" borderId="12" applyAlignment="1" pivotButton="0" quotePrefix="0" xfId="0">
      <alignment horizontal="right" vertical="center"/>
    </xf>
    <xf numFmtId="0" fontId="1" fillId="4" borderId="9" applyAlignment="1" pivotButton="0" quotePrefix="0" xfId="0">
      <alignment horizontal="center" vertical="center" wrapText="1"/>
    </xf>
    <xf numFmtId="0" fontId="3" fillId="3" borderId="9" applyAlignment="1" pivotButton="0" quotePrefix="0" xfId="0">
      <alignment horizontal="center" vertical="center" wrapText="1"/>
    </xf>
    <xf numFmtId="0" fontId="3" fillId="5" borderId="9" applyAlignment="1" pivotButton="0" quotePrefix="0" xfId="0">
      <alignment horizontal="left" vertical="center"/>
    </xf>
    <xf numFmtId="0" fontId="0" fillId="0" borderId="17" pivotButton="0" quotePrefix="0" xfId="0"/>
    <xf numFmtId="0" fontId="0" fillId="0" borderId="20" pivotButton="0" quotePrefix="0" xfId="0"/>
    <xf numFmtId="0" fontId="0" fillId="0" borderId="18" pivotButton="0" quotePrefix="0" xfId="0"/>
    <xf numFmtId="0" fontId="0" fillId="0" borderId="19" pivotButton="0" quotePrefix="0" xfId="0"/>
    <xf numFmtId="0" fontId="19" fillId="8" borderId="0" applyAlignment="1" pivotButton="0" quotePrefix="0" xfId="0">
      <alignment horizontal="center" vertical="center"/>
    </xf>
    <xf numFmtId="0" fontId="20" fillId="9" borderId="0" applyAlignment="1" pivotButton="0" quotePrefix="0" xfId="0">
      <alignment horizontal="center" vertical="center"/>
    </xf>
    <xf numFmtId="0" fontId="21" fillId="14" borderId="21" applyAlignment="1" pivotButton="0" quotePrefix="0" xfId="0">
      <alignment horizontal="center" vertical="center"/>
    </xf>
    <xf numFmtId="0" fontId="0" fillId="0" borderId="21" pivotButton="0" quotePrefix="0" xfId="0"/>
    <xf numFmtId="0" fontId="21" fillId="16" borderId="21" applyAlignment="1" pivotButton="0" quotePrefix="0" xfId="0">
      <alignment horizontal="center" vertical="center"/>
    </xf>
    <xf numFmtId="0" fontId="21" fillId="17" borderId="21" applyAlignment="1" pivotButton="0" quotePrefix="0" xfId="0">
      <alignment horizontal="center" vertical="center"/>
    </xf>
    <xf numFmtId="0" fontId="22" fillId="0" borderId="21" applyAlignment="1" pivotButton="0" quotePrefix="0" xfId="0">
      <alignment horizontal="center" vertical="center" wrapText="1"/>
    </xf>
    <xf numFmtId="0" fontId="23" fillId="8" borderId="0" applyAlignment="1" pivotButton="0" quotePrefix="0" xfId="0">
      <alignment horizontal="left" vertical="center"/>
    </xf>
    <xf numFmtId="0" fontId="11" fillId="18" borderId="21" applyAlignment="1" pivotButton="0" quotePrefix="0" xfId="0">
      <alignment horizontal="center" vertical="center"/>
    </xf>
    <xf numFmtId="0" fontId="25" fillId="0" borderId="21" applyAlignment="1" pivotButton="0" quotePrefix="0" xfId="0">
      <alignment horizontal="center" vertical="center"/>
    </xf>
    <xf numFmtId="4" fontId="24" fillId="0" borderId="21" applyAlignment="1" pivotButton="0" quotePrefix="0" xfId="0">
      <alignment horizontal="right" vertical="center"/>
    </xf>
    <xf numFmtId="173" fontId="24" fillId="0" borderId="21" applyAlignment="1" pivotButton="0" quotePrefix="0" xfId="0">
      <alignment horizontal="right" vertical="center"/>
    </xf>
    <xf numFmtId="171" fontId="24" fillId="14" borderId="21" applyAlignment="1" pivotButton="0" quotePrefix="0" xfId="0">
      <alignment horizontal="right" vertical="center"/>
    </xf>
    <xf numFmtId="164" fontId="24" fillId="0" borderId="21" applyAlignment="1" pivotButton="0" quotePrefix="0" xfId="0">
      <alignment horizontal="right" vertical="center"/>
    </xf>
    <xf numFmtId="0" fontId="25" fillId="19" borderId="21" applyAlignment="1" pivotButton="0" quotePrefix="0" xfId="0">
      <alignment horizontal="center" vertical="center"/>
    </xf>
    <xf numFmtId="4" fontId="24" fillId="19" borderId="21" applyAlignment="1" pivotButton="0" quotePrefix="0" xfId="0">
      <alignment horizontal="right" vertical="center"/>
    </xf>
    <xf numFmtId="173" fontId="24" fillId="19" borderId="21" applyAlignment="1" pivotButton="0" quotePrefix="0" xfId="0">
      <alignment horizontal="right" vertical="center"/>
    </xf>
    <xf numFmtId="164" fontId="24" fillId="19" borderId="21" applyAlignment="1" pivotButton="0" quotePrefix="0" xfId="0">
      <alignment horizontal="right" vertical="center"/>
    </xf>
    <xf numFmtId="171" fontId="24" fillId="17" borderId="21" applyAlignment="1" pivotButton="0" quotePrefix="0" xfId="0">
      <alignment horizontal="right" vertical="center"/>
    </xf>
    <xf numFmtId="171" fontId="24" fillId="19" borderId="21" applyAlignment="1" pivotButton="0" quotePrefix="0" xfId="0">
      <alignment horizontal="right" vertical="center"/>
    </xf>
    <xf numFmtId="171" fontId="24" fillId="0" borderId="21" applyAlignment="1" pivotButton="0" quotePrefix="0" xfId="0">
      <alignment horizontal="right" vertical="center"/>
    </xf>
    <xf numFmtId="0" fontId="25" fillId="0" borderId="22" applyAlignment="1" pivotButton="0" quotePrefix="0" xfId="0">
      <alignment horizontal="center" vertical="center"/>
    </xf>
    <xf numFmtId="4" fontId="25" fillId="14" borderId="22" applyAlignment="1" pivotButton="0" quotePrefix="0" xfId="0">
      <alignment horizontal="right" vertical="center"/>
    </xf>
    <xf numFmtId="173" fontId="25" fillId="14" borderId="22" applyAlignment="1" pivotButton="0" quotePrefix="0" xfId="0">
      <alignment horizontal="right" vertical="center"/>
    </xf>
    <xf numFmtId="171" fontId="25" fillId="14" borderId="22" applyAlignment="1" pivotButton="0" quotePrefix="0" xfId="0">
      <alignment horizontal="right" vertical="center"/>
    </xf>
    <xf numFmtId="164" fontId="25" fillId="14" borderId="22" applyAlignment="1" pivotButton="0" quotePrefix="0" xfId="0">
      <alignment horizontal="right" vertical="center"/>
    </xf>
    <xf numFmtId="0" fontId="25" fillId="0" borderId="21" applyAlignment="1" pivotButton="0" quotePrefix="0" xfId="0">
      <alignment horizontal="left" vertical="center"/>
    </xf>
    <xf numFmtId="0" fontId="24" fillId="0" borderId="21" applyAlignment="1" pivotButton="0" quotePrefix="0" xfId="0">
      <alignment horizontal="left" vertical="center"/>
    </xf>
    <xf numFmtId="3" fontId="24" fillId="0" borderId="21" applyAlignment="1" pivotButton="0" quotePrefix="0" xfId="0">
      <alignment horizontal="center" vertical="center"/>
    </xf>
    <xf numFmtId="174" fontId="24" fillId="0" borderId="21" applyAlignment="1" pivotButton="0" quotePrefix="0" xfId="0">
      <alignment horizontal="right" vertical="center"/>
    </xf>
    <xf numFmtId="0" fontId="25" fillId="0" borderId="22" applyAlignment="1" pivotButton="0" quotePrefix="0" xfId="0">
      <alignment horizontal="left" vertical="center"/>
    </xf>
    <xf numFmtId="0" fontId="26" fillId="0" borderId="22" applyAlignment="1" pivotButton="0" quotePrefix="0" xfId="0">
      <alignment horizontal="left" vertical="center"/>
    </xf>
    <xf numFmtId="4" fontId="25" fillId="0" borderId="22" applyAlignment="1" pivotButton="0" quotePrefix="0" xfId="0">
      <alignment horizontal="right" vertical="center"/>
    </xf>
    <xf numFmtId="173" fontId="25" fillId="0" borderId="22" applyAlignment="1" pivotButton="0" quotePrefix="0" xfId="0">
      <alignment horizontal="right" vertical="center"/>
    </xf>
    <xf numFmtId="174" fontId="25" fillId="0" borderId="22" applyAlignment="1" pivotButton="0" quotePrefix="0" xfId="0">
      <alignment horizontal="right" vertical="center"/>
    </xf>
    <xf numFmtId="0" fontId="11" fillId="18" borderId="21" pivotButton="0" quotePrefix="0" xfId="0"/>
    <xf numFmtId="0" fontId="24" fillId="0" borderId="21" applyAlignment="1" pivotButton="0" quotePrefix="0" xfId="0">
      <alignment horizontal="left" vertical="center" wrapText="1"/>
    </xf>
    <xf numFmtId="0" fontId="0" fillId="0" borderId="22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Comparación de Rendimiento por Máquina: Real vs. Esperado (Base)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'Análisis y Gráficas'!G18</f>
            </strRef>
          </tx>
          <spPr>
            <a:ln>
              <a:prstDash val="solid"/>
            </a:ln>
          </spPr>
          <cat>
            <numRef>
              <f>'Análisis y Gráficas'!$B$19:$B$27</f>
            </numRef>
          </cat>
          <val>
            <numRef>
              <f>'Análisis y Gráficas'!$G$19:$G$27</f>
            </numRef>
          </val>
        </ser>
        <ser>
          <idx val="1"/>
          <order val="1"/>
          <tx>
            <strRef>
              <f>'Análisis y Gráficas'!H18</f>
            </strRef>
          </tx>
          <spPr>
            <a:ln>
              <a:prstDash val="solid"/>
            </a:ln>
          </spPr>
          <cat>
            <numRef>
              <f>'Análisis y Gráficas'!$B$19:$B$27</f>
            </numRef>
          </cat>
          <val>
            <numRef>
              <f>'Análisis y Gráficas'!$H$19:$H$27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Equipo / Económico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Rendimiento (L/Ton o L/m³)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Evolución Semanal: Rendimiento Carpeta (VG-01) vs. Rendimiento Base (0.35 L/Ton)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'Análisis y Gráficas'!H35</f>
            </strRef>
          </tx>
          <spPr>
            <a:ln>
              <a:prstDash val="solid"/>
            </a:ln>
          </spPr>
          <cat>
            <numRef>
              <f>'Análisis y Gráficas'!$A$36:$A$49</f>
            </numRef>
          </cat>
          <val>
            <numRef>
              <f>'Análisis y Gráficas'!$H$36:$H$49</f>
            </numRef>
          </val>
        </ser>
        <ser>
          <idx val="1"/>
          <order val="1"/>
          <tx>
            <strRef>
              <f>'Análisis y Gráficas'!I35</f>
            </strRef>
          </tx>
          <spPr>
            <a:ln>
              <a:prstDash val="solid"/>
            </a:ln>
          </spPr>
          <cat>
            <numRef>
              <f>'Análisis y Gráficas'!$A$36:$A$49</f>
            </numRef>
          </cat>
          <val>
            <numRef>
              <f>'Análisis y Gráficas'!$I$36:$I$49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Semana de Operación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Rendimiento (L/Ton)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Evolución Semanal del Rendimiento Global de Obra vs. Promedio (1.20 L/m³)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'Análisis y Gráficas'!L35</f>
            </strRef>
          </tx>
          <spPr>
            <a:ln>
              <a:prstDash val="solid"/>
            </a:ln>
          </spPr>
          <cat>
            <numRef>
              <f>'Análisis y Gráficas'!$A$36:$A$49</f>
            </numRef>
          </cat>
          <val>
            <numRef>
              <f>'Análisis y Gráficas'!$L$36:$L$49</f>
            </numRef>
          </val>
        </ser>
        <ser>
          <idx val="1"/>
          <order val="1"/>
          <tx>
            <strRef>
              <f>'Análisis y Gráficas'!M35</f>
            </strRef>
          </tx>
          <spPr>
            <a:ln>
              <a:prstDash val="solid"/>
            </a:ln>
          </spPr>
          <cat>
            <numRef>
              <f>'Análisis y Gráficas'!$A$36:$A$49</f>
            </numRef>
          </cat>
          <val>
            <numRef>
              <f>'Análisis y Gráficas'!$M$36:$M$49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Semana de Operación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Rendimiento Global (L/m³ Total)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Rendimiento Diario Ponderado por Día de la Semana vs. Promedio de Obra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'Análisis y Gráficas'!H53</f>
            </strRef>
          </tx>
          <spPr>
            <a:ln>
              <a:prstDash val="solid"/>
            </a:ln>
          </spPr>
          <cat>
            <numRef>
              <f>'Análisis y Gráficas'!$A$54:$A$59</f>
            </numRef>
          </cat>
          <val>
            <numRef>
              <f>'Análisis y Gráficas'!$H$54:$H$59</f>
            </numRef>
          </val>
        </ser>
        <ser>
          <idx val="1"/>
          <order val="1"/>
          <tx>
            <strRef>
              <f>'Análisis y Gráficas'!I53</f>
            </strRef>
          </tx>
          <spPr>
            <a:ln>
              <a:prstDash val="solid"/>
            </a:ln>
          </spPr>
          <cat>
            <numRef>
              <f>'Análisis y Gráficas'!$A$54:$A$59</f>
            </numRef>
          </cat>
          <val>
            <numRef>
              <f>'Análisis y Gráficas'!$I$54:$I$59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Día de la Semana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Rendimiento Diario (L/m³)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1"/>
  <chart>
    <title>
      <tx>
        <rich>
          <a:bodyPr/>
          <a:p>
            <a:pPr>
              <a:defRPr/>
            </a:pPr>
            <a:r>
              <a:t>Comparación Semanal: Diésel Facturado vs. Bitácora de Campo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'Conciliación y Auditoría'!E8</f>
            </strRef>
          </tx>
          <spPr>
            <a:ln>
              <a:prstDash val="solid"/>
            </a:ln>
          </spPr>
          <cat>
            <numRef>
              <f>'Conciliación y Auditoría'!$A$9:$A$22</f>
            </numRef>
          </cat>
          <val>
            <numRef>
              <f>'Conciliación y Auditoría'!$E$9:$E$22</f>
            </numRef>
          </val>
        </ser>
        <ser>
          <idx val="1"/>
          <order val="1"/>
          <tx>
            <strRef>
              <f>'Conciliación y Auditoría'!H8</f>
            </strRef>
          </tx>
          <spPr>
            <a:ln>
              <a:prstDash val="solid"/>
            </a:ln>
          </spPr>
          <cat>
            <numRef>
              <f>'Conciliación y Auditoría'!$A$9:$A$22</f>
            </numRef>
          </cat>
          <val>
            <numRef>
              <f>'Conciliación y Auditoría'!$H$9:$H$22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Semana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Litros (L)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Comparación de Rendimiento: Operativo (Bitácora) vs. Financiero (Facturado)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'Conciliación y Auditoría'!L8</f>
            </strRef>
          </tx>
          <spPr>
            <a:ln>
              <a:prstDash val="solid"/>
            </a:ln>
          </spPr>
          <cat>
            <numRef>
              <f>'Conciliación y Auditoría'!$A$9:$A$22</f>
            </numRef>
          </cat>
          <val>
            <numRef>
              <f>'Conciliación y Auditoría'!$L$9:$L$22</f>
            </numRef>
          </val>
        </ser>
        <ser>
          <idx val="1"/>
          <order val="1"/>
          <tx>
            <strRef>
              <f>'Conciliación y Auditoría'!M8</f>
            </strRef>
          </tx>
          <spPr>
            <a:ln>
              <a:prstDash val="solid"/>
            </a:ln>
          </spPr>
          <cat>
            <numRef>
              <f>'Conciliación y Auditoría'!$A$9:$A$22</f>
            </numRef>
          </cat>
          <val>
            <numRef>
              <f>'Conciliación y Auditoría'!$M$9:$M$22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Semana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Rendimiento (L/m³)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5.xml" Id="rId1" /><Relationship Type="http://schemas.openxmlformats.org/officeDocument/2006/relationships/chart" Target="/xl/charts/chart6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14</col>
      <colOff>0</colOff>
      <row>7</row>
      <rowOff>0</rowOff>
    </from>
    <ext cx="684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14</col>
      <colOff>0</colOff>
      <row>24</row>
      <rowOff>0</rowOff>
    </from>
    <ext cx="684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14</col>
      <colOff>0</colOff>
      <row>41</row>
      <rowOff>0</rowOff>
    </from>
    <ext cx="6840000" cy="396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14</col>
      <colOff>0</colOff>
      <row>58</row>
      <rowOff>0</rowOff>
    </from>
    <ext cx="6840000" cy="396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14</col>
      <colOff>0</colOff>
      <row>6</row>
      <rowOff>0</rowOff>
    </from>
    <ext cx="792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14</col>
      <colOff>0</colOff>
      <row>24</row>
      <rowOff>0</rowOff>
    </from>
    <ext cx="7920000" cy="46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ColWidth="14.43" defaultRowHeight="15" customHeight="1"/>
  <cols>
    <col width="4" customWidth="1" style="46" min="1" max="1"/>
    <col width="10" customWidth="1" style="46" min="2" max="2"/>
    <col width="34" customWidth="1" style="46" min="3" max="3"/>
    <col width="18" customWidth="1" style="46" min="4" max="4"/>
    <col width="28" customWidth="1" style="46" min="5" max="6"/>
    <col width="15" customWidth="1" style="46" min="7" max="7"/>
    <col width="16" customWidth="1" style="46" min="8" max="8"/>
    <col width="18" customWidth="1" style="46" min="9" max="12"/>
    <col width="22" customWidth="1" style="46" min="13" max="13"/>
    <col width="8.710000000000001" customWidth="1" style="46" min="14" max="26"/>
  </cols>
  <sheetData>
    <row r="1">
      <c r="A1" s="47" t="inlineStr">
        <is>
          <t>DIRECCIÓN DE OPERACIONES Y MAQUINARIA PESADA</t>
        </is>
      </c>
    </row>
    <row r="2">
      <c r="A2" s="48" t="inlineStr">
        <is>
          <t>REPORTE HISTÓRICO CONSOLIDADO DE RENDIMIENTO DE MAQUINARIA — CARRETERA LIBRE MÉXICO-TOLUCA</t>
        </is>
      </c>
    </row>
    <row r="3">
      <c r="A3" s="49" t="inlineStr">
        <is>
          <t>Corte Oficial: Semanas 24 a 37 | Peso Volumétrico Asfalto: 1,742 kg/m³ (1.742 Ton/m³)</t>
        </is>
      </c>
    </row>
    <row r="5">
      <c r="C5" s="5" t="inlineStr">
        <is>
          <t>PESO VOLUMÉTRICO ASFALTO (Ton/m³):</t>
        </is>
      </c>
      <c r="F5" s="7" t="n">
        <v>1.742</v>
      </c>
    </row>
    <row r="8" ht="27.75" customHeight="1" s="46">
      <c r="A8" s="10" t="inlineStr">
        <is>
          <t>No.</t>
        </is>
      </c>
      <c r="B8" s="10" t="inlineStr">
        <is>
          <t>Económico</t>
        </is>
      </c>
      <c r="C8" s="10" t="inlineStr">
        <is>
          <t>Equipo / Maquinaria</t>
        </is>
      </c>
      <c r="D8" s="10" t="inlineStr">
        <is>
          <t>No. Serie</t>
        </is>
      </c>
      <c r="E8" s="10" t="inlineStr">
        <is>
          <t>Operador Registrado</t>
        </is>
      </c>
      <c r="F8" s="10" t="inlineStr">
        <is>
          <t>Concepto / Trabajo</t>
        </is>
      </c>
      <c r="G8" s="10" t="inlineStr">
        <is>
          <t>Viajes Acumulados</t>
        </is>
      </c>
      <c r="H8" s="10" t="inlineStr">
        <is>
          <t>Volumen Total (m³)</t>
        </is>
      </c>
      <c r="I8" s="10" t="inlineStr">
        <is>
          <t>Toneladas Totales (Ton)</t>
        </is>
      </c>
      <c r="J8" s="10" t="inlineStr">
        <is>
          <t>Diésel Acumulado (L)</t>
        </is>
      </c>
      <c r="K8" s="10" t="inlineStr">
        <is>
          <t>Rendimiento Real (L/Ton)</t>
        </is>
      </c>
      <c r="L8" s="10" t="inlineStr">
        <is>
          <t>Rendimiento Real (L/m³)</t>
        </is>
      </c>
      <c r="M8" s="10" t="inlineStr">
        <is>
          <t>Estatus Operativo</t>
        </is>
      </c>
    </row>
    <row r="9" ht="19.5" customHeight="1" s="46">
      <c r="A9" s="12" t="n">
        <v>1</v>
      </c>
      <c r="B9" s="12" t="inlineStr">
        <is>
          <t>PRR-01</t>
        </is>
      </c>
      <c r="C9" s="13" t="inlineStr">
        <is>
          <t>PERFILADORA WIRTGEN W200i</t>
        </is>
      </c>
      <c r="D9" s="12" t="inlineStr">
        <is>
          <t>14200089</t>
        </is>
      </c>
      <c r="E9" s="13" t="inlineStr">
        <is>
          <t>JAVIER PAREDES CORTE</t>
        </is>
      </c>
      <c r="F9" s="13" t="inlineStr">
        <is>
          <t>Fresado de Pavimento</t>
        </is>
      </c>
      <c r="G9" s="14" t="n">
        <v>1138</v>
      </c>
      <c r="H9" s="37" t="n">
        <v>15603</v>
      </c>
      <c r="I9" s="16" t="n">
        <v>27180.426</v>
      </c>
      <c r="J9" s="37">
        <f>'Semana 24'!I9+'Semana 25'!I9+'Semana 26'!I9+'Semana 27'!I9+'Semana 28'!I9+'Semana 29'!I9+'Semana 30'!I9+'Semana 31'!I9+'Semana 32'!I9+'Semana 33'!I9+'Semana 34'!I9+'Semana 35'!I9+'Semana 36'!I9+'Semana 37'!I9</f>
        <v/>
      </c>
      <c r="K9" s="20">
        <f>IF(I9&gt;0, J9/I9, 0)</f>
        <v/>
      </c>
      <c r="L9" s="20">
        <f>IF(H9&gt;0, J9/H9, 0)</f>
        <v/>
      </c>
      <c r="M9" s="12" t="inlineStr">
        <is>
          <t>ÓPTIMO / OPERATIVO</t>
        </is>
      </c>
    </row>
    <row r="10" ht="19.5" customHeight="1" s="46">
      <c r="A10" s="12" t="n">
        <v>2</v>
      </c>
      <c r="B10" s="12" t="inlineStr">
        <is>
          <t>VG-01</t>
        </is>
      </c>
      <c r="C10" s="13" t="inlineStr">
        <is>
          <t>PAVIMENTADORA VÖGELE SUPER 1800-3i</t>
        </is>
      </c>
      <c r="D10" s="12" t="inlineStr">
        <is>
          <t>14821687</t>
        </is>
      </c>
      <c r="E10" s="13" t="inlineStr">
        <is>
          <t>ERWIN CUTEÑO HERNANDEZ</t>
        </is>
      </c>
      <c r="F10" s="13" t="inlineStr">
        <is>
          <t>Tendido de Mezcla Asfáltica</t>
        </is>
      </c>
      <c r="G10" s="14" t="n">
        <v>638</v>
      </c>
      <c r="H10" s="37" t="n">
        <v>8968</v>
      </c>
      <c r="I10" s="16" t="n">
        <v>15622.256</v>
      </c>
      <c r="J10" s="37">
        <f>'Semana 24'!I10+'Semana 25'!I10+'Semana 26'!I10+'Semana 27'!I10+'Semana 28'!I10+'Semana 29'!I10+'Semana 30'!I10+'Semana 31'!I10+'Semana 32'!I10+'Semana 33'!I10+'Semana 34'!I10+'Semana 35'!I10+'Semana 36'!I10+'Semana 37'!I10</f>
        <v/>
      </c>
      <c r="K10" s="20">
        <f>IF(I10&gt;0, J10/I10, 0)</f>
        <v/>
      </c>
      <c r="L10" s="20">
        <f>IF(H10&gt;0, J10/H10, 0)</f>
        <v/>
      </c>
      <c r="M10" s="12" t="inlineStr">
        <is>
          <t>ÓPTIMO / OPERATIVO</t>
        </is>
      </c>
    </row>
    <row r="11" ht="19.5" customHeight="1" s="46">
      <c r="A11" s="12" t="n">
        <v>3</v>
      </c>
      <c r="B11" s="12" t="inlineStr">
        <is>
          <t>DR-01</t>
        </is>
      </c>
      <c r="C11" s="13" t="inlineStr">
        <is>
          <t>COMPACTADOR TÁNDEM HAMM-HD120 VV</t>
        </is>
      </c>
      <c r="D11" s="12" t="inlineStr">
        <is>
          <t>H1840093</t>
        </is>
      </c>
      <c r="E11" s="13" t="inlineStr">
        <is>
          <t>JOEL ALBERTO RIVERA RIVAS</t>
        </is>
      </c>
      <c r="F11" s="13" t="inlineStr">
        <is>
          <t>Compactación Tándem Primaria</t>
        </is>
      </c>
      <c r="G11" s="14" t="n">
        <v>638</v>
      </c>
      <c r="H11" s="37" t="n">
        <v>8968</v>
      </c>
      <c r="I11" s="16" t="n">
        <v>15622.256</v>
      </c>
      <c r="J11" s="37">
        <f>'Semana 24'!I11+'Semana 25'!I11+'Semana 26'!I11+'Semana 27'!I11+'Semana 28'!I11+'Semana 29'!I11+'Semana 30'!I11+'Semana 31'!I11+'Semana 32'!I11+'Semana 33'!I11+'Semana 34'!I11+'Semana 35'!I11+'Semana 36'!I11+'Semana 37'!I11</f>
        <v/>
      </c>
      <c r="K11" s="20">
        <f>IF(I11&gt;0, J11/I11, 0)</f>
        <v/>
      </c>
      <c r="L11" s="20">
        <f>IF(H11&gt;0, J11/H11, 0)</f>
        <v/>
      </c>
      <c r="M11" s="12" t="inlineStr">
        <is>
          <t>ÓPTIMO / OPERATIVO</t>
        </is>
      </c>
    </row>
    <row r="12" ht="19.5" customHeight="1" s="46">
      <c r="A12" s="12" t="n">
        <v>4</v>
      </c>
      <c r="B12" s="12" t="inlineStr">
        <is>
          <t>DR-02</t>
        </is>
      </c>
      <c r="C12" s="13" t="inlineStr">
        <is>
          <t>COMPACTADOR TÁNDEM HAMM-HD140</t>
        </is>
      </c>
      <c r="D12" s="12" t="inlineStr">
        <is>
          <t>H1840234</t>
        </is>
      </c>
      <c r="E12" s="13" t="inlineStr">
        <is>
          <t>ALEXIS RENDON DOMINGUEZ</t>
        </is>
      </c>
      <c r="F12" s="13" t="inlineStr">
        <is>
          <t>Compactación Tándem Pesada</t>
        </is>
      </c>
      <c r="G12" s="14" t="n">
        <v>638</v>
      </c>
      <c r="H12" s="37" t="n">
        <v>8968</v>
      </c>
      <c r="I12" s="16" t="n">
        <v>15622.256</v>
      </c>
      <c r="J12" s="37">
        <f>'Semana 24'!I12+'Semana 25'!I12+'Semana 26'!I12+'Semana 27'!I12+'Semana 28'!I12+'Semana 29'!I12+'Semana 30'!I12+'Semana 31'!I12+'Semana 32'!I12+'Semana 33'!I12+'Semana 34'!I12+'Semana 35'!I12+'Semana 36'!I12+'Semana 37'!I12</f>
        <v/>
      </c>
      <c r="K12" s="20">
        <f>IF(I12&gt;0, J12/I12, 0)</f>
        <v/>
      </c>
      <c r="L12" s="20">
        <f>IF(H12&gt;0, J12/H12, 0)</f>
        <v/>
      </c>
      <c r="M12" s="12" t="inlineStr">
        <is>
          <t>ÓPTIMO / OPERATIVO</t>
        </is>
      </c>
    </row>
    <row r="13" ht="19.5" customHeight="1" s="46">
      <c r="A13" s="12" t="n">
        <v>5</v>
      </c>
      <c r="B13" s="12" t="inlineStr">
        <is>
          <t>NM-01</t>
        </is>
      </c>
      <c r="C13" s="13" t="inlineStr">
        <is>
          <t>COMPACTADOR NEUMÁTICO DYNAPAC CP271</t>
        </is>
      </c>
      <c r="D13" s="12" t="inlineStr">
        <is>
          <t>CP271-980</t>
        </is>
      </c>
      <c r="E13" s="13" t="inlineStr">
        <is>
          <t>JOSE CARLOS ROMERO TELLEZ</t>
        </is>
      </c>
      <c r="F13" s="13" t="inlineStr">
        <is>
          <t>Compactación Neumática / Sellado</t>
        </is>
      </c>
      <c r="G13" s="14" t="n">
        <v>638</v>
      </c>
      <c r="H13" s="37" t="n">
        <v>8968</v>
      </c>
      <c r="I13" s="16" t="n">
        <v>15622.256</v>
      </c>
      <c r="J13" s="37">
        <f>'Semana 24'!I13+'Semana 25'!I13+'Semana 26'!I13+'Semana 27'!I13+'Semana 28'!I13+'Semana 29'!I13+'Semana 30'!I13+'Semana 31'!I13+'Semana 32'!I13+'Semana 33'!I13+'Semana 34'!I13+'Semana 35'!I13+'Semana 36'!I13+'Semana 37'!I13</f>
        <v/>
      </c>
      <c r="K13" s="20">
        <f>IF(I13&gt;0, J13/I13, 0)</f>
        <v/>
      </c>
      <c r="L13" s="20">
        <f>IF(H13&gt;0, J13/H13, 0)</f>
        <v/>
      </c>
      <c r="M13" s="12" t="inlineStr">
        <is>
          <t>ÓPTIMO / OPERATIVO</t>
        </is>
      </c>
    </row>
    <row r="14" ht="19.5" customHeight="1" s="46">
      <c r="A14" s="12" t="n">
        <v>6</v>
      </c>
      <c r="B14" s="12" t="inlineStr">
        <is>
          <t>NM-09</t>
        </is>
      </c>
      <c r="C14" s="13" t="inlineStr">
        <is>
          <t>COMPACTADOR NEUMÁTICO HAMM 208</t>
        </is>
      </c>
      <c r="D14" s="12" t="inlineStr">
        <is>
          <t>HM-208-114</t>
        </is>
      </c>
      <c r="E14" s="13" t="inlineStr">
        <is>
          <t>NOLVIN DE JESUS PEREZ GOMEZ</t>
        </is>
      </c>
      <c r="F14" s="13" t="inlineStr">
        <is>
          <t>Compactación Neumática / Acabado</t>
        </is>
      </c>
      <c r="G14" s="14" t="n">
        <v>638</v>
      </c>
      <c r="H14" s="37" t="n">
        <v>8968</v>
      </c>
      <c r="I14" s="16" t="n">
        <v>15622.256</v>
      </c>
      <c r="J14" s="37">
        <f>'Semana 24'!I14+'Semana 25'!I14+'Semana 26'!I14+'Semana 27'!I14+'Semana 28'!I14+'Semana 29'!I14+'Semana 30'!I14+'Semana 31'!I14+'Semana 32'!I14+'Semana 33'!I14+'Semana 34'!I14+'Semana 35'!I14+'Semana 36'!I14+'Semana 37'!I14</f>
        <v/>
      </c>
      <c r="K14" s="20">
        <f>IF(I14&gt;0, J14/I14, 0)</f>
        <v/>
      </c>
      <c r="L14" s="20">
        <f>IF(H14&gt;0, J14/H14, 0)</f>
        <v/>
      </c>
      <c r="M14" s="12" t="inlineStr">
        <is>
          <t>ÓPTIMO / OPERATIVO</t>
        </is>
      </c>
    </row>
    <row r="15" ht="19.5" customHeight="1" s="46">
      <c r="A15" s="12" t="n">
        <v>7</v>
      </c>
      <c r="B15" s="12" t="inlineStr">
        <is>
          <t>BR-01</t>
        </is>
      </c>
      <c r="C15" s="13" t="inlineStr">
        <is>
          <t>BARREDORA INDUSTRIAL BROCE BROOM-350</t>
        </is>
      </c>
      <c r="D15" s="12" t="inlineStr">
        <is>
          <t>51300000-4794</t>
        </is>
      </c>
      <c r="E15" s="13" t="inlineStr">
        <is>
          <t>EDGAR ROSALES MARTINEZ</t>
        </is>
      </c>
      <c r="F15" s="13" t="inlineStr">
        <is>
          <t>Limpieza y Barrido Previo</t>
        </is>
      </c>
      <c r="G15" s="14" t="n">
        <v>638</v>
      </c>
      <c r="H15" s="37" t="n">
        <v>8968</v>
      </c>
      <c r="I15" s="16" t="n">
        <v>15622.256</v>
      </c>
      <c r="J15" s="37">
        <f>'Semana 24'!I15+'Semana 25'!I15+'Semana 26'!I15+'Semana 27'!I15+'Semana 28'!I15+'Semana 29'!I15+'Semana 30'!I15+'Semana 31'!I15+'Semana 32'!I15+'Semana 33'!I15+'Semana 34'!I15+'Semana 35'!I15+'Semana 36'!I15+'Semana 37'!I15</f>
        <v/>
      </c>
      <c r="K15" s="20">
        <f>IF(I15&gt;0, J15/I15, 0)</f>
        <v/>
      </c>
      <c r="L15" s="20">
        <f>IF(H15&gt;0, J15/H15, 0)</f>
        <v/>
      </c>
      <c r="M15" s="12" t="inlineStr">
        <is>
          <t>ÓPTIMO / OPERATIVO</t>
        </is>
      </c>
    </row>
    <row r="16" ht="19.5" customHeight="1" s="46">
      <c r="A16" s="12" t="n">
        <v>8</v>
      </c>
      <c r="B16" s="12" t="inlineStr">
        <is>
          <t>RT-05</t>
        </is>
      </c>
      <c r="C16" s="13" t="inlineStr">
        <is>
          <t>RETROEXCAVADORA JOHN DEERE 310SK</t>
        </is>
      </c>
      <c r="D16" s="12" t="inlineStr">
        <is>
          <t>1T0310SKAEE262172</t>
        </is>
      </c>
      <c r="E16" s="13" t="inlineStr">
        <is>
          <t>ADOLFO NAVA LOPEZ</t>
        </is>
      </c>
      <c r="F16" s="13" t="inlineStr">
        <is>
          <t>Carga Fresado y Derrumbes</t>
        </is>
      </c>
      <c r="G16" s="14" t="n">
        <v>1138</v>
      </c>
      <c r="H16" s="37" t="n">
        <v>15603</v>
      </c>
      <c r="I16" s="16" t="n">
        <v>27180.426</v>
      </c>
      <c r="J16" s="37">
        <f>'Semana 24'!I16+'Semana 25'!I16+'Semana 26'!I16+'Semana 27'!I16+'Semana 28'!I16+'Semana 29'!I16+'Semana 30'!I16+'Semana 31'!I16+'Semana 32'!I16+'Semana 33'!I16+'Semana 34'!I16+'Semana 35'!I16+'Semana 36'!I16+'Semana 37'!I16</f>
        <v/>
      </c>
      <c r="K16" s="20">
        <f>IF(I16&gt;0, J16/I16, 0)</f>
        <v/>
      </c>
      <c r="L16" s="20">
        <f>IF(H16&gt;0, J16/H16, 0)</f>
        <v/>
      </c>
      <c r="M16" s="12" t="inlineStr">
        <is>
          <t>ÓPTIMO / OPERATIVO</t>
        </is>
      </c>
    </row>
    <row r="17" ht="19.5" customHeight="1" s="46">
      <c r="A17" s="12" t="n">
        <v>9</v>
      </c>
      <c r="B17" s="12" t="inlineStr">
        <is>
          <t>PT-01</t>
        </is>
      </c>
      <c r="C17" s="13" t="inlineStr">
        <is>
          <t>PETROLIZADORA INTERNATIONAL / FORD F800</t>
        </is>
      </c>
      <c r="D17" s="12" t="inlineStr">
        <is>
          <t>3HTMMAAR830567</t>
        </is>
      </c>
      <c r="E17" s="13" t="inlineStr">
        <is>
          <t>ELTHON EDUARDO MARTINEZ GOMORA</t>
        </is>
      </c>
      <c r="F17" s="13" t="inlineStr">
        <is>
          <t>Riego de Liga / Emulsión</t>
        </is>
      </c>
      <c r="G17" s="14" t="n">
        <v>638</v>
      </c>
      <c r="H17" s="37" t="n">
        <v>8968</v>
      </c>
      <c r="I17" s="16" t="n">
        <v>15622.256</v>
      </c>
      <c r="J17" s="37">
        <f>'Semana 24'!I17+'Semana 25'!I17+'Semana 26'!I17+'Semana 27'!I17+'Semana 28'!I17+'Semana 29'!I17+'Semana 30'!I17+'Semana 31'!I17+'Semana 32'!I17+'Semana 33'!I17+'Semana 34'!I17+'Semana 35'!I17+'Semana 36'!I17+'Semana 37'!I17</f>
        <v/>
      </c>
      <c r="K17" s="20">
        <f>IF(I17&gt;0, J17/I17, 0)</f>
        <v/>
      </c>
      <c r="L17" s="20">
        <f>IF(H17&gt;0, J17/H17, 0)</f>
        <v/>
      </c>
      <c r="M17" s="12" t="inlineStr">
        <is>
          <t>ÓPTIMO / OPERATIVO</t>
        </is>
      </c>
    </row>
    <row r="18" ht="19.5" customHeight="1" s="46">
      <c r="A18" s="12" t="n">
        <v>10</v>
      </c>
      <c r="B18" s="12" t="inlineStr">
        <is>
          <t>CPR-01</t>
        </is>
      </c>
      <c r="C18" s="13" t="inlineStr">
        <is>
          <t>COMPRESOR DE AIRE INGERSOLL RAND IR185</t>
        </is>
      </c>
      <c r="D18" s="12" t="inlineStr">
        <is>
          <t>PHD25B330551</t>
        </is>
      </c>
      <c r="E18" s="13" t="inlineStr">
        <is>
          <t>CUADRILLA DE LIMPIEZA</t>
        </is>
      </c>
      <c r="F18" s="13" t="inlineStr">
        <is>
          <t>Sopleteado de Juntas</t>
        </is>
      </c>
      <c r="G18" s="14" t="n">
        <v>0</v>
      </c>
      <c r="H18" s="37" t="n">
        <v>0</v>
      </c>
      <c r="I18" s="16" t="n">
        <v>0</v>
      </c>
      <c r="J18" s="37">
        <f>'Semana 24'!I18+'Semana 25'!I18+'Semana 26'!I18+'Semana 27'!I18+'Semana 28'!I18+'Semana 29'!I18+'Semana 30'!I18+'Semana 31'!I18+'Semana 32'!I18+'Semana 33'!I18+'Semana 34'!I18+'Semana 35'!I18+'Semana 36'!I18+'Semana 37'!I18</f>
        <v/>
      </c>
      <c r="K18" s="20" t="n">
        <v>0</v>
      </c>
      <c r="L18" s="20" t="n">
        <v>0</v>
      </c>
      <c r="M18" s="12" t="inlineStr">
        <is>
          <t>SIN REGISTRO</t>
        </is>
      </c>
    </row>
    <row r="19" ht="19.5" customHeight="1" s="46">
      <c r="A19" s="12" t="n">
        <v>11</v>
      </c>
      <c r="B19" s="12" t="inlineStr">
        <is>
          <t>PP-01</t>
        </is>
      </c>
      <c r="C19" s="13" t="inlineStr">
        <is>
          <t>CAMIÓN IMPACTO / PIPA DE AGUA FORD</t>
        </is>
      </c>
      <c r="D19" s="12" t="inlineStr">
        <is>
          <t>1FDYR80U0GVA15942</t>
        </is>
      </c>
      <c r="E19" s="13" t="inlineStr">
        <is>
          <t>CUADRILLA DE AGUA</t>
        </is>
      </c>
      <c r="F19" s="13" t="inlineStr">
        <is>
          <t>Enfriamiento Rodillos / Riego</t>
        </is>
      </c>
      <c r="G19" s="14" t="n">
        <v>0</v>
      </c>
      <c r="H19" s="37" t="n">
        <v>0</v>
      </c>
      <c r="I19" s="16" t="n">
        <v>0</v>
      </c>
      <c r="J19" s="37">
        <f>'Semana 24'!I19+'Semana 25'!I19+'Semana 26'!I19+'Semana 27'!I19+'Semana 28'!I19+'Semana 29'!I19+'Semana 30'!I19+'Semana 31'!I19+'Semana 32'!I19+'Semana 33'!I19+'Semana 34'!I19+'Semana 35'!I19+'Semana 36'!I19+'Semana 37'!I19</f>
        <v/>
      </c>
      <c r="K19" s="20" t="n">
        <v>0</v>
      </c>
      <c r="L19" s="20" t="n">
        <v>0</v>
      </c>
      <c r="M19" s="12" t="inlineStr">
        <is>
          <t>ÓPTIMO / OPERATIVO</t>
        </is>
      </c>
    </row>
    <row r="20" ht="19.5" customHeight="1" s="46">
      <c r="A20" s="12" t="n">
        <v>12</v>
      </c>
      <c r="B20" s="12" t="inlineStr">
        <is>
          <t>TL-01</t>
        </is>
      </c>
      <c r="C20" s="13" t="inlineStr">
        <is>
          <t>TORRE DE LUZ MAXILIGHT 4X1000W</t>
        </is>
      </c>
      <c r="D20" s="12" t="inlineStr">
        <is>
          <t>MX-4000-22</t>
        </is>
      </c>
      <c r="E20" s="13" t="inlineStr">
        <is>
          <t>CUADRILLA NOCTURNA</t>
        </is>
      </c>
      <c r="F20" s="13" t="inlineStr">
        <is>
          <t>Iluminación Nocturna</t>
        </is>
      </c>
      <c r="G20" s="14" t="n">
        <v>0</v>
      </c>
      <c r="H20" s="37" t="n">
        <v>0</v>
      </c>
      <c r="I20" s="16" t="n">
        <v>0</v>
      </c>
      <c r="J20" s="37">
        <f>'Semana 24'!I20+'Semana 25'!I20+'Semana 26'!I20+'Semana 27'!I20+'Semana 28'!I20+'Semana 29'!I20+'Semana 30'!I20+'Semana 31'!I20+'Semana 32'!I20+'Semana 33'!I20+'Semana 34'!I20+'Semana 35'!I20+'Semana 36'!I20+'Semana 37'!I20</f>
        <v/>
      </c>
      <c r="K20" s="20" t="n">
        <v>0</v>
      </c>
      <c r="L20" s="20" t="n">
        <v>0</v>
      </c>
      <c r="M20" s="12" t="inlineStr">
        <is>
          <t>ÓPTIMO / OPERATIVO</t>
        </is>
      </c>
    </row>
    <row r="21" ht="19.5" customHeight="1" s="46">
      <c r="A21" s="12" t="n">
        <v>13</v>
      </c>
      <c r="B21" s="12" t="inlineStr">
        <is>
          <t>APOYO</t>
        </is>
      </c>
      <c r="C21" s="13" t="inlineStr">
        <is>
          <t>EQUIPOS DE APOYO / BIDONES / AJUSTES</t>
        </is>
      </c>
      <c r="D21" s="12" t="inlineStr">
        <is>
          <t>S/N</t>
        </is>
      </c>
      <c r="E21" s="13" t="inlineStr">
        <is>
          <t>Personal de Apoyo Obra</t>
        </is>
      </c>
      <c r="F21" s="13" t="inlineStr">
        <is>
          <t>Excavadora 320, Motoconformadora, Bidones</t>
        </is>
      </c>
      <c r="G21" s="14" t="n">
        <v>0</v>
      </c>
      <c r="H21" s="37" t="n">
        <v>0</v>
      </c>
      <c r="I21" s="16" t="n">
        <v>0</v>
      </c>
      <c r="J21" s="37" t="n">
        <v>4677.66</v>
      </c>
      <c r="K21" s="20" t="n">
        <v>0</v>
      </c>
      <c r="L21" s="20" t="n">
        <v>0</v>
      </c>
      <c r="M21" s="12" t="inlineStr">
        <is>
          <t>APOYOS PUNTUALES</t>
        </is>
      </c>
    </row>
    <row r="22" ht="21.75" customHeight="1" s="46">
      <c r="A22" s="30" t="inlineStr">
        <is>
          <t>TOTAL CONSOLIDADO OBRA MÉXICO-TOLUCA (SEM 24 A 34)</t>
        </is>
      </c>
      <c r="B22" s="50" t="n"/>
      <c r="C22" s="50" t="n"/>
      <c r="D22" s="50" t="n"/>
      <c r="E22" s="50" t="n"/>
      <c r="F22" s="51" t="n"/>
      <c r="G22" s="26">
        <f>1138+638</f>
        <v/>
      </c>
      <c r="H22" s="27">
        <f>15603+8968</f>
        <v/>
      </c>
      <c r="I22" s="28">
        <f>27180.426+15622.256</f>
        <v/>
      </c>
      <c r="J22" s="27">
        <f>SUM(J9:J21)</f>
        <v/>
      </c>
      <c r="K22" s="29">
        <f>IF(I22&gt;0, J22/I22, 0)</f>
        <v/>
      </c>
      <c r="L22" s="29">
        <f>IF(H22&gt;0, J22/H22, 0)</f>
        <v/>
      </c>
      <c r="M22" s="30" t="inlineStr">
        <is>
          <t>CIERRE GENERAL</t>
        </is>
      </c>
    </row>
    <row r="23" ht="15.75" customHeight="1" s="46"/>
    <row r="24" ht="15.75" customHeight="1" s="46"/>
    <row r="25" ht="15.75" customHeight="1" s="46"/>
    <row r="26" ht="15.75" customHeight="1" s="46"/>
    <row r="27" ht="15.75" customHeight="1" s="46"/>
    <row r="28" ht="15.75" customHeight="1" s="46"/>
    <row r="29" ht="15.75" customHeight="1" s="46"/>
    <row r="30" ht="15.75" customHeight="1" s="46"/>
    <row r="31" ht="15.75" customHeight="1" s="46"/>
    <row r="32" ht="15.75" customHeight="1" s="46"/>
    <row r="33" ht="15.75" customHeight="1" s="46"/>
    <row r="34" ht="15.75" customHeight="1" s="46"/>
    <row r="35" ht="15.75" customHeight="1" s="46"/>
    <row r="36" ht="15.75" customHeight="1" s="46"/>
    <row r="37" ht="15.75" customHeight="1" s="46"/>
    <row r="38" ht="15.75" customHeight="1" s="46"/>
    <row r="39" ht="15.75" customHeight="1" s="46"/>
    <row r="40" ht="15.75" customHeight="1" s="46"/>
    <row r="41" ht="15.75" customHeight="1" s="46"/>
    <row r="42" ht="15.75" customHeight="1" s="46"/>
    <row r="43" ht="15.75" customHeight="1" s="46"/>
    <row r="44" ht="15.75" customHeight="1" s="46"/>
    <row r="45" ht="15.75" customHeight="1" s="46"/>
    <row r="46" ht="15.75" customHeight="1" s="46"/>
    <row r="47" ht="15.75" customHeight="1" s="46"/>
    <row r="48" ht="15.75" customHeight="1" s="46"/>
    <row r="49" ht="15.75" customHeight="1" s="46"/>
    <row r="50" ht="15.75" customHeight="1" s="46"/>
    <row r="51" ht="15.75" customHeight="1" s="46"/>
    <row r="52" ht="15.75" customHeight="1" s="46"/>
    <row r="53" ht="15.75" customHeight="1" s="46"/>
    <row r="54" ht="15.75" customHeight="1" s="46"/>
    <row r="55" ht="15.75" customHeight="1" s="46"/>
    <row r="56" ht="15.75" customHeight="1" s="46"/>
    <row r="57" ht="15.75" customHeight="1" s="46"/>
    <row r="58" ht="15.75" customHeight="1" s="46"/>
    <row r="59" ht="15.75" customHeight="1" s="46"/>
    <row r="60" ht="15.75" customHeight="1" s="46"/>
    <row r="61" ht="15.75" customHeight="1" s="46"/>
    <row r="62" ht="15.75" customHeight="1" s="46"/>
    <row r="63" ht="15.75" customHeight="1" s="46"/>
    <row r="64" ht="15.75" customHeight="1" s="46"/>
    <row r="65" ht="15.75" customHeight="1" s="46"/>
    <row r="66" ht="15.75" customHeight="1" s="46"/>
    <row r="67" ht="15.75" customHeight="1" s="46"/>
    <row r="68" ht="15.75" customHeight="1" s="46"/>
    <row r="69" ht="15.75" customHeight="1" s="46"/>
    <row r="70" ht="15.75" customHeight="1" s="46"/>
    <row r="71" ht="15.75" customHeight="1" s="46"/>
    <row r="72" ht="15.75" customHeight="1" s="46"/>
    <row r="73" ht="15.75" customHeight="1" s="46"/>
    <row r="74" ht="15.75" customHeight="1" s="46"/>
    <row r="75" ht="15.75" customHeight="1" s="46"/>
    <row r="76" ht="15.75" customHeight="1" s="46"/>
    <row r="77" ht="15.75" customHeight="1" s="46"/>
    <row r="78" ht="15.75" customHeight="1" s="46"/>
    <row r="79" ht="15.75" customHeight="1" s="46"/>
    <row r="80" ht="15.75" customHeight="1" s="46"/>
    <row r="81" ht="15.75" customHeight="1" s="46"/>
    <row r="82" ht="15.75" customHeight="1" s="46"/>
    <row r="83" ht="15.75" customHeight="1" s="46"/>
    <row r="84" ht="15.75" customHeight="1" s="46"/>
    <row r="85" ht="15.75" customHeight="1" s="46"/>
    <row r="86" ht="15.75" customHeight="1" s="46"/>
    <row r="87" ht="15.75" customHeight="1" s="46"/>
    <row r="88" ht="15.75" customHeight="1" s="46"/>
    <row r="89" ht="15.75" customHeight="1" s="46"/>
    <row r="90" ht="15.75" customHeight="1" s="46"/>
    <row r="91" ht="15.75" customHeight="1" s="46"/>
    <row r="92" ht="15.75" customHeight="1" s="46"/>
    <row r="93" ht="15.75" customHeight="1" s="46"/>
    <row r="94" ht="15.75" customHeight="1" s="46"/>
    <row r="95" ht="15.75" customHeight="1" s="46"/>
    <row r="96" ht="15.75" customHeight="1" s="46"/>
    <row r="97" ht="15.75" customHeight="1" s="46"/>
    <row r="98" ht="15.75" customHeight="1" s="46"/>
    <row r="99" ht="15.75" customHeight="1" s="46"/>
    <row r="100" ht="15.75" customHeight="1" s="46"/>
    <row r="101" ht="15.75" customHeight="1" s="46"/>
    <row r="102" ht="15.75" customHeight="1" s="46"/>
    <row r="103" ht="15.75" customHeight="1" s="46"/>
    <row r="104" ht="15.75" customHeight="1" s="46"/>
    <row r="105" ht="15.75" customHeight="1" s="46"/>
    <row r="106" ht="15.75" customHeight="1" s="46"/>
    <row r="107" ht="15.75" customHeight="1" s="46"/>
    <row r="108" ht="15.75" customHeight="1" s="46"/>
    <row r="109" ht="15.75" customHeight="1" s="46"/>
    <row r="110" ht="15.75" customHeight="1" s="46"/>
    <row r="111" ht="15.75" customHeight="1" s="46"/>
    <row r="112" ht="15.75" customHeight="1" s="46"/>
    <row r="113" ht="15.75" customHeight="1" s="46"/>
    <row r="114" ht="15.75" customHeight="1" s="46"/>
    <row r="115" ht="15.75" customHeight="1" s="46"/>
    <row r="116" ht="15.75" customHeight="1" s="46"/>
    <row r="117" ht="15.75" customHeight="1" s="46"/>
    <row r="118" ht="15.75" customHeight="1" s="46"/>
    <row r="119" ht="15.75" customHeight="1" s="46"/>
    <row r="120" ht="15.75" customHeight="1" s="46"/>
    <row r="121" ht="15.75" customHeight="1" s="46"/>
    <row r="122" ht="15.75" customHeight="1" s="46"/>
    <row r="123" ht="15.75" customHeight="1" s="46"/>
    <row r="124" ht="15.75" customHeight="1" s="46"/>
    <row r="125" ht="15.75" customHeight="1" s="46"/>
    <row r="126" ht="15.75" customHeight="1" s="46"/>
    <row r="127" ht="15.75" customHeight="1" s="46"/>
    <row r="128" ht="15.75" customHeight="1" s="46"/>
    <row r="129" ht="15.75" customHeight="1" s="46"/>
    <row r="130" ht="15.75" customHeight="1" s="46"/>
    <row r="131" ht="15.75" customHeight="1" s="46"/>
    <row r="132" ht="15.75" customHeight="1" s="46"/>
    <row r="133" ht="15.75" customHeight="1" s="46"/>
    <row r="134" ht="15.75" customHeight="1" s="46"/>
    <row r="135" ht="15.75" customHeight="1" s="46"/>
    <row r="136" ht="15.75" customHeight="1" s="46"/>
    <row r="137" ht="15.75" customHeight="1" s="46"/>
    <row r="138" ht="15.75" customHeight="1" s="46"/>
    <row r="139" ht="15.75" customHeight="1" s="46"/>
    <row r="140" ht="15.75" customHeight="1" s="46"/>
    <row r="141" ht="15.75" customHeight="1" s="46"/>
    <row r="142" ht="15.75" customHeight="1" s="46"/>
    <row r="143" ht="15.75" customHeight="1" s="46"/>
    <row r="144" ht="15.75" customHeight="1" s="46"/>
    <row r="145" ht="15.75" customHeight="1" s="46"/>
    <row r="146" ht="15.75" customHeight="1" s="46"/>
    <row r="147" ht="15.75" customHeight="1" s="46"/>
    <row r="148" ht="15.75" customHeight="1" s="46"/>
    <row r="149" ht="15.75" customHeight="1" s="46"/>
    <row r="150" ht="15.75" customHeight="1" s="46"/>
    <row r="151" ht="15.75" customHeight="1" s="46"/>
    <row r="152" ht="15.75" customHeight="1" s="46"/>
    <row r="153" ht="15.75" customHeight="1" s="46"/>
    <row r="154" ht="15.75" customHeight="1" s="46"/>
    <row r="155" ht="15.75" customHeight="1" s="46"/>
    <row r="156" ht="15.75" customHeight="1" s="46"/>
    <row r="157" ht="15.75" customHeight="1" s="46"/>
    <row r="158" ht="15.75" customHeight="1" s="46"/>
    <row r="159" ht="15.75" customHeight="1" s="46"/>
    <row r="160" ht="15.75" customHeight="1" s="46"/>
    <row r="161" ht="15.75" customHeight="1" s="46"/>
    <row r="162" ht="15.75" customHeight="1" s="46"/>
    <row r="163" ht="15.75" customHeight="1" s="46"/>
    <row r="164" ht="15.75" customHeight="1" s="46"/>
    <row r="165" ht="15.75" customHeight="1" s="46"/>
    <row r="166" ht="15.75" customHeight="1" s="46"/>
    <row r="167" ht="15.75" customHeight="1" s="46"/>
    <row r="168" ht="15.75" customHeight="1" s="46"/>
    <row r="169" ht="15.75" customHeight="1" s="46"/>
    <row r="170" ht="15.75" customHeight="1" s="46"/>
    <row r="171" ht="15.75" customHeight="1" s="46"/>
    <row r="172" ht="15.75" customHeight="1" s="46"/>
    <row r="173" ht="15.75" customHeight="1" s="46"/>
    <row r="174" ht="15.75" customHeight="1" s="46"/>
    <row r="175" ht="15.75" customHeight="1" s="46"/>
    <row r="176" ht="15.75" customHeight="1" s="46"/>
    <row r="177" ht="15.75" customHeight="1" s="46"/>
    <row r="178" ht="15.75" customHeight="1" s="46"/>
    <row r="179" ht="15.75" customHeight="1" s="46"/>
    <row r="180" ht="15.75" customHeight="1" s="46"/>
    <row r="181" ht="15.75" customHeight="1" s="46"/>
    <row r="182" ht="15.75" customHeight="1" s="46"/>
    <row r="183" ht="15.75" customHeight="1" s="46"/>
    <row r="184" ht="15.75" customHeight="1" s="46"/>
    <row r="185" ht="15.75" customHeight="1" s="46"/>
    <row r="186" ht="15.75" customHeight="1" s="46"/>
    <row r="187" ht="15.75" customHeight="1" s="46"/>
    <row r="188" ht="15.75" customHeight="1" s="46"/>
    <row r="189" ht="15.75" customHeight="1" s="46"/>
    <row r="190" ht="15.75" customHeight="1" s="46"/>
    <row r="191" ht="15.75" customHeight="1" s="46"/>
    <row r="192" ht="15.75" customHeight="1" s="46"/>
    <row r="193" ht="15.75" customHeight="1" s="46"/>
    <row r="194" ht="15.75" customHeight="1" s="46"/>
    <row r="195" ht="15.75" customHeight="1" s="46"/>
    <row r="196" ht="15.75" customHeight="1" s="46"/>
    <row r="197" ht="15.75" customHeight="1" s="46"/>
    <row r="198" ht="15.75" customHeight="1" s="46"/>
    <row r="199" ht="15.75" customHeight="1" s="46"/>
    <row r="200" ht="15.75" customHeight="1" s="46"/>
    <row r="201" ht="15.75" customHeight="1" s="46"/>
    <row r="202" ht="15.75" customHeight="1" s="46"/>
    <row r="203" ht="15.75" customHeight="1" s="46"/>
    <row r="204" ht="15.75" customHeight="1" s="46"/>
    <row r="205" ht="15.75" customHeight="1" s="46"/>
    <row r="206" ht="15.75" customHeight="1" s="46"/>
    <row r="207" ht="15.75" customHeight="1" s="46"/>
    <row r="208" ht="15.75" customHeight="1" s="46"/>
    <row r="209" ht="15.75" customHeight="1" s="46"/>
    <row r="210" ht="15.75" customHeight="1" s="46"/>
    <row r="211" ht="15.75" customHeight="1" s="46"/>
    <row r="212" ht="15.75" customHeight="1" s="46"/>
    <row r="213" ht="15.75" customHeight="1" s="46"/>
    <row r="214" ht="15.75" customHeight="1" s="46"/>
    <row r="215" ht="15.75" customHeight="1" s="46"/>
    <row r="216" ht="15.75" customHeight="1" s="46"/>
    <row r="217" ht="15.75" customHeight="1" s="46"/>
    <row r="218" ht="15.75" customHeight="1" s="46"/>
    <row r="219" ht="15.75" customHeight="1" s="46"/>
    <row r="220" ht="15.75" customHeight="1" s="46"/>
    <row r="221" ht="15.75" customHeight="1" s="46"/>
    <row r="222" ht="15.75" customHeight="1" s="46"/>
    <row r="223" ht="15.75" customHeight="1" s="46"/>
    <row r="224" ht="15.75" customHeight="1" s="46"/>
    <row r="225" ht="15.75" customHeight="1" s="46"/>
    <row r="226" ht="15.75" customHeight="1" s="46"/>
    <row r="227" ht="15.75" customHeight="1" s="46"/>
    <row r="228" ht="15.75" customHeight="1" s="46"/>
    <row r="229" ht="15.75" customHeight="1" s="46"/>
    <row r="230" ht="15.75" customHeight="1" s="46"/>
    <row r="231" ht="15.75" customHeight="1" s="46"/>
    <row r="232" ht="15.75" customHeight="1" s="46"/>
    <row r="233" ht="15.75" customHeight="1" s="46"/>
    <row r="234" ht="15.75" customHeight="1" s="46"/>
    <row r="235" ht="15.75" customHeight="1" s="46"/>
    <row r="236" ht="15.75" customHeight="1" s="46"/>
    <row r="237" ht="15.75" customHeight="1" s="46"/>
    <row r="238" ht="15.75" customHeight="1" s="46"/>
    <row r="239" ht="15.75" customHeight="1" s="46"/>
    <row r="240" ht="15.75" customHeight="1" s="46"/>
    <row r="241" ht="15.75" customHeight="1" s="46"/>
    <row r="242" ht="15.75" customHeight="1" s="46"/>
    <row r="243" ht="15.75" customHeight="1" s="46"/>
    <row r="244" ht="15.75" customHeight="1" s="46"/>
    <row r="245" ht="15.75" customHeight="1" s="46"/>
    <row r="246" ht="15.75" customHeight="1" s="46"/>
    <row r="247" ht="15.75" customHeight="1" s="46"/>
    <row r="248" ht="15.75" customHeight="1" s="46"/>
    <row r="249" ht="15.75" customHeight="1" s="46"/>
    <row r="250" ht="15.75" customHeight="1" s="46"/>
    <row r="251" ht="15.75" customHeight="1" s="46"/>
    <row r="252" ht="15.75" customHeight="1" s="46"/>
    <row r="253" ht="15.75" customHeight="1" s="46"/>
    <row r="254" ht="15.75" customHeight="1" s="46"/>
    <row r="255" ht="15.75" customHeight="1" s="46"/>
    <row r="256" ht="15.75" customHeight="1" s="46"/>
    <row r="257" ht="15.75" customHeight="1" s="46"/>
    <row r="258" ht="15.75" customHeight="1" s="46"/>
    <row r="259" ht="15.75" customHeight="1" s="46"/>
    <row r="260" ht="15.75" customHeight="1" s="46"/>
    <row r="261" ht="15.75" customHeight="1" s="46"/>
    <row r="262" ht="15.75" customHeight="1" s="46"/>
    <row r="263" ht="15.75" customHeight="1" s="46"/>
    <row r="264" ht="15.75" customHeight="1" s="46"/>
    <row r="265" ht="15.75" customHeight="1" s="46"/>
    <row r="266" ht="15.75" customHeight="1" s="46"/>
    <row r="267" ht="15.75" customHeight="1" s="46"/>
    <row r="268" ht="15.75" customHeight="1" s="46"/>
    <row r="269" ht="15.75" customHeight="1" s="46"/>
    <row r="270" ht="15.75" customHeight="1" s="46"/>
    <row r="271" ht="15.75" customHeight="1" s="46"/>
    <row r="272" ht="15.75" customHeight="1" s="46"/>
    <row r="273" ht="15.75" customHeight="1" s="46"/>
    <row r="274" ht="15.75" customHeight="1" s="46"/>
    <row r="275" ht="15.75" customHeight="1" s="46"/>
    <row r="276" ht="15.75" customHeight="1" s="46"/>
    <row r="277" ht="15.75" customHeight="1" s="46"/>
    <row r="278" ht="15.75" customHeight="1" s="46"/>
    <row r="279" ht="15.75" customHeight="1" s="46"/>
    <row r="280" ht="15.75" customHeight="1" s="46"/>
    <row r="281" ht="15.75" customHeight="1" s="46"/>
    <row r="282" ht="15.75" customHeight="1" s="46"/>
    <row r="283" ht="15.75" customHeight="1" s="46"/>
    <row r="284" ht="15.75" customHeight="1" s="46"/>
    <row r="285" ht="15.75" customHeight="1" s="46"/>
    <row r="286" ht="15.75" customHeight="1" s="46"/>
    <row r="287" ht="15.75" customHeight="1" s="46"/>
    <row r="288" ht="15.75" customHeight="1" s="46"/>
    <row r="289" ht="15.75" customHeight="1" s="46"/>
    <row r="290" ht="15.75" customHeight="1" s="46"/>
    <row r="291" ht="15.75" customHeight="1" s="46"/>
    <row r="292" ht="15.75" customHeight="1" s="46"/>
    <row r="293" ht="15.75" customHeight="1" s="46"/>
    <row r="294" ht="15.75" customHeight="1" s="46"/>
    <row r="295" ht="15.75" customHeight="1" s="46"/>
    <row r="296" ht="15.75" customHeight="1" s="46"/>
    <row r="297" ht="15.75" customHeight="1" s="46"/>
    <row r="298" ht="15.75" customHeight="1" s="46"/>
    <row r="299" ht="15.75" customHeight="1" s="46"/>
    <row r="300" ht="15.75" customHeight="1" s="46"/>
    <row r="301" ht="15.75" customHeight="1" s="46"/>
    <row r="302" ht="15.75" customHeight="1" s="46"/>
    <row r="303" ht="15.75" customHeight="1" s="46"/>
    <row r="304" ht="15.75" customHeight="1" s="46"/>
    <row r="305" ht="15.75" customHeight="1" s="46"/>
    <row r="306" ht="15.75" customHeight="1" s="46"/>
    <row r="307" ht="15.75" customHeight="1" s="46"/>
    <row r="308" ht="15.75" customHeight="1" s="46"/>
    <row r="309" ht="15.75" customHeight="1" s="46"/>
    <row r="310" ht="15.75" customHeight="1" s="46"/>
    <row r="311" ht="15.75" customHeight="1" s="46"/>
    <row r="312" ht="15.75" customHeight="1" s="46"/>
    <row r="313" ht="15.75" customHeight="1" s="46"/>
    <row r="314" ht="15.75" customHeight="1" s="46"/>
    <row r="315" ht="15.75" customHeight="1" s="46"/>
    <row r="316" ht="15.75" customHeight="1" s="46"/>
    <row r="317" ht="15.75" customHeight="1" s="46"/>
    <row r="318" ht="15.75" customHeight="1" s="46"/>
    <row r="319" ht="15.75" customHeight="1" s="46"/>
    <row r="320" ht="15.75" customHeight="1" s="46"/>
    <row r="321" ht="15.75" customHeight="1" s="46"/>
    <row r="322" ht="15.75" customHeight="1" s="46"/>
    <row r="323" ht="15.75" customHeight="1" s="46"/>
    <row r="324" ht="15.75" customHeight="1" s="46"/>
    <row r="325" ht="15.75" customHeight="1" s="46"/>
    <row r="326" ht="15.75" customHeight="1" s="46"/>
    <row r="327" ht="15.75" customHeight="1" s="46"/>
    <row r="328" ht="15.75" customHeight="1" s="46"/>
    <row r="329" ht="15.75" customHeight="1" s="46"/>
    <row r="330" ht="15.75" customHeight="1" s="46"/>
    <row r="331" ht="15.75" customHeight="1" s="46"/>
    <row r="332" ht="15.75" customHeight="1" s="46"/>
    <row r="333" ht="15.75" customHeight="1" s="46"/>
    <row r="334" ht="15.75" customHeight="1" s="46"/>
    <row r="335" ht="15.75" customHeight="1" s="46"/>
    <row r="336" ht="15.75" customHeight="1" s="46"/>
    <row r="337" ht="15.75" customHeight="1" s="46"/>
    <row r="338" ht="15.75" customHeight="1" s="46"/>
    <row r="339" ht="15.75" customHeight="1" s="46"/>
    <row r="340" ht="15.75" customHeight="1" s="46"/>
    <row r="341" ht="15.75" customHeight="1" s="46"/>
    <row r="342" ht="15.75" customHeight="1" s="46"/>
    <row r="343" ht="15.75" customHeight="1" s="46"/>
    <row r="344" ht="15.75" customHeight="1" s="46"/>
    <row r="345" ht="15.75" customHeight="1" s="46"/>
    <row r="346" ht="15.75" customHeight="1" s="46"/>
    <row r="347" ht="15.75" customHeight="1" s="46"/>
    <row r="348" ht="15.75" customHeight="1" s="46"/>
    <row r="349" ht="15.75" customHeight="1" s="46"/>
    <row r="350" ht="15.75" customHeight="1" s="46"/>
    <row r="351" ht="15.75" customHeight="1" s="46"/>
    <row r="352" ht="15.75" customHeight="1" s="46"/>
    <row r="353" ht="15.75" customHeight="1" s="46"/>
    <row r="354" ht="15.75" customHeight="1" s="46"/>
    <row r="355" ht="15.75" customHeight="1" s="46"/>
    <row r="356" ht="15.75" customHeight="1" s="46"/>
    <row r="357" ht="15.75" customHeight="1" s="46"/>
    <row r="358" ht="15.75" customHeight="1" s="46"/>
    <row r="359" ht="15.75" customHeight="1" s="46"/>
    <row r="360" ht="15.75" customHeight="1" s="46"/>
    <row r="361" ht="15.75" customHeight="1" s="46"/>
    <row r="362" ht="15.75" customHeight="1" s="46"/>
    <row r="363" ht="15.75" customHeight="1" s="46"/>
    <row r="364" ht="15.75" customHeight="1" s="46"/>
    <row r="365" ht="15.75" customHeight="1" s="46"/>
    <row r="366" ht="15.75" customHeight="1" s="46"/>
    <row r="367" ht="15.75" customHeight="1" s="46"/>
    <row r="368" ht="15.75" customHeight="1" s="46"/>
    <row r="369" ht="15.75" customHeight="1" s="46"/>
    <row r="370" ht="15.75" customHeight="1" s="46"/>
    <row r="371" ht="15.75" customHeight="1" s="46"/>
    <row r="372" ht="15.75" customHeight="1" s="46"/>
    <row r="373" ht="15.75" customHeight="1" s="46"/>
    <row r="374" ht="15.75" customHeight="1" s="46"/>
    <row r="375" ht="15.75" customHeight="1" s="46"/>
    <row r="376" ht="15.75" customHeight="1" s="46"/>
    <row r="377" ht="15.75" customHeight="1" s="46"/>
    <row r="378" ht="15.75" customHeight="1" s="46"/>
    <row r="379" ht="15.75" customHeight="1" s="46"/>
    <row r="380" ht="15.75" customHeight="1" s="46"/>
    <row r="381" ht="15.75" customHeight="1" s="46"/>
    <row r="382" ht="15.75" customHeight="1" s="46"/>
    <row r="383" ht="15.75" customHeight="1" s="46"/>
    <row r="384" ht="15.75" customHeight="1" s="46"/>
    <row r="385" ht="15.75" customHeight="1" s="46"/>
    <row r="386" ht="15.75" customHeight="1" s="46"/>
    <row r="387" ht="15.75" customHeight="1" s="46"/>
    <row r="388" ht="15.75" customHeight="1" s="46"/>
    <row r="389" ht="15.75" customHeight="1" s="46"/>
    <row r="390" ht="15.75" customHeight="1" s="46"/>
    <row r="391" ht="15.75" customHeight="1" s="46"/>
    <row r="392" ht="15.75" customHeight="1" s="46"/>
    <row r="393" ht="15.75" customHeight="1" s="46"/>
    <row r="394" ht="15.75" customHeight="1" s="46"/>
    <row r="395" ht="15.75" customHeight="1" s="46"/>
    <row r="396" ht="15.75" customHeight="1" s="46"/>
    <row r="397" ht="15.75" customHeight="1" s="46"/>
    <row r="398" ht="15.75" customHeight="1" s="46"/>
    <row r="399" ht="15.75" customHeight="1" s="46"/>
    <row r="400" ht="15.75" customHeight="1" s="46"/>
    <row r="401" ht="15.75" customHeight="1" s="46"/>
    <row r="402" ht="15.75" customHeight="1" s="46"/>
    <row r="403" ht="15.75" customHeight="1" s="46"/>
    <row r="404" ht="15.75" customHeight="1" s="46"/>
    <row r="405" ht="15.75" customHeight="1" s="46"/>
    <row r="406" ht="15.75" customHeight="1" s="46"/>
    <row r="407" ht="15.75" customHeight="1" s="46"/>
    <row r="408" ht="15.75" customHeight="1" s="46"/>
    <row r="409" ht="15.75" customHeight="1" s="46"/>
    <row r="410" ht="15.75" customHeight="1" s="46"/>
    <row r="411" ht="15.75" customHeight="1" s="46"/>
    <row r="412" ht="15.75" customHeight="1" s="46"/>
    <row r="413" ht="15.75" customHeight="1" s="46"/>
    <row r="414" ht="15.75" customHeight="1" s="46"/>
    <row r="415" ht="15.75" customHeight="1" s="46"/>
    <row r="416" ht="15.75" customHeight="1" s="46"/>
    <row r="417" ht="15.75" customHeight="1" s="46"/>
    <row r="418" ht="15.75" customHeight="1" s="46"/>
    <row r="419" ht="15.75" customHeight="1" s="46"/>
    <row r="420" ht="15.75" customHeight="1" s="46"/>
    <row r="421" ht="15.75" customHeight="1" s="46"/>
    <row r="422" ht="15.75" customHeight="1" s="46"/>
    <row r="423" ht="15.75" customHeight="1" s="46"/>
    <row r="424" ht="15.75" customHeight="1" s="46"/>
    <row r="425" ht="15.75" customHeight="1" s="46"/>
    <row r="426" ht="15.75" customHeight="1" s="46"/>
    <row r="427" ht="15.75" customHeight="1" s="46"/>
    <row r="428" ht="15.75" customHeight="1" s="46"/>
    <row r="429" ht="15.75" customHeight="1" s="46"/>
    <row r="430" ht="15.75" customHeight="1" s="46"/>
    <row r="431" ht="15.75" customHeight="1" s="46"/>
    <row r="432" ht="15.75" customHeight="1" s="46"/>
    <row r="433" ht="15.75" customHeight="1" s="46"/>
    <row r="434" ht="15.75" customHeight="1" s="46"/>
    <row r="435" ht="15.75" customHeight="1" s="46"/>
    <row r="436" ht="15.75" customHeight="1" s="46"/>
    <row r="437" ht="15.75" customHeight="1" s="46"/>
    <row r="438" ht="15.75" customHeight="1" s="46"/>
    <row r="439" ht="15.75" customHeight="1" s="46"/>
    <row r="440" ht="15.75" customHeight="1" s="46"/>
    <row r="441" ht="15.75" customHeight="1" s="46"/>
    <row r="442" ht="15.75" customHeight="1" s="46"/>
    <row r="443" ht="15.75" customHeight="1" s="46"/>
    <row r="444" ht="15.75" customHeight="1" s="46"/>
    <row r="445" ht="15.75" customHeight="1" s="46"/>
    <row r="446" ht="15.75" customHeight="1" s="46"/>
    <row r="447" ht="15.75" customHeight="1" s="46"/>
    <row r="448" ht="15.75" customHeight="1" s="46"/>
    <row r="449" ht="15.75" customHeight="1" s="46"/>
    <row r="450" ht="15.75" customHeight="1" s="46"/>
    <row r="451" ht="15.75" customHeight="1" s="46"/>
    <row r="452" ht="15.75" customHeight="1" s="46"/>
    <row r="453" ht="15.75" customHeight="1" s="46"/>
    <row r="454" ht="15.75" customHeight="1" s="46"/>
    <row r="455" ht="15.75" customHeight="1" s="46"/>
    <row r="456" ht="15.75" customHeight="1" s="46"/>
    <row r="457" ht="15.75" customHeight="1" s="46"/>
    <row r="458" ht="15.75" customHeight="1" s="46"/>
    <row r="459" ht="15.75" customHeight="1" s="46"/>
    <row r="460" ht="15.75" customHeight="1" s="46"/>
    <row r="461" ht="15.75" customHeight="1" s="46"/>
    <row r="462" ht="15.75" customHeight="1" s="46"/>
    <row r="463" ht="15.75" customHeight="1" s="46"/>
    <row r="464" ht="15.75" customHeight="1" s="46"/>
    <row r="465" ht="15.75" customHeight="1" s="46"/>
    <row r="466" ht="15.75" customHeight="1" s="46"/>
    <row r="467" ht="15.75" customHeight="1" s="46"/>
    <row r="468" ht="15.75" customHeight="1" s="46"/>
    <row r="469" ht="15.75" customHeight="1" s="46"/>
    <row r="470" ht="15.75" customHeight="1" s="46"/>
    <row r="471" ht="15.75" customHeight="1" s="46"/>
    <row r="472" ht="15.75" customHeight="1" s="46"/>
    <row r="473" ht="15.75" customHeight="1" s="46"/>
    <row r="474" ht="15.75" customHeight="1" s="46"/>
    <row r="475" ht="15.75" customHeight="1" s="46"/>
    <row r="476" ht="15.75" customHeight="1" s="46"/>
    <row r="477" ht="15.75" customHeight="1" s="46"/>
    <row r="478" ht="15.75" customHeight="1" s="46"/>
    <row r="479" ht="15.75" customHeight="1" s="46"/>
    <row r="480" ht="15.75" customHeight="1" s="46"/>
    <row r="481" ht="15.75" customHeight="1" s="46"/>
    <row r="482" ht="15.75" customHeight="1" s="46"/>
    <row r="483" ht="15.75" customHeight="1" s="46"/>
    <row r="484" ht="15.75" customHeight="1" s="46"/>
    <row r="485" ht="15.75" customHeight="1" s="46"/>
    <row r="486" ht="15.75" customHeight="1" s="46"/>
    <row r="487" ht="15.75" customHeight="1" s="46"/>
    <row r="488" ht="15.75" customHeight="1" s="46"/>
    <row r="489" ht="15.75" customHeight="1" s="46"/>
    <row r="490" ht="15.75" customHeight="1" s="46"/>
    <row r="491" ht="15.75" customHeight="1" s="46"/>
    <row r="492" ht="15.75" customHeight="1" s="46"/>
    <row r="493" ht="15.75" customHeight="1" s="46"/>
    <row r="494" ht="15.75" customHeight="1" s="46"/>
    <row r="495" ht="15.75" customHeight="1" s="46"/>
    <row r="496" ht="15.75" customHeight="1" s="46"/>
    <row r="497" ht="15.75" customHeight="1" s="46"/>
    <row r="498" ht="15.75" customHeight="1" s="46"/>
    <row r="499" ht="15.75" customHeight="1" s="46"/>
    <row r="500" ht="15.75" customHeight="1" s="46"/>
    <row r="501" ht="15.75" customHeight="1" s="46"/>
    <row r="502" ht="15.75" customHeight="1" s="46"/>
    <row r="503" ht="15.75" customHeight="1" s="46"/>
    <row r="504" ht="15.75" customHeight="1" s="46"/>
    <row r="505" ht="15.75" customHeight="1" s="46"/>
    <row r="506" ht="15.75" customHeight="1" s="46"/>
    <row r="507" ht="15.75" customHeight="1" s="46"/>
    <row r="508" ht="15.75" customHeight="1" s="46"/>
    <row r="509" ht="15.75" customHeight="1" s="46"/>
    <row r="510" ht="15.75" customHeight="1" s="46"/>
    <row r="511" ht="15.75" customHeight="1" s="46"/>
    <row r="512" ht="15.75" customHeight="1" s="46"/>
    <row r="513" ht="15.75" customHeight="1" s="46"/>
    <row r="514" ht="15.75" customHeight="1" s="46"/>
    <row r="515" ht="15.75" customHeight="1" s="46"/>
    <row r="516" ht="15.75" customHeight="1" s="46"/>
    <row r="517" ht="15.75" customHeight="1" s="46"/>
    <row r="518" ht="15.75" customHeight="1" s="46"/>
    <row r="519" ht="15.75" customHeight="1" s="46"/>
    <row r="520" ht="15.75" customHeight="1" s="46"/>
    <row r="521" ht="15.75" customHeight="1" s="46"/>
    <row r="522" ht="15.75" customHeight="1" s="46"/>
    <row r="523" ht="15.75" customHeight="1" s="46"/>
    <row r="524" ht="15.75" customHeight="1" s="46"/>
    <row r="525" ht="15.75" customHeight="1" s="46"/>
    <row r="526" ht="15.75" customHeight="1" s="46"/>
    <row r="527" ht="15.75" customHeight="1" s="46"/>
    <row r="528" ht="15.75" customHeight="1" s="46"/>
    <row r="529" ht="15.75" customHeight="1" s="46"/>
    <row r="530" ht="15.75" customHeight="1" s="46"/>
    <row r="531" ht="15.75" customHeight="1" s="46"/>
    <row r="532" ht="15.75" customHeight="1" s="46"/>
    <row r="533" ht="15.75" customHeight="1" s="46"/>
    <row r="534" ht="15.75" customHeight="1" s="46"/>
    <row r="535" ht="15.75" customHeight="1" s="46"/>
    <row r="536" ht="15.75" customHeight="1" s="46"/>
    <row r="537" ht="15.75" customHeight="1" s="46"/>
    <row r="538" ht="15.75" customHeight="1" s="46"/>
    <row r="539" ht="15.75" customHeight="1" s="46"/>
    <row r="540" ht="15.75" customHeight="1" s="46"/>
    <row r="541" ht="15.75" customHeight="1" s="46"/>
    <row r="542" ht="15.75" customHeight="1" s="46"/>
    <row r="543" ht="15.75" customHeight="1" s="46"/>
    <row r="544" ht="15.75" customHeight="1" s="46"/>
    <row r="545" ht="15.75" customHeight="1" s="46"/>
    <row r="546" ht="15.75" customHeight="1" s="46"/>
    <row r="547" ht="15.75" customHeight="1" s="46"/>
    <row r="548" ht="15.75" customHeight="1" s="46"/>
    <row r="549" ht="15.75" customHeight="1" s="46"/>
    <row r="550" ht="15.75" customHeight="1" s="46"/>
    <row r="551" ht="15.75" customHeight="1" s="46"/>
    <row r="552" ht="15.75" customHeight="1" s="46"/>
    <row r="553" ht="15.75" customHeight="1" s="46"/>
    <row r="554" ht="15.75" customHeight="1" s="46"/>
    <row r="555" ht="15.75" customHeight="1" s="46"/>
    <row r="556" ht="15.75" customHeight="1" s="46"/>
    <row r="557" ht="15.75" customHeight="1" s="46"/>
    <row r="558" ht="15.75" customHeight="1" s="46"/>
    <row r="559" ht="15.75" customHeight="1" s="46"/>
    <row r="560" ht="15.75" customHeight="1" s="46"/>
    <row r="561" ht="15.75" customHeight="1" s="46"/>
    <row r="562" ht="15.75" customHeight="1" s="46"/>
    <row r="563" ht="15.75" customHeight="1" s="46"/>
    <row r="564" ht="15.75" customHeight="1" s="46"/>
    <row r="565" ht="15.75" customHeight="1" s="46"/>
    <row r="566" ht="15.75" customHeight="1" s="46"/>
    <row r="567" ht="15.75" customHeight="1" s="46"/>
    <row r="568" ht="15.75" customHeight="1" s="46"/>
    <row r="569" ht="15.75" customHeight="1" s="46"/>
    <row r="570" ht="15.75" customHeight="1" s="46"/>
    <row r="571" ht="15.75" customHeight="1" s="46"/>
    <row r="572" ht="15.75" customHeight="1" s="46"/>
    <row r="573" ht="15.75" customHeight="1" s="46"/>
    <row r="574" ht="15.75" customHeight="1" s="46"/>
    <row r="575" ht="15.75" customHeight="1" s="46"/>
    <row r="576" ht="15.75" customHeight="1" s="46"/>
    <row r="577" ht="15.75" customHeight="1" s="46"/>
    <row r="578" ht="15.75" customHeight="1" s="46"/>
    <row r="579" ht="15.75" customHeight="1" s="46"/>
    <row r="580" ht="15.75" customHeight="1" s="46"/>
    <row r="581" ht="15.75" customHeight="1" s="46"/>
    <row r="582" ht="15.75" customHeight="1" s="46"/>
    <row r="583" ht="15.75" customHeight="1" s="46"/>
    <row r="584" ht="15.75" customHeight="1" s="46"/>
    <row r="585" ht="15.75" customHeight="1" s="46"/>
    <row r="586" ht="15.75" customHeight="1" s="46"/>
    <row r="587" ht="15.75" customHeight="1" s="46"/>
    <row r="588" ht="15.75" customHeight="1" s="46"/>
    <row r="589" ht="15.75" customHeight="1" s="46"/>
    <row r="590" ht="15.75" customHeight="1" s="46"/>
    <row r="591" ht="15.75" customHeight="1" s="46"/>
    <row r="592" ht="15.75" customHeight="1" s="46"/>
    <row r="593" ht="15.75" customHeight="1" s="46"/>
    <row r="594" ht="15.75" customHeight="1" s="46"/>
    <row r="595" ht="15.75" customHeight="1" s="46"/>
    <row r="596" ht="15.75" customHeight="1" s="46"/>
    <row r="597" ht="15.75" customHeight="1" s="46"/>
    <row r="598" ht="15.75" customHeight="1" s="46"/>
    <row r="599" ht="15.75" customHeight="1" s="46"/>
    <row r="600" ht="15.75" customHeight="1" s="46"/>
    <row r="601" ht="15.75" customHeight="1" s="46"/>
    <row r="602" ht="15.75" customHeight="1" s="46"/>
    <row r="603" ht="15.75" customHeight="1" s="46"/>
    <row r="604" ht="15.75" customHeight="1" s="46"/>
    <row r="605" ht="15.75" customHeight="1" s="46"/>
    <row r="606" ht="15.75" customHeight="1" s="46"/>
    <row r="607" ht="15.75" customHeight="1" s="46"/>
    <row r="608" ht="15.75" customHeight="1" s="46"/>
    <row r="609" ht="15.75" customHeight="1" s="46"/>
    <row r="610" ht="15.75" customHeight="1" s="46"/>
    <row r="611" ht="15.75" customHeight="1" s="46"/>
    <row r="612" ht="15.75" customHeight="1" s="46"/>
    <row r="613" ht="15.75" customHeight="1" s="46"/>
    <row r="614" ht="15.75" customHeight="1" s="46"/>
    <row r="615" ht="15.75" customHeight="1" s="46"/>
    <row r="616" ht="15.75" customHeight="1" s="46"/>
    <row r="617" ht="15.75" customHeight="1" s="46"/>
    <row r="618" ht="15.75" customHeight="1" s="46"/>
    <row r="619" ht="15.75" customHeight="1" s="46"/>
    <row r="620" ht="15.75" customHeight="1" s="46"/>
    <row r="621" ht="15.75" customHeight="1" s="46"/>
    <row r="622" ht="15.75" customHeight="1" s="46"/>
    <row r="623" ht="15.75" customHeight="1" s="46"/>
    <row r="624" ht="15.75" customHeight="1" s="46"/>
    <row r="625" ht="15.75" customHeight="1" s="46"/>
    <row r="626" ht="15.75" customHeight="1" s="46"/>
    <row r="627" ht="15.75" customHeight="1" s="46"/>
    <row r="628" ht="15.75" customHeight="1" s="46"/>
    <row r="629" ht="15.75" customHeight="1" s="46"/>
    <row r="630" ht="15.75" customHeight="1" s="46"/>
    <row r="631" ht="15.75" customHeight="1" s="46"/>
    <row r="632" ht="15.75" customHeight="1" s="46"/>
    <row r="633" ht="15.75" customHeight="1" s="46"/>
    <row r="634" ht="15.75" customHeight="1" s="46"/>
    <row r="635" ht="15.75" customHeight="1" s="46"/>
    <row r="636" ht="15.75" customHeight="1" s="46"/>
    <row r="637" ht="15.75" customHeight="1" s="46"/>
    <row r="638" ht="15.75" customHeight="1" s="46"/>
    <row r="639" ht="15.75" customHeight="1" s="46"/>
    <row r="640" ht="15.75" customHeight="1" s="46"/>
    <row r="641" ht="15.75" customHeight="1" s="46"/>
    <row r="642" ht="15.75" customHeight="1" s="46"/>
    <row r="643" ht="15.75" customHeight="1" s="46"/>
    <row r="644" ht="15.75" customHeight="1" s="46"/>
    <row r="645" ht="15.75" customHeight="1" s="46"/>
    <row r="646" ht="15.75" customHeight="1" s="46"/>
    <row r="647" ht="15.75" customHeight="1" s="46"/>
    <row r="648" ht="15.75" customHeight="1" s="46"/>
    <row r="649" ht="15.75" customHeight="1" s="46"/>
    <row r="650" ht="15.75" customHeight="1" s="46"/>
    <row r="651" ht="15.75" customHeight="1" s="46"/>
    <row r="652" ht="15.75" customHeight="1" s="46"/>
    <row r="653" ht="15.75" customHeight="1" s="46"/>
    <row r="654" ht="15.75" customHeight="1" s="46"/>
    <row r="655" ht="15.75" customHeight="1" s="46"/>
    <row r="656" ht="15.75" customHeight="1" s="46"/>
    <row r="657" ht="15.75" customHeight="1" s="46"/>
    <row r="658" ht="15.75" customHeight="1" s="46"/>
    <row r="659" ht="15.75" customHeight="1" s="46"/>
    <row r="660" ht="15.75" customHeight="1" s="46"/>
    <row r="661" ht="15.75" customHeight="1" s="46"/>
    <row r="662" ht="15.75" customHeight="1" s="46"/>
    <row r="663" ht="15.75" customHeight="1" s="46"/>
    <row r="664" ht="15.75" customHeight="1" s="46"/>
    <row r="665" ht="15.75" customHeight="1" s="46"/>
    <row r="666" ht="15.75" customHeight="1" s="46"/>
    <row r="667" ht="15.75" customHeight="1" s="46"/>
    <row r="668" ht="15.75" customHeight="1" s="46"/>
    <row r="669" ht="15.75" customHeight="1" s="46"/>
    <row r="670" ht="15.75" customHeight="1" s="46"/>
    <row r="671" ht="15.75" customHeight="1" s="46"/>
    <row r="672" ht="15.75" customHeight="1" s="46"/>
    <row r="673" ht="15.75" customHeight="1" s="46"/>
    <row r="674" ht="15.75" customHeight="1" s="46"/>
    <row r="675" ht="15.75" customHeight="1" s="46"/>
    <row r="676" ht="15.75" customHeight="1" s="46"/>
    <row r="677" ht="15.75" customHeight="1" s="46"/>
    <row r="678" ht="15.75" customHeight="1" s="46"/>
    <row r="679" ht="15.75" customHeight="1" s="46"/>
    <row r="680" ht="15.75" customHeight="1" s="46"/>
    <row r="681" ht="15.75" customHeight="1" s="46"/>
    <row r="682" ht="15.75" customHeight="1" s="46"/>
    <row r="683" ht="15.75" customHeight="1" s="46"/>
    <row r="684" ht="15.75" customHeight="1" s="46"/>
    <row r="685" ht="15.75" customHeight="1" s="46"/>
    <row r="686" ht="15.75" customHeight="1" s="46"/>
    <row r="687" ht="15.75" customHeight="1" s="46"/>
    <row r="688" ht="15.75" customHeight="1" s="46"/>
    <row r="689" ht="15.75" customHeight="1" s="46"/>
    <row r="690" ht="15.75" customHeight="1" s="46"/>
    <row r="691" ht="15.75" customHeight="1" s="46"/>
    <row r="692" ht="15.75" customHeight="1" s="46"/>
    <row r="693" ht="15.75" customHeight="1" s="46"/>
    <row r="694" ht="15.75" customHeight="1" s="46"/>
    <row r="695" ht="15.75" customHeight="1" s="46"/>
    <row r="696" ht="15.75" customHeight="1" s="46"/>
    <row r="697" ht="15.75" customHeight="1" s="46"/>
    <row r="698" ht="15.75" customHeight="1" s="46"/>
    <row r="699" ht="15.75" customHeight="1" s="46"/>
    <row r="700" ht="15.75" customHeight="1" s="46"/>
    <row r="701" ht="15.75" customHeight="1" s="46"/>
    <row r="702" ht="15.75" customHeight="1" s="46"/>
    <row r="703" ht="15.75" customHeight="1" s="46"/>
    <row r="704" ht="15.75" customHeight="1" s="46"/>
    <row r="705" ht="15.75" customHeight="1" s="46"/>
    <row r="706" ht="15.75" customHeight="1" s="46"/>
    <row r="707" ht="15.75" customHeight="1" s="46"/>
    <row r="708" ht="15.75" customHeight="1" s="46"/>
    <row r="709" ht="15.75" customHeight="1" s="46"/>
    <row r="710" ht="15.75" customHeight="1" s="46"/>
    <row r="711" ht="15.75" customHeight="1" s="46"/>
    <row r="712" ht="15.75" customHeight="1" s="46"/>
    <row r="713" ht="15.75" customHeight="1" s="46"/>
    <row r="714" ht="15.75" customHeight="1" s="46"/>
    <row r="715" ht="15.75" customHeight="1" s="46"/>
    <row r="716" ht="15.75" customHeight="1" s="46"/>
    <row r="717" ht="15.75" customHeight="1" s="46"/>
    <row r="718" ht="15.75" customHeight="1" s="46"/>
    <row r="719" ht="15.75" customHeight="1" s="46"/>
    <row r="720" ht="15.75" customHeight="1" s="46"/>
    <row r="721" ht="15.75" customHeight="1" s="46"/>
    <row r="722" ht="15.75" customHeight="1" s="46"/>
    <row r="723" ht="15.75" customHeight="1" s="46"/>
    <row r="724" ht="15.75" customHeight="1" s="46"/>
    <row r="725" ht="15.75" customHeight="1" s="46"/>
    <row r="726" ht="15.75" customHeight="1" s="46"/>
    <row r="727" ht="15.75" customHeight="1" s="46"/>
    <row r="728" ht="15.75" customHeight="1" s="46"/>
    <row r="729" ht="15.75" customHeight="1" s="46"/>
    <row r="730" ht="15.75" customHeight="1" s="46"/>
    <row r="731" ht="15.75" customHeight="1" s="46"/>
    <row r="732" ht="15.75" customHeight="1" s="46"/>
    <row r="733" ht="15.75" customHeight="1" s="46"/>
    <row r="734" ht="15.75" customHeight="1" s="46"/>
    <row r="735" ht="15.75" customHeight="1" s="46"/>
    <row r="736" ht="15.75" customHeight="1" s="46"/>
    <row r="737" ht="15.75" customHeight="1" s="46"/>
    <row r="738" ht="15.75" customHeight="1" s="46"/>
    <row r="739" ht="15.75" customHeight="1" s="46"/>
    <row r="740" ht="15.75" customHeight="1" s="46"/>
    <row r="741" ht="15.75" customHeight="1" s="46"/>
    <row r="742" ht="15.75" customHeight="1" s="46"/>
    <row r="743" ht="15.75" customHeight="1" s="46"/>
    <row r="744" ht="15.75" customHeight="1" s="46"/>
    <row r="745" ht="15.75" customHeight="1" s="46"/>
    <row r="746" ht="15.75" customHeight="1" s="46"/>
    <row r="747" ht="15.75" customHeight="1" s="46"/>
    <row r="748" ht="15.75" customHeight="1" s="46"/>
    <row r="749" ht="15.75" customHeight="1" s="46"/>
    <row r="750" ht="15.75" customHeight="1" s="46"/>
    <row r="751" ht="15.75" customHeight="1" s="46"/>
    <row r="752" ht="15.75" customHeight="1" s="46"/>
    <row r="753" ht="15.75" customHeight="1" s="46"/>
    <row r="754" ht="15.75" customHeight="1" s="46"/>
    <row r="755" ht="15.75" customHeight="1" s="46"/>
    <row r="756" ht="15.75" customHeight="1" s="46"/>
    <row r="757" ht="15.75" customHeight="1" s="46"/>
    <row r="758" ht="15.75" customHeight="1" s="46"/>
    <row r="759" ht="15.75" customHeight="1" s="46"/>
    <row r="760" ht="15.75" customHeight="1" s="46"/>
    <row r="761" ht="15.75" customHeight="1" s="46"/>
    <row r="762" ht="15.75" customHeight="1" s="46"/>
    <row r="763" ht="15.75" customHeight="1" s="46"/>
    <row r="764" ht="15.75" customHeight="1" s="46"/>
    <row r="765" ht="15.75" customHeight="1" s="46"/>
    <row r="766" ht="15.75" customHeight="1" s="46"/>
    <row r="767" ht="15.75" customHeight="1" s="46"/>
    <row r="768" ht="15.75" customHeight="1" s="46"/>
    <row r="769" ht="15.75" customHeight="1" s="46"/>
    <row r="770" ht="15.75" customHeight="1" s="46"/>
    <row r="771" ht="15.75" customHeight="1" s="46"/>
    <row r="772" ht="15.75" customHeight="1" s="46"/>
    <row r="773" ht="15.75" customHeight="1" s="46"/>
    <row r="774" ht="15.75" customHeight="1" s="46"/>
    <row r="775" ht="15.75" customHeight="1" s="46"/>
    <row r="776" ht="15.75" customHeight="1" s="46"/>
    <row r="777" ht="15.75" customHeight="1" s="46"/>
    <row r="778" ht="15.75" customHeight="1" s="46"/>
    <row r="779" ht="15.75" customHeight="1" s="46"/>
    <row r="780" ht="15.75" customHeight="1" s="46"/>
    <row r="781" ht="15.75" customHeight="1" s="46"/>
    <row r="782" ht="15.75" customHeight="1" s="46"/>
    <row r="783" ht="15.75" customHeight="1" s="46"/>
    <row r="784" ht="15.75" customHeight="1" s="46"/>
    <row r="785" ht="15.75" customHeight="1" s="46"/>
    <row r="786" ht="15.75" customHeight="1" s="46"/>
    <row r="787" ht="15.75" customHeight="1" s="46"/>
    <row r="788" ht="15.75" customHeight="1" s="46"/>
    <row r="789" ht="15.75" customHeight="1" s="46"/>
    <row r="790" ht="15.75" customHeight="1" s="46"/>
    <row r="791" ht="15.75" customHeight="1" s="46"/>
    <row r="792" ht="15.75" customHeight="1" s="46"/>
    <row r="793" ht="15.75" customHeight="1" s="46"/>
    <row r="794" ht="15.75" customHeight="1" s="46"/>
    <row r="795" ht="15.75" customHeight="1" s="46"/>
    <row r="796" ht="15.75" customHeight="1" s="46"/>
    <row r="797" ht="15.75" customHeight="1" s="46"/>
    <row r="798" ht="15.75" customHeight="1" s="46"/>
    <row r="799" ht="15.75" customHeight="1" s="46"/>
    <row r="800" ht="15.75" customHeight="1" s="46"/>
    <row r="801" ht="15.75" customHeight="1" s="46"/>
    <row r="802" ht="15.75" customHeight="1" s="46"/>
    <row r="803" ht="15.75" customHeight="1" s="46"/>
    <row r="804" ht="15.75" customHeight="1" s="46"/>
    <row r="805" ht="15.75" customHeight="1" s="46"/>
    <row r="806" ht="15.75" customHeight="1" s="46"/>
    <row r="807" ht="15.75" customHeight="1" s="46"/>
    <row r="808" ht="15.75" customHeight="1" s="46"/>
    <row r="809" ht="15.75" customHeight="1" s="46"/>
    <row r="810" ht="15.75" customHeight="1" s="46"/>
    <row r="811" ht="15.75" customHeight="1" s="46"/>
    <row r="812" ht="15.75" customHeight="1" s="46"/>
    <row r="813" ht="15.75" customHeight="1" s="46"/>
    <row r="814" ht="15.75" customHeight="1" s="46"/>
    <row r="815" ht="15.75" customHeight="1" s="46"/>
    <row r="816" ht="15.75" customHeight="1" s="46"/>
    <row r="817" ht="15.75" customHeight="1" s="46"/>
    <row r="818" ht="15.75" customHeight="1" s="46"/>
    <row r="819" ht="15.75" customHeight="1" s="46"/>
    <row r="820" ht="15.75" customHeight="1" s="46"/>
    <row r="821" ht="15.75" customHeight="1" s="46"/>
    <row r="822" ht="15.75" customHeight="1" s="46"/>
    <row r="823" ht="15.75" customHeight="1" s="46"/>
    <row r="824" ht="15.75" customHeight="1" s="46"/>
    <row r="825" ht="15.75" customHeight="1" s="46"/>
    <row r="826" ht="15.75" customHeight="1" s="46"/>
    <row r="827" ht="15.75" customHeight="1" s="46"/>
    <row r="828" ht="15.75" customHeight="1" s="46"/>
    <row r="829" ht="15.75" customHeight="1" s="46"/>
    <row r="830" ht="15.75" customHeight="1" s="46"/>
    <row r="831" ht="15.75" customHeight="1" s="46"/>
    <row r="832" ht="15.75" customHeight="1" s="46"/>
    <row r="833" ht="15.75" customHeight="1" s="46"/>
    <row r="834" ht="15.75" customHeight="1" s="46"/>
    <row r="835" ht="15.75" customHeight="1" s="46"/>
    <row r="836" ht="15.75" customHeight="1" s="46"/>
    <row r="837" ht="15.75" customHeight="1" s="46"/>
    <row r="838" ht="15.75" customHeight="1" s="46"/>
    <row r="839" ht="15.75" customHeight="1" s="46"/>
    <row r="840" ht="15.75" customHeight="1" s="46"/>
    <row r="841" ht="15.75" customHeight="1" s="46"/>
    <row r="842" ht="15.75" customHeight="1" s="46"/>
    <row r="843" ht="15.75" customHeight="1" s="46"/>
    <row r="844" ht="15.75" customHeight="1" s="46"/>
    <row r="845" ht="15.75" customHeight="1" s="46"/>
    <row r="846" ht="15.75" customHeight="1" s="46"/>
    <row r="847" ht="15.75" customHeight="1" s="46"/>
    <row r="848" ht="15.75" customHeight="1" s="46"/>
    <row r="849" ht="15.75" customHeight="1" s="46"/>
    <row r="850" ht="15.75" customHeight="1" s="46"/>
    <row r="851" ht="15.75" customHeight="1" s="46"/>
    <row r="852" ht="15.75" customHeight="1" s="46"/>
    <row r="853" ht="15.75" customHeight="1" s="46"/>
    <row r="854" ht="15.75" customHeight="1" s="46"/>
    <row r="855" ht="15.75" customHeight="1" s="46"/>
    <row r="856" ht="15.75" customHeight="1" s="46"/>
    <row r="857" ht="15.75" customHeight="1" s="46"/>
    <row r="858" ht="15.75" customHeight="1" s="46"/>
    <row r="859" ht="15.75" customHeight="1" s="46"/>
    <row r="860" ht="15.75" customHeight="1" s="46"/>
    <row r="861" ht="15.75" customHeight="1" s="46"/>
    <row r="862" ht="15.75" customHeight="1" s="46"/>
    <row r="863" ht="15.75" customHeight="1" s="46"/>
    <row r="864" ht="15.75" customHeight="1" s="46"/>
    <row r="865" ht="15.75" customHeight="1" s="46"/>
    <row r="866" ht="15.75" customHeight="1" s="46"/>
    <row r="867" ht="15.75" customHeight="1" s="46"/>
    <row r="868" ht="15.75" customHeight="1" s="46"/>
    <row r="869" ht="15.75" customHeight="1" s="46"/>
    <row r="870" ht="15.75" customHeight="1" s="46"/>
    <row r="871" ht="15.75" customHeight="1" s="46"/>
    <row r="872" ht="15.75" customHeight="1" s="46"/>
    <row r="873" ht="15.75" customHeight="1" s="46"/>
    <row r="874" ht="15.75" customHeight="1" s="46"/>
    <row r="875" ht="15.75" customHeight="1" s="46"/>
    <row r="876" ht="15.75" customHeight="1" s="46"/>
    <row r="877" ht="15.75" customHeight="1" s="46"/>
    <row r="878" ht="15.75" customHeight="1" s="46"/>
    <row r="879" ht="15.75" customHeight="1" s="46"/>
    <row r="880" ht="15.75" customHeight="1" s="46"/>
    <row r="881" ht="15.75" customHeight="1" s="46"/>
    <row r="882" ht="15.75" customHeight="1" s="46"/>
    <row r="883" ht="15.75" customHeight="1" s="46"/>
    <row r="884" ht="15.75" customHeight="1" s="46"/>
    <row r="885" ht="15.75" customHeight="1" s="46"/>
    <row r="886" ht="15.75" customHeight="1" s="46"/>
    <row r="887" ht="15.75" customHeight="1" s="46"/>
    <row r="888" ht="15.75" customHeight="1" s="46"/>
    <row r="889" ht="15.75" customHeight="1" s="46"/>
    <row r="890" ht="15.75" customHeight="1" s="46"/>
    <row r="891" ht="15.75" customHeight="1" s="46"/>
    <row r="892" ht="15.75" customHeight="1" s="46"/>
    <row r="893" ht="15.75" customHeight="1" s="46"/>
    <row r="894" ht="15.75" customHeight="1" s="46"/>
    <row r="895" ht="15.75" customHeight="1" s="46"/>
    <row r="896" ht="15.75" customHeight="1" s="46"/>
    <row r="897" ht="15.75" customHeight="1" s="46"/>
    <row r="898" ht="15.75" customHeight="1" s="46"/>
    <row r="899" ht="15.75" customHeight="1" s="46"/>
    <row r="900" ht="15.75" customHeight="1" s="46"/>
    <row r="901" ht="15.75" customHeight="1" s="46"/>
    <row r="902" ht="15.75" customHeight="1" s="46"/>
    <row r="903" ht="15.75" customHeight="1" s="46"/>
    <row r="904" ht="15.75" customHeight="1" s="46"/>
    <row r="905" ht="15.75" customHeight="1" s="46"/>
    <row r="906" ht="15.75" customHeight="1" s="46"/>
    <row r="907" ht="15.75" customHeight="1" s="46"/>
    <row r="908" ht="15.75" customHeight="1" s="46"/>
    <row r="909" ht="15.75" customHeight="1" s="46"/>
    <row r="910" ht="15.75" customHeight="1" s="46"/>
    <row r="911" ht="15.75" customHeight="1" s="46"/>
    <row r="912" ht="15.75" customHeight="1" s="46"/>
    <row r="913" ht="15.75" customHeight="1" s="46"/>
    <row r="914" ht="15.75" customHeight="1" s="46"/>
    <row r="915" ht="15.75" customHeight="1" s="46"/>
    <row r="916" ht="15.75" customHeight="1" s="46"/>
    <row r="917" ht="15.75" customHeight="1" s="46"/>
    <row r="918" ht="15.75" customHeight="1" s="46"/>
    <row r="919" ht="15.75" customHeight="1" s="46"/>
    <row r="920" ht="15.75" customHeight="1" s="46"/>
    <row r="921" ht="15.75" customHeight="1" s="46"/>
    <row r="922" ht="15.75" customHeight="1" s="46"/>
    <row r="923" ht="15.75" customHeight="1" s="46"/>
    <row r="924" ht="15.75" customHeight="1" s="46"/>
    <row r="925" ht="15.75" customHeight="1" s="46"/>
    <row r="926" ht="15.75" customHeight="1" s="46"/>
    <row r="927" ht="15.75" customHeight="1" s="46"/>
    <row r="928" ht="15.75" customHeight="1" s="46"/>
    <row r="929" ht="15.75" customHeight="1" s="46"/>
    <row r="930" ht="15.75" customHeight="1" s="46"/>
    <row r="931" ht="15.75" customHeight="1" s="46"/>
    <row r="932" ht="15.75" customHeight="1" s="46"/>
    <row r="933" ht="15.75" customHeight="1" s="46"/>
    <row r="934" ht="15.75" customHeight="1" s="46"/>
    <row r="935" ht="15.75" customHeight="1" s="46"/>
    <row r="936" ht="15.75" customHeight="1" s="46"/>
    <row r="937" ht="15.75" customHeight="1" s="46"/>
    <row r="938" ht="15.75" customHeight="1" s="46"/>
    <row r="939" ht="15.75" customHeight="1" s="46"/>
    <row r="940" ht="15.75" customHeight="1" s="46"/>
    <row r="941" ht="15.75" customHeight="1" s="46"/>
    <row r="942" ht="15.75" customHeight="1" s="46"/>
    <row r="943" ht="15.75" customHeight="1" s="46"/>
    <row r="944" ht="15.75" customHeight="1" s="46"/>
    <row r="945" ht="15.75" customHeight="1" s="46"/>
    <row r="946" ht="15.75" customHeight="1" s="46"/>
    <row r="947" ht="15.75" customHeight="1" s="46"/>
    <row r="948" ht="15.75" customHeight="1" s="46"/>
    <row r="949" ht="15.75" customHeight="1" s="46"/>
    <row r="950" ht="15.75" customHeight="1" s="46"/>
    <row r="951" ht="15.75" customHeight="1" s="46"/>
    <row r="952" ht="15.75" customHeight="1" s="46"/>
    <row r="953" ht="15.75" customHeight="1" s="46"/>
    <row r="954" ht="15.75" customHeight="1" s="46"/>
    <row r="955" ht="15.75" customHeight="1" s="46"/>
    <row r="956" ht="15.75" customHeight="1" s="46"/>
    <row r="957" ht="15.75" customHeight="1" s="46"/>
    <row r="958" ht="15.75" customHeight="1" s="46"/>
    <row r="959" ht="15.75" customHeight="1" s="46"/>
    <row r="960" ht="15.75" customHeight="1" s="46"/>
    <row r="961" ht="15.75" customHeight="1" s="46"/>
    <row r="962" ht="15.75" customHeight="1" s="46"/>
    <row r="963" ht="15.75" customHeight="1" s="46"/>
    <row r="964" ht="15.75" customHeight="1" s="46"/>
    <row r="965" ht="15.75" customHeight="1" s="46"/>
    <row r="966" ht="15.75" customHeight="1" s="46"/>
    <row r="967" ht="15.75" customHeight="1" s="46"/>
    <row r="968" ht="15.75" customHeight="1" s="46"/>
    <row r="969" ht="15.75" customHeight="1" s="46"/>
    <row r="970" ht="15.75" customHeight="1" s="46"/>
    <row r="971" ht="15.75" customHeight="1" s="46"/>
    <row r="972" ht="15.75" customHeight="1" s="46"/>
    <row r="973" ht="15.75" customHeight="1" s="46"/>
    <row r="974" ht="15.75" customHeight="1" s="46"/>
    <row r="975" ht="15.75" customHeight="1" s="46"/>
    <row r="976" ht="15.75" customHeight="1" s="46"/>
    <row r="977" ht="15.75" customHeight="1" s="46"/>
    <row r="978" ht="15.75" customHeight="1" s="46"/>
    <row r="979" ht="15.75" customHeight="1" s="46"/>
    <row r="980" ht="15.75" customHeight="1" s="46"/>
    <row r="981" ht="15.75" customHeight="1" s="46"/>
    <row r="982" ht="15.75" customHeight="1" s="46"/>
    <row r="983" ht="15.75" customHeight="1" s="46"/>
    <row r="984" ht="15.75" customHeight="1" s="46"/>
    <row r="985" ht="15.75" customHeight="1" s="46"/>
    <row r="986" ht="15.75" customHeight="1" s="46"/>
    <row r="987" ht="15.75" customHeight="1" s="46"/>
    <row r="988" ht="15.75" customHeight="1" s="46"/>
    <row r="989" ht="15.75" customHeight="1" s="46"/>
    <row r="990" ht="15.75" customHeight="1" s="46"/>
    <row r="991" ht="15.75" customHeight="1" s="46"/>
    <row r="992" ht="15.75" customHeight="1" s="46"/>
    <row r="993" ht="15.75" customHeight="1" s="46"/>
    <row r="994" ht="15.75" customHeight="1" s="46"/>
    <row r="995" ht="15.75" customHeight="1" s="46"/>
    <row r="996" ht="15.75" customHeight="1" s="46"/>
    <row r="997" ht="15.75" customHeight="1" s="46"/>
    <row r="998" ht="15.75" customHeight="1" s="46"/>
    <row r="999" ht="15.75" customHeight="1" s="46"/>
    <row r="1000" ht="15.75" customHeight="1" s="46"/>
  </sheetData>
  <mergeCells count="4">
    <mergeCell ref="A3:M3"/>
    <mergeCell ref="A2:M2"/>
    <mergeCell ref="A22:F22"/>
    <mergeCell ref="A1:M1"/>
  </mergeCell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9"/>
  <sheetViews>
    <sheetView showGridLines="1" workbookViewId="0">
      <selection activeCell="A1" sqref="A1"/>
    </sheetView>
  </sheetViews>
  <sheetFormatPr baseColWidth="8" defaultRowHeight="15"/>
  <cols>
    <col width="14" customWidth="1" style="46" min="1" max="1"/>
    <col width="18" customWidth="1" style="46" min="2" max="2"/>
    <col width="36" customWidth="1" style="46" min="3" max="3"/>
    <col width="28" customWidth="1" style="46" min="4" max="4"/>
    <col width="16" customWidth="1" style="46" min="5" max="5"/>
    <col width="16" customWidth="1" style="46" min="6" max="6"/>
    <col width="15" customWidth="1" style="46" min="7" max="7"/>
    <col width="15" customWidth="1" style="46" min="8" max="8"/>
    <col width="12" customWidth="1" style="46" min="9" max="9"/>
    <col width="15" customWidth="1" style="46" min="10" max="10"/>
    <col width="16" customWidth="1" style="46" min="11" max="11"/>
    <col width="15" customWidth="1" style="46" min="12" max="12"/>
    <col width="30" customWidth="1" style="46" min="13" max="13"/>
    <col width="12" customWidth="1" style="46" min="14" max="14"/>
    <col width="12" customWidth="1" style="46" min="15" max="15"/>
    <col width="12" customWidth="1" style="46" min="16" max="16"/>
    <col width="12" customWidth="1" style="46" min="17" max="17"/>
    <col width="12" customWidth="1" style="46" min="18" max="18"/>
    <col width="12" customWidth="1" style="46" min="19" max="19"/>
    <col width="12" customWidth="1" style="46" min="20" max="20"/>
    <col width="12" customWidth="1" style="46" min="21" max="21"/>
    <col width="12" customWidth="1" style="46" min="22" max="22"/>
    <col width="12" customWidth="1" style="46" min="23" max="23"/>
    <col width="12" customWidth="1" style="46" min="24" max="24"/>
    <col width="12" customWidth="1" style="46" min="25" max="25"/>
    <col width="12" customWidth="1" style="46" min="26" max="26"/>
  </cols>
  <sheetData>
    <row r="1" ht="30" customHeight="1" s="46">
      <c r="A1" s="52" t="inlineStr">
        <is>
          <t>DASHBOARD INTEGRAL DE RENDIMIENTO DE MAQUINARIA Y ANÁLISIS ESTADÍSTICO DE OBRA</t>
        </is>
      </c>
    </row>
    <row r="2" ht="20" customHeight="1" s="46">
      <c r="A2" s="53" t="inlineStr">
        <is>
          <t>CARRETERA LIBRE MÉXICO-TOLUCA | CORTE OFICIAL SEMANAS 24 A 37 | DATOS DE FRESADO Y CARPETA CONSOLIDADOS</t>
        </is>
      </c>
    </row>
    <row r="4" ht="16" customHeight="1" s="46">
      <c r="A4" s="54" t="inlineStr">
        <is>
          <t>DIÉSEL TOTAL OBRA</t>
        </is>
      </c>
      <c r="B4" s="99" t="n"/>
      <c r="C4" s="54" t="inlineStr">
        <is>
          <t>VOLUMEN TOTAL OBRA</t>
        </is>
      </c>
      <c r="D4" s="99" t="n"/>
      <c r="E4" s="54" t="inlineStr">
        <is>
          <t>FRESADO TOTAL</t>
        </is>
      </c>
      <c r="F4" s="99" t="n"/>
      <c r="G4" s="54" t="inlineStr">
        <is>
          <t>CARPETA TOTAL</t>
        </is>
      </c>
      <c r="H4" s="99" t="n"/>
      <c r="I4" s="54" t="inlineStr">
        <is>
          <t>RENDIMIENTO GLOBAL</t>
        </is>
      </c>
      <c r="J4" s="99" t="n"/>
      <c r="K4" s="54" t="inlineStr">
        <is>
          <t>RENDIMIENTO DIARIO PROM</t>
        </is>
      </c>
      <c r="L4" s="100" t="n"/>
      <c r="M4" s="99" t="n"/>
    </row>
    <row r="5" ht="24" customHeight="1" s="46">
      <c r="A5" s="55" t="n">
        <v>35837</v>
      </c>
      <c r="B5" s="99" t="n"/>
      <c r="C5" s="56" t="n">
        <v>29940</v>
      </c>
      <c r="D5" s="99" t="n"/>
      <c r="E5" s="56" t="n">
        <v>17696</v>
      </c>
      <c r="F5" s="99" t="n"/>
      <c r="G5" s="57" t="n">
        <v>21329.048</v>
      </c>
      <c r="H5" s="99" t="n"/>
      <c r="I5" s="58" t="n">
        <v>1.197</v>
      </c>
      <c r="J5" s="99" t="n"/>
      <c r="K5" s="58" t="n">
        <v>1.205</v>
      </c>
      <c r="L5" s="100" t="n"/>
      <c r="M5" s="99" t="n"/>
    </row>
    <row r="7" ht="22" customHeight="1" s="46">
      <c r="A7" s="59" t="inlineStr">
        <is>
          <t>1. ANÁLISIS ESTADÍSTICO DESCRIPTIVO DE PRODUCCIÓN Y CONSUMO SEMANAL (N = 14 SEMANAS)</t>
        </is>
      </c>
    </row>
    <row r="8" ht="24" customHeight="1" s="46">
      <c r="A8" s="60" t="inlineStr">
        <is>
          <t>Indicador Operativo</t>
        </is>
      </c>
      <c r="B8" s="60" t="inlineStr">
        <is>
          <t>Unidad</t>
        </is>
      </c>
      <c r="C8" s="60" t="inlineStr">
        <is>
          <t>Media (μ)</t>
        </is>
      </c>
      <c r="D8" s="60" t="inlineStr">
        <is>
          <t>Mediana</t>
        </is>
      </c>
      <c r="E8" s="60" t="inlineStr">
        <is>
          <t>Desv. Est (σ)</t>
        </is>
      </c>
      <c r="F8" s="60" t="inlineStr">
        <is>
          <t>Coef. Var (CV%)</t>
        </is>
      </c>
      <c r="G8" s="60" t="inlineStr">
        <is>
          <t>Mínimo</t>
        </is>
      </c>
      <c r="H8" s="60" t="inlineStr">
        <is>
          <t>Máximo</t>
        </is>
      </c>
      <c r="I8" s="60" t="inlineStr">
        <is>
          <t>Rango IQR</t>
        </is>
      </c>
      <c r="J8" s="60" t="inlineStr">
        <is>
          <t>Asimetría</t>
        </is>
      </c>
      <c r="K8" s="60" t="inlineStr">
        <is>
          <t>Rend. Base</t>
        </is>
      </c>
      <c r="L8" s="60" t="inlineStr">
        <is>
          <t>Desviación</t>
        </is>
      </c>
      <c r="M8" s="60" t="inlineStr">
        <is>
          <t>Diagnóstico Operativo</t>
        </is>
      </c>
    </row>
    <row r="9" ht="20" customHeight="1" s="46">
      <c r="A9" s="61" t="inlineStr">
        <is>
          <t>Fresado Semanal</t>
        </is>
      </c>
      <c r="B9" s="62" t="inlineStr">
        <is>
          <t>m³</t>
        </is>
      </c>
      <c r="C9" s="63" t="n">
        <v>1264</v>
      </c>
      <c r="D9" s="63" t="n">
        <v>1319.5</v>
      </c>
      <c r="E9" s="63" t="n">
        <v>607.1</v>
      </c>
      <c r="F9" s="62" t="inlineStr">
        <is>
          <t>48.0%</t>
        </is>
      </c>
      <c r="G9" s="63" t="n">
        <v>42</v>
      </c>
      <c r="H9" s="63" t="n">
        <v>2023</v>
      </c>
      <c r="I9" s="63" t="n">
        <v>504</v>
      </c>
      <c r="J9" s="64" t="n">
        <v>-0.99</v>
      </c>
      <c r="K9" s="65" t="inlineStr">
        <is>
          <t>-</t>
        </is>
      </c>
      <c r="L9" s="66" t="inlineStr">
        <is>
          <t>-</t>
        </is>
      </c>
      <c r="M9" s="67" t="inlineStr">
        <is>
          <t>Moderada dispersión por transición de frentes</t>
        </is>
      </c>
    </row>
    <row r="10" ht="20" customHeight="1" s="46">
      <c r="A10" s="68" t="inlineStr">
        <is>
          <t>Carpeta Semanal (Volumen)</t>
        </is>
      </c>
      <c r="B10" s="69" t="inlineStr">
        <is>
          <t>m³</t>
        </is>
      </c>
      <c r="C10" s="70" t="n">
        <v>874.5700000000001</v>
      </c>
      <c r="D10" s="70" t="n">
        <v>908.5</v>
      </c>
      <c r="E10" s="70" t="n">
        <v>226.5</v>
      </c>
      <c r="F10" s="69" t="inlineStr">
        <is>
          <t>25.9%</t>
        </is>
      </c>
      <c r="G10" s="70" t="n">
        <v>490</v>
      </c>
      <c r="H10" s="70" t="n">
        <v>1204</v>
      </c>
      <c r="I10" s="70" t="n">
        <v>283.25</v>
      </c>
      <c r="J10" s="71" t="n">
        <v>-0.35</v>
      </c>
      <c r="K10" s="72" t="inlineStr">
        <is>
          <t>-</t>
        </is>
      </c>
      <c r="L10" s="73" t="inlineStr">
        <is>
          <t>-</t>
        </is>
      </c>
      <c r="M10" s="74" t="inlineStr">
        <is>
          <t>Alta regularidad de suministro en obra</t>
        </is>
      </c>
    </row>
    <row r="11" ht="20" customHeight="1" s="46">
      <c r="A11" s="61" t="inlineStr">
        <is>
          <t>Carpeta Semanal (Peso)</t>
        </is>
      </c>
      <c r="B11" s="62" t="inlineStr">
        <is>
          <t>Ton</t>
        </is>
      </c>
      <c r="C11" s="63" t="n">
        <v>1523.5</v>
      </c>
      <c r="D11" s="63" t="n">
        <v>1582.61</v>
      </c>
      <c r="E11" s="63" t="n">
        <v>394.56</v>
      </c>
      <c r="F11" s="62" t="inlineStr">
        <is>
          <t>25.9%</t>
        </is>
      </c>
      <c r="G11" s="63" t="n">
        <v>853.58</v>
      </c>
      <c r="H11" s="63" t="n">
        <v>2097.37</v>
      </c>
      <c r="I11" s="63" t="n">
        <v>493.42</v>
      </c>
      <c r="J11" s="64" t="n">
        <v>-0.35</v>
      </c>
      <c r="K11" s="65" t="inlineStr">
        <is>
          <t>-</t>
        </is>
      </c>
      <c r="L11" s="66" t="inlineStr">
        <is>
          <t>-</t>
        </is>
      </c>
      <c r="M11" s="67" t="inlineStr">
        <is>
          <t>Distribución casi simétrica / Estable</t>
        </is>
      </c>
    </row>
    <row r="12" ht="20" customHeight="1" s="46">
      <c r="A12" s="68" t="inlineStr">
        <is>
          <t>Diésel Semanal Obra</t>
        </is>
      </c>
      <c r="B12" s="69" t="inlineStr">
        <is>
          <t>Litros</t>
        </is>
      </c>
      <c r="C12" s="70" t="n">
        <v>2559.79</v>
      </c>
      <c r="D12" s="70" t="n">
        <v>2776</v>
      </c>
      <c r="E12" s="70" t="n">
        <v>864.73</v>
      </c>
      <c r="F12" s="69" t="inlineStr">
        <is>
          <t>33.8%</t>
        </is>
      </c>
      <c r="G12" s="70" t="n">
        <v>693</v>
      </c>
      <c r="H12" s="70" t="n">
        <v>3727</v>
      </c>
      <c r="I12" s="70" t="n">
        <v>651</v>
      </c>
      <c r="J12" s="71" t="n">
        <v>-1.09</v>
      </c>
      <c r="K12" s="72" t="inlineStr">
        <is>
          <t>-</t>
        </is>
      </c>
      <c r="L12" s="73" t="inlineStr">
        <is>
          <t>-</t>
        </is>
      </c>
      <c r="M12" s="74" t="inlineStr">
        <is>
          <t>Alineado a semanas con doble frente</t>
        </is>
      </c>
    </row>
    <row r="13" ht="20" customHeight="1" s="46">
      <c r="A13" s="61" t="inlineStr">
        <is>
          <t>Rend. Pavimentadora (VG-01)</t>
        </is>
      </c>
      <c r="B13" s="62" t="inlineStr">
        <is>
          <t>L/Ton</t>
        </is>
      </c>
      <c r="C13" s="75" t="n">
        <v>0.332</v>
      </c>
      <c r="D13" s="75" t="n">
        <v>0.349</v>
      </c>
      <c r="E13" s="75" t="n">
        <v>0.106</v>
      </c>
      <c r="F13" s="62" t="inlineStr">
        <is>
          <t>31.9%</t>
        </is>
      </c>
      <c r="G13" s="75" t="n">
        <v>0.143</v>
      </c>
      <c r="H13" s="75" t="n">
        <v>0.552</v>
      </c>
      <c r="I13" s="75" t="n">
        <v>0.108</v>
      </c>
      <c r="J13" s="64" t="n">
        <v>0.28</v>
      </c>
      <c r="K13" s="65" t="n">
        <v>0.35</v>
      </c>
      <c r="L13" s="66" t="inlineStr">
        <is>
          <t>-3.8%</t>
        </is>
      </c>
      <c r="M13" s="67" t="inlineStr">
        <is>
          <t>ÓPTIMO: Muy cercano a estándar de catálogo</t>
        </is>
      </c>
    </row>
    <row r="14" ht="20" customHeight="1" s="46">
      <c r="A14" s="68" t="inlineStr">
        <is>
          <t>Rend. Perfiladora (PRR-01)</t>
        </is>
      </c>
      <c r="B14" s="69" t="inlineStr">
        <is>
          <t>L/m³</t>
        </is>
      </c>
      <c r="C14" s="76" t="n">
        <v>1.577</v>
      </c>
      <c r="D14" s="76" t="n">
        <v>0.712</v>
      </c>
      <c r="E14" s="76" t="n">
        <v>2.991</v>
      </c>
      <c r="F14" s="69" t="inlineStr">
        <is>
          <t>189.7%</t>
        </is>
      </c>
      <c r="G14" s="76" t="n">
        <v>0.121</v>
      </c>
      <c r="H14" s="76" t="n">
        <v>11.905</v>
      </c>
      <c r="I14" s="76" t="n">
        <v>0.575</v>
      </c>
      <c r="J14" s="71" t="n">
        <v>3.48</v>
      </c>
      <c r="K14" s="72" t="n">
        <v>3.2</v>
      </c>
      <c r="L14" s="73" t="inlineStr">
        <is>
          <t>-73.5%</t>
        </is>
      </c>
      <c r="M14" s="74" t="inlineStr">
        <is>
          <t>EFICIENTE: Sesgado por ralentí en Sem 36</t>
        </is>
      </c>
    </row>
    <row r="15" ht="20" customHeight="1" s="46">
      <c r="A15" s="61" t="inlineStr">
        <is>
          <t>Rendimiento Global Obra</t>
        </is>
      </c>
      <c r="B15" s="62" t="inlineStr">
        <is>
          <t>L/m³</t>
        </is>
      </c>
      <c r="C15" s="75" t="n">
        <v>1.25</v>
      </c>
      <c r="D15" s="75" t="n">
        <v>1.365</v>
      </c>
      <c r="E15" s="75" t="n">
        <v>0.459</v>
      </c>
      <c r="F15" s="62" t="inlineStr">
        <is>
          <t>36.7%</t>
        </is>
      </c>
      <c r="G15" s="75" t="n">
        <v>0.401</v>
      </c>
      <c r="H15" s="75" t="n">
        <v>2.044</v>
      </c>
      <c r="I15" s="75" t="n">
        <v>0.603</v>
      </c>
      <c r="J15" s="64" t="n">
        <v>-0.37</v>
      </c>
      <c r="K15" s="65" t="inlineStr">
        <is>
          <t>-</t>
        </is>
      </c>
      <c r="L15" s="66" t="inlineStr">
        <is>
          <t>-</t>
        </is>
      </c>
      <c r="M15" s="67" t="inlineStr">
        <is>
          <t>Consistente: 1.20 L de diésel por m³ producido</t>
        </is>
      </c>
    </row>
    <row r="17" ht="22" customHeight="1" s="46">
      <c r="A17" s="59" t="inlineStr">
        <is>
          <t>2. RENDIMIENTO POR MÁQUINA: REAL VS. ESPERADO (BASE) Y DESVIACIONES GLOBALES</t>
        </is>
      </c>
    </row>
    <row r="18" ht="24" customHeight="1" s="46">
      <c r="A18" s="60" t="inlineStr">
        <is>
          <t>No.</t>
        </is>
      </c>
      <c r="B18" s="60" t="inlineStr">
        <is>
          <t>Económico</t>
        </is>
      </c>
      <c r="C18" s="60" t="inlineStr">
        <is>
          <t>Equipo / Maquinaria</t>
        </is>
      </c>
      <c r="D18" s="60" t="inlineStr">
        <is>
          <t>Concepto Operativo</t>
        </is>
      </c>
      <c r="E18" s="60" t="inlineStr">
        <is>
          <t>Volumen / Ton</t>
        </is>
      </c>
      <c r="F18" s="60" t="inlineStr">
        <is>
          <t>Diésel Real (L)</t>
        </is>
      </c>
      <c r="G18" s="60" t="inlineStr">
        <is>
          <t>Rend. Real</t>
        </is>
      </c>
      <c r="H18" s="60" t="inlineStr">
        <is>
          <t>Rend. Base</t>
        </is>
      </c>
      <c r="I18" s="60" t="inlineStr">
        <is>
          <t>Unidad</t>
        </is>
      </c>
      <c r="J18" s="60" t="inlineStr">
        <is>
          <t>Desviación (%)</t>
        </is>
      </c>
      <c r="K18" s="60" t="inlineStr">
        <is>
          <t>Delta Diésel (L)</t>
        </is>
      </c>
      <c r="L18" s="60" t="inlineStr">
        <is>
          <t>Horas Est (h)</t>
        </is>
      </c>
      <c r="M18" s="60" t="inlineStr">
        <is>
          <t>Estatus Operativo</t>
        </is>
      </c>
    </row>
    <row r="19" ht="20" customHeight="1" s="46">
      <c r="A19" s="62" t="n">
        <v>1</v>
      </c>
      <c r="B19" s="66" t="inlineStr">
        <is>
          <t>PRR-01</t>
        </is>
      </c>
      <c r="C19" s="77" t="inlineStr">
        <is>
          <t>PERFILADORA WIRTGEN W200i</t>
        </is>
      </c>
      <c r="D19" s="77" t="inlineStr">
        <is>
          <t>Fresado de Pavimento</t>
        </is>
      </c>
      <c r="E19" s="63" t="n">
        <v>17696</v>
      </c>
      <c r="F19" s="78" t="n">
        <v>15024</v>
      </c>
      <c r="G19" s="79" t="n">
        <v>0.849</v>
      </c>
      <c r="H19" s="75" t="n">
        <v>3.2</v>
      </c>
      <c r="I19" s="62" t="inlineStr">
        <is>
          <t>L/m³</t>
        </is>
      </c>
      <c r="J19" s="80" t="n">
        <v>-0.735</v>
      </c>
      <c r="K19" s="81" t="n">
        <v>-41603.2</v>
      </c>
      <c r="L19" s="81" t="n">
        <v>223.6</v>
      </c>
      <c r="M19" s="82" t="inlineStr">
        <is>
          <t>DENTRO DE RENDIMIENTO BASE</t>
        </is>
      </c>
    </row>
    <row r="20" ht="20" customHeight="1" s="46">
      <c r="A20" s="69" t="n">
        <v>2</v>
      </c>
      <c r="B20" s="73" t="inlineStr">
        <is>
          <t>VG-01</t>
        </is>
      </c>
      <c r="C20" s="83" t="inlineStr">
        <is>
          <t>PAVIMENTADORA VÖGELE SUPER 1800-3i</t>
        </is>
      </c>
      <c r="D20" s="83" t="inlineStr">
        <is>
          <t>Tendido de Mezcla Asfáltica</t>
        </is>
      </c>
      <c r="E20" s="70" t="n">
        <v>21329.048</v>
      </c>
      <c r="F20" s="84" t="n">
        <v>7184</v>
      </c>
      <c r="G20" s="85" t="n">
        <v>0.337</v>
      </c>
      <c r="H20" s="76" t="n">
        <v>0.35</v>
      </c>
      <c r="I20" s="69" t="inlineStr">
        <is>
          <t>L/Ton</t>
        </is>
      </c>
      <c r="J20" s="86" t="n">
        <v>-0.038</v>
      </c>
      <c r="K20" s="87" t="n">
        <v>-281.2</v>
      </c>
      <c r="L20" s="87" t="n">
        <v>442.4</v>
      </c>
      <c r="M20" s="82" t="inlineStr">
        <is>
          <t>DENTRO DE RENDIMIENTO BASE</t>
        </is>
      </c>
    </row>
    <row r="21" ht="20" customHeight="1" s="46">
      <c r="A21" s="62" t="n">
        <v>3</v>
      </c>
      <c r="B21" s="66" t="inlineStr">
        <is>
          <t>DR-01</t>
        </is>
      </c>
      <c r="C21" s="77" t="inlineStr">
        <is>
          <t>COMPACTADOR TÁNDEM HAMM-HD120 VV</t>
        </is>
      </c>
      <c r="D21" s="77" t="inlineStr">
        <is>
          <t>Compactación Tándem Primaria</t>
        </is>
      </c>
      <c r="E21" s="63" t="n">
        <v>21329.048</v>
      </c>
      <c r="F21" s="78" t="n">
        <v>1696</v>
      </c>
      <c r="G21" s="79" t="n">
        <v>0.08</v>
      </c>
      <c r="H21" s="75" t="n">
        <v>0.3</v>
      </c>
      <c r="I21" s="62" t="inlineStr">
        <is>
          <t>L/Ton</t>
        </is>
      </c>
      <c r="J21" s="80" t="n">
        <v>-0.735</v>
      </c>
      <c r="K21" s="81" t="n">
        <v>-4702.7</v>
      </c>
      <c r="L21" s="81" t="n">
        <v>118.6</v>
      </c>
      <c r="M21" s="82" t="inlineStr">
        <is>
          <t>DENTRO DE RENDIMIENTO BASE</t>
        </is>
      </c>
    </row>
    <row r="22" ht="20" customHeight="1" s="46">
      <c r="A22" s="69" t="n">
        <v>4</v>
      </c>
      <c r="B22" s="73" t="inlineStr">
        <is>
          <t>DR-02</t>
        </is>
      </c>
      <c r="C22" s="83" t="inlineStr">
        <is>
          <t>COMPACTADOR TÁNDEM HAMM-HD140</t>
        </is>
      </c>
      <c r="D22" s="83" t="inlineStr">
        <is>
          <t>Compactación Tándem Pesada</t>
        </is>
      </c>
      <c r="E22" s="70" t="n">
        <v>21329.048</v>
      </c>
      <c r="F22" s="84" t="n">
        <v>1414</v>
      </c>
      <c r="G22" s="85" t="n">
        <v>0.066</v>
      </c>
      <c r="H22" s="76" t="n">
        <v>0.3</v>
      </c>
      <c r="I22" s="69" t="inlineStr">
        <is>
          <t>L/Ton</t>
        </is>
      </c>
      <c r="J22" s="86" t="n">
        <v>-0.779</v>
      </c>
      <c r="K22" s="87" t="n">
        <v>-4984.7</v>
      </c>
      <c r="L22" s="87" t="n">
        <v>98.90000000000001</v>
      </c>
      <c r="M22" s="82" t="inlineStr">
        <is>
          <t>DENTRO DE RENDIMIENTO BASE</t>
        </is>
      </c>
    </row>
    <row r="23" ht="20" customHeight="1" s="46">
      <c r="A23" s="62" t="n">
        <v>5</v>
      </c>
      <c r="B23" s="66" t="inlineStr">
        <is>
          <t>NM-01</t>
        </is>
      </c>
      <c r="C23" s="77" t="inlineStr">
        <is>
          <t>COMPACTADOR NEUMÁTICO DYNAPAC CP271</t>
        </is>
      </c>
      <c r="D23" s="77" t="inlineStr">
        <is>
          <t>Compactación Neumática / Sellado</t>
        </is>
      </c>
      <c r="E23" s="63" t="n">
        <v>21329.048</v>
      </c>
      <c r="F23" s="78" t="n">
        <v>1822</v>
      </c>
      <c r="G23" s="79" t="n">
        <v>0.08500000000000001</v>
      </c>
      <c r="H23" s="75" t="n">
        <v>0.25</v>
      </c>
      <c r="I23" s="62" t="inlineStr">
        <is>
          <t>L/Ton</t>
        </is>
      </c>
      <c r="J23" s="80" t="n">
        <v>-0.6579999999999999</v>
      </c>
      <c r="K23" s="81" t="n">
        <v>-3510.3</v>
      </c>
      <c r="L23" s="81" t="n">
        <v>159.3</v>
      </c>
      <c r="M23" s="82" t="inlineStr">
        <is>
          <t>DENTRO DE RENDIMIENTO BASE</t>
        </is>
      </c>
    </row>
    <row r="24" ht="20" customHeight="1" s="46">
      <c r="A24" s="69" t="n">
        <v>6</v>
      </c>
      <c r="B24" s="73" t="inlineStr">
        <is>
          <t>NM-09</t>
        </is>
      </c>
      <c r="C24" s="83" t="inlineStr">
        <is>
          <t>COMPACTADOR NEUMÁTICO HAMM 208</t>
        </is>
      </c>
      <c r="D24" s="83" t="inlineStr">
        <is>
          <t>Compactación Neumática / Acabado</t>
        </is>
      </c>
      <c r="E24" s="70" t="n">
        <v>21329.048</v>
      </c>
      <c r="F24" s="84" t="n">
        <v>1133</v>
      </c>
      <c r="G24" s="85" t="n">
        <v>0.053</v>
      </c>
      <c r="H24" s="76" t="n">
        <v>0.24</v>
      </c>
      <c r="I24" s="69" t="inlineStr">
        <is>
          <t>L/Ton</t>
        </is>
      </c>
      <c r="J24" s="86" t="n">
        <v>-0.779</v>
      </c>
      <c r="K24" s="87" t="n">
        <v>-3986</v>
      </c>
      <c r="L24" s="87" t="n">
        <v>103.4</v>
      </c>
      <c r="M24" s="82" t="inlineStr">
        <is>
          <t>DENTRO DE RENDIMIENTO BASE</t>
        </is>
      </c>
    </row>
    <row r="25" ht="20" customHeight="1" s="46">
      <c r="A25" s="62" t="n">
        <v>7</v>
      </c>
      <c r="B25" s="66" t="inlineStr">
        <is>
          <t>BR-01</t>
        </is>
      </c>
      <c r="C25" s="77" t="inlineStr">
        <is>
          <t>BARREDORA INDUSTRIAL BROCE BROOM-350</t>
        </is>
      </c>
      <c r="D25" s="77" t="inlineStr">
        <is>
          <t>Limpieza y Barrido Previo</t>
        </is>
      </c>
      <c r="E25" s="63" t="n">
        <v>21329.048</v>
      </c>
      <c r="F25" s="78" t="n">
        <v>1200</v>
      </c>
      <c r="G25" s="79" t="n">
        <v>0.056</v>
      </c>
      <c r="H25" s="75" t="n">
        <v>0.05</v>
      </c>
      <c r="I25" s="62" t="inlineStr">
        <is>
          <t>L/Ton</t>
        </is>
      </c>
      <c r="J25" s="80" t="n">
        <v>0.125</v>
      </c>
      <c r="K25" s="81" t="n">
        <v>133.5</v>
      </c>
      <c r="L25" s="81" t="n">
        <v>134.2</v>
      </c>
      <c r="M25" s="88" t="inlineStr">
        <is>
          <t>EXCEDE RENDIMIENTO BASE (+12.5%)</t>
        </is>
      </c>
    </row>
    <row r="26" ht="20" customHeight="1" s="46">
      <c r="A26" s="69" t="n">
        <v>8</v>
      </c>
      <c r="B26" s="73" t="inlineStr">
        <is>
          <t>RT-05</t>
        </is>
      </c>
      <c r="C26" s="83" t="inlineStr">
        <is>
          <t>RETROEXCAVADORA JOHN DEERE 310SK</t>
        </is>
      </c>
      <c r="D26" s="83" t="inlineStr">
        <is>
          <t>Carga Fresado y Derrumbes</t>
        </is>
      </c>
      <c r="E26" s="70" t="n">
        <v>17696</v>
      </c>
      <c r="F26" s="84" t="n">
        <v>4318</v>
      </c>
      <c r="G26" s="85" t="n">
        <v>0.244</v>
      </c>
      <c r="H26" s="76" t="n">
        <v>0.26</v>
      </c>
      <c r="I26" s="69" t="inlineStr">
        <is>
          <t>L/m³</t>
        </is>
      </c>
      <c r="J26" s="86" t="n">
        <v>-0.062</v>
      </c>
      <c r="K26" s="87" t="n">
        <v>-283</v>
      </c>
      <c r="L26" s="87" t="n">
        <v>580.4</v>
      </c>
      <c r="M26" s="82" t="inlineStr">
        <is>
          <t>DENTRO DE RENDIMIENTO BASE</t>
        </is>
      </c>
    </row>
    <row r="27" ht="20" customHeight="1" s="46">
      <c r="A27" s="62" t="n">
        <v>9</v>
      </c>
      <c r="B27" s="66" t="inlineStr">
        <is>
          <t>PT-01</t>
        </is>
      </c>
      <c r="C27" s="77" t="inlineStr">
        <is>
          <t>PETROLIZADORA INTERNATIONAL / FORD F800</t>
        </is>
      </c>
      <c r="D27" s="77" t="inlineStr">
        <is>
          <t>Riego de Liga / Emulsión</t>
        </is>
      </c>
      <c r="E27" s="63" t="n">
        <v>21329.048</v>
      </c>
      <c r="F27" s="78" t="n">
        <v>1878</v>
      </c>
      <c r="G27" s="79" t="n">
        <v>0.08799999999999999</v>
      </c>
      <c r="H27" s="75" t="n">
        <v>0.12</v>
      </c>
      <c r="I27" s="62" t="inlineStr">
        <is>
          <t>L/Ton</t>
        </is>
      </c>
      <c r="J27" s="80" t="n">
        <v>-0.266</v>
      </c>
      <c r="K27" s="81" t="n">
        <v>-681.5</v>
      </c>
      <c r="L27" s="81" t="n">
        <v>147.2</v>
      </c>
      <c r="M27" s="82" t="inlineStr">
        <is>
          <t>DENTRO DE RENDIMIENTO BASE</t>
        </is>
      </c>
    </row>
    <row r="28" ht="20" customHeight="1" s="46">
      <c r="A28" s="69" t="n">
        <v>10</v>
      </c>
      <c r="B28" s="73" t="inlineStr">
        <is>
          <t>CPR-01</t>
        </is>
      </c>
      <c r="C28" s="83" t="inlineStr">
        <is>
          <t>COMPRESOR DE AIRE INGERSOLL RAND IR185</t>
        </is>
      </c>
      <c r="D28" s="83" t="inlineStr">
        <is>
          <t>Sopleteado de Juntas</t>
        </is>
      </c>
      <c r="E28" s="70" t="n">
        <v>21329.048</v>
      </c>
      <c r="F28" s="84" t="n">
        <v>0</v>
      </c>
      <c r="G28" s="85" t="n">
        <v>0</v>
      </c>
      <c r="H28" s="76" t="n">
        <v>0.08</v>
      </c>
      <c r="I28" s="69" t="inlineStr">
        <is>
          <t>L/Ton</t>
        </is>
      </c>
      <c r="J28" s="86" t="n">
        <v>-1</v>
      </c>
      <c r="K28" s="87" t="n">
        <v>-1706.3</v>
      </c>
      <c r="L28" s="87" t="n">
        <v>0</v>
      </c>
      <c r="M28" s="73" t="inlineStr">
        <is>
          <t>SIN CONSUMO (Inactiva)</t>
        </is>
      </c>
    </row>
    <row r="29" ht="20" customHeight="1" s="46">
      <c r="A29" s="62" t="n">
        <v>11</v>
      </c>
      <c r="B29" s="66" t="inlineStr">
        <is>
          <t>PP-01</t>
        </is>
      </c>
      <c r="C29" s="77" t="inlineStr">
        <is>
          <t>CAMIÓN IMPACTO / PIPA DE AGUA FORD</t>
        </is>
      </c>
      <c r="D29" s="77" t="inlineStr">
        <is>
          <t>Enfriamiento Rodillos / Riego</t>
        </is>
      </c>
      <c r="E29" s="63" t="n">
        <v>21329.048</v>
      </c>
      <c r="F29" s="78" t="n">
        <v>50</v>
      </c>
      <c r="G29" s="79" t="n">
        <v>0.002</v>
      </c>
      <c r="H29" s="75" t="n">
        <v>0.06</v>
      </c>
      <c r="I29" s="62" t="inlineStr">
        <is>
          <t>L/Ton</t>
        </is>
      </c>
      <c r="J29" s="80" t="n">
        <v>-0.961</v>
      </c>
      <c r="K29" s="81" t="n">
        <v>-1229.7</v>
      </c>
      <c r="L29" s="81" t="n">
        <v>16.5</v>
      </c>
      <c r="M29" s="66" t="inlineStr">
        <is>
          <t>APOYO PUNTUAL</t>
        </is>
      </c>
    </row>
    <row r="30" ht="20" customHeight="1" s="46">
      <c r="A30" s="69" t="n">
        <v>12</v>
      </c>
      <c r="B30" s="73" t="inlineStr">
        <is>
          <t>TL-01</t>
        </is>
      </c>
      <c r="C30" s="83" t="inlineStr">
        <is>
          <t>TORRE DE LUZ MAXILIGHT 4X1000W</t>
        </is>
      </c>
      <c r="D30" s="83" t="inlineStr">
        <is>
          <t>Iluminación Nocturna</t>
        </is>
      </c>
      <c r="E30" s="70" t="n">
        <v>21329.048</v>
      </c>
      <c r="F30" s="84" t="n">
        <v>118</v>
      </c>
      <c r="G30" s="85" t="n">
        <v>0.006</v>
      </c>
      <c r="H30" s="76" t="n">
        <v>0.04</v>
      </c>
      <c r="I30" s="69" t="inlineStr">
        <is>
          <t>L/Ton</t>
        </is>
      </c>
      <c r="J30" s="86" t="n">
        <v>-0.862</v>
      </c>
      <c r="K30" s="87" t="n">
        <v>-735.2</v>
      </c>
      <c r="L30" s="87" t="n">
        <v>49</v>
      </c>
      <c r="M30" s="73" t="inlineStr">
        <is>
          <t>APOYO NOCTURNO</t>
        </is>
      </c>
    </row>
    <row r="31" ht="22" customHeight="1" s="46">
      <c r="A31" s="89" t="inlineStr">
        <is>
          <t>TOTAL FLOTA / CONSOLIDADO OBRA</t>
        </is>
      </c>
      <c r="B31" s="101" t="n"/>
      <c r="C31" s="101" t="n"/>
      <c r="D31" s="102" t="n"/>
      <c r="E31" s="91" t="n">
        <v>29940</v>
      </c>
      <c r="F31" s="91" t="n">
        <v>35837</v>
      </c>
      <c r="G31" s="92" t="n">
        <v>1.197</v>
      </c>
      <c r="H31" s="93" t="inlineStr">
        <is>
          <t>-</t>
        </is>
      </c>
      <c r="I31" s="93" t="inlineStr">
        <is>
          <t>L/m³</t>
        </is>
      </c>
      <c r="J31" s="93" t="inlineStr">
        <is>
          <t>-</t>
        </is>
      </c>
      <c r="K31" s="94" t="n">
        <v>-63110.8</v>
      </c>
      <c r="L31" s="94" t="n">
        <v>1988.4</v>
      </c>
      <c r="M31" s="93" t="inlineStr">
        <is>
          <t>EFICIENCIA GLOBAL CONTROLADA</t>
        </is>
      </c>
    </row>
    <row r="34" ht="22" customHeight="1" s="46">
      <c r="A34" s="59" t="inlineStr">
        <is>
          <t>3. EVOLUCIÓN SEMANAL DEL RENDIMIENTO POR ACTIVIDAD Y OBRA (SEMANAS 24 A 37)</t>
        </is>
      </c>
    </row>
    <row r="35" ht="24" customHeight="1" s="46">
      <c r="A35" s="60" t="inlineStr">
        <is>
          <t>Semana</t>
        </is>
      </c>
      <c r="B35" s="60" t="inlineStr">
        <is>
          <t>Periodo Oficial</t>
        </is>
      </c>
      <c r="C35" s="60" t="inlineStr">
        <is>
          <t>Fresado (m³)</t>
        </is>
      </c>
      <c r="D35" s="60" t="inlineStr">
        <is>
          <t>Carpeta (Ton)</t>
        </is>
      </c>
      <c r="E35" s="60" t="inlineStr">
        <is>
          <t>Diésel Sem (L)</t>
        </is>
      </c>
      <c r="F35" s="60" t="inlineStr">
        <is>
          <t>Rend. Fresa Real</t>
        </is>
      </c>
      <c r="G35" s="60" t="inlineStr">
        <is>
          <t>Base Fresa</t>
        </is>
      </c>
      <c r="H35" s="60" t="inlineStr">
        <is>
          <t>Rend. Carpeta Real</t>
        </is>
      </c>
      <c r="I35" s="60" t="inlineStr">
        <is>
          <t>Base Carpeta</t>
        </is>
      </c>
      <c r="J35" s="60" t="inlineStr">
        <is>
          <t>Rend. Tren Rodillos</t>
        </is>
      </c>
      <c r="K35" s="60" t="inlineStr">
        <is>
          <t>Base Tren</t>
        </is>
      </c>
      <c r="L35" s="60" t="inlineStr">
        <is>
          <t>Rend. Global Obra</t>
        </is>
      </c>
      <c r="M35" s="60" t="inlineStr">
        <is>
          <t>Promedio Obra</t>
        </is>
      </c>
    </row>
    <row r="36" ht="20" customHeight="1" s="46">
      <c r="A36" s="66" t="inlineStr">
        <is>
          <t>Semana 24</t>
        </is>
      </c>
      <c r="B36" s="62" t="inlineStr">
        <is>
          <t>08/Jun - 13/Jun/2026</t>
        </is>
      </c>
      <c r="C36" s="63" t="n">
        <v>1190</v>
      </c>
      <c r="D36" s="63" t="n">
        <v>952.874</v>
      </c>
      <c r="E36" s="78" t="n">
        <v>1093</v>
      </c>
      <c r="F36" s="75" t="n">
        <v>0.653</v>
      </c>
      <c r="G36" s="75" t="n">
        <v>3.2</v>
      </c>
      <c r="H36" s="79" t="n">
        <v>0.143</v>
      </c>
      <c r="I36" s="75" t="n">
        <v>0.35</v>
      </c>
      <c r="J36" s="75" t="n">
        <v>0</v>
      </c>
      <c r="K36" s="75" t="n">
        <v>0.3</v>
      </c>
      <c r="L36" s="95" t="n">
        <v>0.629</v>
      </c>
      <c r="M36" s="75" t="n">
        <v>1.197</v>
      </c>
    </row>
    <row r="37" ht="20" customHeight="1" s="46">
      <c r="A37" s="73" t="inlineStr">
        <is>
          <t>Semana 25</t>
        </is>
      </c>
      <c r="B37" s="69" t="inlineStr">
        <is>
          <t>15/Jun - 20/Jun/2026</t>
        </is>
      </c>
      <c r="C37" s="70" t="n">
        <v>994</v>
      </c>
      <c r="D37" s="70" t="n">
        <v>1672.32</v>
      </c>
      <c r="E37" s="84" t="n">
        <v>2748</v>
      </c>
      <c r="F37" s="76" t="n">
        <v>1.207</v>
      </c>
      <c r="G37" s="76" t="n">
        <v>3.2</v>
      </c>
      <c r="H37" s="85" t="n">
        <v>0.335</v>
      </c>
      <c r="I37" s="76" t="n">
        <v>0.35</v>
      </c>
      <c r="J37" s="76" t="n">
        <v>0.257</v>
      </c>
      <c r="K37" s="76" t="n">
        <v>0.3</v>
      </c>
      <c r="L37" s="95" t="n">
        <v>1.406</v>
      </c>
      <c r="M37" s="76" t="n">
        <v>1.197</v>
      </c>
    </row>
    <row r="38" ht="20" customHeight="1" s="46">
      <c r="A38" s="66" t="inlineStr">
        <is>
          <t>Semana 26</t>
        </is>
      </c>
      <c r="B38" s="62" t="inlineStr">
        <is>
          <t>22/Jun - 27/Jun/2026</t>
        </is>
      </c>
      <c r="C38" s="63" t="n">
        <v>1029</v>
      </c>
      <c r="D38" s="63" t="n">
        <v>1015.586</v>
      </c>
      <c r="E38" s="78" t="n">
        <v>2804</v>
      </c>
      <c r="F38" s="75" t="n">
        <v>1.354</v>
      </c>
      <c r="G38" s="75" t="n">
        <v>3.2</v>
      </c>
      <c r="H38" s="79" t="n">
        <v>0.317</v>
      </c>
      <c r="I38" s="75" t="n">
        <v>0.35</v>
      </c>
      <c r="J38" s="75" t="n">
        <v>0.621</v>
      </c>
      <c r="K38" s="75" t="n">
        <v>0.3</v>
      </c>
      <c r="L38" s="95" t="n">
        <v>1.739</v>
      </c>
      <c r="M38" s="75" t="n">
        <v>1.197</v>
      </c>
    </row>
    <row r="39" ht="20" customHeight="1" s="46">
      <c r="A39" s="73" t="inlineStr">
        <is>
          <t>Semana 27</t>
        </is>
      </c>
      <c r="B39" s="69" t="inlineStr">
        <is>
          <t>29/Jun - 04/Jul/2026</t>
        </is>
      </c>
      <c r="C39" s="70" t="n">
        <v>1470</v>
      </c>
      <c r="D39" s="70" t="n">
        <v>1492.894</v>
      </c>
      <c r="E39" s="84" t="n">
        <v>3727</v>
      </c>
      <c r="F39" s="76" t="n">
        <v>1.193</v>
      </c>
      <c r="G39" s="76" t="n">
        <v>3.2</v>
      </c>
      <c r="H39" s="85" t="n">
        <v>0.401</v>
      </c>
      <c r="I39" s="76" t="n">
        <v>0.35</v>
      </c>
      <c r="J39" s="76" t="n">
        <v>0.366</v>
      </c>
      <c r="K39" s="76" t="n">
        <v>0.3</v>
      </c>
      <c r="L39" s="95" t="n">
        <v>1.602</v>
      </c>
      <c r="M39" s="76" t="n">
        <v>1.197</v>
      </c>
    </row>
    <row r="40" ht="20" customHeight="1" s="46">
      <c r="A40" s="66" t="inlineStr">
        <is>
          <t>Semana 28</t>
        </is>
      </c>
      <c r="B40" s="62" t="inlineStr">
        <is>
          <t>06/Jul - 11/Jul/2026</t>
        </is>
      </c>
      <c r="C40" s="63" t="n">
        <v>1239</v>
      </c>
      <c r="D40" s="63" t="n">
        <v>853.58</v>
      </c>
      <c r="E40" s="78" t="n">
        <v>693</v>
      </c>
      <c r="F40" s="75" t="n">
        <v>0.121</v>
      </c>
      <c r="G40" s="75" t="n">
        <v>3.2</v>
      </c>
      <c r="H40" s="79" t="n">
        <v>0.187</v>
      </c>
      <c r="I40" s="75" t="n">
        <v>0.35</v>
      </c>
      <c r="J40" s="75" t="n">
        <v>0.232</v>
      </c>
      <c r="K40" s="75" t="n">
        <v>0.3</v>
      </c>
      <c r="L40" s="95" t="n">
        <v>0.401</v>
      </c>
      <c r="M40" s="75" t="n">
        <v>1.197</v>
      </c>
    </row>
    <row r="41" ht="20" customHeight="1" s="46">
      <c r="A41" s="73" t="inlineStr">
        <is>
          <t>Semana 29</t>
        </is>
      </c>
      <c r="B41" s="69" t="inlineStr">
        <is>
          <t>13/Jul - 18/Jul/2026</t>
        </is>
      </c>
      <c r="C41" s="70" t="n">
        <v>1351</v>
      </c>
      <c r="D41" s="70" t="n">
        <v>1414.504</v>
      </c>
      <c r="E41" s="84" t="n">
        <v>3380</v>
      </c>
      <c r="F41" s="76" t="n">
        <v>1.458</v>
      </c>
      <c r="G41" s="76" t="n">
        <v>3.2</v>
      </c>
      <c r="H41" s="85" t="n">
        <v>0.375</v>
      </c>
      <c r="I41" s="76" t="n">
        <v>0.35</v>
      </c>
      <c r="J41" s="76" t="n">
        <v>0.028</v>
      </c>
      <c r="K41" s="76" t="n">
        <v>0.3</v>
      </c>
      <c r="L41" s="95" t="n">
        <v>1.563</v>
      </c>
      <c r="M41" s="76" t="n">
        <v>1.197</v>
      </c>
    </row>
    <row r="42" ht="20" customHeight="1" s="46">
      <c r="A42" s="66" t="inlineStr">
        <is>
          <t>Semana 30</t>
        </is>
      </c>
      <c r="B42" s="62" t="inlineStr">
        <is>
          <t>20/Jul - 25/Jul/2026</t>
        </is>
      </c>
      <c r="C42" s="63" t="n">
        <v>1904</v>
      </c>
      <c r="D42" s="63" t="n">
        <v>1804.712</v>
      </c>
      <c r="E42" s="78" t="n">
        <v>2663</v>
      </c>
      <c r="F42" s="75" t="n">
        <v>0.63</v>
      </c>
      <c r="G42" s="75" t="n">
        <v>3.2</v>
      </c>
      <c r="H42" s="79" t="n">
        <v>0.194</v>
      </c>
      <c r="I42" s="75" t="n">
        <v>0.35</v>
      </c>
      <c r="J42" s="75" t="n">
        <v>0.391</v>
      </c>
      <c r="K42" s="75" t="n">
        <v>0.3</v>
      </c>
      <c r="L42" s="95" t="n">
        <v>0.906</v>
      </c>
      <c r="M42" s="75" t="n">
        <v>1.197</v>
      </c>
    </row>
    <row r="43" ht="20" customHeight="1" s="46">
      <c r="A43" s="73" t="inlineStr">
        <is>
          <t>Semana 31</t>
        </is>
      </c>
      <c r="B43" s="69" t="inlineStr">
        <is>
          <t>27/Jul - 01/Ago/2026</t>
        </is>
      </c>
      <c r="C43" s="70" t="n">
        <v>1288</v>
      </c>
      <c r="D43" s="70" t="n">
        <v>1743.742</v>
      </c>
      <c r="E43" s="84" t="n">
        <v>3100</v>
      </c>
      <c r="F43" s="76" t="n">
        <v>0.9320000000000001</v>
      </c>
      <c r="G43" s="76" t="n">
        <v>3.2</v>
      </c>
      <c r="H43" s="85" t="n">
        <v>0.316</v>
      </c>
      <c r="I43" s="76" t="n">
        <v>0.35</v>
      </c>
      <c r="J43" s="76" t="n">
        <v>0.325</v>
      </c>
      <c r="K43" s="76" t="n">
        <v>0.3</v>
      </c>
      <c r="L43" s="95" t="n">
        <v>1.354</v>
      </c>
      <c r="M43" s="76" t="n">
        <v>1.197</v>
      </c>
    </row>
    <row r="44" ht="20" customHeight="1" s="46">
      <c r="A44" s="66" t="inlineStr">
        <is>
          <t>Semana 32</t>
        </is>
      </c>
      <c r="B44" s="62" t="inlineStr">
        <is>
          <t>03/Ago - 08/Ago/2026</t>
        </is>
      </c>
      <c r="C44" s="63" t="n">
        <v>1547</v>
      </c>
      <c r="D44" s="63" t="n">
        <v>1999.816</v>
      </c>
      <c r="E44" s="78" t="n">
        <v>2593</v>
      </c>
      <c r="F44" s="75" t="n">
        <v>0.621</v>
      </c>
      <c r="G44" s="75" t="n">
        <v>3.2</v>
      </c>
      <c r="H44" s="79" t="n">
        <v>0.363</v>
      </c>
      <c r="I44" s="75" t="n">
        <v>0.35</v>
      </c>
      <c r="J44" s="75" t="n">
        <v>0.2</v>
      </c>
      <c r="K44" s="75" t="n">
        <v>0.3</v>
      </c>
      <c r="L44" s="95" t="n">
        <v>0.962</v>
      </c>
      <c r="M44" s="75" t="n">
        <v>1.197</v>
      </c>
    </row>
    <row r="45" ht="20" customHeight="1" s="46">
      <c r="A45" s="73" t="inlineStr">
        <is>
          <t>Semana 33</t>
        </is>
      </c>
      <c r="B45" s="69" t="inlineStr">
        <is>
          <t>10/Ago - 15/Ago/2026</t>
        </is>
      </c>
      <c r="C45" s="70" t="n">
        <v>1582</v>
      </c>
      <c r="D45" s="70" t="n">
        <v>1268.176</v>
      </c>
      <c r="E45" s="84" t="n">
        <v>3180</v>
      </c>
      <c r="F45" s="76" t="n">
        <v>0.771</v>
      </c>
      <c r="G45" s="76" t="n">
        <v>3.2</v>
      </c>
      <c r="H45" s="85" t="n">
        <v>0.552</v>
      </c>
      <c r="I45" s="76" t="n">
        <v>0.35</v>
      </c>
      <c r="J45" s="76" t="n">
        <v>0.299</v>
      </c>
      <c r="K45" s="76" t="n">
        <v>0.3</v>
      </c>
      <c r="L45" s="95" t="n">
        <v>1.377</v>
      </c>
      <c r="M45" s="76" t="n">
        <v>1.197</v>
      </c>
    </row>
    <row r="46" ht="20" customHeight="1" s="46">
      <c r="A46" s="66" t="inlineStr">
        <is>
          <t>Semana 34</t>
        </is>
      </c>
      <c r="B46" s="62" t="inlineStr">
        <is>
          <t>17/Ago - 22/Ago/2026</t>
        </is>
      </c>
      <c r="C46" s="63" t="n">
        <v>2023</v>
      </c>
      <c r="D46" s="63" t="n">
        <v>1379.664</v>
      </c>
      <c r="E46" s="78" t="n">
        <v>2916</v>
      </c>
      <c r="F46" s="75" t="n">
        <v>0.593</v>
      </c>
      <c r="G46" s="75" t="n">
        <v>3.2</v>
      </c>
      <c r="H46" s="79" t="n">
        <v>0.42</v>
      </c>
      <c r="I46" s="75" t="n">
        <v>0.35</v>
      </c>
      <c r="J46" s="75" t="n">
        <v>0.378</v>
      </c>
      <c r="K46" s="75" t="n">
        <v>0.3</v>
      </c>
      <c r="L46" s="95" t="n">
        <v>1.036</v>
      </c>
      <c r="M46" s="75" t="n">
        <v>1.197</v>
      </c>
    </row>
    <row r="47" ht="20" customHeight="1" s="46">
      <c r="A47" s="73" t="inlineStr">
        <is>
          <t>Semana 35</t>
        </is>
      </c>
      <c r="B47" s="69" t="inlineStr">
        <is>
          <t>24/Ago - 29/Ago/2026</t>
        </is>
      </c>
      <c r="C47" s="70" t="n">
        <v>42</v>
      </c>
      <c r="D47" s="70" t="n">
        <v>1731.548</v>
      </c>
      <c r="E47" s="84" t="n">
        <v>1599</v>
      </c>
      <c r="F47" s="76" t="n">
        <v>0</v>
      </c>
      <c r="G47" s="76" t="n">
        <v>3.2</v>
      </c>
      <c r="H47" s="85" t="n">
        <v>0.409</v>
      </c>
      <c r="I47" s="76" t="n">
        <v>0.35</v>
      </c>
      <c r="J47" s="76" t="n">
        <v>0.304</v>
      </c>
      <c r="K47" s="76" t="n">
        <v>0.3</v>
      </c>
      <c r="L47" s="95" t="n">
        <v>1.543</v>
      </c>
      <c r="M47" s="76" t="n">
        <v>1.197</v>
      </c>
    </row>
    <row r="48" ht="20" customHeight="1" s="46">
      <c r="A48" s="66" t="inlineStr">
        <is>
          <t>Semana 36</t>
        </is>
      </c>
      <c r="B48" s="62" t="inlineStr">
        <is>
          <t>31/Ago - 05/Sep/2026</t>
        </is>
      </c>
      <c r="C48" s="63" t="n">
        <v>63</v>
      </c>
      <c r="D48" s="63" t="n">
        <v>1902.264</v>
      </c>
      <c r="E48" s="78" t="n">
        <v>2361</v>
      </c>
      <c r="F48" s="75" t="n">
        <v>11.905</v>
      </c>
      <c r="G48" s="75" t="n">
        <v>3.2</v>
      </c>
      <c r="H48" s="79" t="n">
        <v>0.389</v>
      </c>
      <c r="I48" s="75" t="n">
        <v>0.35</v>
      </c>
      <c r="J48" s="75" t="n">
        <v>0.308</v>
      </c>
      <c r="K48" s="75" t="n">
        <v>0.3</v>
      </c>
      <c r="L48" s="95" t="n">
        <v>2.044</v>
      </c>
      <c r="M48" s="75" t="n">
        <v>1.197</v>
      </c>
    </row>
    <row r="49" ht="20" customHeight="1" s="46">
      <c r="A49" s="73" t="inlineStr">
        <is>
          <t>Semana 37</t>
        </is>
      </c>
      <c r="B49" s="69" t="inlineStr">
        <is>
          <t>07/Sep - 12/Sep/2026</t>
        </is>
      </c>
      <c r="C49" s="70" t="n">
        <v>1974</v>
      </c>
      <c r="D49" s="70" t="n">
        <v>2097.368</v>
      </c>
      <c r="E49" s="84" t="n">
        <v>2980</v>
      </c>
      <c r="F49" s="76" t="n">
        <v>0.633</v>
      </c>
      <c r="G49" s="76" t="n">
        <v>3.2</v>
      </c>
      <c r="H49" s="85" t="n">
        <v>0.248</v>
      </c>
      <c r="I49" s="76" t="n">
        <v>0.35</v>
      </c>
      <c r="J49" s="76" t="n">
        <v>0.255</v>
      </c>
      <c r="K49" s="76" t="n">
        <v>0.3</v>
      </c>
      <c r="L49" s="95" t="n">
        <v>0.9379999999999999</v>
      </c>
      <c r="M49" s="76" t="n">
        <v>1.197</v>
      </c>
    </row>
    <row r="52" ht="22" customHeight="1" s="46">
      <c r="A52" s="59" t="inlineStr">
        <is>
          <t>4. RENDIMIENTO PONDERADO DIARIO POR DÍA DE LA SEMANA Y PROMEDIO GENERAL DE LA OBRA</t>
        </is>
      </c>
    </row>
    <row r="53" ht="24" customHeight="1" s="46">
      <c r="A53" s="60" t="inlineStr">
        <is>
          <t>Día de Semana</t>
        </is>
      </c>
      <c r="B53" s="60" t="inlineStr">
        <is>
          <t>Días Activos</t>
        </is>
      </c>
      <c r="C53" s="60" t="inlineStr">
        <is>
          <t>Diésel Total (L)</t>
        </is>
      </c>
      <c r="D53" s="60" t="inlineStr">
        <is>
          <t>Fresado Total (m³)</t>
        </is>
      </c>
      <c r="E53" s="60" t="inlineStr">
        <is>
          <t>Carpeta (m³)</t>
        </is>
      </c>
      <c r="F53" s="60" t="inlineStr">
        <is>
          <t>Carpeta (Ton)</t>
        </is>
      </c>
      <c r="G53" s="60" t="inlineStr">
        <is>
          <t>Volumen Total (m³)</t>
        </is>
      </c>
      <c r="H53" s="60" t="inlineStr">
        <is>
          <t>Rendimiento Diario (L/m³)</t>
        </is>
      </c>
      <c r="I53" s="60" t="inlineStr">
        <is>
          <t>Promedio General Obra</t>
        </is>
      </c>
      <c r="J53" s="60" t="inlineStr">
        <is>
          <t>Desv. vs Promedio</t>
        </is>
      </c>
      <c r="K53" s="60" t="inlineStr">
        <is>
          <t>Día Eficiencia</t>
        </is>
      </c>
      <c r="L53" s="60" t="inlineStr">
        <is>
          <t>Observaciones Operativas</t>
        </is>
      </c>
      <c r="M53" s="60" t="inlineStr">
        <is>
          <t>Recomendación</t>
        </is>
      </c>
    </row>
    <row r="54" ht="20" customHeight="1" s="46">
      <c r="A54" s="66" t="inlineStr">
        <is>
          <t>Lunes</t>
        </is>
      </c>
      <c r="B54" s="62" t="inlineStr">
        <is>
          <t>14 de 14</t>
        </is>
      </c>
      <c r="C54" s="63" t="n">
        <v>4742</v>
      </c>
      <c r="D54" s="63" t="n">
        <v>2947</v>
      </c>
      <c r="E54" s="63" t="n">
        <v>1915</v>
      </c>
      <c r="F54" s="63" t="n">
        <v>3335.93</v>
      </c>
      <c r="G54" s="63" t="n">
        <v>4862</v>
      </c>
      <c r="H54" s="95" t="n">
        <v>0.975</v>
      </c>
      <c r="I54" s="75" t="n">
        <v>1.205</v>
      </c>
      <c r="J54" s="80" t="n">
        <v>-0.191</v>
      </c>
      <c r="K54" s="66" t="inlineStr">
        <is>
          <t>Alta</t>
        </is>
      </c>
      <c r="L54" s="67" t="inlineStr">
        <is>
          <t>Arranque progresivo y tramos planificados</t>
        </is>
      </c>
      <c r="M54" s="67" t="inlineStr">
        <is>
          <t>Mantener ritmo de inicio de semana</t>
        </is>
      </c>
    </row>
    <row r="55" ht="20" customHeight="1" s="46">
      <c r="A55" s="73" t="inlineStr">
        <is>
          <t>Martes</t>
        </is>
      </c>
      <c r="B55" s="69" t="inlineStr">
        <is>
          <t>14 de 14</t>
        </is>
      </c>
      <c r="C55" s="70" t="n">
        <v>8470</v>
      </c>
      <c r="D55" s="70" t="n">
        <v>3493</v>
      </c>
      <c r="E55" s="70" t="n">
        <v>2440</v>
      </c>
      <c r="F55" s="70" t="n">
        <v>4250.48</v>
      </c>
      <c r="G55" s="70" t="n">
        <v>5933</v>
      </c>
      <c r="H55" s="95" t="n">
        <v>1.428</v>
      </c>
      <c r="I55" s="76" t="n">
        <v>1.205</v>
      </c>
      <c r="J55" s="86" t="n">
        <v>0.185</v>
      </c>
      <c r="K55" s="73" t="inlineStr">
        <is>
          <t>Media</t>
        </is>
      </c>
      <c r="L55" s="74" t="inlineStr">
        <is>
          <t>Pico de abastecimiento general de diésel</t>
        </is>
      </c>
      <c r="M55" s="74" t="inlineStr">
        <is>
          <t>Distribuir cargas pesadas de marimba</t>
        </is>
      </c>
    </row>
    <row r="56" ht="20" customHeight="1" s="46">
      <c r="A56" s="66" t="inlineStr">
        <is>
          <t>Miércoles</t>
        </is>
      </c>
      <c r="B56" s="62" t="inlineStr">
        <is>
          <t>14 de 14</t>
        </is>
      </c>
      <c r="C56" s="63" t="n">
        <v>5022</v>
      </c>
      <c r="D56" s="63" t="n">
        <v>3717</v>
      </c>
      <c r="E56" s="63" t="n">
        <v>2135</v>
      </c>
      <c r="F56" s="63" t="n">
        <v>3719.17</v>
      </c>
      <c r="G56" s="63" t="n">
        <v>5852</v>
      </c>
      <c r="H56" s="95" t="n">
        <v>0.858</v>
      </c>
      <c r="I56" s="75" t="n">
        <v>1.205</v>
      </c>
      <c r="J56" s="80" t="n">
        <v>-0.288</v>
      </c>
      <c r="K56" s="66" t="inlineStr">
        <is>
          <t>Máxima</t>
        </is>
      </c>
      <c r="L56" s="67" t="inlineStr">
        <is>
          <t>Día más eficiente de la obra (máximo avance)</t>
        </is>
      </c>
      <c r="M56" s="67" t="inlineStr">
        <is>
          <t>Modelo operativo a replicar otros días</t>
        </is>
      </c>
    </row>
    <row r="57" ht="20" customHeight="1" s="46">
      <c r="A57" s="73" t="inlineStr">
        <is>
          <t>Jueves</t>
        </is>
      </c>
      <c r="B57" s="69" t="inlineStr">
        <is>
          <t>14 de 14</t>
        </is>
      </c>
      <c r="C57" s="70" t="n">
        <v>6214</v>
      </c>
      <c r="D57" s="70" t="n">
        <v>2597</v>
      </c>
      <c r="E57" s="70" t="n">
        <v>2405</v>
      </c>
      <c r="F57" s="70" t="n">
        <v>4189.51</v>
      </c>
      <c r="G57" s="70" t="n">
        <v>5002</v>
      </c>
      <c r="H57" s="95" t="n">
        <v>1.242</v>
      </c>
      <c r="I57" s="76" t="n">
        <v>1.205</v>
      </c>
      <c r="J57" s="86" t="n">
        <v>0.031</v>
      </c>
      <c r="K57" s="73" t="inlineStr">
        <is>
          <t>Normal</t>
        </is>
      </c>
      <c r="L57" s="74" t="inlineStr">
        <is>
          <t>Operación estable de fresado y tiro continuo</t>
        </is>
      </c>
      <c r="M57" s="74" t="inlineStr">
        <is>
          <t>Supervisar tiempos de espera de tolvas</t>
        </is>
      </c>
    </row>
    <row r="58" ht="20" customHeight="1" s="46">
      <c r="A58" s="66" t="inlineStr">
        <is>
          <t>Viernes</t>
        </is>
      </c>
      <c r="B58" s="62" t="inlineStr">
        <is>
          <t>13 de 14</t>
        </is>
      </c>
      <c r="C58" s="63" t="n">
        <v>6305</v>
      </c>
      <c r="D58" s="63" t="n">
        <v>3115</v>
      </c>
      <c r="E58" s="63" t="n">
        <v>2456</v>
      </c>
      <c r="F58" s="63" t="n">
        <v>4278.35</v>
      </c>
      <c r="G58" s="63" t="n">
        <v>5571</v>
      </c>
      <c r="H58" s="95" t="n">
        <v>1.132</v>
      </c>
      <c r="I58" s="75" t="n">
        <v>1.205</v>
      </c>
      <c r="J58" s="80" t="n">
        <v>-0.061</v>
      </c>
      <c r="K58" s="66" t="inlineStr">
        <is>
          <t>Alta</t>
        </is>
      </c>
      <c r="L58" s="67" t="inlineStr">
        <is>
          <t>Avance de cierre de frentes semanales</t>
        </is>
      </c>
      <c r="M58" s="67" t="inlineStr">
        <is>
          <t>Asegurar compactación antes de lluvia</t>
        </is>
      </c>
    </row>
    <row r="59" ht="20" customHeight="1" s="46">
      <c r="A59" s="73" t="inlineStr">
        <is>
          <t>Sábado</t>
        </is>
      </c>
      <c r="B59" s="69" t="inlineStr">
        <is>
          <t>12 de 14</t>
        </is>
      </c>
      <c r="C59" s="70" t="n">
        <v>5314</v>
      </c>
      <c r="D59" s="70" t="n">
        <v>1813</v>
      </c>
      <c r="E59" s="70" t="n">
        <v>904</v>
      </c>
      <c r="F59" s="70" t="n">
        <v>1574.77</v>
      </c>
      <c r="G59" s="70" t="n">
        <v>2717</v>
      </c>
      <c r="H59" s="95" t="n">
        <v>1.956</v>
      </c>
      <c r="I59" s="76" t="n">
        <v>1.205</v>
      </c>
      <c r="J59" s="86" t="n">
        <v>0.623</v>
      </c>
      <c r="K59" s="73" t="inlineStr">
        <is>
          <t>Baja</t>
        </is>
      </c>
      <c r="L59" s="74" t="inlineStr">
        <is>
          <t>Jornada corta con cargas preventivas de fin de semana</t>
        </is>
      </c>
      <c r="M59" s="74" t="inlineStr">
        <is>
          <t>Evitar surtir tanques si no hay turno nocturno</t>
        </is>
      </c>
    </row>
  </sheetData>
  <mergeCells count="19">
    <mergeCell ref="C5:D5"/>
    <mergeCell ref="A17:M17"/>
    <mergeCell ref="E5:F5"/>
    <mergeCell ref="A52:M52"/>
    <mergeCell ref="C4:D4"/>
    <mergeCell ref="E4:F4"/>
    <mergeCell ref="A31:D31"/>
    <mergeCell ref="A34:M34"/>
    <mergeCell ref="A1:M1"/>
    <mergeCell ref="K4:M4"/>
    <mergeCell ref="A5:B5"/>
    <mergeCell ref="G5:H5"/>
    <mergeCell ref="I5:J5"/>
    <mergeCell ref="A7:M7"/>
    <mergeCell ref="A4:B4"/>
    <mergeCell ref="G4:H4"/>
    <mergeCell ref="I4:J4"/>
    <mergeCell ref="K5:M5"/>
    <mergeCell ref="A2:M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6"/>
  <sheetViews>
    <sheetView showGridLines="1" workbookViewId="0">
      <selection activeCell="A1" sqref="A1"/>
    </sheetView>
  </sheetViews>
  <sheetFormatPr baseColWidth="8" defaultRowHeight="15"/>
  <cols>
    <col width="16" customWidth="1" style="46" min="1" max="1"/>
    <col width="18" customWidth="1" style="46" min="2" max="2"/>
    <col width="18" customWidth="1" style="46" min="3" max="3"/>
    <col width="16" customWidth="1" style="46" min="4" max="4"/>
    <col width="20" customWidth="1" style="46" min="5" max="5"/>
    <col width="18" customWidth="1" style="46" min="6" max="6"/>
    <col width="18" customWidth="1" style="46" min="7" max="7"/>
    <col width="20" customWidth="1" style="46" min="8" max="8"/>
    <col width="24" customWidth="1" style="46" min="9" max="9"/>
    <col width="20" customWidth="1" style="46" min="10" max="10"/>
    <col width="18" customWidth="1" style="46" min="11" max="11"/>
    <col width="22" customWidth="1" style="46" min="12" max="12"/>
    <col width="22" customWidth="1" style="46" min="13" max="13"/>
    <col width="4" customWidth="1" style="46" min="14" max="14"/>
  </cols>
  <sheetData>
    <row r="1" ht="28" customHeight="1" s="46">
      <c r="A1" s="103" t="inlineStr">
        <is>
          <t>INFORME DE AUDITORÍA Y CONCILIACIÓN TRIANGULADA: FACTURAS VS. CARGAS EN DB VS. BITÁCORA DE CAMPO</t>
        </is>
      </c>
    </row>
    <row r="2" ht="20" customHeight="1" s="46">
      <c r="A2" s="104" t="inlineStr">
        <is>
          <t>OBRA: CARRETERA MÉXICO - TOLUCA | PROVEEDOR FISCAL: DERIVADOS DE PETRÓLEO CASTILLA | PERIODO AUDITADO: SEMANAS 24 A 37</t>
        </is>
      </c>
    </row>
    <row r="4" ht="20" customHeight="1" s="46">
      <c r="B4" s="105" t="inlineStr">
        <is>
          <t>TOTAL DIÉSEL FACTURADO</t>
        </is>
      </c>
      <c r="C4" s="106" t="n"/>
      <c r="D4" s="107" t="inlineStr">
        <is>
          <t>TOTAL CARGAS EN DB</t>
        </is>
      </c>
      <c r="E4" s="106" t="n"/>
      <c r="F4" s="105" t="inlineStr">
        <is>
          <t>BITÁCORA MAQUINARIA</t>
        </is>
      </c>
      <c r="G4" s="106" t="n"/>
      <c r="H4" s="108" t="inlineStr">
        <is>
          <t>DESVIACIÓN FACTURADO VS OBRA</t>
        </is>
      </c>
      <c r="I4" s="106" t="n"/>
      <c r="J4" s="107" t="inlineStr">
        <is>
          <t>RENDIMIENTO OPERATIVO (OBRA)</t>
        </is>
      </c>
      <c r="K4" s="106" t="n"/>
      <c r="L4" s="108" t="inlineStr">
        <is>
          <t>RENDIMIENTO FACTURADO</t>
        </is>
      </c>
      <c r="M4" s="106" t="n"/>
    </row>
    <row r="5" ht="30" customHeight="1" s="46">
      <c r="B5" s="109" t="inlineStr">
        <is>
          <t>41,020.11 L
($1,107,547.97 MXN (74 facturas))</t>
        </is>
      </c>
      <c r="C5" s="106" t="n"/>
      <c r="D5" s="109" t="inlineStr">
        <is>
          <t>40,724.66 L
(99.28% de match con facturas)</t>
        </is>
      </c>
      <c r="E5" s="106" t="n"/>
      <c r="F5" s="109" t="inlineStr">
        <is>
          <t>36,067.00 L
(Consumo reportado en 12 máquinas)</t>
        </is>
      </c>
      <c r="G5" s="106" t="n"/>
      <c r="H5" s="109" t="inlineStr">
        <is>
          <t>+4,953.11 L
(+13.73% sobreconsumo facturado)</t>
        </is>
      </c>
      <c r="I5" s="106" t="n"/>
      <c r="J5" s="109" t="inlineStr">
        <is>
          <t>1.205 L/m³
(Eficiencia directa en maquinaria)</t>
        </is>
      </c>
      <c r="K5" s="106" t="n"/>
      <c r="L5" s="109" t="inlineStr">
        <is>
          <t>1.370 L/m³
(Impacto financiero (+0.165 L/m³))</t>
        </is>
      </c>
      <c r="M5" s="106" t="n"/>
    </row>
    <row r="7">
      <c r="A7" s="110" t="inlineStr">
        <is>
          <t>TABLA 1: CONCILIACIÓN TRIANGULADA SEMANAL (BITÁCORA DE CAMPO VS. CARGAS EN DB VS. FACTURAS PAGADAS)</t>
        </is>
      </c>
    </row>
    <row r="8" ht="25" customHeight="1" s="46">
      <c r="A8" s="111" t="inlineStr">
        <is>
          <t>Semana</t>
        </is>
      </c>
      <c r="B8" s="111" t="inlineStr">
        <is>
          <t>Vol. Fresado (m³)</t>
        </is>
      </c>
      <c r="C8" s="111" t="inlineStr">
        <is>
          <t>Vol. Carpeta (m³)</t>
        </is>
      </c>
      <c r="D8" s="111" t="inlineStr">
        <is>
          <t>Vol. Total (m³)</t>
        </is>
      </c>
      <c r="E8" s="111" t="inlineStr">
        <is>
          <t>Diésel Bitácora (L)</t>
        </is>
      </c>
      <c r="F8" s="111" t="inlineStr">
        <is>
          <t>Cargas DB (L)</t>
        </is>
      </c>
      <c r="G8" s="111" t="inlineStr">
        <is>
          <t>Diff DB vs Bit (L)</t>
        </is>
      </c>
      <c r="H8" s="111" t="inlineStr">
        <is>
          <t>Diésel Facturado (L)</t>
        </is>
      </c>
      <c r="I8" s="111" t="inlineStr">
        <is>
          <t>Importe Facturado (MXN)</t>
        </is>
      </c>
      <c r="J8" s="111" t="inlineStr">
        <is>
          <t>Diff Fact vs Bit (L)</t>
        </is>
      </c>
      <c r="K8" s="111" t="inlineStr">
        <is>
          <t>% Desv. Fact/Bit</t>
        </is>
      </c>
      <c r="L8" s="111" t="inlineStr">
        <is>
          <t>Rend. Bitácora (L/m³)</t>
        </is>
      </c>
      <c r="M8" s="111" t="inlineStr">
        <is>
          <t>Rend. Facturado (L/m³)</t>
        </is>
      </c>
    </row>
    <row r="9">
      <c r="A9" s="112" t="inlineStr">
        <is>
          <t>Semana 24</t>
        </is>
      </c>
      <c r="B9" s="113" t="n">
        <v>1737</v>
      </c>
      <c r="C9" s="113" t="n">
        <v>0</v>
      </c>
      <c r="D9" s="113" t="n">
        <v>1737</v>
      </c>
      <c r="E9" s="113" t="n">
        <v>1285</v>
      </c>
      <c r="F9" s="113" t="n">
        <v>1485</v>
      </c>
      <c r="G9" s="113" t="n">
        <v>200</v>
      </c>
      <c r="H9" s="113" t="n">
        <v>0</v>
      </c>
      <c r="I9" s="114" t="n">
        <v>0</v>
      </c>
      <c r="J9" s="113" t="n">
        <v>-1285</v>
      </c>
      <c r="K9" s="115" t="n">
        <v>-1</v>
      </c>
      <c r="L9" s="116" t="n">
        <v>0.74</v>
      </c>
      <c r="M9" s="116" t="n">
        <v>0</v>
      </c>
    </row>
    <row r="10">
      <c r="A10" s="117" t="inlineStr">
        <is>
          <t>Semana 25</t>
        </is>
      </c>
      <c r="B10" s="118" t="n">
        <v>994</v>
      </c>
      <c r="C10" s="118" t="n">
        <v>960</v>
      </c>
      <c r="D10" s="118" t="n">
        <v>1954</v>
      </c>
      <c r="E10" s="118" t="n">
        <v>2576</v>
      </c>
      <c r="F10" s="118" t="n">
        <v>2828</v>
      </c>
      <c r="G10" s="118" t="n">
        <v>252</v>
      </c>
      <c r="H10" s="118" t="n">
        <v>2410</v>
      </c>
      <c r="I10" s="119" t="n">
        <v>65070.37</v>
      </c>
      <c r="J10" s="118" t="n">
        <v>-166</v>
      </c>
      <c r="K10" s="115" t="n">
        <v>-0.064</v>
      </c>
      <c r="L10" s="120" t="n">
        <v>1.318</v>
      </c>
      <c r="M10" s="120" t="n">
        <v>1.233</v>
      </c>
    </row>
    <row r="11">
      <c r="A11" s="112" t="inlineStr">
        <is>
          <t>Semana 26</t>
        </is>
      </c>
      <c r="B11" s="113" t="n">
        <v>980</v>
      </c>
      <c r="C11" s="113" t="n">
        <v>632</v>
      </c>
      <c r="D11" s="113" t="n">
        <v>1612</v>
      </c>
      <c r="E11" s="113" t="n">
        <v>2804</v>
      </c>
      <c r="F11" s="113" t="n">
        <v>2517</v>
      </c>
      <c r="G11" s="113" t="n">
        <v>-287</v>
      </c>
      <c r="H11" s="113" t="n">
        <v>2530</v>
      </c>
      <c r="I11" s="114" t="n">
        <v>68310.31</v>
      </c>
      <c r="J11" s="113" t="n">
        <v>-274</v>
      </c>
      <c r="K11" s="115" t="n">
        <v>-0.098</v>
      </c>
      <c r="L11" s="116" t="n">
        <v>1.739</v>
      </c>
      <c r="M11" s="116" t="n">
        <v>1.569</v>
      </c>
    </row>
    <row r="12">
      <c r="A12" s="117" t="inlineStr">
        <is>
          <t>Semana 27</t>
        </is>
      </c>
      <c r="B12" s="118" t="n">
        <v>1029</v>
      </c>
      <c r="C12" s="118" t="n">
        <v>1298</v>
      </c>
      <c r="D12" s="118" t="n">
        <v>2327</v>
      </c>
      <c r="E12" s="118" t="n">
        <v>3727</v>
      </c>
      <c r="F12" s="118" t="n">
        <v>4876</v>
      </c>
      <c r="G12" s="118" t="n">
        <v>1149</v>
      </c>
      <c r="H12" s="118" t="n">
        <v>4895</v>
      </c>
      <c r="I12" s="119" t="n">
        <v>132165.61</v>
      </c>
      <c r="J12" s="118" t="n">
        <v>1168</v>
      </c>
      <c r="K12" s="121" t="n">
        <v>0.313</v>
      </c>
      <c r="L12" s="120" t="n">
        <v>1.602</v>
      </c>
      <c r="M12" s="120" t="n">
        <v>2.104</v>
      </c>
    </row>
    <row r="13">
      <c r="A13" s="112" t="inlineStr">
        <is>
          <t>Semana 28</t>
        </is>
      </c>
      <c r="B13" s="113" t="n">
        <v>1729</v>
      </c>
      <c r="C13" s="113" t="n">
        <v>0</v>
      </c>
      <c r="D13" s="113" t="n">
        <v>1729</v>
      </c>
      <c r="E13" s="113" t="n">
        <v>753</v>
      </c>
      <c r="F13" s="113" t="n">
        <v>2521</v>
      </c>
      <c r="G13" s="113" t="n">
        <v>1768</v>
      </c>
      <c r="H13" s="113" t="n">
        <v>2500</v>
      </c>
      <c r="I13" s="114" t="n">
        <v>67500.48</v>
      </c>
      <c r="J13" s="113" t="n">
        <v>1747</v>
      </c>
      <c r="K13" s="121" t="n">
        <v>2.32</v>
      </c>
      <c r="L13" s="116" t="n">
        <v>0.436</v>
      </c>
      <c r="M13" s="116" t="n">
        <v>1.446</v>
      </c>
    </row>
    <row r="14">
      <c r="A14" s="117" t="inlineStr">
        <is>
          <t>Semana 29</t>
        </is>
      </c>
      <c r="B14" s="118" t="n">
        <v>1267</v>
      </c>
      <c r="C14" s="118" t="n">
        <v>896</v>
      </c>
      <c r="D14" s="118" t="n">
        <v>2163</v>
      </c>
      <c r="E14" s="118" t="n">
        <v>3480</v>
      </c>
      <c r="F14" s="118" t="n">
        <v>3705.77</v>
      </c>
      <c r="G14" s="118" t="n">
        <v>225.77</v>
      </c>
      <c r="H14" s="118" t="n">
        <v>3714.77</v>
      </c>
      <c r="I14" s="119" t="n">
        <v>100299.09</v>
      </c>
      <c r="J14" s="118" t="n">
        <v>234.77</v>
      </c>
      <c r="K14" s="122" t="n">
        <v>0.067</v>
      </c>
      <c r="L14" s="120" t="n">
        <v>1.609</v>
      </c>
      <c r="M14" s="120" t="n">
        <v>1.717</v>
      </c>
    </row>
    <row r="15">
      <c r="A15" s="112" t="inlineStr">
        <is>
          <t>Semana 30</t>
        </is>
      </c>
      <c r="B15" s="113" t="n">
        <v>1848</v>
      </c>
      <c r="C15" s="113" t="n">
        <v>1092</v>
      </c>
      <c r="D15" s="113" t="n">
        <v>2940</v>
      </c>
      <c r="E15" s="113" t="n">
        <v>2713</v>
      </c>
      <c r="F15" s="113" t="n">
        <v>3652.18</v>
      </c>
      <c r="G15" s="113" t="n">
        <v>939.1799999999999</v>
      </c>
      <c r="H15" s="113" t="n">
        <v>3640.18</v>
      </c>
      <c r="I15" s="114" t="n">
        <v>98285.37</v>
      </c>
      <c r="J15" s="113" t="n">
        <v>927.1799999999999</v>
      </c>
      <c r="K15" s="121" t="n">
        <v>0.342</v>
      </c>
      <c r="L15" s="116" t="n">
        <v>0.923</v>
      </c>
      <c r="M15" s="116" t="n">
        <v>1.238</v>
      </c>
    </row>
    <row r="16">
      <c r="A16" s="117" t="inlineStr">
        <is>
          <t>Semana 31</t>
        </is>
      </c>
      <c r="B16" s="118" t="n">
        <v>1400</v>
      </c>
      <c r="C16" s="118" t="n">
        <v>889</v>
      </c>
      <c r="D16" s="118" t="n">
        <v>2289</v>
      </c>
      <c r="E16" s="118" t="n">
        <v>3100</v>
      </c>
      <c r="F16" s="118" t="n">
        <v>3103.71</v>
      </c>
      <c r="G16" s="118" t="n">
        <v>3.71</v>
      </c>
      <c r="H16" s="118" t="n">
        <v>4160.16</v>
      </c>
      <c r="I16" s="119" t="n">
        <v>112324.58</v>
      </c>
      <c r="J16" s="118" t="n">
        <v>1060.16</v>
      </c>
      <c r="K16" s="121" t="n">
        <v>0.342</v>
      </c>
      <c r="L16" s="120" t="n">
        <v>1.354</v>
      </c>
      <c r="M16" s="120" t="n">
        <v>1.817</v>
      </c>
    </row>
    <row r="17">
      <c r="A17" s="112" t="inlineStr">
        <is>
          <t>Semana 32</t>
        </is>
      </c>
      <c r="B17" s="113" t="n">
        <v>1603</v>
      </c>
      <c r="C17" s="113" t="n">
        <v>1092</v>
      </c>
      <c r="D17" s="113" t="n">
        <v>2695</v>
      </c>
      <c r="E17" s="113" t="n">
        <v>2593</v>
      </c>
      <c r="F17" s="113" t="n">
        <v>2931</v>
      </c>
      <c r="G17" s="113" t="n">
        <v>338</v>
      </c>
      <c r="H17" s="113" t="n">
        <v>2910</v>
      </c>
      <c r="I17" s="114" t="n">
        <v>78570.36</v>
      </c>
      <c r="J17" s="113" t="n">
        <v>317</v>
      </c>
      <c r="K17" s="123" t="n">
        <v>0.122</v>
      </c>
      <c r="L17" s="116" t="n">
        <v>0.962</v>
      </c>
      <c r="M17" s="116" t="n">
        <v>1.08</v>
      </c>
    </row>
    <row r="18">
      <c r="A18" s="117" t="inlineStr">
        <is>
          <t>Semana 33</t>
        </is>
      </c>
      <c r="B18" s="118" t="n">
        <v>1050</v>
      </c>
      <c r="C18" s="118" t="n">
        <v>1260</v>
      </c>
      <c r="D18" s="118" t="n">
        <v>2310</v>
      </c>
      <c r="E18" s="118" t="n">
        <v>3180</v>
      </c>
      <c r="F18" s="118" t="n">
        <v>3180</v>
      </c>
      <c r="G18" s="118" t="n">
        <v>0</v>
      </c>
      <c r="H18" s="118" t="n">
        <v>3420</v>
      </c>
      <c r="I18" s="119" t="n">
        <v>92340.41</v>
      </c>
      <c r="J18" s="118" t="n">
        <v>240</v>
      </c>
      <c r="K18" s="122" t="n">
        <v>0.075</v>
      </c>
      <c r="L18" s="120" t="n">
        <v>1.377</v>
      </c>
      <c r="M18" s="120" t="n">
        <v>1.481</v>
      </c>
    </row>
    <row r="19">
      <c r="A19" s="112" t="inlineStr">
        <is>
          <t>Semana 34</t>
        </is>
      </c>
      <c r="B19" s="113" t="n">
        <v>1638</v>
      </c>
      <c r="C19" s="113" t="n">
        <v>1177</v>
      </c>
      <c r="D19" s="113" t="n">
        <v>2815</v>
      </c>
      <c r="E19" s="113" t="n">
        <v>2916</v>
      </c>
      <c r="F19" s="113" t="n">
        <v>2775</v>
      </c>
      <c r="G19" s="113" t="n">
        <v>-141</v>
      </c>
      <c r="H19" s="113" t="n">
        <v>2780</v>
      </c>
      <c r="I19" s="114" t="n">
        <v>75060.3</v>
      </c>
      <c r="J19" s="113" t="n">
        <v>-136</v>
      </c>
      <c r="K19" s="123" t="n">
        <v>-0.047</v>
      </c>
      <c r="L19" s="116" t="n">
        <v>1.036</v>
      </c>
      <c r="M19" s="116" t="n">
        <v>0.988</v>
      </c>
    </row>
    <row r="20">
      <c r="A20" s="117" t="inlineStr">
        <is>
          <t>Semana 35</t>
        </is>
      </c>
      <c r="B20" s="118" t="n">
        <v>42</v>
      </c>
      <c r="C20" s="118" t="n">
        <v>994</v>
      </c>
      <c r="D20" s="118" t="n">
        <v>1036</v>
      </c>
      <c r="E20" s="118" t="n">
        <v>1599</v>
      </c>
      <c r="F20" s="118" t="n">
        <v>1679</v>
      </c>
      <c r="G20" s="118" t="n">
        <v>80</v>
      </c>
      <c r="H20" s="118" t="n">
        <v>2140</v>
      </c>
      <c r="I20" s="119" t="n">
        <v>57780.35</v>
      </c>
      <c r="J20" s="118" t="n">
        <v>541</v>
      </c>
      <c r="K20" s="121" t="n">
        <v>0.338</v>
      </c>
      <c r="L20" s="120" t="n">
        <v>1.543</v>
      </c>
      <c r="M20" s="120" t="n">
        <v>2.066</v>
      </c>
    </row>
    <row r="21">
      <c r="A21" s="112" t="inlineStr">
        <is>
          <t>Semana 36</t>
        </is>
      </c>
      <c r="B21" s="113" t="n">
        <v>63</v>
      </c>
      <c r="C21" s="113" t="n">
        <v>1092</v>
      </c>
      <c r="D21" s="113" t="n">
        <v>1155</v>
      </c>
      <c r="E21" s="113" t="n">
        <v>2361</v>
      </c>
      <c r="F21" s="113" t="n">
        <v>2491</v>
      </c>
      <c r="G21" s="113" t="n">
        <v>130</v>
      </c>
      <c r="H21" s="113" t="n">
        <v>2940</v>
      </c>
      <c r="I21" s="114" t="n">
        <v>79380.41</v>
      </c>
      <c r="J21" s="113" t="n">
        <v>579</v>
      </c>
      <c r="K21" s="121" t="n">
        <v>0.245</v>
      </c>
      <c r="L21" s="116" t="n">
        <v>2.044</v>
      </c>
      <c r="M21" s="116" t="n">
        <v>2.545</v>
      </c>
    </row>
    <row r="22">
      <c r="A22" s="117" t="inlineStr">
        <is>
          <t>Semana 37</t>
        </is>
      </c>
      <c r="B22" s="118" t="n">
        <v>1974</v>
      </c>
      <c r="C22" s="118" t="n">
        <v>1204</v>
      </c>
      <c r="D22" s="118" t="n">
        <v>3178</v>
      </c>
      <c r="E22" s="118" t="n">
        <v>2980</v>
      </c>
      <c r="F22" s="118" t="n">
        <v>2980</v>
      </c>
      <c r="G22" s="118" t="n">
        <v>0</v>
      </c>
      <c r="H22" s="118" t="n">
        <v>2980</v>
      </c>
      <c r="I22" s="119" t="n">
        <v>80460.33</v>
      </c>
      <c r="J22" s="118" t="n">
        <v>0</v>
      </c>
      <c r="K22" s="122" t="n">
        <v>0</v>
      </c>
      <c r="L22" s="120" t="n">
        <v>0.9379999999999999</v>
      </c>
      <c r="M22" s="120" t="n">
        <v>0.9379999999999999</v>
      </c>
    </row>
    <row r="23" ht="22" customHeight="1" s="46">
      <c r="A23" s="124" t="inlineStr">
        <is>
          <t>TOTALES / PROMEDIOS</t>
        </is>
      </c>
      <c r="B23" s="125">
        <f>SUM(B9:B22)</f>
        <v/>
      </c>
      <c r="C23" s="125">
        <f>SUM(C9:C22)</f>
        <v/>
      </c>
      <c r="D23" s="125">
        <f>SUM(D9:D22)</f>
        <v/>
      </c>
      <c r="E23" s="125">
        <f>SUM(E9:E22)</f>
        <v/>
      </c>
      <c r="F23" s="125">
        <f>SUM(F9:F22)</f>
        <v/>
      </c>
      <c r="G23" s="125">
        <f>SUM(G9:G22)</f>
        <v/>
      </c>
      <c r="H23" s="125">
        <f>SUM(H9:H22)</f>
        <v/>
      </c>
      <c r="I23" s="126">
        <f>SUM(I9:I22)</f>
        <v/>
      </c>
      <c r="J23" s="125">
        <f>SUM(J9:J22)</f>
        <v/>
      </c>
      <c r="K23" s="127">
        <f>(H23-E23)/E23</f>
        <v/>
      </c>
      <c r="L23" s="128">
        <f>E23/D23</f>
        <v/>
      </c>
      <c r="M23" s="128">
        <f>H23/D23</f>
        <v/>
      </c>
    </row>
    <row r="25">
      <c r="A25" s="110" t="inlineStr">
        <is>
          <t>TABLA 2: RESUMEN DE PROVEEDORES FISCALES DE COMBUSTIBLE EN OBRA MÉXICO - TOLUCA</t>
        </is>
      </c>
    </row>
    <row r="26">
      <c r="A26" s="111" t="inlineStr">
        <is>
          <t>Proveedor</t>
        </is>
      </c>
      <c r="B26" s="111" t="inlineStr">
        <is>
          <t>Punto de Entrega</t>
        </is>
      </c>
      <c r="C26" s="111" t="inlineStr">
        <is>
          <t>Facturas</t>
        </is>
      </c>
      <c r="D26" s="111" t="inlineStr">
        <is>
          <t>Litros Facturados</t>
        </is>
      </c>
      <c r="E26" s="111" t="inlineStr">
        <is>
          <t>Importe Total (MXN)</t>
        </is>
      </c>
      <c r="F26" s="111" t="inlineStr">
        <is>
          <t>Precio Prom. (MXN/L)</t>
        </is>
      </c>
      <c r="G26" s="111" t="inlineStr">
        <is>
          <t>% Part.</t>
        </is>
      </c>
    </row>
    <row r="27">
      <c r="A27" s="129" t="inlineStr">
        <is>
          <t>DERIVADOS DE PETROLEO CASTILLA</t>
        </is>
      </c>
      <c r="B27" s="130" t="inlineStr">
        <is>
          <t>Obra México - Toluca (Marimba M-01)</t>
        </is>
      </c>
      <c r="C27" s="131" t="n">
        <v>74</v>
      </c>
      <c r="D27" s="113" t="n">
        <v>41330.11</v>
      </c>
      <c r="E27" s="114" t="n">
        <v>1115917.98</v>
      </c>
      <c r="F27" s="114" t="n">
        <v>27</v>
      </c>
      <c r="G27" s="132" t="n">
        <v>0.973</v>
      </c>
    </row>
    <row r="28">
      <c r="A28" s="129" t="inlineStr">
        <is>
          <t>ESTADO DE CUENTA / VALES</t>
        </is>
      </c>
      <c r="B28" s="130" t="inlineStr">
        <is>
          <t>Cargas de Emergencia Toluca</t>
        </is>
      </c>
      <c r="C28" s="131" t="n">
        <v>2</v>
      </c>
      <c r="D28" s="113" t="n">
        <v>1140</v>
      </c>
      <c r="E28" s="114" t="n">
        <v>30780.1</v>
      </c>
      <c r="F28" s="114" t="n">
        <v>27</v>
      </c>
      <c r="G28" s="132" t="n">
        <v>0.027</v>
      </c>
    </row>
    <row r="29">
      <c r="A29" s="133" t="inlineStr">
        <is>
          <t>TOTAL FACTURADO PROVEEDORES</t>
        </is>
      </c>
      <c r="B29" s="134" t="inlineStr">
        <is>
          <t>CONSOLIDADO FISCAL</t>
        </is>
      </c>
      <c r="C29" s="124">
        <f>SUM(C27:C28)</f>
        <v/>
      </c>
      <c r="D29" s="135">
        <f>SUM(D27:D28)</f>
        <v/>
      </c>
      <c r="E29" s="136">
        <f>SUM(E27:E28)</f>
        <v/>
      </c>
      <c r="F29" s="136">
        <f>E29/D29</f>
        <v/>
      </c>
      <c r="G29" s="137">
        <f>SUM(G27:G28)</f>
        <v/>
      </c>
    </row>
    <row r="31">
      <c r="A31" s="110" t="inlineStr">
        <is>
          <t>TABLA 3: ANÁLISIS FORENSE DE LAS CAUSAS DE LA DESVIACIÓN FACTURADO VS. BITÁCORA</t>
        </is>
      </c>
    </row>
    <row r="32">
      <c r="A32" s="138" t="inlineStr">
        <is>
          <t>Concepto / Causa de la Desviación</t>
        </is>
      </c>
      <c r="B32" s="138" t="inlineStr">
        <is>
          <t>Volumen (L)</t>
        </is>
      </c>
      <c r="C32" s="138" t="inlineStr">
        <is>
          <t>Costo (MXN)</t>
        </is>
      </c>
      <c r="D32" s="138" t="inlineStr">
        <is>
          <t>% de Desv.</t>
        </is>
      </c>
      <c r="E32" s="111" t="inlineStr">
        <is>
          <t>Impacto Operativo y Diagnóstico</t>
        </is>
      </c>
      <c r="F32" s="106" t="n"/>
      <c r="G32" s="106" t="n"/>
    </row>
    <row r="33" ht="28" customHeight="1" s="46">
      <c r="A33" s="129" t="inlineStr">
        <is>
          <t>1. Equipos de Apoyo y Rentados (Fuera de plantilla 12 equipos)</t>
        </is>
      </c>
      <c r="B33" s="113" t="n">
        <v>3255.45</v>
      </c>
      <c r="C33" s="114" t="n">
        <v>87897.14999999999</v>
      </c>
      <c r="D33" s="132" t="n">
        <v>0.657</v>
      </c>
      <c r="E33" s="139" t="inlineStr">
        <is>
          <t>Motoconformadoras, excavadoras 320D/330 en banco, pipas y barredoras auxiliares cargadas por la marimba pero no consideradas en la plantilla de 12 equipos titulares.</t>
        </is>
      </c>
      <c r="F33" s="106" t="n"/>
      <c r="G33" s="106" t="n"/>
    </row>
    <row r="34" ht="28" customHeight="1" s="46">
      <c r="A34" s="129" t="inlineStr">
        <is>
          <t>2. Ajustes de Conciliación en Marimba (Stock remanente / AJU-01)</t>
        </is>
      </c>
      <c r="B34" s="113" t="n">
        <v>1147.66</v>
      </c>
      <c r="C34" s="114" t="n">
        <v>30986.82</v>
      </c>
      <c r="D34" s="132" t="n">
        <v>0.232</v>
      </c>
      <c r="E34" s="139" t="inlineStr">
        <is>
          <t>Litros facturados en bloque que quedaron como stock en la marimba M-01 durante semanas de paro o jornada reducida (destaca Sem 28 con +1,548 L en ajustes).</t>
        </is>
      </c>
      <c r="F34" s="106" t="n"/>
      <c r="G34" s="106" t="n"/>
    </row>
    <row r="35" ht="28" customHeight="1" s="46">
      <c r="A35" s="129" t="inlineStr">
        <is>
          <t>3. Desfases de Corte de Facturación (Sem 24 a Sem 25)</t>
        </is>
      </c>
      <c r="B35" s="113" t="n">
        <v>550</v>
      </c>
      <c r="C35" s="114" t="n">
        <v>14850</v>
      </c>
      <c r="D35" s="132" t="n">
        <v>0.111</v>
      </c>
      <c r="E35" s="139" t="inlineStr">
        <is>
          <t>El diésel de la primera semana de obra (Semana 24) se consumió en campo antes de emitir las facturas A10052 y A10058 el 15-16 de junio.</t>
        </is>
      </c>
      <c r="F35" s="106" t="n"/>
      <c r="G35" s="106" t="n"/>
    </row>
    <row r="36">
      <c r="A36" s="133" t="inlineStr">
        <is>
          <t>TOTAL DESVIACIÓN EXPLICADA</t>
        </is>
      </c>
      <c r="B36" s="135">
        <f>SUM(B33:B35)</f>
        <v/>
      </c>
      <c r="C36" s="136">
        <f>SUM(C33:C35)</f>
        <v/>
      </c>
      <c r="D36" s="137">
        <f>SUM(D33:D35)</f>
        <v/>
      </c>
      <c r="E36" s="124" t="inlineStr">
        <is>
          <t>100% de la brecha auditada entre facturación y bitácora de campo</t>
        </is>
      </c>
      <c r="F36" s="140" t="n"/>
      <c r="G36" s="140" t="n"/>
    </row>
  </sheetData>
  <mergeCells count="22">
    <mergeCell ref="F4:G4"/>
    <mergeCell ref="J5:K5"/>
    <mergeCell ref="E34:G34"/>
    <mergeCell ref="H4:I4"/>
    <mergeCell ref="E36:G36"/>
    <mergeCell ref="A31:G31"/>
    <mergeCell ref="F5:G5"/>
    <mergeCell ref="L5:M5"/>
    <mergeCell ref="E32:G32"/>
    <mergeCell ref="J4:K4"/>
    <mergeCell ref="A1:M1"/>
    <mergeCell ref="L4:M4"/>
    <mergeCell ref="D4:E4"/>
    <mergeCell ref="A25:G25"/>
    <mergeCell ref="A7:M7"/>
    <mergeCell ref="E33:G33"/>
    <mergeCell ref="B5:C5"/>
    <mergeCell ref="D5:E5"/>
    <mergeCell ref="H5:I5"/>
    <mergeCell ref="E35:G35"/>
    <mergeCell ref="A2:M2"/>
    <mergeCell ref="B4:C4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45"/>
  <sheetViews>
    <sheetView workbookViewId="0">
      <selection activeCell="A1" sqref="A1"/>
    </sheetView>
  </sheetViews>
  <sheetFormatPr baseColWidth="8" defaultColWidth="14.43" defaultRowHeight="15" customHeight="1"/>
  <cols>
    <col width="4" customWidth="1" style="46" min="1" max="1"/>
    <col width="10" customWidth="1" style="46" min="2" max="2"/>
    <col width="32" customWidth="1" style="46" min="3" max="3"/>
    <col width="26" customWidth="1" style="46" min="4" max="4"/>
    <col width="28" customWidth="1" style="46" min="5" max="5"/>
    <col width="14" customWidth="1" style="46" min="6" max="7"/>
    <col width="15" customWidth="1" style="46" min="8" max="9"/>
    <col width="16" customWidth="1" style="46" min="10" max="11"/>
    <col width="14" customWidth="1" style="46" min="12" max="12"/>
    <col width="15" customWidth="1" style="46" min="13" max="13"/>
    <col width="24" customWidth="1" style="46" min="14" max="14"/>
    <col width="14" customWidth="1" style="46" min="15" max="33"/>
  </cols>
  <sheetData>
    <row r="1" ht="24.75" customHeight="1" s="46">
      <c r="A1" s="47" t="inlineStr">
        <is>
          <t>CONTROL SEMANAL DE RENDIMIENTO DE MAQUINARIA (SEMANA 24)</t>
        </is>
      </c>
    </row>
    <row r="2" ht="18" customHeight="1" s="46">
      <c r="A2" s="48" t="inlineStr">
        <is>
          <t>OBRA: CARRETERA LIBRE MÉXICO-TOLUCA | PERIODO: 08/Jun/2026 - 13/Jun/2026</t>
        </is>
      </c>
    </row>
    <row r="4">
      <c r="A4" s="5" t="inlineStr">
        <is>
          <t>1. PARÁMETROS:</t>
        </is>
      </c>
      <c r="B4" s="5" t="inlineStr">
        <is>
          <t>PESO VOLUMÉTRICO ASFALTO (Ton/m³):</t>
        </is>
      </c>
      <c r="E4" s="7" t="n">
        <v>1.742</v>
      </c>
    </row>
    <row r="5">
      <c r="A5" s="5" t="inlineStr">
        <is>
          <t>2. FRESADO SEMANAL:</t>
        </is>
      </c>
      <c r="B5" s="8" t="inlineStr">
        <is>
          <t>Viajes de Fresado:</t>
        </is>
      </c>
      <c r="C5" s="41" t="n">
        <v>85</v>
      </c>
      <c r="D5" s="8" t="inlineStr">
        <is>
          <t>Volumen Fresado (m³):</t>
        </is>
      </c>
      <c r="E5" s="42" t="n">
        <v>1190</v>
      </c>
    </row>
    <row r="6">
      <c r="A6" s="5" t="inlineStr">
        <is>
          <t>3. CARPETA SEMANAL:</t>
        </is>
      </c>
      <c r="B6" s="8" t="inlineStr">
        <is>
          <t>Viajes de Mezcla:</t>
        </is>
      </c>
      <c r="C6" s="41" t="n">
        <v>37</v>
      </c>
      <c r="D6" s="8" t="inlineStr">
        <is>
          <t>Volumen Carpeta (m³):</t>
        </is>
      </c>
      <c r="E6" s="42" t="n">
        <v>547</v>
      </c>
      <c r="F6" s="8" t="inlineStr">
        <is>
          <t>Toneladas Carpeta (Ton):</t>
        </is>
      </c>
      <c r="G6" s="17">
        <f>E6*$E$4</f>
        <v/>
      </c>
    </row>
    <row r="8" ht="27.75" customHeight="1" s="46">
      <c r="A8" s="10" t="inlineStr">
        <is>
          <t>No.</t>
        </is>
      </c>
      <c r="B8" s="10" t="inlineStr">
        <is>
          <t>Económico</t>
        </is>
      </c>
      <c r="C8" s="10" t="inlineStr">
        <is>
          <t>Equipo / Maquinaria</t>
        </is>
      </c>
      <c r="D8" s="10" t="inlineStr">
        <is>
          <t>Operador Asignado</t>
        </is>
      </c>
      <c r="E8" s="10" t="inlineStr">
        <is>
          <t>Concepto de Trabajo</t>
        </is>
      </c>
      <c r="F8" s="10" t="inlineStr">
        <is>
          <t>Viajes Asignados</t>
        </is>
      </c>
      <c r="G8" s="10" t="inlineStr">
        <is>
          <t>Volumen (m³)</t>
        </is>
      </c>
      <c r="H8" s="10" t="inlineStr">
        <is>
          <t>Toneladas (Ton)</t>
        </is>
      </c>
      <c r="I8" s="10" t="inlineStr">
        <is>
          <t>Diésel Surtido (L)</t>
        </is>
      </c>
      <c r="J8" s="10" t="inlineStr">
        <is>
          <t>Rendimiento Real (L/Ton)</t>
        </is>
      </c>
      <c r="K8" s="10" t="inlineStr">
        <is>
          <t>Rendimiento Real (L/m³)</t>
        </is>
      </c>
      <c r="L8" s="10" t="inlineStr">
        <is>
          <t>Rend. Base (L/h)</t>
        </is>
      </c>
      <c r="M8" s="10" t="inlineStr">
        <is>
          <t>Horas Est. Operación</t>
        </is>
      </c>
      <c r="N8" s="10" t="inlineStr">
        <is>
          <t>Estatus Operativo</t>
        </is>
      </c>
    </row>
    <row r="9" ht="19.5" customHeight="1" s="46">
      <c r="A9" s="12" t="n">
        <v>1</v>
      </c>
      <c r="B9" s="12" t="inlineStr">
        <is>
          <t>PRR-01</t>
        </is>
      </c>
      <c r="C9" s="13" t="inlineStr">
        <is>
          <t>PERFILADORA WIRTGEN W200i</t>
        </is>
      </c>
      <c r="D9" s="13" t="inlineStr">
        <is>
          <t>JAVIER PAREDES CORTE</t>
        </is>
      </c>
      <c r="E9" s="13" t="inlineStr">
        <is>
          <t>Fresado de Pavimento</t>
        </is>
      </c>
      <c r="F9" s="14">
        <f>$C$5</f>
        <v/>
      </c>
      <c r="G9" s="37">
        <f>$E$5</f>
        <v/>
      </c>
      <c r="H9" s="18" t="inlineStr">
        <is>
          <t>-</t>
        </is>
      </c>
      <c r="I9" s="37" t="n">
        <v>777</v>
      </c>
      <c r="J9" s="19" t="inlineStr">
        <is>
          <t>-</t>
        </is>
      </c>
      <c r="K9" s="20">
        <f>IF(G9&gt;0, I9/G9, 0)</f>
        <v/>
      </c>
      <c r="L9" s="21" t="n">
        <v>67.2</v>
      </c>
      <c r="M9" s="22">
        <f>IF(L9&gt;0, I9/L9, 0)</f>
        <v/>
      </c>
      <c r="N9" s="12">
        <f>IF(I9=0, "SIN CONSUMO (Inactiva)", IF(A9=1, IF(K9&lt;=0.85, "DENTRO DE RENDIMIENTO BASE", "EXCEDE RENDIMIENTO BASE"), IF(A9=2, IF(J9&lt;=0.38, "DENTRO DE RENDIMIENTO BASE", "EXCEDE RENDIMIENTO BASE"), IF(OR(A9=3,A9=4,A9=5,A9=6), IF(J9&lt;=0.08, "DENTRO DE RENDIMIENTO BASE", "EXCEDE RENDIMIENTO BASE"), IF(A9=7, IF(J9&lt;=0.07, "DENTRO DE RENDIMIENTO BASE", "EXCEDE RENDIMIENTO BASE"), IF(A9=8, IF(K9&lt;=0.22, "DENTRO DE RENDIMIENTO BASE", "EXCEDE RENDIMIENTO BASE"), IF(A9=9, IF(J9&lt;=0.075, "DENTRO DE RENDIMIENTO BASE", "EXCEDE RENDIMIENTO BASE"), "APOYO PUNTUAL")))))))</f>
        <v/>
      </c>
    </row>
    <row r="10" ht="19.5" customHeight="1" s="46">
      <c r="A10" s="12" t="n">
        <v>2</v>
      </c>
      <c r="B10" s="12" t="inlineStr">
        <is>
          <t>VG-01</t>
        </is>
      </c>
      <c r="C10" s="13" t="inlineStr">
        <is>
          <t>PAVIMENTADORA VÖGELE SUPER 1800-3i</t>
        </is>
      </c>
      <c r="D10" s="13" t="inlineStr">
        <is>
          <t>ERWIN CUTEÑO HERNANDEZ</t>
        </is>
      </c>
      <c r="E10" s="13" t="inlineStr">
        <is>
          <t>Tendido de Mezcla Asfáltica</t>
        </is>
      </c>
      <c r="F10" s="14">
        <f>$C$6</f>
        <v/>
      </c>
      <c r="G10" s="37">
        <f>$E$6</f>
        <v/>
      </c>
      <c r="H10" s="16">
        <f>G10*$E$4</f>
        <v/>
      </c>
      <c r="I10" s="37" t="n">
        <v>136</v>
      </c>
      <c r="J10" s="20">
        <f>IF(H10&gt;0, I10/H10, 0)</f>
        <v/>
      </c>
      <c r="K10" s="20">
        <f>IF(G10&gt;0, I10/G10, 0)</f>
        <v/>
      </c>
      <c r="L10" s="21" t="n">
        <v>16.24</v>
      </c>
      <c r="M10" s="22">
        <f>IF(L10&gt;0, I10/L10, 0)</f>
        <v/>
      </c>
      <c r="N10" s="12">
        <f>IF(I10=0, "SIN CONSUMO (Inactiva)", IF(A10=1, IF(K10&lt;=0.85, "DENTRO DE RENDIMIENTO BASE", "EXCEDE RENDIMIENTO BASE"), IF(A10=2, IF(J10&lt;=0.38, "DENTRO DE RENDIMIENTO BASE", "EXCEDE RENDIMIENTO BASE"), IF(OR(A10=3,A10=4,A10=5,A10=6), IF(J10&lt;=0.08, "DENTRO DE RENDIMIENTO BASE", "EXCEDE RENDIMIENTO BASE"), IF(A10=7, IF(J10&lt;=0.07, "DENTRO DE RENDIMIENTO BASE", "EXCEDE RENDIMIENTO BASE"), IF(A10=8, IF(K10&lt;=0.22, "DENTRO DE RENDIMIENTO BASE", "EXCEDE RENDIMIENTO BASE"), IF(A10=9, IF(J10&lt;=0.075, "DENTRO DE RENDIMIENTO BASE", "EXCEDE RENDIMIENTO BASE"), "APOYO PUNTUAL")))))))</f>
        <v/>
      </c>
    </row>
    <row r="11" ht="19.5" customHeight="1" s="46">
      <c r="A11" s="12" t="n">
        <v>3</v>
      </c>
      <c r="B11" s="12" t="inlineStr">
        <is>
          <t>DR-01</t>
        </is>
      </c>
      <c r="C11" s="13" t="inlineStr">
        <is>
          <t>COMPACTADOR TÁNDEM HAMM-HD120 VV</t>
        </is>
      </c>
      <c r="D11" s="13" t="inlineStr">
        <is>
          <t>JOEL ALBERTO RIVERA RIVAS</t>
        </is>
      </c>
      <c r="E11" s="13" t="inlineStr">
        <is>
          <t>Compactación Tándem Primaria</t>
        </is>
      </c>
      <c r="F11" s="14">
        <f>$C$6</f>
        <v/>
      </c>
      <c r="G11" s="37">
        <f>$E$6</f>
        <v/>
      </c>
      <c r="H11" s="16">
        <f>G11*$E$4</f>
        <v/>
      </c>
      <c r="I11" s="37" t="n">
        <v>0</v>
      </c>
      <c r="J11" s="20">
        <f>IF(H11&gt;0, I11/H11, 0)</f>
        <v/>
      </c>
      <c r="K11" s="20">
        <f>IF(G11&gt;0, I11/G11, 0)</f>
        <v/>
      </c>
      <c r="L11" s="21" t="n">
        <v>14.3</v>
      </c>
      <c r="M11" s="22">
        <f>IF(L11&gt;0, I11/L11, 0)</f>
        <v/>
      </c>
      <c r="N11" s="12">
        <f>IF(I11=0, "SIN CONSUMO (Inactiva)", IF(A11=1, IF(K11&lt;=0.85, "DENTRO DE RENDIMIENTO BASE", "EXCEDE RENDIMIENTO BASE"), IF(A11=2, IF(J11&lt;=0.38, "DENTRO DE RENDIMIENTO BASE", "EXCEDE RENDIMIENTO BASE"), IF(OR(A11=3,A11=4,A11=5,A11=6), IF(J11&lt;=0.08, "DENTRO DE RENDIMIENTO BASE", "EXCEDE RENDIMIENTO BASE"), IF(A11=7, IF(J11&lt;=0.07, "DENTRO DE RENDIMIENTO BASE", "EXCEDE RENDIMIENTO BASE"), IF(A11=8, IF(K11&lt;=0.22, "DENTRO DE RENDIMIENTO BASE", "EXCEDE RENDIMIENTO BASE"), IF(A11=9, IF(J11&lt;=0.075, "DENTRO DE RENDIMIENTO BASE", "EXCEDE RENDIMIENTO BASE"), "APOYO PUNTUAL")))))))</f>
        <v/>
      </c>
    </row>
    <row r="12" ht="19.5" customHeight="1" s="46">
      <c r="A12" s="12" t="n">
        <v>4</v>
      </c>
      <c r="B12" s="12" t="inlineStr">
        <is>
          <t>DR-02</t>
        </is>
      </c>
      <c r="C12" s="13" t="inlineStr">
        <is>
          <t>COMPACTADOR TÁNDEM HAMM-HD140</t>
        </is>
      </c>
      <c r="D12" s="13" t="inlineStr">
        <is>
          <t>ALEXIS RENDON DOMINGUEZ</t>
        </is>
      </c>
      <c r="E12" s="13" t="inlineStr">
        <is>
          <t>Compactación Tándem Pesada</t>
        </is>
      </c>
      <c r="F12" s="14">
        <f>$C$6</f>
        <v/>
      </c>
      <c r="G12" s="37">
        <f>$E$6</f>
        <v/>
      </c>
      <c r="H12" s="16">
        <f>G12*$E$4</f>
        <v/>
      </c>
      <c r="I12" s="37" t="n">
        <v>0</v>
      </c>
      <c r="J12" s="20">
        <f>IF(H12&gt;0, I12/H12, 0)</f>
        <v/>
      </c>
      <c r="K12" s="20">
        <f>IF(G12&gt;0, I12/G12, 0)</f>
        <v/>
      </c>
      <c r="L12" s="21" t="n">
        <v>14.3</v>
      </c>
      <c r="M12" s="22">
        <f>IF(L12&gt;0, I12/L12, 0)</f>
        <v/>
      </c>
      <c r="N12" s="12">
        <f>IF(I12=0, "SIN CONSUMO (Inactiva)", IF(A12=1, IF(K12&lt;=0.85, "DENTRO DE RENDIMIENTO BASE", "EXCEDE RENDIMIENTO BASE"), IF(A12=2, IF(J12&lt;=0.38, "DENTRO DE RENDIMIENTO BASE", "EXCEDE RENDIMIENTO BASE"), IF(OR(A12=3,A12=4,A12=5,A12=6), IF(J12&lt;=0.08, "DENTRO DE RENDIMIENTO BASE", "EXCEDE RENDIMIENTO BASE"), IF(A12=7, IF(J12&lt;=0.07, "DENTRO DE RENDIMIENTO BASE", "EXCEDE RENDIMIENTO BASE"), IF(A12=8, IF(K12&lt;=0.22, "DENTRO DE RENDIMIENTO BASE", "EXCEDE RENDIMIENTO BASE"), IF(A12=9, IF(J12&lt;=0.075, "DENTRO DE RENDIMIENTO BASE", "EXCEDE RENDIMIENTO BASE"), "APOYO PUNTUAL")))))))</f>
        <v/>
      </c>
    </row>
    <row r="13" ht="19.5" customHeight="1" s="46">
      <c r="A13" s="12" t="n">
        <v>5</v>
      </c>
      <c r="B13" s="12" t="inlineStr">
        <is>
          <t>NM-01</t>
        </is>
      </c>
      <c r="C13" s="13" t="inlineStr">
        <is>
          <t>COMPACTADOR NEUMÁTICO DYNAPAC CP271</t>
        </is>
      </c>
      <c r="D13" s="13" t="inlineStr">
        <is>
          <t>JOSE CARLOS ROMERO TELLEZ</t>
        </is>
      </c>
      <c r="E13" s="13" t="inlineStr">
        <is>
          <t>Compactación Neumática / Sellado</t>
        </is>
      </c>
      <c r="F13" s="14">
        <f>$C$6</f>
        <v/>
      </c>
      <c r="G13" s="37">
        <f>$E$6</f>
        <v/>
      </c>
      <c r="H13" s="16">
        <f>G13*$E$4</f>
        <v/>
      </c>
      <c r="I13" s="37" t="n">
        <v>0</v>
      </c>
      <c r="J13" s="20">
        <f>IF(H13&gt;0, I13/H13, 0)</f>
        <v/>
      </c>
      <c r="K13" s="20">
        <f>IF(G13&gt;0, I13/G13, 0)</f>
        <v/>
      </c>
      <c r="L13" s="21" t="n">
        <v>11.44</v>
      </c>
      <c r="M13" s="22">
        <f>IF(L13&gt;0, I13/L13, 0)</f>
        <v/>
      </c>
      <c r="N13" s="12">
        <f>IF(I13=0, "SIN CONSUMO (Inactiva)", IF(A13=1, IF(K13&lt;=0.85, "DENTRO DE RENDIMIENTO BASE", "EXCEDE RENDIMIENTO BASE"), IF(A13=2, IF(J13&lt;=0.38, "DENTRO DE RENDIMIENTO BASE", "EXCEDE RENDIMIENTO BASE"), IF(OR(A13=3,A13=4,A13=5,A13=6), IF(J13&lt;=0.08, "DENTRO DE RENDIMIENTO BASE", "EXCEDE RENDIMIENTO BASE"), IF(A13=7, IF(J13&lt;=0.07, "DENTRO DE RENDIMIENTO BASE", "EXCEDE RENDIMIENTO BASE"), IF(A13=8, IF(K13&lt;=0.22, "DENTRO DE RENDIMIENTO BASE", "EXCEDE RENDIMIENTO BASE"), IF(A13=9, IF(J13&lt;=0.075, "DENTRO DE RENDIMIENTO BASE", "EXCEDE RENDIMIENTO BASE"), "APOYO PUNTUAL")))))))</f>
        <v/>
      </c>
    </row>
    <row r="14" ht="19.5" customHeight="1" s="46">
      <c r="A14" s="12" t="n">
        <v>6</v>
      </c>
      <c r="B14" s="12" t="inlineStr">
        <is>
          <t>NM-09</t>
        </is>
      </c>
      <c r="C14" s="13" t="inlineStr">
        <is>
          <t>COMPACTADOR NEUMÁTICO HAMM 208</t>
        </is>
      </c>
      <c r="D14" s="13" t="inlineStr">
        <is>
          <t>NOLVIN DE JESUS PEREZ GOMEZ</t>
        </is>
      </c>
      <c r="E14" s="13" t="inlineStr">
        <is>
          <t>Compactación Neumática / Acabado</t>
        </is>
      </c>
      <c r="F14" s="14">
        <f>$C$6</f>
        <v/>
      </c>
      <c r="G14" s="37">
        <f>$E$6</f>
        <v/>
      </c>
      <c r="H14" s="16">
        <f>G14*$E$4</f>
        <v/>
      </c>
      <c r="I14" s="37" t="n">
        <v>0</v>
      </c>
      <c r="J14" s="20">
        <f>IF(H14&gt;0, I14/H14, 0)</f>
        <v/>
      </c>
      <c r="K14" s="20">
        <f>IF(G14&gt;0, I14/G14, 0)</f>
        <v/>
      </c>
      <c r="L14" s="21" t="n">
        <v>10.96</v>
      </c>
      <c r="M14" s="22">
        <f>IF(L14&gt;0, I14/L14, 0)</f>
        <v/>
      </c>
      <c r="N14" s="12">
        <f>IF(I14=0, "SIN CONSUMO (Inactiva)", IF(A14=1, IF(K14&lt;=0.85, "DENTRO DE RENDIMIENTO BASE", "EXCEDE RENDIMIENTO BASE"), IF(A14=2, IF(J14&lt;=0.38, "DENTRO DE RENDIMIENTO BASE", "EXCEDE RENDIMIENTO BASE"), IF(OR(A14=3,A14=4,A14=5,A14=6), IF(J14&lt;=0.08, "DENTRO DE RENDIMIENTO BASE", "EXCEDE RENDIMIENTO BASE"), IF(A14=7, IF(J14&lt;=0.07, "DENTRO DE RENDIMIENTO BASE", "EXCEDE RENDIMIENTO BASE"), IF(A14=8, IF(K14&lt;=0.22, "DENTRO DE RENDIMIENTO BASE", "EXCEDE RENDIMIENTO BASE"), IF(A14=9, IF(J14&lt;=0.075, "DENTRO DE RENDIMIENTO BASE", "EXCEDE RENDIMIENTO BASE"), "APOYO PUNTUAL")))))))</f>
        <v/>
      </c>
    </row>
    <row r="15" ht="19.5" customHeight="1" s="46">
      <c r="A15" s="12" t="n">
        <v>7</v>
      </c>
      <c r="B15" s="12" t="inlineStr">
        <is>
          <t>BR-01</t>
        </is>
      </c>
      <c r="C15" s="13" t="inlineStr">
        <is>
          <t>BARREDORA INDUSTRIAL BROCE BROOM-350</t>
        </is>
      </c>
      <c r="D15" s="13" t="inlineStr">
        <is>
          <t>EDGAR ROSALES MARTINEZ</t>
        </is>
      </c>
      <c r="E15" s="13" t="inlineStr">
        <is>
          <t>Limpieza y Barrido Previo</t>
        </is>
      </c>
      <c r="F15" s="14">
        <f>$C$6</f>
        <v/>
      </c>
      <c r="G15" s="37">
        <f>$E$6</f>
        <v/>
      </c>
      <c r="H15" s="16">
        <f>G15*$E$4</f>
        <v/>
      </c>
      <c r="I15" s="37" t="n">
        <v>60</v>
      </c>
      <c r="J15" s="20">
        <f>IF(H15&gt;0, I15/H15, 0)</f>
        <v/>
      </c>
      <c r="K15" s="20">
        <f>IF(G15&gt;0, I15/G15, 0)</f>
        <v/>
      </c>
      <c r="L15" s="21" t="n">
        <v>8.94</v>
      </c>
      <c r="M15" s="22">
        <f>IF(L15&gt;0, I15/L15, 0)</f>
        <v/>
      </c>
      <c r="N15" s="12">
        <f>IF(I15=0, "SIN CONSUMO (Inactiva)", IF(A15=1, IF(K15&lt;=0.85, "DENTRO DE RENDIMIENTO BASE", "EXCEDE RENDIMIENTO BASE"), IF(A15=2, IF(J15&lt;=0.38, "DENTRO DE RENDIMIENTO BASE", "EXCEDE RENDIMIENTO BASE"), IF(OR(A15=3,A15=4,A15=5,A15=6), IF(J15&lt;=0.08, "DENTRO DE RENDIMIENTO BASE", "EXCEDE RENDIMIENTO BASE"), IF(A15=7, IF(J15&lt;=0.07, "DENTRO DE RENDIMIENTO BASE", "EXCEDE RENDIMIENTO BASE"), IF(A15=8, IF(K15&lt;=0.22, "DENTRO DE RENDIMIENTO BASE", "EXCEDE RENDIMIENTO BASE"), IF(A15=9, IF(J15&lt;=0.075, "DENTRO DE RENDIMIENTO BASE", "EXCEDE RENDIMIENTO BASE"), "APOYO PUNTUAL")))))))</f>
        <v/>
      </c>
    </row>
    <row r="16" ht="19.5" customHeight="1" s="46">
      <c r="A16" s="12" t="n">
        <v>8</v>
      </c>
      <c r="B16" s="12" t="inlineStr">
        <is>
          <t>RT-05</t>
        </is>
      </c>
      <c r="C16" s="13" t="inlineStr">
        <is>
          <t>RETROEXCAVADORA JOHN DEERE 310SK</t>
        </is>
      </c>
      <c r="D16" s="13" t="inlineStr">
        <is>
          <t>ADOLFO NAVA LOPEZ</t>
        </is>
      </c>
      <c r="E16" s="13" t="inlineStr">
        <is>
          <t>Carga Fresado y Derrumbes</t>
        </is>
      </c>
      <c r="F16" s="14">
        <f>$C$5</f>
        <v/>
      </c>
      <c r="G16" s="37">
        <f>$E$5</f>
        <v/>
      </c>
      <c r="H16" s="18" t="inlineStr">
        <is>
          <t>-</t>
        </is>
      </c>
      <c r="I16" s="37" t="n">
        <v>80</v>
      </c>
      <c r="J16" s="19" t="inlineStr">
        <is>
          <t>-</t>
        </is>
      </c>
      <c r="K16" s="20">
        <f>IF(G16&gt;0, I16/G16, 0)</f>
        <v/>
      </c>
      <c r="L16" s="21" t="n">
        <v>7.44</v>
      </c>
      <c r="M16" s="22">
        <f>IF(L16&gt;0, I16/L16, 0)</f>
        <v/>
      </c>
      <c r="N16" s="12">
        <f>IF(I16=0, "SIN CONSUMO (Inactiva)", IF(A16=1, IF(K16&lt;=0.85, "DENTRO DE RENDIMIENTO BASE", "EXCEDE RENDIMIENTO BASE"), IF(A16=2, IF(J16&lt;=0.38, "DENTRO DE RENDIMIENTO BASE", "EXCEDE RENDIMIENTO BASE"), IF(OR(A16=3,A16=4,A16=5,A16=6), IF(J16&lt;=0.08, "DENTRO DE RENDIMIENTO BASE", "EXCEDE RENDIMIENTO BASE"), IF(A16=7, IF(J16&lt;=0.07, "DENTRO DE RENDIMIENTO BASE", "EXCEDE RENDIMIENTO BASE"), IF(A16=8, IF(K16&lt;=0.22, "DENTRO DE RENDIMIENTO BASE", "EXCEDE RENDIMIENTO BASE"), IF(A16=9, IF(J16&lt;=0.075, "DENTRO DE RENDIMIENTO BASE", "EXCEDE RENDIMIENTO BASE"), "APOYO PUNTUAL")))))))</f>
        <v/>
      </c>
    </row>
    <row r="17" ht="19.5" customHeight="1" s="46">
      <c r="A17" s="12" t="n">
        <v>9</v>
      </c>
      <c r="B17" s="12" t="inlineStr">
        <is>
          <t>PT-01</t>
        </is>
      </c>
      <c r="C17" s="13" t="inlineStr">
        <is>
          <t>PETROLIZADORA INTERNATIONAL / FORD F800</t>
        </is>
      </c>
      <c r="D17" s="13" t="inlineStr">
        <is>
          <t>ELTHON EDUARDO MARTINEZ GOMORA</t>
        </is>
      </c>
      <c r="E17" s="13" t="inlineStr">
        <is>
          <t>Riego de Liga / Emulsión</t>
        </is>
      </c>
      <c r="F17" s="14">
        <f>$C$6</f>
        <v/>
      </c>
      <c r="G17" s="37">
        <f>$E$6</f>
        <v/>
      </c>
      <c r="H17" s="16">
        <f>G17*$E$4</f>
        <v/>
      </c>
      <c r="I17" s="37" t="n">
        <v>0</v>
      </c>
      <c r="J17" s="20">
        <f>IF(H17&gt;0, I17/H17, 0)</f>
        <v/>
      </c>
      <c r="K17" s="20">
        <f>IF(G17&gt;0, I17/G17, 0)</f>
        <v/>
      </c>
      <c r="L17" s="21" t="n">
        <v>12.76</v>
      </c>
      <c r="M17" s="22">
        <f>IF(L17&gt;0, I17/L17, 0)</f>
        <v/>
      </c>
      <c r="N17" s="12">
        <f>IF(I17=0, "SIN CONSUMO (Inactiva)", IF(A17=1, IF(K17&lt;=0.85, "DENTRO DE RENDIMIENTO BASE", "EXCEDE RENDIMIENTO BASE"), IF(A17=2, IF(J17&lt;=0.38, "DENTRO DE RENDIMIENTO BASE", "EXCEDE RENDIMIENTO BASE"), IF(OR(A17=3,A17=4,A17=5,A17=6), IF(J17&lt;=0.08, "DENTRO DE RENDIMIENTO BASE", "EXCEDE RENDIMIENTO BASE"), IF(A17=7, IF(J17&lt;=0.07, "DENTRO DE RENDIMIENTO BASE", "EXCEDE RENDIMIENTO BASE"), IF(A17=8, IF(K17&lt;=0.22, "DENTRO DE RENDIMIENTO BASE", "EXCEDE RENDIMIENTO BASE"), IF(A17=9, IF(J17&lt;=0.075, "DENTRO DE RENDIMIENTO BASE", "EXCEDE RENDIMIENTO BASE"), "APOYO PUNTUAL")))))))</f>
        <v/>
      </c>
    </row>
    <row r="18" ht="19.5" customHeight="1" s="46">
      <c r="A18" s="12" t="n">
        <v>10</v>
      </c>
      <c r="B18" s="12" t="inlineStr">
        <is>
          <t>CPR-01</t>
        </is>
      </c>
      <c r="C18" s="13" t="inlineStr">
        <is>
          <t>COMPRESOR DE AIRE INGERSOLL RAND IR185</t>
        </is>
      </c>
      <c r="D18" s="13" t="inlineStr">
        <is>
          <t>CUADRILLA DE LIMPIEZA</t>
        </is>
      </c>
      <c r="E18" s="13" t="inlineStr">
        <is>
          <t>Sopleteado de Juntas</t>
        </is>
      </c>
      <c r="F18" s="14" t="n">
        <v>0</v>
      </c>
      <c r="G18" s="37" t="n">
        <v>0</v>
      </c>
      <c r="H18" s="16" t="n">
        <v>0</v>
      </c>
      <c r="I18" s="37" t="n">
        <v>0</v>
      </c>
      <c r="J18" s="20" t="n">
        <v>0</v>
      </c>
      <c r="K18" s="20" t="n">
        <v>0</v>
      </c>
      <c r="L18" s="21" t="n">
        <v>9.970000000000001</v>
      </c>
      <c r="M18" s="22">
        <f>IF(L18&gt;0, I18/L18, 0)</f>
        <v/>
      </c>
      <c r="N18" s="12">
        <f>IF(I18=0, "SIN CONSUMO (Inactiva)", IF(A18=1, IF(K18&lt;=0.85, "DENTRO DE RENDIMIENTO BASE", "EXCEDE RENDIMIENTO BASE"), IF(A18=2, IF(J18&lt;=0.38, "DENTRO DE RENDIMIENTO BASE", "EXCEDE RENDIMIENTO BASE"), IF(OR(A18=3,A18=4,A18=5,A18=6), IF(J18&lt;=0.08, "DENTRO DE RENDIMIENTO BASE", "EXCEDE RENDIMIENTO BASE"), IF(A18=7, IF(J18&lt;=0.07, "DENTRO DE RENDIMIENTO BASE", "EXCEDE RENDIMIENTO BASE"), IF(A18=8, IF(K18&lt;=0.22, "DENTRO DE RENDIMIENTO BASE", "EXCEDE RENDIMIENTO BASE"), IF(A18=9, IF(J18&lt;=0.075, "DENTRO DE RENDIMIENTO BASE", "EXCEDE RENDIMIENTO BASE"), "APOYO PUNTUAL")))))))</f>
        <v/>
      </c>
    </row>
    <row r="19" ht="19.5" customHeight="1" s="46">
      <c r="A19" s="12" t="n">
        <v>11</v>
      </c>
      <c r="B19" s="12" t="inlineStr">
        <is>
          <t>PP-01</t>
        </is>
      </c>
      <c r="C19" s="13" t="inlineStr">
        <is>
          <t>CAMIÓN IMPACTO / PIPA DE AGUA FORD</t>
        </is>
      </c>
      <c r="D19" s="13" t="inlineStr">
        <is>
          <t>CUADRILLA DE AGUA</t>
        </is>
      </c>
      <c r="E19" s="13" t="inlineStr">
        <is>
          <t>Enfriamiento Rodillos / Riego</t>
        </is>
      </c>
      <c r="F19" s="14" t="n">
        <v>0</v>
      </c>
      <c r="G19" s="37" t="n">
        <v>0</v>
      </c>
      <c r="H19" s="16" t="n">
        <v>0</v>
      </c>
      <c r="I19" s="37" t="n">
        <v>0</v>
      </c>
      <c r="J19" s="20" t="n">
        <v>0</v>
      </c>
      <c r="K19" s="20" t="n">
        <v>0</v>
      </c>
      <c r="L19" s="21" t="n">
        <v>3.03</v>
      </c>
      <c r="M19" s="22">
        <f>IF(L19&gt;0, I19/L19, 0)</f>
        <v/>
      </c>
      <c r="N19" s="12">
        <f>IF(I19=0, "SIN CONSUMO (Inactiva)", IF(A19=1, IF(K19&lt;=0.85, "DENTRO DE RENDIMIENTO BASE", "EXCEDE RENDIMIENTO BASE"), IF(A19=2, IF(J19&lt;=0.38, "DENTRO DE RENDIMIENTO BASE", "EXCEDE RENDIMIENTO BASE"), IF(OR(A19=3,A19=4,A19=5,A19=6), IF(J19&lt;=0.08, "DENTRO DE RENDIMIENTO BASE", "EXCEDE RENDIMIENTO BASE"), IF(A19=7, IF(J19&lt;=0.07, "DENTRO DE RENDIMIENTO BASE", "EXCEDE RENDIMIENTO BASE"), IF(A19=8, IF(K19&lt;=0.22, "DENTRO DE RENDIMIENTO BASE", "EXCEDE RENDIMIENTO BASE"), IF(A19=9, IF(J19&lt;=0.075, "DENTRO DE RENDIMIENTO BASE", "EXCEDE RENDIMIENTO BASE"), "APOYO PUNTUAL")))))))</f>
        <v/>
      </c>
    </row>
    <row r="20" ht="19.5" customHeight="1" s="46">
      <c r="A20" s="12" t="n">
        <v>12</v>
      </c>
      <c r="B20" s="12" t="inlineStr">
        <is>
          <t>TL-01</t>
        </is>
      </c>
      <c r="C20" s="13" t="inlineStr">
        <is>
          <t>TORRE DE LUZ MAXILIGHT 4X1000W</t>
        </is>
      </c>
      <c r="D20" s="13" t="inlineStr">
        <is>
          <t>CUADRILLA NOCTURNA</t>
        </is>
      </c>
      <c r="E20" s="13" t="inlineStr">
        <is>
          <t>Iluminación Nocturna</t>
        </is>
      </c>
      <c r="F20" s="14" t="n">
        <v>0</v>
      </c>
      <c r="G20" s="37" t="n">
        <v>0</v>
      </c>
      <c r="H20" s="16" t="n">
        <v>0</v>
      </c>
      <c r="I20" s="37" t="n">
        <v>40</v>
      </c>
      <c r="J20" s="20" t="n">
        <v>0</v>
      </c>
      <c r="K20" s="20" t="n">
        <v>0</v>
      </c>
      <c r="L20" s="21" t="n">
        <v>2.41</v>
      </c>
      <c r="M20" s="22">
        <f>IF(L20&gt;0, I20/L20, 0)</f>
        <v/>
      </c>
      <c r="N20" s="12">
        <f>IF(I20=0, "SIN CONSUMO (Inactiva)", IF(A20=1, IF(K20&lt;=0.85, "DENTRO DE RENDIMIENTO BASE", "EXCEDE RENDIMIENTO BASE"), IF(A20=2, IF(J20&lt;=0.38, "DENTRO DE RENDIMIENTO BASE", "EXCEDE RENDIMIENTO BASE"), IF(OR(A20=3,A20=4,A20=5,A20=6), IF(J20&lt;=0.08, "DENTRO DE RENDIMIENTO BASE", "EXCEDE RENDIMIENTO BASE"), IF(A20=7, IF(J20&lt;=0.07, "DENTRO DE RENDIMIENTO BASE", "EXCEDE RENDIMIENTO BASE"), IF(A20=8, IF(K20&lt;=0.22, "DENTRO DE RENDIMIENTO BASE", "EXCEDE RENDIMIENTO BASE"), IF(A20=9, IF(J20&lt;=0.075, "DENTRO DE RENDIMIENTO BASE", "EXCEDE RENDIMIENTO BASE"), "APOYO PUNTUAL")))))))</f>
        <v/>
      </c>
    </row>
    <row r="21" ht="21.75" customHeight="1" s="46">
      <c r="A21" s="30" t="inlineStr">
        <is>
          <t>TOTAL SEMANA 24 (OBRA CARRETERA MÉXICO-TOLUCA)</t>
        </is>
      </c>
      <c r="B21" s="50" t="n"/>
      <c r="C21" s="50" t="n"/>
      <c r="D21" s="50" t="n"/>
      <c r="E21" s="51" t="n"/>
      <c r="F21" s="26">
        <f>C5+C6</f>
        <v/>
      </c>
      <c r="G21" s="27">
        <f>E5+E6</f>
        <v/>
      </c>
      <c r="H21" s="28">
        <f>G6</f>
        <v/>
      </c>
      <c r="I21" s="27">
        <f>SUM(I9:I20)</f>
        <v/>
      </c>
      <c r="J21" s="29">
        <f>IF(H21&gt;0, I21/H21, 0)</f>
        <v/>
      </c>
      <c r="K21" s="29">
        <f>IF(G21&gt;0, I21/G21, 0)</f>
        <v/>
      </c>
      <c r="L21" s="30" t="inlineStr">
        <is>
          <t>—</t>
        </is>
      </c>
      <c r="M21" s="31">
        <f>SUM(M9:M20)</f>
        <v/>
      </c>
      <c r="N21" s="30" t="inlineStr">
        <is>
          <t>SEMANA REGISTRADA</t>
        </is>
      </c>
    </row>
    <row r="22" ht="15.75" customHeight="1" s="46"/>
    <row r="23" ht="15.75" customHeight="1" s="46"/>
    <row r="24" ht="24" customHeight="1" s="46">
      <c r="A24" s="96" t="inlineStr">
        <is>
          <t>DESGLOSE DIARIO DE COMBUSTIBLE, VOLUMEN, TONELAJE Y RENDIMIENTO — SEMANA 24</t>
        </is>
      </c>
    </row>
    <row r="25" ht="19.5" customHeight="1" s="46">
      <c r="A25" s="48" t="inlineStr">
        <is>
          <t>DATOS DEL EQUIPO</t>
        </is>
      </c>
      <c r="F25" s="48" t="inlineStr">
        <is>
          <t>LUNES</t>
        </is>
      </c>
      <c r="J25" s="48" t="inlineStr">
        <is>
          <t>MARTES</t>
        </is>
      </c>
      <c r="N25" s="48" t="inlineStr">
        <is>
          <t>MIÉRCOLES</t>
        </is>
      </c>
      <c r="R25" s="48" t="inlineStr">
        <is>
          <t>JUEVES</t>
        </is>
      </c>
      <c r="V25" s="48" t="inlineStr">
        <is>
          <t>VIERNES</t>
        </is>
      </c>
      <c r="Z25" s="48" t="inlineStr">
        <is>
          <t>SÁBADO</t>
        </is>
      </c>
      <c r="AD25" s="97" t="inlineStr">
        <is>
          <t>TOTAL SEMANAL</t>
        </is>
      </c>
    </row>
    <row r="26" ht="25.5" customHeight="1" s="46">
      <c r="A26" s="34" t="inlineStr">
        <is>
          <t>No.</t>
        </is>
      </c>
      <c r="B26" s="34" t="inlineStr">
        <is>
          <t>Económico</t>
        </is>
      </c>
      <c r="C26" s="34" t="inlineStr">
        <is>
          <t>Equipo / Maquinaria</t>
        </is>
      </c>
      <c r="D26" s="34" t="inlineStr">
        <is>
          <t>Operador Asignado</t>
        </is>
      </c>
      <c r="E26" s="34" t="inlineStr">
        <is>
          <t>Concepto de Trabajo</t>
        </is>
      </c>
      <c r="F26" s="34" t="inlineStr">
        <is>
          <t>Diésel (L)</t>
        </is>
      </c>
      <c r="G26" s="34" t="inlineStr">
        <is>
          <t>Volumen (m³)</t>
        </is>
      </c>
      <c r="H26" s="34" t="inlineStr">
        <is>
          <t>Toneladas (Ton)</t>
        </is>
      </c>
      <c r="I26" s="34" t="inlineStr">
        <is>
          <t>Rendimiento Real</t>
        </is>
      </c>
      <c r="J26" s="34" t="inlineStr">
        <is>
          <t>Diésel (L)</t>
        </is>
      </c>
      <c r="K26" s="34" t="inlineStr">
        <is>
          <t>Volumen (m³)</t>
        </is>
      </c>
      <c r="L26" s="34" t="inlineStr">
        <is>
          <t>Toneladas (Ton)</t>
        </is>
      </c>
      <c r="M26" s="34" t="inlineStr">
        <is>
          <t>Rendimiento Real</t>
        </is>
      </c>
      <c r="N26" s="34" t="inlineStr">
        <is>
          <t>Diésel (L)</t>
        </is>
      </c>
      <c r="O26" s="34" t="inlineStr">
        <is>
          <t>Volumen (m³)</t>
        </is>
      </c>
      <c r="P26" s="34" t="inlineStr">
        <is>
          <t>Toneladas (Ton)</t>
        </is>
      </c>
      <c r="Q26" s="34" t="inlineStr">
        <is>
          <t>Rendimiento Real</t>
        </is>
      </c>
      <c r="R26" s="34" t="inlineStr">
        <is>
          <t>Diésel (L)</t>
        </is>
      </c>
      <c r="S26" s="34" t="inlineStr">
        <is>
          <t>Volumen (m³)</t>
        </is>
      </c>
      <c r="T26" s="34" t="inlineStr">
        <is>
          <t>Toneladas (Ton)</t>
        </is>
      </c>
      <c r="U26" s="34" t="inlineStr">
        <is>
          <t>Rendimiento Real</t>
        </is>
      </c>
      <c r="V26" s="34" t="inlineStr">
        <is>
          <t>Diésel (L)</t>
        </is>
      </c>
      <c r="W26" s="34" t="inlineStr">
        <is>
          <t>Volumen (m³)</t>
        </is>
      </c>
      <c r="X26" s="34" t="inlineStr">
        <is>
          <t>Toneladas (Ton)</t>
        </is>
      </c>
      <c r="Y26" s="34" t="inlineStr">
        <is>
          <t>Rendimiento Real</t>
        </is>
      </c>
      <c r="Z26" s="34" t="inlineStr">
        <is>
          <t>Diésel (L)</t>
        </is>
      </c>
      <c r="AA26" s="34" t="inlineStr">
        <is>
          <t>Volumen (m³)</t>
        </is>
      </c>
      <c r="AB26" s="34" t="inlineStr">
        <is>
          <t>Toneladas (Ton)</t>
        </is>
      </c>
      <c r="AC26" s="34" t="inlineStr">
        <is>
          <t>Rendimiento Real</t>
        </is>
      </c>
      <c r="AD26" s="35" t="inlineStr">
        <is>
          <t>Total Diésel (L)</t>
        </is>
      </c>
      <c r="AE26" s="35" t="inlineStr">
        <is>
          <t>Total Vol (m³)</t>
        </is>
      </c>
      <c r="AF26" s="35" t="inlineStr">
        <is>
          <t>Total Ton (Ton)</t>
        </is>
      </c>
      <c r="AG26" s="35" t="inlineStr">
        <is>
          <t>Rend. Promedio</t>
        </is>
      </c>
    </row>
    <row r="27" ht="18.75" customHeight="1" s="46">
      <c r="A27" s="12" t="n">
        <v>1</v>
      </c>
      <c r="B27" s="12" t="inlineStr">
        <is>
          <t>PRR-01</t>
        </is>
      </c>
      <c r="C27" s="13" t="inlineStr">
        <is>
          <t>PERFILADORA WIRTGEN W200i</t>
        </is>
      </c>
      <c r="D27" s="13" t="inlineStr">
        <is>
          <t>JAVIER PAREDES CORTE</t>
        </is>
      </c>
      <c r="E27" s="13" t="inlineStr">
        <is>
          <t>Fresado de Pavimento</t>
        </is>
      </c>
      <c r="F27" s="37" t="n">
        <v>277</v>
      </c>
      <c r="G27" s="37" t="n">
        <v>98</v>
      </c>
      <c r="H27" s="16">
        <f>G27*$E$4</f>
        <v/>
      </c>
      <c r="I27" s="20">
        <f>IF(G27&gt;0, F27/G27, 0)</f>
        <v/>
      </c>
      <c r="J27" s="37" t="n">
        <v>0</v>
      </c>
      <c r="K27" s="37" t="n">
        <v>294</v>
      </c>
      <c r="L27" s="16">
        <f>K27*$E$4</f>
        <v/>
      </c>
      <c r="M27" s="20">
        <f>IF(K27&gt;0, J27/K27, 0)</f>
        <v/>
      </c>
      <c r="N27" s="37" t="n">
        <v>250</v>
      </c>
      <c r="O27" s="37" t="n">
        <v>378</v>
      </c>
      <c r="P27" s="39" t="n">
        <v>392</v>
      </c>
      <c r="Q27" s="20">
        <f>IF(O27&gt;0, N27/O27, 0)</f>
        <v/>
      </c>
      <c r="R27" s="37" t="n">
        <v>0</v>
      </c>
      <c r="S27" s="37" t="n">
        <v>0</v>
      </c>
      <c r="T27" s="16">
        <f>S27*$E$4</f>
        <v/>
      </c>
      <c r="U27" s="20">
        <f>IF(S27&gt;0, R27/S27, 0)</f>
        <v/>
      </c>
      <c r="V27" s="37" t="n">
        <v>250</v>
      </c>
      <c r="W27" s="37" t="n">
        <v>406</v>
      </c>
      <c r="X27" s="16">
        <f>W27*$E$4</f>
        <v/>
      </c>
      <c r="Y27" s="20">
        <f>IF(W27&gt;0, V27/W27, 0)</f>
        <v/>
      </c>
      <c r="Z27" s="37" t="n">
        <v>0</v>
      </c>
      <c r="AA27" s="37" t="n">
        <v>0</v>
      </c>
      <c r="AB27" s="16">
        <f>AA27*$E$4</f>
        <v/>
      </c>
      <c r="AC27" s="20">
        <f>IF(AA27&gt;0, Z27/AA27, 0)</f>
        <v/>
      </c>
      <c r="AD27" s="37">
        <f>F27+J27+N27+R27+V27+Z27</f>
        <v/>
      </c>
      <c r="AE27" s="37">
        <f>G27+K27+O27+S27+W27+AA27</f>
        <v/>
      </c>
      <c r="AF27" s="16">
        <f>H27+L27+P27+T27+X27+AB27</f>
        <v/>
      </c>
      <c r="AG27" s="20">
        <f>IF(AE27&gt;0, AD27/AE27, 0)</f>
        <v/>
      </c>
    </row>
    <row r="28" ht="18.75" customHeight="1" s="46">
      <c r="A28" s="12" t="n">
        <v>2</v>
      </c>
      <c r="B28" s="12" t="inlineStr">
        <is>
          <t>VG-01</t>
        </is>
      </c>
      <c r="C28" s="13" t="inlineStr">
        <is>
          <t>PAVIMENTADORA VÖGELE SUPER 1800-3i</t>
        </is>
      </c>
      <c r="D28" s="13" t="inlineStr">
        <is>
          <t>ERWIN CUTEÑO HERNANDEZ</t>
        </is>
      </c>
      <c r="E28" s="13" t="inlineStr">
        <is>
          <t>Tendido de Mezcla Asfáltica</t>
        </is>
      </c>
      <c r="F28" s="37" t="n">
        <v>0</v>
      </c>
      <c r="G28" s="37" t="n">
        <v>90</v>
      </c>
      <c r="H28" s="16">
        <f>G28*$E$4</f>
        <v/>
      </c>
      <c r="I28" s="20">
        <f>IF(H28&gt;0, F28/H28, 0)</f>
        <v/>
      </c>
      <c r="J28" s="37" t="n">
        <v>0</v>
      </c>
      <c r="K28" s="37" t="n">
        <v>0</v>
      </c>
      <c r="L28" s="16">
        <f>K28*$E$4</f>
        <v/>
      </c>
      <c r="M28" s="20">
        <f>IF(L28&gt;0, J28/L28, 0)</f>
        <v/>
      </c>
      <c r="N28" s="37" t="n">
        <v>0</v>
      </c>
      <c r="O28" s="37" t="n">
        <v>0</v>
      </c>
      <c r="P28" s="16">
        <f>O28*$E$4</f>
        <v/>
      </c>
      <c r="Q28" s="20">
        <f>IF(P28&gt;0, N28/P28, 0)</f>
        <v/>
      </c>
      <c r="R28" s="37" t="n">
        <v>136</v>
      </c>
      <c r="S28" s="37" t="n">
        <v>120</v>
      </c>
      <c r="T28" s="16">
        <f>S28*$E$4</f>
        <v/>
      </c>
      <c r="U28" s="20">
        <f>IF(T28&gt;0, R28/T28, 0)</f>
        <v/>
      </c>
      <c r="V28" s="37" t="n">
        <v>0</v>
      </c>
      <c r="W28" s="36" t="n">
        <v>272</v>
      </c>
      <c r="X28" s="16">
        <f>W28*$E$4</f>
        <v/>
      </c>
      <c r="Y28" s="20">
        <f>IF(X28&gt;0, V28/X28, 0)</f>
        <v/>
      </c>
      <c r="Z28" s="37" t="n">
        <v>0</v>
      </c>
      <c r="AA28" s="37" t="n">
        <v>90</v>
      </c>
      <c r="AB28" s="16">
        <f>AA28*$E$4</f>
        <v/>
      </c>
      <c r="AC28" s="20">
        <f>IF(AB28&gt;0, Z28/AB28, 0)</f>
        <v/>
      </c>
      <c r="AD28" s="37">
        <f>F28+J28+N28+R28+V28+Z28</f>
        <v/>
      </c>
      <c r="AE28" s="37">
        <f>G28+K28+O28+S28+W28+AA28</f>
        <v/>
      </c>
      <c r="AF28" s="16">
        <f>H28+L28+P28+T28+X28+AB28</f>
        <v/>
      </c>
      <c r="AG28" s="20">
        <f>IF(AF28&gt;0, AD28/AF28, 0)</f>
        <v/>
      </c>
    </row>
    <row r="29" ht="18.75" customHeight="1" s="46">
      <c r="A29" s="12" t="n">
        <v>3</v>
      </c>
      <c r="B29" s="12" t="inlineStr">
        <is>
          <t>DR-01</t>
        </is>
      </c>
      <c r="C29" s="13" t="inlineStr">
        <is>
          <t>COMPACTADOR TÁNDEM HAMM-HD120 VV</t>
        </is>
      </c>
      <c r="D29" s="13" t="inlineStr">
        <is>
          <t>JOEL ALBERTO RIVERA RIVAS</t>
        </is>
      </c>
      <c r="E29" s="13" t="inlineStr">
        <is>
          <t>Compactación Tándem Primaria</t>
        </is>
      </c>
      <c r="F29" s="37" t="n">
        <v>32</v>
      </c>
      <c r="G29" s="37" t="n">
        <v>90</v>
      </c>
      <c r="H29" s="16">
        <f>G29*$E$4</f>
        <v/>
      </c>
      <c r="I29" s="20">
        <f>IF(H29&gt;0, F29/H29, 0)</f>
        <v/>
      </c>
      <c r="J29" s="37" t="n">
        <v>0</v>
      </c>
      <c r="K29" s="37" t="n">
        <v>0</v>
      </c>
      <c r="L29" s="16">
        <f>K29*$E$4</f>
        <v/>
      </c>
      <c r="M29" s="20">
        <f>IF(L29&gt;0, J29/L29, 0)</f>
        <v/>
      </c>
      <c r="N29" s="37" t="n">
        <v>0</v>
      </c>
      <c r="O29" s="37" t="n">
        <v>0</v>
      </c>
      <c r="P29" s="16">
        <f>O29*$E$4</f>
        <v/>
      </c>
      <c r="Q29" s="20">
        <f>IF(P29&gt;0, N29/P29, 0)</f>
        <v/>
      </c>
      <c r="R29" s="37" t="n">
        <v>30</v>
      </c>
      <c r="S29" s="37" t="n">
        <v>120</v>
      </c>
      <c r="T29" s="16">
        <f>S29*$E$4</f>
        <v/>
      </c>
      <c r="U29" s="20">
        <f>IF(T29&gt;0, R29/T29, 0)</f>
        <v/>
      </c>
      <c r="V29" s="37" t="n">
        <v>40</v>
      </c>
      <c r="W29" s="36" t="n">
        <v>272</v>
      </c>
      <c r="X29" s="16">
        <f>W29*$E$4</f>
        <v/>
      </c>
      <c r="Y29" s="20">
        <f>IF(X29&gt;0, V29/X29, 0)</f>
        <v/>
      </c>
      <c r="Z29" s="37" t="n">
        <v>0</v>
      </c>
      <c r="AA29" s="37" t="n">
        <v>90</v>
      </c>
      <c r="AB29" s="16">
        <f>AA29*$E$4</f>
        <v/>
      </c>
      <c r="AC29" s="20">
        <f>IF(AB29&gt;0, Z29/AB29, 0)</f>
        <v/>
      </c>
      <c r="AD29" s="37">
        <f>F29+J29+N29+R29+V29+Z29</f>
        <v/>
      </c>
      <c r="AE29" s="37">
        <f>G29+K29+O29+S29+W29+AA29</f>
        <v/>
      </c>
      <c r="AF29" s="16">
        <f>H29+L29+P29+T29+X29+AB29</f>
        <v/>
      </c>
      <c r="AG29" s="20">
        <f>IF(AF29&gt;0, AD29/AF29, 0)</f>
        <v/>
      </c>
    </row>
    <row r="30" ht="18.75" customHeight="1" s="46">
      <c r="A30" s="12" t="n">
        <v>4</v>
      </c>
      <c r="B30" s="12" t="inlineStr">
        <is>
          <t>DR-02</t>
        </is>
      </c>
      <c r="C30" s="13" t="inlineStr">
        <is>
          <t>COMPACTADOR TÁNDEM HAMM-HD140</t>
        </is>
      </c>
      <c r="D30" s="13" t="inlineStr">
        <is>
          <t>ALEXIS RENDON DOMINGUEZ</t>
        </is>
      </c>
      <c r="E30" s="13" t="inlineStr">
        <is>
          <t>Compactación Tándem Pesada</t>
        </is>
      </c>
      <c r="F30" s="37" t="n">
        <v>0</v>
      </c>
      <c r="G30" s="37" t="n">
        <v>90</v>
      </c>
      <c r="H30" s="16">
        <f>G30*$E$4</f>
        <v/>
      </c>
      <c r="I30" s="20">
        <f>IF(H30&gt;0, F30/H30, 0)</f>
        <v/>
      </c>
      <c r="J30" s="37" t="n">
        <v>0</v>
      </c>
      <c r="K30" s="37" t="n">
        <v>0</v>
      </c>
      <c r="L30" s="16">
        <f>K30*$E$4</f>
        <v/>
      </c>
      <c r="M30" s="20">
        <f>IF(L30&gt;0, J30/L30, 0)</f>
        <v/>
      </c>
      <c r="N30" s="37" t="n">
        <v>0</v>
      </c>
      <c r="O30" s="37" t="n">
        <v>0</v>
      </c>
      <c r="P30" s="16">
        <f>O30*$E$4</f>
        <v/>
      </c>
      <c r="Q30" s="20">
        <f>IF(P30&gt;0, N30/P30, 0)</f>
        <v/>
      </c>
      <c r="R30" s="37" t="n">
        <v>0</v>
      </c>
      <c r="S30" s="37" t="n">
        <v>120</v>
      </c>
      <c r="T30" s="16">
        <f>S30*$E$4</f>
        <v/>
      </c>
      <c r="U30" s="20">
        <f>IF(T30&gt;0, R30/T30, 0)</f>
        <v/>
      </c>
      <c r="V30" s="37" t="n">
        <v>0</v>
      </c>
      <c r="W30" s="36" t="n">
        <v>272</v>
      </c>
      <c r="X30" s="16">
        <f>W30*$E$4</f>
        <v/>
      </c>
      <c r="Y30" s="20">
        <f>IF(X30&gt;0, V30/X30, 0)</f>
        <v/>
      </c>
      <c r="Z30" s="37" t="n">
        <v>0</v>
      </c>
      <c r="AA30" s="37" t="n">
        <v>90</v>
      </c>
      <c r="AB30" s="16">
        <f>AA30*$E$4</f>
        <v/>
      </c>
      <c r="AC30" s="20">
        <f>IF(AB30&gt;0, Z30/AB30, 0)</f>
        <v/>
      </c>
      <c r="AD30" s="37">
        <f>F30+J30+N30+R30+V30+Z30</f>
        <v/>
      </c>
      <c r="AE30" s="37">
        <f>G30+K30+O30+S30+W30+AA30</f>
        <v/>
      </c>
      <c r="AF30" s="16">
        <f>H30+L30+P30+T30+X30+AB30</f>
        <v/>
      </c>
      <c r="AG30" s="20">
        <f>IF(AF30&gt;0, AD30/AF30, 0)</f>
        <v/>
      </c>
    </row>
    <row r="31" ht="18.75" customHeight="1" s="46">
      <c r="A31" s="12" t="n">
        <v>5</v>
      </c>
      <c r="B31" s="12" t="inlineStr">
        <is>
          <t>NM-01</t>
        </is>
      </c>
      <c r="C31" s="13" t="inlineStr">
        <is>
          <t>COMPACTADOR NEUMÁTICO DYNAPAC CP271</t>
        </is>
      </c>
      <c r="D31" s="13" t="inlineStr">
        <is>
          <t>JOSE CARLOS ROMERO TELLEZ</t>
        </is>
      </c>
      <c r="E31" s="13" t="inlineStr">
        <is>
          <t>Compactación Neumática / Sellado</t>
        </is>
      </c>
      <c r="F31" s="37" t="n">
        <v>30</v>
      </c>
      <c r="G31" s="37" t="n">
        <v>90</v>
      </c>
      <c r="H31" s="16">
        <f>G31*$E$4</f>
        <v/>
      </c>
      <c r="I31" s="20">
        <f>IF(H31&gt;0, F31/H31, 0)</f>
        <v/>
      </c>
      <c r="J31" s="37" t="n">
        <v>0</v>
      </c>
      <c r="K31" s="37" t="n">
        <v>0</v>
      </c>
      <c r="L31" s="16">
        <f>K31*$E$4</f>
        <v/>
      </c>
      <c r="M31" s="20">
        <f>IF(L31&gt;0, J31/L31, 0)</f>
        <v/>
      </c>
      <c r="N31" s="37" t="n">
        <v>0</v>
      </c>
      <c r="O31" s="37" t="n">
        <v>0</v>
      </c>
      <c r="P31" s="16">
        <f>O31*$E$4</f>
        <v/>
      </c>
      <c r="Q31" s="20">
        <f>IF(P31&gt;0, N31/P31, 0)</f>
        <v/>
      </c>
      <c r="R31" s="37" t="n">
        <v>30</v>
      </c>
      <c r="S31" s="37" t="n">
        <v>120</v>
      </c>
      <c r="T31" s="16">
        <f>S31*$E$4</f>
        <v/>
      </c>
      <c r="U31" s="20">
        <f>IF(T31&gt;0, R31/T31, 0)</f>
        <v/>
      </c>
      <c r="V31" s="37" t="n">
        <v>30</v>
      </c>
      <c r="W31" s="36" t="n">
        <v>272</v>
      </c>
      <c r="X31" s="16">
        <f>W31*$E$4</f>
        <v/>
      </c>
      <c r="Y31" s="20">
        <f>IF(X31&gt;0, V31/X31, 0)</f>
        <v/>
      </c>
      <c r="Z31" s="37" t="n">
        <v>0</v>
      </c>
      <c r="AA31" s="37" t="n">
        <v>90</v>
      </c>
      <c r="AB31" s="16">
        <f>AA31*$E$4</f>
        <v/>
      </c>
      <c r="AC31" s="20">
        <f>IF(AB31&gt;0, Z31/AB31, 0)</f>
        <v/>
      </c>
      <c r="AD31" s="37">
        <f>F31+J31+N31+R31+V31+Z31</f>
        <v/>
      </c>
      <c r="AE31" s="37">
        <f>G31+K31+O31+S31+W31+AA31</f>
        <v/>
      </c>
      <c r="AF31" s="16">
        <f>H31+L31+P31+T31+X31+AB31</f>
        <v/>
      </c>
      <c r="AG31" s="20">
        <f>IF(AF31&gt;0, AD31/AF31, 0)</f>
        <v/>
      </c>
    </row>
    <row r="32" ht="18.75" customHeight="1" s="46">
      <c r="A32" s="12" t="n">
        <v>6</v>
      </c>
      <c r="B32" s="12" t="inlineStr">
        <is>
          <t>NM-09</t>
        </is>
      </c>
      <c r="C32" s="13" t="inlineStr">
        <is>
          <t>COMPACTADOR NEUMÁTICO HAMM 208</t>
        </is>
      </c>
      <c r="D32" s="13" t="inlineStr">
        <is>
          <t>NOLVIN DE JESUS PEREZ GOMEZ</t>
        </is>
      </c>
      <c r="E32" s="13" t="inlineStr">
        <is>
          <t>Compactación Neumática / Acabado</t>
        </is>
      </c>
      <c r="F32" s="37" t="n">
        <v>0</v>
      </c>
      <c r="G32" s="37" t="n">
        <v>90</v>
      </c>
      <c r="H32" s="16">
        <f>G32*$E$4</f>
        <v/>
      </c>
      <c r="I32" s="20">
        <f>IF(H32&gt;0, F32/H32, 0)</f>
        <v/>
      </c>
      <c r="J32" s="37" t="n">
        <v>0</v>
      </c>
      <c r="K32" s="37" t="n">
        <v>0</v>
      </c>
      <c r="L32" s="16">
        <f>K32*$E$4</f>
        <v/>
      </c>
      <c r="M32" s="20">
        <f>IF(L32&gt;0, J32/L32, 0)</f>
        <v/>
      </c>
      <c r="N32" s="37" t="n">
        <v>0</v>
      </c>
      <c r="O32" s="37" t="n">
        <v>0</v>
      </c>
      <c r="P32" s="16">
        <f>O32*$E$4</f>
        <v/>
      </c>
      <c r="Q32" s="20">
        <f>IF(P32&gt;0, N32/P32, 0)</f>
        <v/>
      </c>
      <c r="R32" s="37" t="n">
        <v>0</v>
      </c>
      <c r="S32" s="37" t="n">
        <v>120</v>
      </c>
      <c r="T32" s="16">
        <f>S32*$E$4</f>
        <v/>
      </c>
      <c r="U32" s="20">
        <f>IF(T32&gt;0, R32/T32, 0)</f>
        <v/>
      </c>
      <c r="V32" s="37" t="n">
        <v>0</v>
      </c>
      <c r="W32" s="36" t="n">
        <v>272</v>
      </c>
      <c r="X32" s="16">
        <f>W32*$E$4</f>
        <v/>
      </c>
      <c r="Y32" s="20">
        <f>IF(X32&gt;0, V32/X32, 0)</f>
        <v/>
      </c>
      <c r="Z32" s="37" t="n">
        <v>0</v>
      </c>
      <c r="AA32" s="37" t="n">
        <v>90</v>
      </c>
      <c r="AB32" s="16">
        <f>AA32*$E$4</f>
        <v/>
      </c>
      <c r="AC32" s="20">
        <f>IF(AB32&gt;0, Z32/AB32, 0)</f>
        <v/>
      </c>
      <c r="AD32" s="37">
        <f>F32+J32+N32+R32+V32+Z32</f>
        <v/>
      </c>
      <c r="AE32" s="37">
        <f>G32+K32+O32+S32+W32+AA32</f>
        <v/>
      </c>
      <c r="AF32" s="16">
        <f>H32+L32+P32+T32+X32+AB32</f>
        <v/>
      </c>
      <c r="AG32" s="20">
        <f>IF(AF32&gt;0, AD32/AF32, 0)</f>
        <v/>
      </c>
    </row>
    <row r="33" ht="18.75" customHeight="1" s="46">
      <c r="A33" s="12" t="n">
        <v>7</v>
      </c>
      <c r="B33" s="12" t="inlineStr">
        <is>
          <t>BR-01</t>
        </is>
      </c>
      <c r="C33" s="13" t="inlineStr">
        <is>
          <t>BARREDORA INDUSTRIAL BROCE BROOM-350</t>
        </is>
      </c>
      <c r="D33" s="13" t="inlineStr">
        <is>
          <t>EDGAR ROSALES MARTINEZ</t>
        </is>
      </c>
      <c r="E33" s="13" t="inlineStr">
        <is>
          <t>Limpieza y Barrido Previo</t>
        </is>
      </c>
      <c r="F33" s="37" t="n">
        <v>0</v>
      </c>
      <c r="G33" s="37" t="n">
        <v>90</v>
      </c>
      <c r="H33" s="16">
        <f>G33*$E$4</f>
        <v/>
      </c>
      <c r="I33" s="20">
        <f>IF(H33&gt;0, F33/H33, 0)</f>
        <v/>
      </c>
      <c r="J33" s="37" t="n">
        <v>0</v>
      </c>
      <c r="K33" s="37" t="n">
        <v>0</v>
      </c>
      <c r="L33" s="16">
        <f>K33*$E$4</f>
        <v/>
      </c>
      <c r="M33" s="20">
        <f>IF(L33&gt;0, J33/L33, 0)</f>
        <v/>
      </c>
      <c r="N33" s="37" t="n">
        <v>20</v>
      </c>
      <c r="O33" s="37" t="n">
        <v>0</v>
      </c>
      <c r="P33" s="16">
        <f>O33*$E$4</f>
        <v/>
      </c>
      <c r="Q33" s="20">
        <f>IF(P33&gt;0, N33/P33, 0)</f>
        <v/>
      </c>
      <c r="R33" s="37" t="n">
        <v>20</v>
      </c>
      <c r="S33" s="37" t="n">
        <v>120</v>
      </c>
      <c r="T33" s="16">
        <f>S33*$E$4</f>
        <v/>
      </c>
      <c r="U33" s="20">
        <f>IF(T33&gt;0, R33/T33, 0)</f>
        <v/>
      </c>
      <c r="V33" s="37" t="n">
        <v>20</v>
      </c>
      <c r="W33" s="36" t="n">
        <v>272</v>
      </c>
      <c r="X33" s="16">
        <f>W33*$E$4</f>
        <v/>
      </c>
      <c r="Y33" s="20">
        <f>IF(X33&gt;0, V33/X33, 0)</f>
        <v/>
      </c>
      <c r="Z33" s="37" t="n">
        <v>0</v>
      </c>
      <c r="AA33" s="37" t="n">
        <v>90</v>
      </c>
      <c r="AB33" s="16">
        <f>AA33*$E$4</f>
        <v/>
      </c>
      <c r="AC33" s="20">
        <f>IF(AB33&gt;0, Z33/AB33, 0)</f>
        <v/>
      </c>
      <c r="AD33" s="37">
        <f>F33+J33+N33+R33+V33+Z33</f>
        <v/>
      </c>
      <c r="AE33" s="37">
        <f>G33+K33+O33+S33+W33+AA33</f>
        <v/>
      </c>
      <c r="AF33" s="16">
        <f>H33+L33+P33+T33+X33+AB33</f>
        <v/>
      </c>
      <c r="AG33" s="20">
        <f>IF(AF33&gt;0, AD33/AF33, 0)</f>
        <v/>
      </c>
    </row>
    <row r="34" ht="18.75" customHeight="1" s="46">
      <c r="A34" s="12" t="n">
        <v>8</v>
      </c>
      <c r="B34" s="12" t="inlineStr">
        <is>
          <t>RT-05</t>
        </is>
      </c>
      <c r="C34" s="13" t="inlineStr">
        <is>
          <t>RETROEXCAVADORA JOHN DEERE 310SK</t>
        </is>
      </c>
      <c r="D34" s="13" t="inlineStr">
        <is>
          <t>ADOLFO NAVA LOPEZ</t>
        </is>
      </c>
      <c r="E34" s="13" t="inlineStr">
        <is>
          <t>Carga Fresado y Derrumbes</t>
        </is>
      </c>
      <c r="F34" s="37" t="n">
        <v>30</v>
      </c>
      <c r="G34" s="37" t="n">
        <v>98</v>
      </c>
      <c r="H34" s="16">
        <f>G34*$E$4</f>
        <v/>
      </c>
      <c r="I34" s="20">
        <f>IF(G34&gt;0, F34/G34, 0)</f>
        <v/>
      </c>
      <c r="J34" s="37" t="n">
        <v>0</v>
      </c>
      <c r="K34" s="37" t="n">
        <v>294</v>
      </c>
      <c r="L34" s="16">
        <f>K34*$E$4</f>
        <v/>
      </c>
      <c r="M34" s="20">
        <f>IF(K34&gt;0, J34/K34, 0)</f>
        <v/>
      </c>
      <c r="N34" s="37" t="n">
        <v>30</v>
      </c>
      <c r="O34" s="37" t="n">
        <v>378</v>
      </c>
      <c r="P34" s="39" t="n">
        <v>392</v>
      </c>
      <c r="Q34" s="20">
        <f>IF(O34&gt;0, N34/O34, 0)</f>
        <v/>
      </c>
      <c r="R34" s="37" t="n">
        <v>20</v>
      </c>
      <c r="S34" s="37" t="n">
        <v>0</v>
      </c>
      <c r="T34" s="16">
        <f>S34*$E$4</f>
        <v/>
      </c>
      <c r="U34" s="20">
        <f>IF(S34&gt;0, R34/S34, 0)</f>
        <v/>
      </c>
      <c r="V34" s="37" t="n">
        <v>0</v>
      </c>
      <c r="W34" s="37" t="n">
        <v>406</v>
      </c>
      <c r="X34" s="16">
        <f>W34*$E$4</f>
        <v/>
      </c>
      <c r="Y34" s="20">
        <f>IF(W34&gt;0, V34/W34, 0)</f>
        <v/>
      </c>
      <c r="Z34" s="37" t="n">
        <v>0</v>
      </c>
      <c r="AA34" s="37" t="n">
        <v>0</v>
      </c>
      <c r="AB34" s="16">
        <f>AA34*$E$4</f>
        <v/>
      </c>
      <c r="AC34" s="20">
        <f>IF(AA34&gt;0, Z34/AA34, 0)</f>
        <v/>
      </c>
      <c r="AD34" s="37">
        <f>F34+J34+N34+R34+V34+Z34</f>
        <v/>
      </c>
      <c r="AE34" s="37">
        <f>G34+K34+O34+S34+W34+AA34</f>
        <v/>
      </c>
      <c r="AF34" s="16">
        <f>H34+L34+P34+T34+X34+AB34</f>
        <v/>
      </c>
      <c r="AG34" s="20">
        <f>IF(AE34&gt;0, AD34/AE34, 0)</f>
        <v/>
      </c>
    </row>
    <row r="35" ht="18.75" customHeight="1" s="46">
      <c r="A35" s="12" t="n">
        <v>9</v>
      </c>
      <c r="B35" s="12" t="inlineStr">
        <is>
          <t>PT-01</t>
        </is>
      </c>
      <c r="C35" s="13" t="inlineStr">
        <is>
          <t>PETROLIZADORA INTERNATIONAL / FORD F800</t>
        </is>
      </c>
      <c r="D35" s="13" t="inlineStr">
        <is>
          <t>ELTHON EDUARDO MARTINEZ GOMORA</t>
        </is>
      </c>
      <c r="E35" s="13" t="inlineStr">
        <is>
          <t>Riego de Liga / Emulsión</t>
        </is>
      </c>
      <c r="F35" s="37" t="n">
        <v>0</v>
      </c>
      <c r="G35" s="37" t="n">
        <v>90</v>
      </c>
      <c r="H35" s="16">
        <f>G35*$E$4</f>
        <v/>
      </c>
      <c r="I35" s="20">
        <f>IF(H35&gt;0, F35/H35, 0)</f>
        <v/>
      </c>
      <c r="J35" s="37" t="n">
        <v>0</v>
      </c>
      <c r="K35" s="37" t="n">
        <v>0</v>
      </c>
      <c r="L35" s="16">
        <f>K35*$E$4</f>
        <v/>
      </c>
      <c r="M35" s="20">
        <f>IF(L35&gt;0, J35/L35, 0)</f>
        <v/>
      </c>
      <c r="N35" s="37" t="n">
        <v>0</v>
      </c>
      <c r="O35" s="37" t="n">
        <v>0</v>
      </c>
      <c r="P35" s="16">
        <f>O35*$E$4</f>
        <v/>
      </c>
      <c r="Q35" s="20">
        <f>IF(P35&gt;0, N35/P35, 0)</f>
        <v/>
      </c>
      <c r="R35" s="37" t="n">
        <v>0</v>
      </c>
      <c r="S35" s="37" t="n">
        <v>120</v>
      </c>
      <c r="T35" s="16">
        <f>S35*$E$4</f>
        <v/>
      </c>
      <c r="U35" s="20">
        <f>IF(T35&gt;0, R35/T35, 0)</f>
        <v/>
      </c>
      <c r="V35" s="37" t="n">
        <v>0</v>
      </c>
      <c r="W35" s="36" t="n">
        <v>272</v>
      </c>
      <c r="X35" s="16">
        <f>W35*$E$4</f>
        <v/>
      </c>
      <c r="Y35" s="20">
        <f>IF(X35&gt;0, V35/X35, 0)</f>
        <v/>
      </c>
      <c r="Z35" s="37" t="n">
        <v>0</v>
      </c>
      <c r="AA35" s="37" t="n">
        <v>90</v>
      </c>
      <c r="AB35" s="16">
        <f>AA35*$E$4</f>
        <v/>
      </c>
      <c r="AC35" s="20">
        <f>IF(AB35&gt;0, Z35/AB35, 0)</f>
        <v/>
      </c>
      <c r="AD35" s="37">
        <f>F35+J35+N35+R35+V35+Z35</f>
        <v/>
      </c>
      <c r="AE35" s="37">
        <f>G35+K35+O35+S35+W35+AA35</f>
        <v/>
      </c>
      <c r="AF35" s="16">
        <f>H35+L35+P35+T35+X35+AB35</f>
        <v/>
      </c>
      <c r="AG35" s="20">
        <f>IF(AF35&gt;0, AD35/AF35, 0)</f>
        <v/>
      </c>
    </row>
    <row r="36" ht="18.75" customHeight="1" s="46">
      <c r="A36" s="12" t="n">
        <v>10</v>
      </c>
      <c r="B36" s="12" t="inlineStr">
        <is>
          <t>CPR-01</t>
        </is>
      </c>
      <c r="C36" s="13" t="inlineStr">
        <is>
          <t>COMPRESOR DE AIRE INGERSOLL RAND IR185</t>
        </is>
      </c>
      <c r="D36" s="13" t="inlineStr">
        <is>
          <t>CUADRILLA DE LIMPIEZA</t>
        </is>
      </c>
      <c r="E36" s="13" t="inlineStr">
        <is>
          <t>Sopleteado de Juntas</t>
        </is>
      </c>
      <c r="F36" s="37" t="n">
        <v>0</v>
      </c>
      <c r="G36" s="37" t="n">
        <v>0</v>
      </c>
      <c r="H36" s="16">
        <f>G36*$E$4</f>
        <v/>
      </c>
      <c r="I36" s="20" t="n">
        <v>0</v>
      </c>
      <c r="J36" s="37" t="n">
        <v>0</v>
      </c>
      <c r="K36" s="37" t="n">
        <v>0</v>
      </c>
      <c r="L36" s="16">
        <f>K36*$E$4</f>
        <v/>
      </c>
      <c r="M36" s="20" t="n">
        <v>0</v>
      </c>
      <c r="N36" s="37" t="n">
        <v>0</v>
      </c>
      <c r="O36" s="37" t="n">
        <v>0</v>
      </c>
      <c r="P36" s="16">
        <f>O36*$E$4</f>
        <v/>
      </c>
      <c r="Q36" s="20" t="n">
        <v>0</v>
      </c>
      <c r="R36" s="37" t="n">
        <v>0</v>
      </c>
      <c r="S36" s="37" t="n">
        <v>0</v>
      </c>
      <c r="T36" s="16">
        <f>S36*$E$4</f>
        <v/>
      </c>
      <c r="U36" s="20" t="n">
        <v>0</v>
      </c>
      <c r="V36" s="37" t="n">
        <v>0</v>
      </c>
      <c r="W36" s="37" t="n">
        <v>0</v>
      </c>
      <c r="X36" s="16">
        <f>W36*$E$4</f>
        <v/>
      </c>
      <c r="Y36" s="20" t="n">
        <v>0</v>
      </c>
      <c r="Z36" s="37" t="n">
        <v>0</v>
      </c>
      <c r="AA36" s="37" t="n">
        <v>0</v>
      </c>
      <c r="AB36" s="16">
        <f>AA36*$E$4</f>
        <v/>
      </c>
      <c r="AC36" s="20" t="n">
        <v>0</v>
      </c>
      <c r="AD36" s="37">
        <f>F36+J36+N36+R36+V36+Z36</f>
        <v/>
      </c>
      <c r="AE36" s="37">
        <f>G36+K36+O36+S36+W36+AA36</f>
        <v/>
      </c>
      <c r="AF36" s="16">
        <f>H36+L36+P36+T36+X36+AB36</f>
        <v/>
      </c>
      <c r="AG36" s="20" t="n">
        <v>0</v>
      </c>
    </row>
    <row r="37" ht="18.75" customHeight="1" s="46">
      <c r="A37" s="12" t="n">
        <v>11</v>
      </c>
      <c r="B37" s="12" t="inlineStr">
        <is>
          <t>PP-01</t>
        </is>
      </c>
      <c r="C37" s="13" t="inlineStr">
        <is>
          <t>CAMIÓN IMPACTO / PIPA DE AGUA FORD</t>
        </is>
      </c>
      <c r="D37" s="13" t="inlineStr">
        <is>
          <t>CUADRILLA DE AGUA</t>
        </is>
      </c>
      <c r="E37" s="13" t="inlineStr">
        <is>
          <t>Enfriamiento Rodillos / Riego</t>
        </is>
      </c>
      <c r="F37" s="37" t="n">
        <v>0</v>
      </c>
      <c r="G37" s="37" t="n">
        <v>0</v>
      </c>
      <c r="H37" s="16">
        <f>G37*$E$4</f>
        <v/>
      </c>
      <c r="I37" s="20" t="n">
        <v>0</v>
      </c>
      <c r="J37" s="37" t="n">
        <v>0</v>
      </c>
      <c r="K37" s="37" t="n">
        <v>0</v>
      </c>
      <c r="L37" s="16">
        <f>K37*$E$4</f>
        <v/>
      </c>
      <c r="M37" s="20" t="n">
        <v>0</v>
      </c>
      <c r="N37" s="37" t="n">
        <v>0</v>
      </c>
      <c r="O37" s="37" t="n">
        <v>0</v>
      </c>
      <c r="P37" s="16">
        <f>O37*$E$4</f>
        <v/>
      </c>
      <c r="Q37" s="20" t="n">
        <v>0</v>
      </c>
      <c r="R37" s="37" t="n">
        <v>0</v>
      </c>
      <c r="S37" s="37" t="n">
        <v>0</v>
      </c>
      <c r="T37" s="16">
        <f>S37*$E$4</f>
        <v/>
      </c>
      <c r="U37" s="20" t="n">
        <v>0</v>
      </c>
      <c r="V37" s="37" t="n">
        <v>0</v>
      </c>
      <c r="W37" s="37" t="n">
        <v>0</v>
      </c>
      <c r="X37" s="16">
        <f>W37*$E$4</f>
        <v/>
      </c>
      <c r="Y37" s="20" t="n">
        <v>0</v>
      </c>
      <c r="Z37" s="37" t="n">
        <v>0</v>
      </c>
      <c r="AA37" s="37" t="n">
        <v>0</v>
      </c>
      <c r="AB37" s="16">
        <f>AA37*$E$4</f>
        <v/>
      </c>
      <c r="AC37" s="20" t="n">
        <v>0</v>
      </c>
      <c r="AD37" s="37">
        <f>F37+J37+N37+R37+V37+Z37</f>
        <v/>
      </c>
      <c r="AE37" s="37">
        <f>G37+K37+O37+S37+W37+AA37</f>
        <v/>
      </c>
      <c r="AF37" s="16">
        <f>H37+L37+P37+T37+X37+AB37</f>
        <v/>
      </c>
      <c r="AG37" s="20" t="n">
        <v>0</v>
      </c>
    </row>
    <row r="38" ht="18.75" customHeight="1" s="46">
      <c r="A38" s="12" t="n">
        <v>12</v>
      </c>
      <c r="B38" s="12" t="inlineStr">
        <is>
          <t>TL-01</t>
        </is>
      </c>
      <c r="C38" s="13" t="inlineStr">
        <is>
          <t>TORRE DE LUZ MAXILIGHT 4X1000W</t>
        </is>
      </c>
      <c r="D38" s="13" t="inlineStr">
        <is>
          <t>CUADRILLA NOCTURNA</t>
        </is>
      </c>
      <c r="E38" s="13" t="inlineStr">
        <is>
          <t>Iluminación Nocturna</t>
        </is>
      </c>
      <c r="F38" s="37" t="n">
        <v>0</v>
      </c>
      <c r="G38" s="37" t="n">
        <v>0</v>
      </c>
      <c r="H38" s="16">
        <f>G38*$E$4</f>
        <v/>
      </c>
      <c r="I38" s="20" t="n">
        <v>0</v>
      </c>
      <c r="J38" s="37" t="n">
        <v>0</v>
      </c>
      <c r="K38" s="37" t="n">
        <v>0</v>
      </c>
      <c r="L38" s="16">
        <f>K38*$E$4</f>
        <v/>
      </c>
      <c r="M38" s="20" t="n">
        <v>0</v>
      </c>
      <c r="N38" s="37" t="n">
        <v>0</v>
      </c>
      <c r="O38" s="37" t="n">
        <v>0</v>
      </c>
      <c r="P38" s="16">
        <f>O38*$E$4</f>
        <v/>
      </c>
      <c r="Q38" s="20" t="n">
        <v>0</v>
      </c>
      <c r="R38" s="37" t="n">
        <v>20</v>
      </c>
      <c r="S38" s="37" t="n">
        <v>0</v>
      </c>
      <c r="T38" s="16">
        <f>S38*$E$4</f>
        <v/>
      </c>
      <c r="U38" s="20" t="n">
        <v>0</v>
      </c>
      <c r="V38" s="37" t="n">
        <v>20</v>
      </c>
      <c r="W38" s="37" t="n">
        <v>0</v>
      </c>
      <c r="X38" s="16">
        <f>W38*$E$4</f>
        <v/>
      </c>
      <c r="Y38" s="20" t="n">
        <v>0</v>
      </c>
      <c r="Z38" s="37" t="n">
        <v>0</v>
      </c>
      <c r="AA38" s="37" t="n">
        <v>0</v>
      </c>
      <c r="AB38" s="16">
        <f>AA38*$E$4</f>
        <v/>
      </c>
      <c r="AC38" s="20" t="n">
        <v>0</v>
      </c>
      <c r="AD38" s="37">
        <f>F38+J38+N38+R38+V38+Z38</f>
        <v/>
      </c>
      <c r="AE38" s="37">
        <f>G38+K38+O38+S38+W38+AA38</f>
        <v/>
      </c>
      <c r="AF38" s="16">
        <f>H38+L38+P38+T38+X38+AB38</f>
        <v/>
      </c>
      <c r="AG38" s="20" t="n">
        <v>0</v>
      </c>
    </row>
    <row r="39" ht="21.75" customHeight="1" s="46">
      <c r="A39" s="30" t="inlineStr">
        <is>
          <t>TOTAL DIARIO CONSOLIDADO (OBRA MÉXICO-TOLUCA)</t>
        </is>
      </c>
      <c r="B39" s="50" t="n"/>
      <c r="C39" s="50" t="n"/>
      <c r="D39" s="50" t="n"/>
      <c r="E39" s="51" t="n"/>
      <c r="F39" s="27">
        <f>SUM(F27:F38)</f>
        <v/>
      </c>
      <c r="G39" s="27">
        <f>MAX(G27:G38)</f>
        <v/>
      </c>
      <c r="H39" s="28">
        <f>G39*$E$4</f>
        <v/>
      </c>
      <c r="I39" s="29">
        <f>IF(H39&gt;0, F39/H39, 0)</f>
        <v/>
      </c>
      <c r="J39" s="27">
        <f>SUM(J27:J38)</f>
        <v/>
      </c>
      <c r="K39" s="27">
        <f>MAX(K27:K38)</f>
        <v/>
      </c>
      <c r="L39" s="28">
        <f>K39*$E$4</f>
        <v/>
      </c>
      <c r="M39" s="29">
        <f>IF(L39&gt;0, J39/L39, 0)</f>
        <v/>
      </c>
      <c r="N39" s="27">
        <f>SUM(N27:N38)</f>
        <v/>
      </c>
      <c r="O39" s="27">
        <f>MAX(O27:O38)</f>
        <v/>
      </c>
      <c r="P39" s="28">
        <f>O39*$E$4</f>
        <v/>
      </c>
      <c r="Q39" s="29">
        <f>IF(P39&gt;0, N39/P39, 0)</f>
        <v/>
      </c>
      <c r="R39" s="27">
        <f>SUM(R27:R38)</f>
        <v/>
      </c>
      <c r="S39" s="27">
        <f>MAX(S27:S38)</f>
        <v/>
      </c>
      <c r="T39" s="28">
        <f>S39*$E$4</f>
        <v/>
      </c>
      <c r="U39" s="29">
        <f>IF(T39&gt;0, R39/T39, 0)</f>
        <v/>
      </c>
      <c r="V39" s="27">
        <f>SUM(V27:V38)</f>
        <v/>
      </c>
      <c r="W39" s="27">
        <f>MAX(W27:W38)</f>
        <v/>
      </c>
      <c r="X39" s="28">
        <f>W39*$E$4</f>
        <v/>
      </c>
      <c r="Y39" s="29">
        <f>IF(X39&gt;0, V39/X39, 0)</f>
        <v/>
      </c>
      <c r="Z39" s="27">
        <f>SUM(Z27:Z38)</f>
        <v/>
      </c>
      <c r="AA39" s="27">
        <f>MAX(AA27:AA38)</f>
        <v/>
      </c>
      <c r="AB39" s="28">
        <f>AA39*$E$4</f>
        <v/>
      </c>
      <c r="AC39" s="29">
        <f>IF(AB39&gt;0, Z39/AB39, 0)</f>
        <v/>
      </c>
      <c r="AD39" s="27">
        <f>SUM(AD27:AD38)</f>
        <v/>
      </c>
      <c r="AE39" s="27">
        <f>SUM(AE27:AE38)</f>
        <v/>
      </c>
      <c r="AF39" s="28">
        <f>SUM(AF27:AF38)</f>
        <v/>
      </c>
      <c r="AG39" s="29">
        <f>IF(AF39&gt;0, AD39/AF39, 0)</f>
        <v/>
      </c>
    </row>
    <row r="40" ht="15.75" customHeight="1" s="46"/>
    <row r="41" ht="15.75" customHeight="1" s="46">
      <c r="A41" s="40" t="inlineStr">
        <is>
          <t>NOTA TÉCNICA Y CRITERIOS DE CONTROL DE RENDIMIENTO — OBRA MÉXICO-TOLUCA:
1. Peso Volumétrico Oficial del Asfalto: 1.742 Ton/m³ (Toneladas = m³ Carpeta × 1.742).
2. Rendimiento Base (L/h): Consumo nominal de fabricante ajustado con 1.2% anual de desgaste por antigüedad al 2026.
3. Rendimiento Real: Diésel Surtido / Toneladas Tendidas (L/Ton) o Diésel Surtido / Volumen Fresado (L/m³).
4. Estatus Operativo: DENTRO DE RENDIMIENTO BASE (Verde) / EXCEDE RENDIMIENTO BASE (Rojo) / SIN CONSUMO (Gris).</t>
        </is>
      </c>
    </row>
    <row r="42" ht="15.75" customHeight="1" s="46"/>
    <row r="43" ht="15.75" customHeight="1" s="46"/>
    <row r="44" ht="15.75" customHeight="1" s="46"/>
    <row r="45" ht="15.75" customHeight="1" s="46"/>
    <row r="46" ht="15.75" customHeight="1" s="46"/>
    <row r="47" ht="15.75" customHeight="1" s="46"/>
    <row r="48" ht="15.75" customHeight="1" s="46"/>
    <row r="49" ht="15.75" customHeight="1" s="46"/>
    <row r="50" ht="15.75" customHeight="1" s="46"/>
    <row r="51" ht="15.75" customHeight="1" s="46"/>
    <row r="52" ht="15.75" customHeight="1" s="46"/>
    <row r="53" ht="15.75" customHeight="1" s="46"/>
    <row r="54" ht="15.75" customHeight="1" s="46"/>
    <row r="55" ht="15.75" customHeight="1" s="46"/>
    <row r="56" ht="15.75" customHeight="1" s="46"/>
    <row r="57" ht="15.75" customHeight="1" s="46"/>
    <row r="58" ht="15.75" customHeight="1" s="46"/>
    <row r="59" ht="15.75" customHeight="1" s="46"/>
    <row r="60" ht="15.75" customHeight="1" s="46"/>
    <row r="61" ht="15.75" customHeight="1" s="46"/>
    <row r="62" ht="15.75" customHeight="1" s="46"/>
    <row r="63" ht="15.75" customHeight="1" s="46"/>
    <row r="64" ht="15.75" customHeight="1" s="46"/>
    <row r="65" ht="15.75" customHeight="1" s="46"/>
    <row r="66" ht="15.75" customHeight="1" s="46"/>
    <row r="67" ht="15.75" customHeight="1" s="46"/>
    <row r="68" ht="15.75" customHeight="1" s="46"/>
    <row r="69" ht="15.75" customHeight="1" s="46"/>
    <row r="70" ht="15.75" customHeight="1" s="46"/>
    <row r="71" ht="15.75" customHeight="1" s="46"/>
    <row r="72" ht="15.75" customHeight="1" s="46"/>
    <row r="73" ht="15.75" customHeight="1" s="46"/>
    <row r="74" ht="15.75" customHeight="1" s="46"/>
    <row r="75" ht="15.75" customHeight="1" s="46"/>
    <row r="76" ht="15.75" customHeight="1" s="46"/>
    <row r="77" ht="15.75" customHeight="1" s="46"/>
    <row r="78" ht="15.75" customHeight="1" s="46"/>
    <row r="79" ht="15.75" customHeight="1" s="46"/>
    <row r="80" ht="15.75" customHeight="1" s="46"/>
    <row r="81" ht="15.75" customHeight="1" s="46"/>
    <row r="82" ht="15.75" customHeight="1" s="46"/>
    <row r="83" ht="15.75" customHeight="1" s="46"/>
    <row r="84" ht="15.75" customHeight="1" s="46"/>
    <row r="85" ht="15.75" customHeight="1" s="46"/>
    <row r="86" ht="15.75" customHeight="1" s="46"/>
    <row r="87" ht="15.75" customHeight="1" s="46"/>
    <row r="88" ht="15.75" customHeight="1" s="46"/>
    <row r="89" ht="15.75" customHeight="1" s="46"/>
    <row r="90" ht="15.75" customHeight="1" s="46"/>
    <row r="91" ht="15.75" customHeight="1" s="46"/>
    <row r="92" ht="15.75" customHeight="1" s="46"/>
    <row r="93" ht="15.75" customHeight="1" s="46"/>
    <row r="94" ht="15.75" customHeight="1" s="46"/>
    <row r="95" ht="15.75" customHeight="1" s="46"/>
    <row r="96" ht="15.75" customHeight="1" s="46"/>
    <row r="97" ht="15.75" customHeight="1" s="46"/>
    <row r="98" ht="15.75" customHeight="1" s="46"/>
    <row r="99" ht="15.75" customHeight="1" s="46"/>
    <row r="100" ht="15.75" customHeight="1" s="46"/>
    <row r="101" ht="15.75" customHeight="1" s="46"/>
    <row r="102" ht="15.75" customHeight="1" s="46"/>
    <row r="103" ht="15.75" customHeight="1" s="46"/>
    <row r="104" ht="15.75" customHeight="1" s="46"/>
    <row r="105" ht="15.75" customHeight="1" s="46"/>
    <row r="106" ht="15.75" customHeight="1" s="46"/>
    <row r="107" ht="15.75" customHeight="1" s="46"/>
    <row r="108" ht="15.75" customHeight="1" s="46"/>
    <row r="109" ht="15.75" customHeight="1" s="46"/>
    <row r="110" ht="15.75" customHeight="1" s="46"/>
    <row r="111" ht="15.75" customHeight="1" s="46"/>
    <row r="112" ht="15.75" customHeight="1" s="46"/>
    <row r="113" ht="15.75" customHeight="1" s="46"/>
    <row r="114" ht="15.75" customHeight="1" s="46"/>
    <row r="115" ht="15.75" customHeight="1" s="46"/>
    <row r="116" ht="15.75" customHeight="1" s="46"/>
    <row r="117" ht="15.75" customHeight="1" s="46"/>
    <row r="118" ht="15.75" customHeight="1" s="46"/>
    <row r="119" ht="15.75" customHeight="1" s="46"/>
    <row r="120" ht="15.75" customHeight="1" s="46"/>
    <row r="121" ht="15.75" customHeight="1" s="46"/>
    <row r="122" ht="15.75" customHeight="1" s="46"/>
    <row r="123" ht="15.75" customHeight="1" s="46"/>
    <row r="124" ht="15.75" customHeight="1" s="46"/>
    <row r="125" ht="15.75" customHeight="1" s="46"/>
    <row r="126" ht="15.75" customHeight="1" s="46"/>
    <row r="127" ht="15.75" customHeight="1" s="46"/>
    <row r="128" ht="15.75" customHeight="1" s="46"/>
    <row r="129" ht="15.75" customHeight="1" s="46"/>
    <row r="130" ht="15.75" customHeight="1" s="46"/>
    <row r="131" ht="15.75" customHeight="1" s="46"/>
    <row r="132" ht="15.75" customHeight="1" s="46"/>
    <row r="133" ht="15.75" customHeight="1" s="46"/>
    <row r="134" ht="15.75" customHeight="1" s="46"/>
    <row r="135" ht="15.75" customHeight="1" s="46"/>
    <row r="136" ht="15.75" customHeight="1" s="46"/>
    <row r="137" ht="15.75" customHeight="1" s="46"/>
    <row r="138" ht="15.75" customHeight="1" s="46"/>
    <row r="139" ht="15.75" customHeight="1" s="46"/>
    <row r="140" ht="15.75" customHeight="1" s="46"/>
    <row r="141" ht="15.75" customHeight="1" s="46"/>
    <row r="142" ht="15.75" customHeight="1" s="46"/>
    <row r="143" ht="15.75" customHeight="1" s="46"/>
    <row r="144" ht="15.75" customHeight="1" s="46"/>
    <row r="145" ht="15.75" customHeight="1" s="46"/>
    <row r="146" ht="15.75" customHeight="1" s="46"/>
    <row r="147" ht="15.75" customHeight="1" s="46"/>
    <row r="148" ht="15.75" customHeight="1" s="46"/>
    <row r="149" ht="15.75" customHeight="1" s="46"/>
    <row r="150" ht="15.75" customHeight="1" s="46"/>
    <row r="151" ht="15.75" customHeight="1" s="46"/>
    <row r="152" ht="15.75" customHeight="1" s="46"/>
    <row r="153" ht="15.75" customHeight="1" s="46"/>
    <row r="154" ht="15.75" customHeight="1" s="46"/>
    <row r="155" ht="15.75" customHeight="1" s="46"/>
    <row r="156" ht="15.75" customHeight="1" s="46"/>
    <row r="157" ht="15.75" customHeight="1" s="46"/>
    <row r="158" ht="15.75" customHeight="1" s="46"/>
    <row r="159" ht="15.75" customHeight="1" s="46"/>
    <row r="160" ht="15.75" customHeight="1" s="46"/>
    <row r="161" ht="15.75" customHeight="1" s="46"/>
    <row r="162" ht="15.75" customHeight="1" s="46"/>
    <row r="163" ht="15.75" customHeight="1" s="46"/>
    <row r="164" ht="15.75" customHeight="1" s="46"/>
    <row r="165" ht="15.75" customHeight="1" s="46"/>
    <row r="166" ht="15.75" customHeight="1" s="46"/>
    <row r="167" ht="15.75" customHeight="1" s="46"/>
    <row r="168" ht="15.75" customHeight="1" s="46"/>
    <row r="169" ht="15.75" customHeight="1" s="46"/>
    <row r="170" ht="15.75" customHeight="1" s="46"/>
    <row r="171" ht="15.75" customHeight="1" s="46"/>
    <row r="172" ht="15.75" customHeight="1" s="46"/>
    <row r="173" ht="15.75" customHeight="1" s="46"/>
    <row r="174" ht="15.75" customHeight="1" s="46"/>
    <row r="175" ht="15.75" customHeight="1" s="46"/>
    <row r="176" ht="15.75" customHeight="1" s="46"/>
    <row r="177" ht="15.75" customHeight="1" s="46"/>
    <row r="178" ht="15.75" customHeight="1" s="46"/>
    <row r="179" ht="15.75" customHeight="1" s="46"/>
    <row r="180" ht="15.75" customHeight="1" s="46"/>
    <row r="181" ht="15.75" customHeight="1" s="46"/>
    <row r="182" ht="15.75" customHeight="1" s="46"/>
    <row r="183" ht="15.75" customHeight="1" s="46"/>
    <row r="184" ht="15.75" customHeight="1" s="46"/>
    <row r="185" ht="15.75" customHeight="1" s="46"/>
    <row r="186" ht="15.75" customHeight="1" s="46"/>
    <row r="187" ht="15.75" customHeight="1" s="46"/>
    <row r="188" ht="15.75" customHeight="1" s="46"/>
    <row r="189" ht="15.75" customHeight="1" s="46"/>
    <row r="190" ht="15.75" customHeight="1" s="46"/>
    <row r="191" ht="15.75" customHeight="1" s="46"/>
    <row r="192" ht="15.75" customHeight="1" s="46"/>
    <row r="193" ht="15.75" customHeight="1" s="46"/>
    <row r="194" ht="15.75" customHeight="1" s="46"/>
    <row r="195" ht="15.75" customHeight="1" s="46"/>
    <row r="196" ht="15.75" customHeight="1" s="46"/>
    <row r="197" ht="15.75" customHeight="1" s="46"/>
    <row r="198" ht="15.75" customHeight="1" s="46"/>
    <row r="199" ht="15.75" customHeight="1" s="46"/>
    <row r="200" ht="15.75" customHeight="1" s="46"/>
    <row r="201" ht="15.75" customHeight="1" s="46"/>
    <row r="202" ht="15.75" customHeight="1" s="46"/>
    <row r="203" ht="15.75" customHeight="1" s="46"/>
    <row r="204" ht="15.75" customHeight="1" s="46"/>
    <row r="205" ht="15.75" customHeight="1" s="46"/>
    <row r="206" ht="15.75" customHeight="1" s="46"/>
    <row r="207" ht="15.75" customHeight="1" s="46"/>
    <row r="208" ht="15.75" customHeight="1" s="46"/>
    <row r="209" ht="15.75" customHeight="1" s="46"/>
    <row r="210" ht="15.75" customHeight="1" s="46"/>
    <row r="211" ht="15.75" customHeight="1" s="46"/>
    <row r="212" ht="15.75" customHeight="1" s="46"/>
    <row r="213" ht="15.75" customHeight="1" s="46"/>
    <row r="214" ht="15.75" customHeight="1" s="46"/>
    <row r="215" ht="15.75" customHeight="1" s="46"/>
    <row r="216" ht="15.75" customHeight="1" s="46"/>
    <row r="217" ht="15.75" customHeight="1" s="46"/>
    <row r="218" ht="15.75" customHeight="1" s="46"/>
    <row r="219" ht="15.75" customHeight="1" s="46"/>
    <row r="220" ht="15.75" customHeight="1" s="46"/>
    <row r="221" ht="15.75" customHeight="1" s="46"/>
    <row r="222" ht="15.75" customHeight="1" s="46"/>
    <row r="223" ht="15.75" customHeight="1" s="46"/>
    <row r="224" ht="15.75" customHeight="1" s="46"/>
    <row r="225" ht="15.75" customHeight="1" s="46"/>
    <row r="226" ht="15.75" customHeight="1" s="46"/>
    <row r="227" ht="15.75" customHeight="1" s="46"/>
    <row r="228" ht="15.75" customHeight="1" s="46"/>
    <row r="229" ht="15.75" customHeight="1" s="46"/>
    <row r="230" ht="15.75" customHeight="1" s="46"/>
    <row r="231" ht="15.75" customHeight="1" s="46"/>
    <row r="232" ht="15.75" customHeight="1" s="46"/>
    <row r="233" ht="15.75" customHeight="1" s="46"/>
    <row r="234" ht="15.75" customHeight="1" s="46"/>
    <row r="235" ht="15.75" customHeight="1" s="46"/>
    <row r="236" ht="15.75" customHeight="1" s="46"/>
    <row r="237" ht="15.75" customHeight="1" s="46"/>
    <row r="238" ht="15.75" customHeight="1" s="46"/>
    <row r="239" ht="15.75" customHeight="1" s="46"/>
    <row r="240" ht="15.75" customHeight="1" s="46"/>
    <row r="241" ht="15.75" customHeight="1" s="46"/>
    <row r="242" ht="15.75" customHeight="1" s="46"/>
    <row r="243" ht="15.75" customHeight="1" s="46"/>
    <row r="244" ht="15.75" customHeight="1" s="46"/>
    <row r="245" ht="15.75" customHeight="1" s="46"/>
    <row r="246" ht="15.75" customHeight="1" s="46"/>
    <row r="247" ht="15.75" customHeight="1" s="46"/>
    <row r="248" ht="15.75" customHeight="1" s="46"/>
    <row r="249" ht="15.75" customHeight="1" s="46"/>
    <row r="250" ht="15.75" customHeight="1" s="46"/>
    <row r="251" ht="15.75" customHeight="1" s="46"/>
    <row r="252" ht="15.75" customHeight="1" s="46"/>
    <row r="253" ht="15.75" customHeight="1" s="46"/>
    <row r="254" ht="15.75" customHeight="1" s="46"/>
    <row r="255" ht="15.75" customHeight="1" s="46"/>
    <row r="256" ht="15.75" customHeight="1" s="46"/>
    <row r="257" ht="15.75" customHeight="1" s="46"/>
    <row r="258" ht="15.75" customHeight="1" s="46"/>
    <row r="259" ht="15.75" customHeight="1" s="46"/>
    <row r="260" ht="15.75" customHeight="1" s="46"/>
    <row r="261" ht="15.75" customHeight="1" s="46"/>
    <row r="262" ht="15.75" customHeight="1" s="46"/>
    <row r="263" ht="15.75" customHeight="1" s="46"/>
    <row r="264" ht="15.75" customHeight="1" s="46"/>
    <row r="265" ht="15.75" customHeight="1" s="46"/>
    <row r="266" ht="15.75" customHeight="1" s="46"/>
    <row r="267" ht="15.75" customHeight="1" s="46"/>
    <row r="268" ht="15.75" customHeight="1" s="46"/>
    <row r="269" ht="15.75" customHeight="1" s="46"/>
    <row r="270" ht="15.75" customHeight="1" s="46"/>
    <row r="271" ht="15.75" customHeight="1" s="46"/>
    <row r="272" ht="15.75" customHeight="1" s="46"/>
    <row r="273" ht="15.75" customHeight="1" s="46"/>
    <row r="274" ht="15.75" customHeight="1" s="46"/>
    <row r="275" ht="15.75" customHeight="1" s="46"/>
    <row r="276" ht="15.75" customHeight="1" s="46"/>
    <row r="277" ht="15.75" customHeight="1" s="46"/>
    <row r="278" ht="15.75" customHeight="1" s="46"/>
    <row r="279" ht="15.75" customHeight="1" s="46"/>
    <row r="280" ht="15.75" customHeight="1" s="46"/>
    <row r="281" ht="15.75" customHeight="1" s="46"/>
    <row r="282" ht="15.75" customHeight="1" s="46"/>
    <row r="283" ht="15.75" customHeight="1" s="46"/>
    <row r="284" ht="15.75" customHeight="1" s="46"/>
    <row r="285" ht="15.75" customHeight="1" s="46"/>
    <row r="286" ht="15.75" customHeight="1" s="46"/>
    <row r="287" ht="15.75" customHeight="1" s="46"/>
    <row r="288" ht="15.75" customHeight="1" s="46"/>
    <row r="289" ht="15.75" customHeight="1" s="46"/>
    <row r="290" ht="15.75" customHeight="1" s="46"/>
    <row r="291" ht="15.75" customHeight="1" s="46"/>
    <row r="292" ht="15.75" customHeight="1" s="46"/>
    <row r="293" ht="15.75" customHeight="1" s="46"/>
    <row r="294" ht="15.75" customHeight="1" s="46"/>
    <row r="295" ht="15.75" customHeight="1" s="46"/>
    <row r="296" ht="15.75" customHeight="1" s="46"/>
    <row r="297" ht="15.75" customHeight="1" s="46"/>
    <row r="298" ht="15.75" customHeight="1" s="46"/>
    <row r="299" ht="15.75" customHeight="1" s="46"/>
    <row r="300" ht="15.75" customHeight="1" s="46"/>
    <row r="301" ht="15.75" customHeight="1" s="46"/>
    <row r="302" ht="15.75" customHeight="1" s="46"/>
    <row r="303" ht="15.75" customHeight="1" s="46"/>
    <row r="304" ht="15.75" customHeight="1" s="46"/>
    <row r="305" ht="15.75" customHeight="1" s="46"/>
    <row r="306" ht="15.75" customHeight="1" s="46"/>
    <row r="307" ht="15.75" customHeight="1" s="46"/>
    <row r="308" ht="15.75" customHeight="1" s="46"/>
    <row r="309" ht="15.75" customHeight="1" s="46"/>
    <row r="310" ht="15.75" customHeight="1" s="46"/>
    <row r="311" ht="15.75" customHeight="1" s="46"/>
    <row r="312" ht="15.75" customHeight="1" s="46"/>
    <row r="313" ht="15.75" customHeight="1" s="46"/>
    <row r="314" ht="15.75" customHeight="1" s="46"/>
    <row r="315" ht="15.75" customHeight="1" s="46"/>
    <row r="316" ht="15.75" customHeight="1" s="46"/>
    <row r="317" ht="15.75" customHeight="1" s="46"/>
    <row r="318" ht="15.75" customHeight="1" s="46"/>
    <row r="319" ht="15.75" customHeight="1" s="46"/>
    <row r="320" ht="15.75" customHeight="1" s="46"/>
    <row r="321" ht="15.75" customHeight="1" s="46"/>
    <row r="322" ht="15.75" customHeight="1" s="46"/>
    <row r="323" ht="15.75" customHeight="1" s="46"/>
    <row r="324" ht="15.75" customHeight="1" s="46"/>
    <row r="325" ht="15.75" customHeight="1" s="46"/>
    <row r="326" ht="15.75" customHeight="1" s="46"/>
    <row r="327" ht="15.75" customHeight="1" s="46"/>
    <row r="328" ht="15.75" customHeight="1" s="46"/>
    <row r="329" ht="15.75" customHeight="1" s="46"/>
    <row r="330" ht="15.75" customHeight="1" s="46"/>
    <row r="331" ht="15.75" customHeight="1" s="46"/>
    <row r="332" ht="15.75" customHeight="1" s="46"/>
    <row r="333" ht="15.75" customHeight="1" s="46"/>
    <row r="334" ht="15.75" customHeight="1" s="46"/>
    <row r="335" ht="15.75" customHeight="1" s="46"/>
    <row r="336" ht="15.75" customHeight="1" s="46"/>
    <row r="337" ht="15.75" customHeight="1" s="46"/>
    <row r="338" ht="15.75" customHeight="1" s="46"/>
    <row r="339" ht="15.75" customHeight="1" s="46"/>
    <row r="340" ht="15.75" customHeight="1" s="46"/>
    <row r="341" ht="15.75" customHeight="1" s="46"/>
    <row r="342" ht="15.75" customHeight="1" s="46"/>
    <row r="343" ht="15.75" customHeight="1" s="46"/>
    <row r="344" ht="15.75" customHeight="1" s="46"/>
    <row r="345" ht="15.75" customHeight="1" s="46"/>
    <row r="346" ht="15.75" customHeight="1" s="46"/>
    <row r="347" ht="15.75" customHeight="1" s="46"/>
    <row r="348" ht="15.75" customHeight="1" s="46"/>
    <row r="349" ht="15.75" customHeight="1" s="46"/>
    <row r="350" ht="15.75" customHeight="1" s="46"/>
    <row r="351" ht="15.75" customHeight="1" s="46"/>
    <row r="352" ht="15.75" customHeight="1" s="46"/>
    <row r="353" ht="15.75" customHeight="1" s="46"/>
    <row r="354" ht="15.75" customHeight="1" s="46"/>
    <row r="355" ht="15.75" customHeight="1" s="46"/>
    <row r="356" ht="15.75" customHeight="1" s="46"/>
    <row r="357" ht="15.75" customHeight="1" s="46"/>
    <row r="358" ht="15.75" customHeight="1" s="46"/>
    <row r="359" ht="15.75" customHeight="1" s="46"/>
    <row r="360" ht="15.75" customHeight="1" s="46"/>
    <row r="361" ht="15.75" customHeight="1" s="46"/>
    <row r="362" ht="15.75" customHeight="1" s="46"/>
    <row r="363" ht="15.75" customHeight="1" s="46"/>
    <row r="364" ht="15.75" customHeight="1" s="46"/>
    <row r="365" ht="15.75" customHeight="1" s="46"/>
    <row r="366" ht="15.75" customHeight="1" s="46"/>
    <row r="367" ht="15.75" customHeight="1" s="46"/>
    <row r="368" ht="15.75" customHeight="1" s="46"/>
    <row r="369" ht="15.75" customHeight="1" s="46"/>
    <row r="370" ht="15.75" customHeight="1" s="46"/>
    <row r="371" ht="15.75" customHeight="1" s="46"/>
    <row r="372" ht="15.75" customHeight="1" s="46"/>
    <row r="373" ht="15.75" customHeight="1" s="46"/>
    <row r="374" ht="15.75" customHeight="1" s="46"/>
    <row r="375" ht="15.75" customHeight="1" s="46"/>
    <row r="376" ht="15.75" customHeight="1" s="46"/>
    <row r="377" ht="15.75" customHeight="1" s="46"/>
    <row r="378" ht="15.75" customHeight="1" s="46"/>
    <row r="379" ht="15.75" customHeight="1" s="46"/>
    <row r="380" ht="15.75" customHeight="1" s="46"/>
    <row r="381" ht="15.75" customHeight="1" s="46"/>
    <row r="382" ht="15.75" customHeight="1" s="46"/>
    <row r="383" ht="15.75" customHeight="1" s="46"/>
    <row r="384" ht="15.75" customHeight="1" s="46"/>
    <row r="385" ht="15.75" customHeight="1" s="46"/>
    <row r="386" ht="15.75" customHeight="1" s="46"/>
    <row r="387" ht="15.75" customHeight="1" s="46"/>
    <row r="388" ht="15.75" customHeight="1" s="46"/>
    <row r="389" ht="15.75" customHeight="1" s="46"/>
    <row r="390" ht="15.75" customHeight="1" s="46"/>
    <row r="391" ht="15.75" customHeight="1" s="46"/>
    <row r="392" ht="15.75" customHeight="1" s="46"/>
    <row r="393" ht="15.75" customHeight="1" s="46"/>
    <row r="394" ht="15.75" customHeight="1" s="46"/>
    <row r="395" ht="15.75" customHeight="1" s="46"/>
    <row r="396" ht="15.75" customHeight="1" s="46"/>
    <row r="397" ht="15.75" customHeight="1" s="46"/>
    <row r="398" ht="15.75" customHeight="1" s="46"/>
    <row r="399" ht="15.75" customHeight="1" s="46"/>
    <row r="400" ht="15.75" customHeight="1" s="46"/>
    <row r="401" ht="15.75" customHeight="1" s="46"/>
    <row r="402" ht="15.75" customHeight="1" s="46"/>
    <row r="403" ht="15.75" customHeight="1" s="46"/>
    <row r="404" ht="15.75" customHeight="1" s="46"/>
    <row r="405" ht="15.75" customHeight="1" s="46"/>
    <row r="406" ht="15.75" customHeight="1" s="46"/>
    <row r="407" ht="15.75" customHeight="1" s="46"/>
    <row r="408" ht="15.75" customHeight="1" s="46"/>
    <row r="409" ht="15.75" customHeight="1" s="46"/>
    <row r="410" ht="15.75" customHeight="1" s="46"/>
    <row r="411" ht="15.75" customHeight="1" s="46"/>
    <row r="412" ht="15.75" customHeight="1" s="46"/>
    <row r="413" ht="15.75" customHeight="1" s="46"/>
    <row r="414" ht="15.75" customHeight="1" s="46"/>
    <row r="415" ht="15.75" customHeight="1" s="46"/>
    <row r="416" ht="15.75" customHeight="1" s="46"/>
    <row r="417" ht="15.75" customHeight="1" s="46"/>
    <row r="418" ht="15.75" customHeight="1" s="46"/>
    <row r="419" ht="15.75" customHeight="1" s="46"/>
    <row r="420" ht="15.75" customHeight="1" s="46"/>
    <row r="421" ht="15.75" customHeight="1" s="46"/>
    <row r="422" ht="15.75" customHeight="1" s="46"/>
    <row r="423" ht="15.75" customHeight="1" s="46"/>
    <row r="424" ht="15.75" customHeight="1" s="46"/>
    <row r="425" ht="15.75" customHeight="1" s="46"/>
    <row r="426" ht="15.75" customHeight="1" s="46"/>
    <row r="427" ht="15.75" customHeight="1" s="46"/>
    <row r="428" ht="15.75" customHeight="1" s="46"/>
    <row r="429" ht="15.75" customHeight="1" s="46"/>
    <row r="430" ht="15.75" customHeight="1" s="46"/>
    <row r="431" ht="15.75" customHeight="1" s="46"/>
    <row r="432" ht="15.75" customHeight="1" s="46"/>
    <row r="433" ht="15.75" customHeight="1" s="46"/>
    <row r="434" ht="15.75" customHeight="1" s="46"/>
    <row r="435" ht="15.75" customHeight="1" s="46"/>
    <row r="436" ht="15.75" customHeight="1" s="46"/>
    <row r="437" ht="15.75" customHeight="1" s="46"/>
    <row r="438" ht="15.75" customHeight="1" s="46"/>
    <row r="439" ht="15.75" customHeight="1" s="46"/>
    <row r="440" ht="15.75" customHeight="1" s="46"/>
    <row r="441" ht="15.75" customHeight="1" s="46"/>
    <row r="442" ht="15.75" customHeight="1" s="46"/>
    <row r="443" ht="15.75" customHeight="1" s="46"/>
    <row r="444" ht="15.75" customHeight="1" s="46"/>
    <row r="445" ht="15.75" customHeight="1" s="46"/>
    <row r="446" ht="15.75" customHeight="1" s="46"/>
    <row r="447" ht="15.75" customHeight="1" s="46"/>
    <row r="448" ht="15.75" customHeight="1" s="46"/>
    <row r="449" ht="15.75" customHeight="1" s="46"/>
    <row r="450" ht="15.75" customHeight="1" s="46"/>
    <row r="451" ht="15.75" customHeight="1" s="46"/>
    <row r="452" ht="15.75" customHeight="1" s="46"/>
    <row r="453" ht="15.75" customHeight="1" s="46"/>
    <row r="454" ht="15.75" customHeight="1" s="46"/>
    <row r="455" ht="15.75" customHeight="1" s="46"/>
    <row r="456" ht="15.75" customHeight="1" s="46"/>
    <row r="457" ht="15.75" customHeight="1" s="46"/>
    <row r="458" ht="15.75" customHeight="1" s="46"/>
    <row r="459" ht="15.75" customHeight="1" s="46"/>
    <row r="460" ht="15.75" customHeight="1" s="46"/>
    <row r="461" ht="15.75" customHeight="1" s="46"/>
    <row r="462" ht="15.75" customHeight="1" s="46"/>
    <row r="463" ht="15.75" customHeight="1" s="46"/>
    <row r="464" ht="15.75" customHeight="1" s="46"/>
    <row r="465" ht="15.75" customHeight="1" s="46"/>
    <row r="466" ht="15.75" customHeight="1" s="46"/>
    <row r="467" ht="15.75" customHeight="1" s="46"/>
    <row r="468" ht="15.75" customHeight="1" s="46"/>
    <row r="469" ht="15.75" customHeight="1" s="46"/>
    <row r="470" ht="15.75" customHeight="1" s="46"/>
    <row r="471" ht="15.75" customHeight="1" s="46"/>
    <row r="472" ht="15.75" customHeight="1" s="46"/>
    <row r="473" ht="15.75" customHeight="1" s="46"/>
    <row r="474" ht="15.75" customHeight="1" s="46"/>
    <row r="475" ht="15.75" customHeight="1" s="46"/>
    <row r="476" ht="15.75" customHeight="1" s="46"/>
    <row r="477" ht="15.75" customHeight="1" s="46"/>
    <row r="478" ht="15.75" customHeight="1" s="46"/>
    <row r="479" ht="15.75" customHeight="1" s="46"/>
    <row r="480" ht="15.75" customHeight="1" s="46"/>
    <row r="481" ht="15.75" customHeight="1" s="46"/>
    <row r="482" ht="15.75" customHeight="1" s="46"/>
    <row r="483" ht="15.75" customHeight="1" s="46"/>
    <row r="484" ht="15.75" customHeight="1" s="46"/>
    <row r="485" ht="15.75" customHeight="1" s="46"/>
    <row r="486" ht="15.75" customHeight="1" s="46"/>
    <row r="487" ht="15.75" customHeight="1" s="46"/>
    <row r="488" ht="15.75" customHeight="1" s="46"/>
    <row r="489" ht="15.75" customHeight="1" s="46"/>
    <row r="490" ht="15.75" customHeight="1" s="46"/>
    <row r="491" ht="15.75" customHeight="1" s="46"/>
    <row r="492" ht="15.75" customHeight="1" s="46"/>
    <row r="493" ht="15.75" customHeight="1" s="46"/>
    <row r="494" ht="15.75" customHeight="1" s="46"/>
    <row r="495" ht="15.75" customHeight="1" s="46"/>
    <row r="496" ht="15.75" customHeight="1" s="46"/>
    <row r="497" ht="15.75" customHeight="1" s="46"/>
    <row r="498" ht="15.75" customHeight="1" s="46"/>
    <row r="499" ht="15.75" customHeight="1" s="46"/>
    <row r="500" ht="15.75" customHeight="1" s="46"/>
    <row r="501" ht="15.75" customHeight="1" s="46"/>
    <row r="502" ht="15.75" customHeight="1" s="46"/>
    <row r="503" ht="15.75" customHeight="1" s="46"/>
    <row r="504" ht="15.75" customHeight="1" s="46"/>
    <row r="505" ht="15.75" customHeight="1" s="46"/>
    <row r="506" ht="15.75" customHeight="1" s="46"/>
    <row r="507" ht="15.75" customHeight="1" s="46"/>
    <row r="508" ht="15.75" customHeight="1" s="46"/>
    <row r="509" ht="15.75" customHeight="1" s="46"/>
    <row r="510" ht="15.75" customHeight="1" s="46"/>
    <row r="511" ht="15.75" customHeight="1" s="46"/>
    <row r="512" ht="15.75" customHeight="1" s="46"/>
    <row r="513" ht="15.75" customHeight="1" s="46"/>
    <row r="514" ht="15.75" customHeight="1" s="46"/>
    <row r="515" ht="15.75" customHeight="1" s="46"/>
    <row r="516" ht="15.75" customHeight="1" s="46"/>
    <row r="517" ht="15.75" customHeight="1" s="46"/>
    <row r="518" ht="15.75" customHeight="1" s="46"/>
    <row r="519" ht="15.75" customHeight="1" s="46"/>
    <row r="520" ht="15.75" customHeight="1" s="46"/>
    <row r="521" ht="15.75" customHeight="1" s="46"/>
    <row r="522" ht="15.75" customHeight="1" s="46"/>
    <row r="523" ht="15.75" customHeight="1" s="46"/>
    <row r="524" ht="15.75" customHeight="1" s="46"/>
    <row r="525" ht="15.75" customHeight="1" s="46"/>
    <row r="526" ht="15.75" customHeight="1" s="46"/>
    <row r="527" ht="15.75" customHeight="1" s="46"/>
    <row r="528" ht="15.75" customHeight="1" s="46"/>
    <row r="529" ht="15.75" customHeight="1" s="46"/>
    <row r="530" ht="15.75" customHeight="1" s="46"/>
    <row r="531" ht="15.75" customHeight="1" s="46"/>
    <row r="532" ht="15.75" customHeight="1" s="46"/>
    <row r="533" ht="15.75" customHeight="1" s="46"/>
    <row r="534" ht="15.75" customHeight="1" s="46"/>
    <row r="535" ht="15.75" customHeight="1" s="46"/>
    <row r="536" ht="15.75" customHeight="1" s="46"/>
    <row r="537" ht="15.75" customHeight="1" s="46"/>
    <row r="538" ht="15.75" customHeight="1" s="46"/>
    <row r="539" ht="15.75" customHeight="1" s="46"/>
    <row r="540" ht="15.75" customHeight="1" s="46"/>
    <row r="541" ht="15.75" customHeight="1" s="46"/>
    <row r="542" ht="15.75" customHeight="1" s="46"/>
    <row r="543" ht="15.75" customHeight="1" s="46"/>
    <row r="544" ht="15.75" customHeight="1" s="46"/>
    <row r="545" ht="15.75" customHeight="1" s="46"/>
    <row r="546" ht="15.75" customHeight="1" s="46"/>
    <row r="547" ht="15.75" customHeight="1" s="46"/>
    <row r="548" ht="15.75" customHeight="1" s="46"/>
    <row r="549" ht="15.75" customHeight="1" s="46"/>
    <row r="550" ht="15.75" customHeight="1" s="46"/>
    <row r="551" ht="15.75" customHeight="1" s="46"/>
    <row r="552" ht="15.75" customHeight="1" s="46"/>
    <row r="553" ht="15.75" customHeight="1" s="46"/>
    <row r="554" ht="15.75" customHeight="1" s="46"/>
    <row r="555" ht="15.75" customHeight="1" s="46"/>
    <row r="556" ht="15.75" customHeight="1" s="46"/>
    <row r="557" ht="15.75" customHeight="1" s="46"/>
    <row r="558" ht="15.75" customHeight="1" s="46"/>
    <row r="559" ht="15.75" customHeight="1" s="46"/>
    <row r="560" ht="15.75" customHeight="1" s="46"/>
    <row r="561" ht="15.75" customHeight="1" s="46"/>
    <row r="562" ht="15.75" customHeight="1" s="46"/>
    <row r="563" ht="15.75" customHeight="1" s="46"/>
    <row r="564" ht="15.75" customHeight="1" s="46"/>
    <row r="565" ht="15.75" customHeight="1" s="46"/>
    <row r="566" ht="15.75" customHeight="1" s="46"/>
    <row r="567" ht="15.75" customHeight="1" s="46"/>
    <row r="568" ht="15.75" customHeight="1" s="46"/>
    <row r="569" ht="15.75" customHeight="1" s="46"/>
    <row r="570" ht="15.75" customHeight="1" s="46"/>
    <row r="571" ht="15.75" customHeight="1" s="46"/>
    <row r="572" ht="15.75" customHeight="1" s="46"/>
    <row r="573" ht="15.75" customHeight="1" s="46"/>
    <row r="574" ht="15.75" customHeight="1" s="46"/>
    <row r="575" ht="15.75" customHeight="1" s="46"/>
    <row r="576" ht="15.75" customHeight="1" s="46"/>
    <row r="577" ht="15.75" customHeight="1" s="46"/>
    <row r="578" ht="15.75" customHeight="1" s="46"/>
    <row r="579" ht="15.75" customHeight="1" s="46"/>
    <row r="580" ht="15.75" customHeight="1" s="46"/>
    <row r="581" ht="15.75" customHeight="1" s="46"/>
    <row r="582" ht="15.75" customHeight="1" s="46"/>
    <row r="583" ht="15.75" customHeight="1" s="46"/>
    <row r="584" ht="15.75" customHeight="1" s="46"/>
    <row r="585" ht="15.75" customHeight="1" s="46"/>
    <row r="586" ht="15.75" customHeight="1" s="46"/>
    <row r="587" ht="15.75" customHeight="1" s="46"/>
    <row r="588" ht="15.75" customHeight="1" s="46"/>
    <row r="589" ht="15.75" customHeight="1" s="46"/>
    <row r="590" ht="15.75" customHeight="1" s="46"/>
    <row r="591" ht="15.75" customHeight="1" s="46"/>
    <row r="592" ht="15.75" customHeight="1" s="46"/>
    <row r="593" ht="15.75" customHeight="1" s="46"/>
    <row r="594" ht="15.75" customHeight="1" s="46"/>
    <row r="595" ht="15.75" customHeight="1" s="46"/>
    <row r="596" ht="15.75" customHeight="1" s="46"/>
    <row r="597" ht="15.75" customHeight="1" s="46"/>
    <row r="598" ht="15.75" customHeight="1" s="46"/>
    <row r="599" ht="15.75" customHeight="1" s="46"/>
    <row r="600" ht="15.75" customHeight="1" s="46"/>
    <row r="601" ht="15.75" customHeight="1" s="46"/>
    <row r="602" ht="15.75" customHeight="1" s="46"/>
    <row r="603" ht="15.75" customHeight="1" s="46"/>
    <row r="604" ht="15.75" customHeight="1" s="46"/>
    <row r="605" ht="15.75" customHeight="1" s="46"/>
    <row r="606" ht="15.75" customHeight="1" s="46"/>
    <row r="607" ht="15.75" customHeight="1" s="46"/>
    <row r="608" ht="15.75" customHeight="1" s="46"/>
    <row r="609" ht="15.75" customHeight="1" s="46"/>
    <row r="610" ht="15.75" customHeight="1" s="46"/>
    <row r="611" ht="15.75" customHeight="1" s="46"/>
    <row r="612" ht="15.75" customHeight="1" s="46"/>
    <row r="613" ht="15.75" customHeight="1" s="46"/>
    <row r="614" ht="15.75" customHeight="1" s="46"/>
    <row r="615" ht="15.75" customHeight="1" s="46"/>
    <row r="616" ht="15.75" customHeight="1" s="46"/>
    <row r="617" ht="15.75" customHeight="1" s="46"/>
    <row r="618" ht="15.75" customHeight="1" s="46"/>
    <row r="619" ht="15.75" customHeight="1" s="46"/>
    <row r="620" ht="15.75" customHeight="1" s="46"/>
    <row r="621" ht="15.75" customHeight="1" s="46"/>
    <row r="622" ht="15.75" customHeight="1" s="46"/>
    <row r="623" ht="15.75" customHeight="1" s="46"/>
    <row r="624" ht="15.75" customHeight="1" s="46"/>
    <row r="625" ht="15.75" customHeight="1" s="46"/>
    <row r="626" ht="15.75" customHeight="1" s="46"/>
    <row r="627" ht="15.75" customHeight="1" s="46"/>
    <row r="628" ht="15.75" customHeight="1" s="46"/>
    <row r="629" ht="15.75" customHeight="1" s="46"/>
    <row r="630" ht="15.75" customHeight="1" s="46"/>
    <row r="631" ht="15.75" customHeight="1" s="46"/>
    <row r="632" ht="15.75" customHeight="1" s="46"/>
    <row r="633" ht="15.75" customHeight="1" s="46"/>
    <row r="634" ht="15.75" customHeight="1" s="46"/>
    <row r="635" ht="15.75" customHeight="1" s="46"/>
    <row r="636" ht="15.75" customHeight="1" s="46"/>
    <row r="637" ht="15.75" customHeight="1" s="46"/>
    <row r="638" ht="15.75" customHeight="1" s="46"/>
    <row r="639" ht="15.75" customHeight="1" s="46"/>
    <row r="640" ht="15.75" customHeight="1" s="46"/>
    <row r="641" ht="15.75" customHeight="1" s="46"/>
    <row r="642" ht="15.75" customHeight="1" s="46"/>
    <row r="643" ht="15.75" customHeight="1" s="46"/>
    <row r="644" ht="15.75" customHeight="1" s="46"/>
    <row r="645" ht="15.75" customHeight="1" s="46"/>
    <row r="646" ht="15.75" customHeight="1" s="46"/>
    <row r="647" ht="15.75" customHeight="1" s="46"/>
    <row r="648" ht="15.75" customHeight="1" s="46"/>
    <row r="649" ht="15.75" customHeight="1" s="46"/>
    <row r="650" ht="15.75" customHeight="1" s="46"/>
    <row r="651" ht="15.75" customHeight="1" s="46"/>
    <row r="652" ht="15.75" customHeight="1" s="46"/>
    <row r="653" ht="15.75" customHeight="1" s="46"/>
    <row r="654" ht="15.75" customHeight="1" s="46"/>
    <row r="655" ht="15.75" customHeight="1" s="46"/>
    <row r="656" ht="15.75" customHeight="1" s="46"/>
    <row r="657" ht="15.75" customHeight="1" s="46"/>
    <row r="658" ht="15.75" customHeight="1" s="46"/>
    <row r="659" ht="15.75" customHeight="1" s="46"/>
    <row r="660" ht="15.75" customHeight="1" s="46"/>
    <row r="661" ht="15.75" customHeight="1" s="46"/>
    <row r="662" ht="15.75" customHeight="1" s="46"/>
    <row r="663" ht="15.75" customHeight="1" s="46"/>
    <row r="664" ht="15.75" customHeight="1" s="46"/>
    <row r="665" ht="15.75" customHeight="1" s="46"/>
    <row r="666" ht="15.75" customHeight="1" s="46"/>
    <row r="667" ht="15.75" customHeight="1" s="46"/>
    <row r="668" ht="15.75" customHeight="1" s="46"/>
    <row r="669" ht="15.75" customHeight="1" s="46"/>
    <row r="670" ht="15.75" customHeight="1" s="46"/>
    <row r="671" ht="15.75" customHeight="1" s="46"/>
    <row r="672" ht="15.75" customHeight="1" s="46"/>
    <row r="673" ht="15.75" customHeight="1" s="46"/>
    <row r="674" ht="15.75" customHeight="1" s="46"/>
    <row r="675" ht="15.75" customHeight="1" s="46"/>
    <row r="676" ht="15.75" customHeight="1" s="46"/>
    <row r="677" ht="15.75" customHeight="1" s="46"/>
    <row r="678" ht="15.75" customHeight="1" s="46"/>
    <row r="679" ht="15.75" customHeight="1" s="46"/>
    <row r="680" ht="15.75" customHeight="1" s="46"/>
    <row r="681" ht="15.75" customHeight="1" s="46"/>
    <row r="682" ht="15.75" customHeight="1" s="46"/>
    <row r="683" ht="15.75" customHeight="1" s="46"/>
    <row r="684" ht="15.75" customHeight="1" s="46"/>
    <row r="685" ht="15.75" customHeight="1" s="46"/>
    <row r="686" ht="15.75" customHeight="1" s="46"/>
    <row r="687" ht="15.75" customHeight="1" s="46"/>
    <row r="688" ht="15.75" customHeight="1" s="46"/>
    <row r="689" ht="15.75" customHeight="1" s="46"/>
    <row r="690" ht="15.75" customHeight="1" s="46"/>
    <row r="691" ht="15.75" customHeight="1" s="46"/>
    <row r="692" ht="15.75" customHeight="1" s="46"/>
    <row r="693" ht="15.75" customHeight="1" s="46"/>
    <row r="694" ht="15.75" customHeight="1" s="46"/>
    <row r="695" ht="15.75" customHeight="1" s="46"/>
    <row r="696" ht="15.75" customHeight="1" s="46"/>
    <row r="697" ht="15.75" customHeight="1" s="46"/>
    <row r="698" ht="15.75" customHeight="1" s="46"/>
    <row r="699" ht="15.75" customHeight="1" s="46"/>
    <row r="700" ht="15.75" customHeight="1" s="46"/>
    <row r="701" ht="15.75" customHeight="1" s="46"/>
    <row r="702" ht="15.75" customHeight="1" s="46"/>
    <row r="703" ht="15.75" customHeight="1" s="46"/>
    <row r="704" ht="15.75" customHeight="1" s="46"/>
    <row r="705" ht="15.75" customHeight="1" s="46"/>
    <row r="706" ht="15.75" customHeight="1" s="46"/>
    <row r="707" ht="15.75" customHeight="1" s="46"/>
    <row r="708" ht="15.75" customHeight="1" s="46"/>
    <row r="709" ht="15.75" customHeight="1" s="46"/>
    <row r="710" ht="15.75" customHeight="1" s="46"/>
    <row r="711" ht="15.75" customHeight="1" s="46"/>
    <row r="712" ht="15.75" customHeight="1" s="46"/>
    <row r="713" ht="15.75" customHeight="1" s="46"/>
    <row r="714" ht="15.75" customHeight="1" s="46"/>
    <row r="715" ht="15.75" customHeight="1" s="46"/>
    <row r="716" ht="15.75" customHeight="1" s="46"/>
    <row r="717" ht="15.75" customHeight="1" s="46"/>
    <row r="718" ht="15.75" customHeight="1" s="46"/>
    <row r="719" ht="15.75" customHeight="1" s="46"/>
    <row r="720" ht="15.75" customHeight="1" s="46"/>
    <row r="721" ht="15.75" customHeight="1" s="46"/>
    <row r="722" ht="15.75" customHeight="1" s="46"/>
    <row r="723" ht="15.75" customHeight="1" s="46"/>
    <row r="724" ht="15.75" customHeight="1" s="46"/>
    <row r="725" ht="15.75" customHeight="1" s="46"/>
    <row r="726" ht="15.75" customHeight="1" s="46"/>
    <row r="727" ht="15.75" customHeight="1" s="46"/>
    <row r="728" ht="15.75" customHeight="1" s="46"/>
    <row r="729" ht="15.75" customHeight="1" s="46"/>
    <row r="730" ht="15.75" customHeight="1" s="46"/>
    <row r="731" ht="15.75" customHeight="1" s="46"/>
    <row r="732" ht="15.75" customHeight="1" s="46"/>
    <row r="733" ht="15.75" customHeight="1" s="46"/>
    <row r="734" ht="15.75" customHeight="1" s="46"/>
    <row r="735" ht="15.75" customHeight="1" s="46"/>
    <row r="736" ht="15.75" customHeight="1" s="46"/>
    <row r="737" ht="15.75" customHeight="1" s="46"/>
    <row r="738" ht="15.75" customHeight="1" s="46"/>
    <row r="739" ht="15.75" customHeight="1" s="46"/>
    <row r="740" ht="15.75" customHeight="1" s="46"/>
    <row r="741" ht="15.75" customHeight="1" s="46"/>
    <row r="742" ht="15.75" customHeight="1" s="46"/>
    <row r="743" ht="15.75" customHeight="1" s="46"/>
    <row r="744" ht="15.75" customHeight="1" s="46"/>
    <row r="745" ht="15.75" customHeight="1" s="46"/>
    <row r="746" ht="15.75" customHeight="1" s="46"/>
    <row r="747" ht="15.75" customHeight="1" s="46"/>
    <row r="748" ht="15.75" customHeight="1" s="46"/>
    <row r="749" ht="15.75" customHeight="1" s="46"/>
    <row r="750" ht="15.75" customHeight="1" s="46"/>
    <row r="751" ht="15.75" customHeight="1" s="46"/>
    <row r="752" ht="15.75" customHeight="1" s="46"/>
    <row r="753" ht="15.75" customHeight="1" s="46"/>
    <row r="754" ht="15.75" customHeight="1" s="46"/>
    <row r="755" ht="15.75" customHeight="1" s="46"/>
    <row r="756" ht="15.75" customHeight="1" s="46"/>
    <row r="757" ht="15.75" customHeight="1" s="46"/>
    <row r="758" ht="15.75" customHeight="1" s="46"/>
    <row r="759" ht="15.75" customHeight="1" s="46"/>
    <row r="760" ht="15.75" customHeight="1" s="46"/>
    <row r="761" ht="15.75" customHeight="1" s="46"/>
    <row r="762" ht="15.75" customHeight="1" s="46"/>
    <row r="763" ht="15.75" customHeight="1" s="46"/>
    <row r="764" ht="15.75" customHeight="1" s="46"/>
    <row r="765" ht="15.75" customHeight="1" s="46"/>
    <row r="766" ht="15.75" customHeight="1" s="46"/>
    <row r="767" ht="15.75" customHeight="1" s="46"/>
    <row r="768" ht="15.75" customHeight="1" s="46"/>
    <row r="769" ht="15.75" customHeight="1" s="46"/>
    <row r="770" ht="15.75" customHeight="1" s="46"/>
    <row r="771" ht="15.75" customHeight="1" s="46"/>
    <row r="772" ht="15.75" customHeight="1" s="46"/>
    <row r="773" ht="15.75" customHeight="1" s="46"/>
    <row r="774" ht="15.75" customHeight="1" s="46"/>
    <row r="775" ht="15.75" customHeight="1" s="46"/>
    <row r="776" ht="15.75" customHeight="1" s="46"/>
    <row r="777" ht="15.75" customHeight="1" s="46"/>
    <row r="778" ht="15.75" customHeight="1" s="46"/>
    <row r="779" ht="15.75" customHeight="1" s="46"/>
    <row r="780" ht="15.75" customHeight="1" s="46"/>
    <row r="781" ht="15.75" customHeight="1" s="46"/>
    <row r="782" ht="15.75" customHeight="1" s="46"/>
    <row r="783" ht="15.75" customHeight="1" s="46"/>
    <row r="784" ht="15.75" customHeight="1" s="46"/>
    <row r="785" ht="15.75" customHeight="1" s="46"/>
    <row r="786" ht="15.75" customHeight="1" s="46"/>
    <row r="787" ht="15.75" customHeight="1" s="46"/>
    <row r="788" ht="15.75" customHeight="1" s="46"/>
    <row r="789" ht="15.75" customHeight="1" s="46"/>
    <row r="790" ht="15.75" customHeight="1" s="46"/>
    <row r="791" ht="15.75" customHeight="1" s="46"/>
    <row r="792" ht="15.75" customHeight="1" s="46"/>
    <row r="793" ht="15.75" customHeight="1" s="46"/>
    <row r="794" ht="15.75" customHeight="1" s="46"/>
    <row r="795" ht="15.75" customHeight="1" s="46"/>
    <row r="796" ht="15.75" customHeight="1" s="46"/>
    <row r="797" ht="15.75" customHeight="1" s="46"/>
    <row r="798" ht="15.75" customHeight="1" s="46"/>
    <row r="799" ht="15.75" customHeight="1" s="46"/>
    <row r="800" ht="15.75" customHeight="1" s="46"/>
    <row r="801" ht="15.75" customHeight="1" s="46"/>
    <row r="802" ht="15.75" customHeight="1" s="46"/>
    <row r="803" ht="15.75" customHeight="1" s="46"/>
    <row r="804" ht="15.75" customHeight="1" s="46"/>
    <row r="805" ht="15.75" customHeight="1" s="46"/>
    <row r="806" ht="15.75" customHeight="1" s="46"/>
    <row r="807" ht="15.75" customHeight="1" s="46"/>
    <row r="808" ht="15.75" customHeight="1" s="46"/>
    <row r="809" ht="15.75" customHeight="1" s="46"/>
    <row r="810" ht="15.75" customHeight="1" s="46"/>
    <row r="811" ht="15.75" customHeight="1" s="46"/>
    <row r="812" ht="15.75" customHeight="1" s="46"/>
    <row r="813" ht="15.75" customHeight="1" s="46"/>
    <row r="814" ht="15.75" customHeight="1" s="46"/>
    <row r="815" ht="15.75" customHeight="1" s="46"/>
    <row r="816" ht="15.75" customHeight="1" s="46"/>
    <row r="817" ht="15.75" customHeight="1" s="46"/>
    <row r="818" ht="15.75" customHeight="1" s="46"/>
    <row r="819" ht="15.75" customHeight="1" s="46"/>
    <row r="820" ht="15.75" customHeight="1" s="46"/>
    <row r="821" ht="15.75" customHeight="1" s="46"/>
    <row r="822" ht="15.75" customHeight="1" s="46"/>
    <row r="823" ht="15.75" customHeight="1" s="46"/>
    <row r="824" ht="15.75" customHeight="1" s="46"/>
    <row r="825" ht="15.75" customHeight="1" s="46"/>
    <row r="826" ht="15.75" customHeight="1" s="46"/>
    <row r="827" ht="15.75" customHeight="1" s="46"/>
    <row r="828" ht="15.75" customHeight="1" s="46"/>
    <row r="829" ht="15.75" customHeight="1" s="46"/>
    <row r="830" ht="15.75" customHeight="1" s="46"/>
    <row r="831" ht="15.75" customHeight="1" s="46"/>
    <row r="832" ht="15.75" customHeight="1" s="46"/>
    <row r="833" ht="15.75" customHeight="1" s="46"/>
    <row r="834" ht="15.75" customHeight="1" s="46"/>
    <row r="835" ht="15.75" customHeight="1" s="46"/>
    <row r="836" ht="15.75" customHeight="1" s="46"/>
    <row r="837" ht="15.75" customHeight="1" s="46"/>
    <row r="838" ht="15.75" customHeight="1" s="46"/>
    <row r="839" ht="15.75" customHeight="1" s="46"/>
    <row r="840" ht="15.75" customHeight="1" s="46"/>
    <row r="841" ht="15.75" customHeight="1" s="46"/>
    <row r="842" ht="15.75" customHeight="1" s="46"/>
    <row r="843" ht="15.75" customHeight="1" s="46"/>
    <row r="844" ht="15.75" customHeight="1" s="46"/>
    <row r="845" ht="15.75" customHeight="1" s="46"/>
    <row r="846" ht="15.75" customHeight="1" s="46"/>
    <row r="847" ht="15.75" customHeight="1" s="46"/>
    <row r="848" ht="15.75" customHeight="1" s="46"/>
    <row r="849" ht="15.75" customHeight="1" s="46"/>
    <row r="850" ht="15.75" customHeight="1" s="46"/>
    <row r="851" ht="15.75" customHeight="1" s="46"/>
    <row r="852" ht="15.75" customHeight="1" s="46"/>
    <row r="853" ht="15.75" customHeight="1" s="46"/>
    <row r="854" ht="15.75" customHeight="1" s="46"/>
    <row r="855" ht="15.75" customHeight="1" s="46"/>
    <row r="856" ht="15.75" customHeight="1" s="46"/>
    <row r="857" ht="15.75" customHeight="1" s="46"/>
    <row r="858" ht="15.75" customHeight="1" s="46"/>
    <row r="859" ht="15.75" customHeight="1" s="46"/>
    <row r="860" ht="15.75" customHeight="1" s="46"/>
    <row r="861" ht="15.75" customHeight="1" s="46"/>
    <row r="862" ht="15.75" customHeight="1" s="46"/>
    <row r="863" ht="15.75" customHeight="1" s="46"/>
    <row r="864" ht="15.75" customHeight="1" s="46"/>
    <row r="865" ht="15.75" customHeight="1" s="46"/>
    <row r="866" ht="15.75" customHeight="1" s="46"/>
    <row r="867" ht="15.75" customHeight="1" s="46"/>
    <row r="868" ht="15.75" customHeight="1" s="46"/>
    <row r="869" ht="15.75" customHeight="1" s="46"/>
    <row r="870" ht="15.75" customHeight="1" s="46"/>
    <row r="871" ht="15.75" customHeight="1" s="46"/>
    <row r="872" ht="15.75" customHeight="1" s="46"/>
    <row r="873" ht="15.75" customHeight="1" s="46"/>
    <row r="874" ht="15.75" customHeight="1" s="46"/>
    <row r="875" ht="15.75" customHeight="1" s="46"/>
    <row r="876" ht="15.75" customHeight="1" s="46"/>
    <row r="877" ht="15.75" customHeight="1" s="46"/>
    <row r="878" ht="15.75" customHeight="1" s="46"/>
    <row r="879" ht="15.75" customHeight="1" s="46"/>
    <row r="880" ht="15.75" customHeight="1" s="46"/>
    <row r="881" ht="15.75" customHeight="1" s="46"/>
    <row r="882" ht="15.75" customHeight="1" s="46"/>
    <row r="883" ht="15.75" customHeight="1" s="46"/>
    <row r="884" ht="15.75" customHeight="1" s="46"/>
    <row r="885" ht="15.75" customHeight="1" s="46"/>
    <row r="886" ht="15.75" customHeight="1" s="46"/>
    <row r="887" ht="15.75" customHeight="1" s="46"/>
    <row r="888" ht="15.75" customHeight="1" s="46"/>
    <row r="889" ht="15.75" customHeight="1" s="46"/>
    <row r="890" ht="15.75" customHeight="1" s="46"/>
    <row r="891" ht="15.75" customHeight="1" s="46"/>
    <row r="892" ht="15.75" customHeight="1" s="46"/>
    <row r="893" ht="15.75" customHeight="1" s="46"/>
    <row r="894" ht="15.75" customHeight="1" s="46"/>
    <row r="895" ht="15.75" customHeight="1" s="46"/>
    <row r="896" ht="15.75" customHeight="1" s="46"/>
    <row r="897" ht="15.75" customHeight="1" s="46"/>
    <row r="898" ht="15.75" customHeight="1" s="46"/>
    <row r="899" ht="15.75" customHeight="1" s="46"/>
    <row r="900" ht="15.75" customHeight="1" s="46"/>
    <row r="901" ht="15.75" customHeight="1" s="46"/>
    <row r="902" ht="15.75" customHeight="1" s="46"/>
    <row r="903" ht="15.75" customHeight="1" s="46"/>
    <row r="904" ht="15.75" customHeight="1" s="46"/>
    <row r="905" ht="15.75" customHeight="1" s="46"/>
    <row r="906" ht="15.75" customHeight="1" s="46"/>
    <row r="907" ht="15.75" customHeight="1" s="46"/>
    <row r="908" ht="15.75" customHeight="1" s="46"/>
    <row r="909" ht="15.75" customHeight="1" s="46"/>
    <row r="910" ht="15.75" customHeight="1" s="46"/>
    <row r="911" ht="15.75" customHeight="1" s="46"/>
    <row r="912" ht="15.75" customHeight="1" s="46"/>
    <row r="913" ht="15.75" customHeight="1" s="46"/>
    <row r="914" ht="15.75" customHeight="1" s="46"/>
    <row r="915" ht="15.75" customHeight="1" s="46"/>
    <row r="916" ht="15.75" customHeight="1" s="46"/>
    <row r="917" ht="15.75" customHeight="1" s="46"/>
    <row r="918" ht="15.75" customHeight="1" s="46"/>
    <row r="919" ht="15.75" customHeight="1" s="46"/>
    <row r="920" ht="15.75" customHeight="1" s="46"/>
    <row r="921" ht="15.75" customHeight="1" s="46"/>
    <row r="922" ht="15.75" customHeight="1" s="46"/>
    <row r="923" ht="15.75" customHeight="1" s="46"/>
    <row r="924" ht="15.75" customHeight="1" s="46"/>
    <row r="925" ht="15.75" customHeight="1" s="46"/>
    <row r="926" ht="15.75" customHeight="1" s="46"/>
    <row r="927" ht="15.75" customHeight="1" s="46"/>
    <row r="928" ht="15.75" customHeight="1" s="46"/>
    <row r="929" ht="15.75" customHeight="1" s="46"/>
    <row r="930" ht="15.75" customHeight="1" s="46"/>
    <row r="931" ht="15.75" customHeight="1" s="46"/>
    <row r="932" ht="15.75" customHeight="1" s="46"/>
    <row r="933" ht="15.75" customHeight="1" s="46"/>
    <row r="934" ht="15.75" customHeight="1" s="46"/>
    <row r="935" ht="15.75" customHeight="1" s="46"/>
    <row r="936" ht="15.75" customHeight="1" s="46"/>
    <row r="937" ht="15.75" customHeight="1" s="46"/>
    <row r="938" ht="15.75" customHeight="1" s="46"/>
    <row r="939" ht="15.75" customHeight="1" s="46"/>
    <row r="940" ht="15.75" customHeight="1" s="46"/>
    <row r="941" ht="15.75" customHeight="1" s="46"/>
    <row r="942" ht="15.75" customHeight="1" s="46"/>
    <row r="943" ht="15.75" customHeight="1" s="46"/>
    <row r="944" ht="15.75" customHeight="1" s="46"/>
    <row r="945" ht="15.75" customHeight="1" s="46"/>
    <row r="946" ht="15.75" customHeight="1" s="46"/>
    <row r="947" ht="15.75" customHeight="1" s="46"/>
    <row r="948" ht="15.75" customHeight="1" s="46"/>
    <row r="949" ht="15.75" customHeight="1" s="46"/>
    <row r="950" ht="15.75" customHeight="1" s="46"/>
    <row r="951" ht="15.75" customHeight="1" s="46"/>
    <row r="952" ht="15.75" customHeight="1" s="46"/>
    <row r="953" ht="15.75" customHeight="1" s="46"/>
    <row r="954" ht="15.75" customHeight="1" s="46"/>
    <row r="955" ht="15.75" customHeight="1" s="46"/>
    <row r="956" ht="15.75" customHeight="1" s="46"/>
    <row r="957" ht="15.75" customHeight="1" s="46"/>
    <row r="958" ht="15.75" customHeight="1" s="46"/>
    <row r="959" ht="15.75" customHeight="1" s="46"/>
    <row r="960" ht="15.75" customHeight="1" s="46"/>
    <row r="961" ht="15.75" customHeight="1" s="46"/>
    <row r="962" ht="15.75" customHeight="1" s="46"/>
    <row r="963" ht="15.75" customHeight="1" s="46"/>
    <row r="964" ht="15.75" customHeight="1" s="46"/>
    <row r="965" ht="15.75" customHeight="1" s="46"/>
    <row r="966" ht="15.75" customHeight="1" s="46"/>
    <row r="967" ht="15.75" customHeight="1" s="46"/>
    <row r="968" ht="15.75" customHeight="1" s="46"/>
    <row r="969" ht="15.75" customHeight="1" s="46"/>
    <row r="970" ht="15.75" customHeight="1" s="46"/>
    <row r="971" ht="15.75" customHeight="1" s="46"/>
    <row r="972" ht="15.75" customHeight="1" s="46"/>
    <row r="973" ht="15.75" customHeight="1" s="46"/>
    <row r="974" ht="15.75" customHeight="1" s="46"/>
    <row r="975" ht="15.75" customHeight="1" s="46"/>
    <row r="976" ht="15.75" customHeight="1" s="46"/>
    <row r="977" ht="15.75" customHeight="1" s="46"/>
    <row r="978" ht="15.75" customHeight="1" s="46"/>
    <row r="979" ht="15.75" customHeight="1" s="46"/>
    <row r="980" ht="15.75" customHeight="1" s="46"/>
    <row r="981" ht="15.75" customHeight="1" s="46"/>
    <row r="982" ht="15.75" customHeight="1" s="46"/>
    <row r="983" ht="15.75" customHeight="1" s="46"/>
    <row r="984" ht="15.75" customHeight="1" s="46"/>
    <row r="985" ht="15.75" customHeight="1" s="46"/>
    <row r="986" ht="15.75" customHeight="1" s="46"/>
    <row r="987" ht="15.75" customHeight="1" s="46"/>
    <row r="988" ht="15.75" customHeight="1" s="46"/>
    <row r="989" ht="15.75" customHeight="1" s="46"/>
    <row r="990" ht="15.75" customHeight="1" s="46"/>
    <row r="991" ht="15.75" customHeight="1" s="46"/>
    <row r="992" ht="15.75" customHeight="1" s="46"/>
    <row r="993" ht="15.75" customHeight="1" s="46"/>
    <row r="994" ht="15.75" customHeight="1" s="46"/>
    <row r="995" ht="15.75" customHeight="1" s="46"/>
    <row r="996" ht="15.75" customHeight="1" s="46"/>
    <row r="997" ht="15.75" customHeight="1" s="46"/>
    <row r="998" ht="15.75" customHeight="1" s="46"/>
    <row r="999" ht="15.75" customHeight="1" s="46"/>
    <row r="1000" ht="15.75" customHeight="1" s="46"/>
  </sheetData>
  <mergeCells count="14">
    <mergeCell ref="A21:E21"/>
    <mergeCell ref="A39:E39"/>
    <mergeCell ref="N25:Q25"/>
    <mergeCell ref="A25:E25"/>
    <mergeCell ref="A2:N2"/>
    <mergeCell ref="A41:N45"/>
    <mergeCell ref="A24:AG24"/>
    <mergeCell ref="R25:U25"/>
    <mergeCell ref="V25:Y25"/>
    <mergeCell ref="Z25:AC25"/>
    <mergeCell ref="F25:I25"/>
    <mergeCell ref="J25:M25"/>
    <mergeCell ref="AD25:AG25"/>
    <mergeCell ref="A1:N1"/>
  </mergeCells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45"/>
  <sheetViews>
    <sheetView workbookViewId="0">
      <selection activeCell="A1" sqref="A1"/>
    </sheetView>
  </sheetViews>
  <sheetFormatPr baseColWidth="8" defaultColWidth="14.43" defaultRowHeight="15" customHeight="1"/>
  <cols>
    <col width="4" customWidth="1" style="46" min="1" max="1"/>
    <col width="10" customWidth="1" style="46" min="2" max="2"/>
    <col width="32" customWidth="1" style="46" min="3" max="3"/>
    <col width="26" customWidth="1" style="46" min="4" max="4"/>
    <col width="28" customWidth="1" style="46" min="5" max="5"/>
    <col width="14" customWidth="1" style="46" min="6" max="7"/>
    <col width="15" customWidth="1" style="46" min="8" max="9"/>
    <col width="16" customWidth="1" style="46" min="10" max="11"/>
    <col width="14" customWidth="1" style="46" min="12" max="12"/>
    <col width="15" customWidth="1" style="46" min="13" max="13"/>
    <col width="24" customWidth="1" style="46" min="14" max="14"/>
    <col width="14" customWidth="1" style="46" min="15" max="33"/>
  </cols>
  <sheetData>
    <row r="1" ht="24.75" customHeight="1" s="46">
      <c r="A1" s="47" t="inlineStr">
        <is>
          <t>CONTROL SEMANAL DE RENDIMIENTO DE MAQUINARIA (SEMANA 25)</t>
        </is>
      </c>
    </row>
    <row r="2" ht="18" customHeight="1" s="46">
      <c r="A2" s="48" t="inlineStr">
        <is>
          <t>OBRA: CARRETERA LIBRE MÉXICO-TOLUCA | PERIODO: 15/Jun/2026 - 20/Jun/2026</t>
        </is>
      </c>
    </row>
    <row r="4">
      <c r="A4" s="5" t="inlineStr">
        <is>
          <t>1. PARÁMETROS:</t>
        </is>
      </c>
      <c r="B4" s="5" t="inlineStr">
        <is>
          <t>PESO VOLUMÉTRICO ASFALTO (Ton/m³):</t>
        </is>
      </c>
      <c r="E4" s="7" t="n">
        <v>1.742</v>
      </c>
    </row>
    <row r="5">
      <c r="A5" s="5" t="inlineStr">
        <is>
          <t>2. FRESADO SEMANAL:</t>
        </is>
      </c>
      <c r="B5" s="8" t="inlineStr">
        <is>
          <t>Viajes de Fresado:</t>
        </is>
      </c>
      <c r="C5" s="41" t="n">
        <v>71</v>
      </c>
      <c r="D5" s="8" t="inlineStr">
        <is>
          <t>Volumen Fresado (m³):</t>
        </is>
      </c>
      <c r="E5" s="42" t="n">
        <v>994</v>
      </c>
    </row>
    <row r="6">
      <c r="A6" s="5" t="inlineStr">
        <is>
          <t>3. CARPETA SEMANAL:</t>
        </is>
      </c>
      <c r="B6" s="8" t="inlineStr">
        <is>
          <t>Viajes de Mezcla:</t>
        </is>
      </c>
      <c r="C6" s="41" t="n">
        <v>69</v>
      </c>
      <c r="D6" s="8" t="inlineStr">
        <is>
          <t>Volumen Carpeta (m³):</t>
        </is>
      </c>
      <c r="E6" s="42" t="n">
        <v>960</v>
      </c>
      <c r="F6" s="8" t="inlineStr">
        <is>
          <t>Toneladas Carpeta (Ton):</t>
        </is>
      </c>
      <c r="G6" s="17">
        <f>E6*$E$4</f>
        <v/>
      </c>
    </row>
    <row r="8" ht="27.75" customHeight="1" s="46">
      <c r="A8" s="10" t="inlineStr">
        <is>
          <t>No.</t>
        </is>
      </c>
      <c r="B8" s="10" t="inlineStr">
        <is>
          <t>Económico</t>
        </is>
      </c>
      <c r="C8" s="10" t="inlineStr">
        <is>
          <t>Equipo / Maquinaria</t>
        </is>
      </c>
      <c r="D8" s="10" t="inlineStr">
        <is>
          <t>Operador Asignado</t>
        </is>
      </c>
      <c r="E8" s="10" t="inlineStr">
        <is>
          <t>Concepto de Trabajo</t>
        </is>
      </c>
      <c r="F8" s="10" t="inlineStr">
        <is>
          <t>Viajes Asignados</t>
        </is>
      </c>
      <c r="G8" s="10" t="inlineStr">
        <is>
          <t>Volumen (m³)</t>
        </is>
      </c>
      <c r="H8" s="10" t="inlineStr">
        <is>
          <t>Toneladas (Ton)</t>
        </is>
      </c>
      <c r="I8" s="10" t="inlineStr">
        <is>
          <t>Diésel Surtido (L)</t>
        </is>
      </c>
      <c r="J8" s="10" t="inlineStr">
        <is>
          <t>Rendimiento Real (L/Ton)</t>
        </is>
      </c>
      <c r="K8" s="10" t="inlineStr">
        <is>
          <t>Rendimiento Real (L/m³)</t>
        </is>
      </c>
      <c r="L8" s="10" t="inlineStr">
        <is>
          <t>Rend. Base (L/h)</t>
        </is>
      </c>
      <c r="M8" s="10" t="inlineStr">
        <is>
          <t>Horas Est. Operación</t>
        </is>
      </c>
      <c r="N8" s="10" t="inlineStr">
        <is>
          <t>Estatus Operativo</t>
        </is>
      </c>
    </row>
    <row r="9" ht="19.5" customHeight="1" s="46">
      <c r="A9" s="12" t="n">
        <v>1</v>
      </c>
      <c r="B9" s="12" t="inlineStr">
        <is>
          <t>PRR-01</t>
        </is>
      </c>
      <c r="C9" s="13" t="inlineStr">
        <is>
          <t>PERFILADORA WIRTGEN W200i</t>
        </is>
      </c>
      <c r="D9" s="13" t="inlineStr">
        <is>
          <t>JAVIER PAREDES CORTE</t>
        </is>
      </c>
      <c r="E9" s="13" t="inlineStr">
        <is>
          <t>Fresado de Pavimento</t>
        </is>
      </c>
      <c r="F9" s="14">
        <f>$C$5</f>
        <v/>
      </c>
      <c r="G9" s="37">
        <f>$E$5</f>
        <v/>
      </c>
      <c r="H9" s="18" t="inlineStr">
        <is>
          <t>-</t>
        </is>
      </c>
      <c r="I9" s="37" t="n">
        <v>1200</v>
      </c>
      <c r="J9" s="19" t="inlineStr">
        <is>
          <t>-</t>
        </is>
      </c>
      <c r="K9" s="20">
        <f>IF(G9&gt;0, I9/G9, 0)</f>
        <v/>
      </c>
      <c r="L9" s="21" t="n">
        <v>67.2</v>
      </c>
      <c r="M9" s="22">
        <f>IF(L9&gt;0, I9/L9, 0)</f>
        <v/>
      </c>
      <c r="N9" s="12">
        <f>IF(I9=0, "SIN CONSUMO (Inactiva)", IF(A9=1, IF(K9&lt;=0.85, "DENTRO DE RENDIMIENTO BASE", "EXCEDE RENDIMIENTO BASE"), IF(A9=2, IF(J9&lt;=0.38, "DENTRO DE RENDIMIENTO BASE", "EXCEDE RENDIMIENTO BASE"), IF(OR(A9=3,A9=4,A9=5,A9=6), IF(J9&lt;=0.08, "DENTRO DE RENDIMIENTO BASE", "EXCEDE RENDIMIENTO BASE"), IF(A9=7, IF(J9&lt;=0.07, "DENTRO DE RENDIMIENTO BASE", "EXCEDE RENDIMIENTO BASE"), IF(A9=8, IF(K9&lt;=0.22, "DENTRO DE RENDIMIENTO BASE", "EXCEDE RENDIMIENTO BASE"), IF(A9=9, IF(J9&lt;=0.075, "DENTRO DE RENDIMIENTO BASE", "EXCEDE RENDIMIENTO BASE"), "APOYO PUNTUAL")))))))</f>
        <v/>
      </c>
    </row>
    <row r="10" ht="19.5" customHeight="1" s="46">
      <c r="A10" s="12" t="n">
        <v>2</v>
      </c>
      <c r="B10" s="12" t="inlineStr">
        <is>
          <t>VG-01</t>
        </is>
      </c>
      <c r="C10" s="13" t="inlineStr">
        <is>
          <t>PAVIMENTADORA VÖGELE SUPER 1800-3i</t>
        </is>
      </c>
      <c r="D10" s="13" t="inlineStr">
        <is>
          <t>ERWIN CUTEÑO HERNANDEZ</t>
        </is>
      </c>
      <c r="E10" s="13" t="inlineStr">
        <is>
          <t>Tendido de Mezcla Asfáltica</t>
        </is>
      </c>
      <c r="F10" s="14">
        <f>$C$6</f>
        <v/>
      </c>
      <c r="G10" s="37">
        <f>$E$6</f>
        <v/>
      </c>
      <c r="H10" s="16">
        <f>G10*$E$4</f>
        <v/>
      </c>
      <c r="I10" s="37" t="n">
        <v>561</v>
      </c>
      <c r="J10" s="20">
        <f>IF(H10&gt;0, I10/H10, 0)</f>
        <v/>
      </c>
      <c r="K10" s="20">
        <f>IF(G10&gt;0, I10/G10, 0)</f>
        <v/>
      </c>
      <c r="L10" s="21" t="n">
        <v>16.24</v>
      </c>
      <c r="M10" s="22">
        <f>IF(L10&gt;0, I10/L10, 0)</f>
        <v/>
      </c>
      <c r="N10" s="12">
        <f>IF(I10=0, "SIN CONSUMO (Inactiva)", IF(A10=1, IF(K10&lt;=0.85, "DENTRO DE RENDIMIENTO BASE", "EXCEDE RENDIMIENTO BASE"), IF(A10=2, IF(J10&lt;=0.38, "DENTRO DE RENDIMIENTO BASE", "EXCEDE RENDIMIENTO BASE"), IF(OR(A10=3,A10=4,A10=5,A10=6), IF(J10&lt;=0.08, "DENTRO DE RENDIMIENTO BASE", "EXCEDE RENDIMIENTO BASE"), IF(A10=7, IF(J10&lt;=0.07, "DENTRO DE RENDIMIENTO BASE", "EXCEDE RENDIMIENTO BASE"), IF(A10=8, IF(K10&lt;=0.22, "DENTRO DE RENDIMIENTO BASE", "EXCEDE RENDIMIENTO BASE"), IF(A10=9, IF(J10&lt;=0.075, "DENTRO DE RENDIMIENTO BASE", "EXCEDE RENDIMIENTO BASE"), "APOYO PUNTUAL")))))))</f>
        <v/>
      </c>
    </row>
    <row r="11" ht="19.5" customHeight="1" s="46">
      <c r="A11" s="12" t="n">
        <v>3</v>
      </c>
      <c r="B11" s="12" t="inlineStr">
        <is>
          <t>DR-01</t>
        </is>
      </c>
      <c r="C11" s="13" t="inlineStr">
        <is>
          <t>COMPACTADOR TÁNDEM HAMM-HD120 VV</t>
        </is>
      </c>
      <c r="D11" s="13" t="inlineStr">
        <is>
          <t>JOEL ALBERTO RIVERA RIVAS</t>
        </is>
      </c>
      <c r="E11" s="13" t="inlineStr">
        <is>
          <t>Compactación Tándem Primaria</t>
        </is>
      </c>
      <c r="F11" s="14">
        <f>$C$6</f>
        <v/>
      </c>
      <c r="G11" s="37">
        <f>$E$6</f>
        <v/>
      </c>
      <c r="H11" s="16">
        <f>G11*$E$4</f>
        <v/>
      </c>
      <c r="I11" s="37" t="n">
        <v>172</v>
      </c>
      <c r="J11" s="20">
        <f>IF(H11&gt;0, I11/H11, 0)</f>
        <v/>
      </c>
      <c r="K11" s="20">
        <f>IF(G11&gt;0, I11/G11, 0)</f>
        <v/>
      </c>
      <c r="L11" s="21" t="n">
        <v>14.3</v>
      </c>
      <c r="M11" s="22">
        <f>IF(L11&gt;0, I11/L11, 0)</f>
        <v/>
      </c>
      <c r="N11" s="12">
        <f>IF(I11=0, "SIN CONSUMO (Inactiva)", IF(A11=1, IF(K11&lt;=0.85, "DENTRO DE RENDIMIENTO BASE", "EXCEDE RENDIMIENTO BASE"), IF(A11=2, IF(J11&lt;=0.38, "DENTRO DE RENDIMIENTO BASE", "EXCEDE RENDIMIENTO BASE"), IF(OR(A11=3,A11=4,A11=5,A11=6), IF(J11&lt;=0.08, "DENTRO DE RENDIMIENTO BASE", "EXCEDE RENDIMIENTO BASE"), IF(A11=7, IF(J11&lt;=0.07, "DENTRO DE RENDIMIENTO BASE", "EXCEDE RENDIMIENTO BASE"), IF(A11=8, IF(K11&lt;=0.22, "DENTRO DE RENDIMIENTO BASE", "EXCEDE RENDIMIENTO BASE"), IF(A11=9, IF(J11&lt;=0.075, "DENTRO DE RENDIMIENTO BASE", "EXCEDE RENDIMIENTO BASE"), "APOYO PUNTUAL")))))))</f>
        <v/>
      </c>
    </row>
    <row r="12" ht="19.5" customHeight="1" s="46">
      <c r="A12" s="12" t="n">
        <v>4</v>
      </c>
      <c r="B12" s="12" t="inlineStr">
        <is>
          <t>DR-02</t>
        </is>
      </c>
      <c r="C12" s="13" t="inlineStr">
        <is>
          <t>COMPACTADOR TÁNDEM HAMM-HD140</t>
        </is>
      </c>
      <c r="D12" s="13" t="inlineStr">
        <is>
          <t>ALEXIS RENDON DOMINGUEZ</t>
        </is>
      </c>
      <c r="E12" s="13" t="inlineStr">
        <is>
          <t>Compactación Tándem Pesada</t>
        </is>
      </c>
      <c r="F12" s="14">
        <f>$C$6</f>
        <v/>
      </c>
      <c r="G12" s="37">
        <f>$E$6</f>
        <v/>
      </c>
      <c r="H12" s="16">
        <f>G12*$E$4</f>
        <v/>
      </c>
      <c r="I12" s="37" t="n">
        <v>33</v>
      </c>
      <c r="J12" s="20">
        <f>IF(H12&gt;0, I12/H12, 0)</f>
        <v/>
      </c>
      <c r="K12" s="20">
        <f>IF(G12&gt;0, I12/G12, 0)</f>
        <v/>
      </c>
      <c r="L12" s="21" t="n">
        <v>14.3</v>
      </c>
      <c r="M12" s="22">
        <f>IF(L12&gt;0, I12/L12, 0)</f>
        <v/>
      </c>
      <c r="N12" s="12">
        <f>IF(I12=0, "SIN CONSUMO (Inactiva)", IF(A12=1, IF(K12&lt;=0.85, "DENTRO DE RENDIMIENTO BASE", "EXCEDE RENDIMIENTO BASE"), IF(A12=2, IF(J12&lt;=0.38, "DENTRO DE RENDIMIENTO BASE", "EXCEDE RENDIMIENTO BASE"), IF(OR(A12=3,A12=4,A12=5,A12=6), IF(J12&lt;=0.08, "DENTRO DE RENDIMIENTO BASE", "EXCEDE RENDIMIENTO BASE"), IF(A12=7, IF(J12&lt;=0.07, "DENTRO DE RENDIMIENTO BASE", "EXCEDE RENDIMIENTO BASE"), IF(A12=8, IF(K12&lt;=0.22, "DENTRO DE RENDIMIENTO BASE", "EXCEDE RENDIMIENTO BASE"), IF(A12=9, IF(J12&lt;=0.075, "DENTRO DE RENDIMIENTO BASE", "EXCEDE RENDIMIENTO BASE"), "APOYO PUNTUAL")))))))</f>
        <v/>
      </c>
    </row>
    <row r="13" ht="19.5" customHeight="1" s="46">
      <c r="A13" s="12" t="n">
        <v>5</v>
      </c>
      <c r="B13" s="12" t="inlineStr">
        <is>
          <t>NM-01</t>
        </is>
      </c>
      <c r="C13" s="13" t="inlineStr">
        <is>
          <t>COMPACTADOR NEUMÁTICO DYNAPAC CP271</t>
        </is>
      </c>
      <c r="D13" s="13" t="inlineStr">
        <is>
          <t>JOSE CARLOS ROMERO TELLEZ</t>
        </is>
      </c>
      <c r="E13" s="13" t="inlineStr">
        <is>
          <t>Compactación Neumática / Sellado</t>
        </is>
      </c>
      <c r="F13" s="14">
        <f>$C$6</f>
        <v/>
      </c>
      <c r="G13" s="37">
        <f>$E$6</f>
        <v/>
      </c>
      <c r="H13" s="16">
        <f>G13*$E$4</f>
        <v/>
      </c>
      <c r="I13" s="37" t="n">
        <v>224</v>
      </c>
      <c r="J13" s="20">
        <f>IF(H13&gt;0, I13/H13, 0)</f>
        <v/>
      </c>
      <c r="K13" s="20">
        <f>IF(G13&gt;0, I13/G13, 0)</f>
        <v/>
      </c>
      <c r="L13" s="21" t="n">
        <v>11.44</v>
      </c>
      <c r="M13" s="22">
        <f>IF(L13&gt;0, I13/L13, 0)</f>
        <v/>
      </c>
      <c r="N13" s="12">
        <f>IF(I13=0, "SIN CONSUMO (Inactiva)", IF(A13=1, IF(K13&lt;=0.85, "DENTRO DE RENDIMIENTO BASE", "EXCEDE RENDIMIENTO BASE"), IF(A13=2, IF(J13&lt;=0.38, "DENTRO DE RENDIMIENTO BASE", "EXCEDE RENDIMIENTO BASE"), IF(OR(A13=3,A13=4,A13=5,A13=6), IF(J13&lt;=0.08, "DENTRO DE RENDIMIENTO BASE", "EXCEDE RENDIMIENTO BASE"), IF(A13=7, IF(J13&lt;=0.07, "DENTRO DE RENDIMIENTO BASE", "EXCEDE RENDIMIENTO BASE"), IF(A13=8, IF(K13&lt;=0.22, "DENTRO DE RENDIMIENTO BASE", "EXCEDE RENDIMIENTO BASE"), IF(A13=9, IF(J13&lt;=0.075, "DENTRO DE RENDIMIENTO BASE", "EXCEDE RENDIMIENTO BASE"), "APOYO PUNTUAL")))))))</f>
        <v/>
      </c>
    </row>
    <row r="14" ht="19.5" customHeight="1" s="46">
      <c r="A14" s="12" t="n">
        <v>6</v>
      </c>
      <c r="B14" s="12" t="inlineStr">
        <is>
          <t>NM-09</t>
        </is>
      </c>
      <c r="C14" s="13" t="inlineStr">
        <is>
          <t>COMPACTADOR NEUMÁTICO HAMM 208</t>
        </is>
      </c>
      <c r="D14" s="13" t="inlineStr">
        <is>
          <t>NOLVIN DE JESUS PEREZ GOMEZ</t>
        </is>
      </c>
      <c r="E14" s="13" t="inlineStr">
        <is>
          <t>Compactación Neumática / Acabado</t>
        </is>
      </c>
      <c r="F14" s="14">
        <f>$C$6</f>
        <v/>
      </c>
      <c r="G14" s="37">
        <f>$E$6</f>
        <v/>
      </c>
      <c r="H14" s="16">
        <f>G14*$E$4</f>
        <v/>
      </c>
      <c r="I14" s="37" t="n">
        <v>0</v>
      </c>
      <c r="J14" s="20">
        <f>IF(H14&gt;0, I14/H14, 0)</f>
        <v/>
      </c>
      <c r="K14" s="20">
        <f>IF(G14&gt;0, I14/G14, 0)</f>
        <v/>
      </c>
      <c r="L14" s="21" t="n">
        <v>10.96</v>
      </c>
      <c r="M14" s="22">
        <f>IF(L14&gt;0, I14/L14, 0)</f>
        <v/>
      </c>
      <c r="N14" s="12">
        <f>IF(I14=0, "SIN CONSUMO (Inactiva)", IF(A14=1, IF(K14&lt;=0.85, "DENTRO DE RENDIMIENTO BASE", "EXCEDE RENDIMIENTO BASE"), IF(A14=2, IF(J14&lt;=0.38, "DENTRO DE RENDIMIENTO BASE", "EXCEDE RENDIMIENTO BASE"), IF(OR(A14=3,A14=4,A14=5,A14=6), IF(J14&lt;=0.08, "DENTRO DE RENDIMIENTO BASE", "EXCEDE RENDIMIENTO BASE"), IF(A14=7, IF(J14&lt;=0.07, "DENTRO DE RENDIMIENTO BASE", "EXCEDE RENDIMIENTO BASE"), IF(A14=8, IF(K14&lt;=0.22, "DENTRO DE RENDIMIENTO BASE", "EXCEDE RENDIMIENTO BASE"), IF(A14=9, IF(J14&lt;=0.075, "DENTRO DE RENDIMIENTO BASE", "EXCEDE RENDIMIENTO BASE"), "APOYO PUNTUAL")))))))</f>
        <v/>
      </c>
    </row>
    <row r="15" ht="19.5" customHeight="1" s="46">
      <c r="A15" s="12" t="n">
        <v>7</v>
      </c>
      <c r="B15" s="12" t="inlineStr">
        <is>
          <t>BR-01</t>
        </is>
      </c>
      <c r="C15" s="13" t="inlineStr">
        <is>
          <t>BARREDORA INDUSTRIAL BROCE BROOM-350</t>
        </is>
      </c>
      <c r="D15" s="13" t="inlineStr">
        <is>
          <t>EDGAR ROSALES MARTINEZ</t>
        </is>
      </c>
      <c r="E15" s="13" t="inlineStr">
        <is>
          <t>Limpieza y Barrido Previo</t>
        </is>
      </c>
      <c r="F15" s="14">
        <f>$C$6</f>
        <v/>
      </c>
      <c r="G15" s="37">
        <f>$E$6</f>
        <v/>
      </c>
      <c r="H15" s="16">
        <f>G15*$E$4</f>
        <v/>
      </c>
      <c r="I15" s="37" t="n">
        <v>88</v>
      </c>
      <c r="J15" s="20">
        <f>IF(H15&gt;0, I15/H15, 0)</f>
        <v/>
      </c>
      <c r="K15" s="20">
        <f>IF(G15&gt;0, I15/G15, 0)</f>
        <v/>
      </c>
      <c r="L15" s="21" t="n">
        <v>8.94</v>
      </c>
      <c r="M15" s="22">
        <f>IF(L15&gt;0, I15/L15, 0)</f>
        <v/>
      </c>
      <c r="N15" s="12">
        <f>IF(I15=0, "SIN CONSUMO (Inactiva)", IF(A15=1, IF(K15&lt;=0.85, "DENTRO DE RENDIMIENTO BASE", "EXCEDE RENDIMIENTO BASE"), IF(A15=2, IF(J15&lt;=0.38, "DENTRO DE RENDIMIENTO BASE", "EXCEDE RENDIMIENTO BASE"), IF(OR(A15=3,A15=4,A15=5,A15=6), IF(J15&lt;=0.08, "DENTRO DE RENDIMIENTO BASE", "EXCEDE RENDIMIENTO BASE"), IF(A15=7, IF(J15&lt;=0.07, "DENTRO DE RENDIMIENTO BASE", "EXCEDE RENDIMIENTO BASE"), IF(A15=8, IF(K15&lt;=0.22, "DENTRO DE RENDIMIENTO BASE", "EXCEDE RENDIMIENTO BASE"), IF(A15=9, IF(J15&lt;=0.075, "DENTRO DE RENDIMIENTO BASE", "EXCEDE RENDIMIENTO BASE"), "APOYO PUNTUAL")))))))</f>
        <v/>
      </c>
    </row>
    <row r="16" ht="19.5" customHeight="1" s="46">
      <c r="A16" s="12" t="n">
        <v>8</v>
      </c>
      <c r="B16" s="12" t="inlineStr">
        <is>
          <t>RT-05</t>
        </is>
      </c>
      <c r="C16" s="13" t="inlineStr">
        <is>
          <t>RETROEXCAVADORA JOHN DEERE 310SK</t>
        </is>
      </c>
      <c r="D16" s="13" t="inlineStr">
        <is>
          <t>ADOLFO NAVA LOPEZ</t>
        </is>
      </c>
      <c r="E16" s="13" t="inlineStr">
        <is>
          <t>Carga Fresado y Derrumbes</t>
        </is>
      </c>
      <c r="F16" s="14">
        <f>$C$5</f>
        <v/>
      </c>
      <c r="G16" s="37">
        <f>$E$5</f>
        <v/>
      </c>
      <c r="H16" s="18" t="inlineStr">
        <is>
          <t>-</t>
        </is>
      </c>
      <c r="I16" s="37" t="n">
        <v>320</v>
      </c>
      <c r="J16" s="19" t="inlineStr">
        <is>
          <t>-</t>
        </is>
      </c>
      <c r="K16" s="20">
        <f>IF(G16&gt;0, I16/G16, 0)</f>
        <v/>
      </c>
      <c r="L16" s="21" t="n">
        <v>7.44</v>
      </c>
      <c r="M16" s="22">
        <f>IF(L16&gt;0, I16/L16, 0)</f>
        <v/>
      </c>
      <c r="N16" s="12">
        <f>IF(I16=0, "SIN CONSUMO (Inactiva)", IF(A16=1, IF(K16&lt;=0.85, "DENTRO DE RENDIMIENTO BASE", "EXCEDE RENDIMIENTO BASE"), IF(A16=2, IF(J16&lt;=0.38, "DENTRO DE RENDIMIENTO BASE", "EXCEDE RENDIMIENTO BASE"), IF(OR(A16=3,A16=4,A16=5,A16=6), IF(J16&lt;=0.08, "DENTRO DE RENDIMIENTO BASE", "EXCEDE RENDIMIENTO BASE"), IF(A16=7, IF(J16&lt;=0.07, "DENTRO DE RENDIMIENTO BASE", "EXCEDE RENDIMIENTO BASE"), IF(A16=8, IF(K16&lt;=0.22, "DENTRO DE RENDIMIENTO BASE", "EXCEDE RENDIMIENTO BASE"), IF(A16=9, IF(J16&lt;=0.075, "DENTRO DE RENDIMIENTO BASE", "EXCEDE RENDIMIENTO BASE"), "APOYO PUNTUAL")))))))</f>
        <v/>
      </c>
    </row>
    <row r="17" ht="19.5" customHeight="1" s="46">
      <c r="A17" s="12" t="n">
        <v>9</v>
      </c>
      <c r="B17" s="12" t="inlineStr">
        <is>
          <t>PT-01</t>
        </is>
      </c>
      <c r="C17" s="13" t="inlineStr">
        <is>
          <t>PETROLIZADORA INTERNATIONAL / FORD F800</t>
        </is>
      </c>
      <c r="D17" s="13" t="inlineStr">
        <is>
          <t>ELTHON EDUARDO MARTINEZ GOMORA</t>
        </is>
      </c>
      <c r="E17" s="13" t="inlineStr">
        <is>
          <t>Riego de Liga / Emulsión</t>
        </is>
      </c>
      <c r="F17" s="14">
        <f>$C$6</f>
        <v/>
      </c>
      <c r="G17" s="37">
        <f>$E$6</f>
        <v/>
      </c>
      <c r="H17" s="16">
        <f>G17*$E$4</f>
        <v/>
      </c>
      <c r="I17" s="37" t="n">
        <v>150</v>
      </c>
      <c r="J17" s="20">
        <f>IF(H17&gt;0, I17/H17, 0)</f>
        <v/>
      </c>
      <c r="K17" s="20">
        <f>IF(G17&gt;0, I17/G17, 0)</f>
        <v/>
      </c>
      <c r="L17" s="21" t="n">
        <v>12.76</v>
      </c>
      <c r="M17" s="22">
        <f>IF(L17&gt;0, I17/L17, 0)</f>
        <v/>
      </c>
      <c r="N17" s="12">
        <f>IF(I17=0, "SIN CONSUMO (Inactiva)", IF(A17=1, IF(K17&lt;=0.85, "DENTRO DE RENDIMIENTO BASE", "EXCEDE RENDIMIENTO BASE"), IF(A17=2, IF(J17&lt;=0.38, "DENTRO DE RENDIMIENTO BASE", "EXCEDE RENDIMIENTO BASE"), IF(OR(A17=3,A17=4,A17=5,A17=6), IF(J17&lt;=0.08, "DENTRO DE RENDIMIENTO BASE", "EXCEDE RENDIMIENTO BASE"), IF(A17=7, IF(J17&lt;=0.07, "DENTRO DE RENDIMIENTO BASE", "EXCEDE RENDIMIENTO BASE"), IF(A17=8, IF(K17&lt;=0.22, "DENTRO DE RENDIMIENTO BASE", "EXCEDE RENDIMIENTO BASE"), IF(A17=9, IF(J17&lt;=0.075, "DENTRO DE RENDIMIENTO BASE", "EXCEDE RENDIMIENTO BASE"), "APOYO PUNTUAL")))))))</f>
        <v/>
      </c>
    </row>
    <row r="18" ht="19.5" customHeight="1" s="46">
      <c r="A18" s="12" t="n">
        <v>10</v>
      </c>
      <c r="B18" s="12" t="inlineStr">
        <is>
          <t>CPR-01</t>
        </is>
      </c>
      <c r="C18" s="13" t="inlineStr">
        <is>
          <t>COMPRESOR DE AIRE INGERSOLL RAND IR185</t>
        </is>
      </c>
      <c r="D18" s="13" t="inlineStr">
        <is>
          <t>CUADRILLA DE LIMPIEZA</t>
        </is>
      </c>
      <c r="E18" s="13" t="inlineStr">
        <is>
          <t>Sopleteado de Juntas</t>
        </is>
      </c>
      <c r="F18" s="14" t="n">
        <v>0</v>
      </c>
      <c r="G18" s="37" t="n">
        <v>0</v>
      </c>
      <c r="H18" s="16" t="n">
        <v>0</v>
      </c>
      <c r="I18" s="37" t="n">
        <v>0</v>
      </c>
      <c r="J18" s="20" t="n">
        <v>0</v>
      </c>
      <c r="K18" s="20" t="n">
        <v>0</v>
      </c>
      <c r="L18" s="21" t="n">
        <v>9.970000000000001</v>
      </c>
      <c r="M18" s="22">
        <f>IF(L18&gt;0, I18/L18, 0)</f>
        <v/>
      </c>
      <c r="N18" s="12">
        <f>IF(I18=0, "SIN CONSUMO (Inactiva)", IF(A18=1, IF(K18&lt;=0.85, "DENTRO DE RENDIMIENTO BASE", "EXCEDE RENDIMIENTO BASE"), IF(A18=2, IF(J18&lt;=0.38, "DENTRO DE RENDIMIENTO BASE", "EXCEDE RENDIMIENTO BASE"), IF(OR(A18=3,A18=4,A18=5,A18=6), IF(J18&lt;=0.08, "DENTRO DE RENDIMIENTO BASE", "EXCEDE RENDIMIENTO BASE"), IF(A18=7, IF(J18&lt;=0.07, "DENTRO DE RENDIMIENTO BASE", "EXCEDE RENDIMIENTO BASE"), IF(A18=8, IF(K18&lt;=0.22, "DENTRO DE RENDIMIENTO BASE", "EXCEDE RENDIMIENTO BASE"), IF(A18=9, IF(J18&lt;=0.075, "DENTRO DE RENDIMIENTO BASE", "EXCEDE RENDIMIENTO BASE"), "APOYO PUNTUAL")))))))</f>
        <v/>
      </c>
    </row>
    <row r="19" ht="19.5" customHeight="1" s="46">
      <c r="A19" s="12" t="n">
        <v>11</v>
      </c>
      <c r="B19" s="12" t="inlineStr">
        <is>
          <t>PP-01</t>
        </is>
      </c>
      <c r="C19" s="13" t="inlineStr">
        <is>
          <t>CAMIÓN IMPACTO / PIPA DE AGUA FORD</t>
        </is>
      </c>
      <c r="D19" s="13" t="inlineStr">
        <is>
          <t>CUADRILLA DE AGUA</t>
        </is>
      </c>
      <c r="E19" s="13" t="inlineStr">
        <is>
          <t>Enfriamiento Rodillos / Riego</t>
        </is>
      </c>
      <c r="F19" s="14" t="n">
        <v>0</v>
      </c>
      <c r="G19" s="37" t="n">
        <v>0</v>
      </c>
      <c r="H19" s="16" t="n">
        <v>0</v>
      </c>
      <c r="I19" s="37" t="n">
        <v>0</v>
      </c>
      <c r="J19" s="20" t="n">
        <v>0</v>
      </c>
      <c r="K19" s="20" t="n">
        <v>0</v>
      </c>
      <c r="L19" s="21" t="n">
        <v>3.03</v>
      </c>
      <c r="M19" s="22">
        <f>IF(L19&gt;0, I19/L19, 0)</f>
        <v/>
      </c>
      <c r="N19" s="12">
        <f>IF(I19=0, "SIN CONSUMO (Inactiva)", IF(A19=1, IF(K19&lt;=0.85, "DENTRO DE RENDIMIENTO BASE", "EXCEDE RENDIMIENTO BASE"), IF(A19=2, IF(J19&lt;=0.38, "DENTRO DE RENDIMIENTO BASE", "EXCEDE RENDIMIENTO BASE"), IF(OR(A19=3,A19=4,A19=5,A19=6), IF(J19&lt;=0.08, "DENTRO DE RENDIMIENTO BASE", "EXCEDE RENDIMIENTO BASE"), IF(A19=7, IF(J19&lt;=0.07, "DENTRO DE RENDIMIENTO BASE", "EXCEDE RENDIMIENTO BASE"), IF(A19=8, IF(K19&lt;=0.22, "DENTRO DE RENDIMIENTO BASE", "EXCEDE RENDIMIENTO BASE"), IF(A19=9, IF(J19&lt;=0.075, "DENTRO DE RENDIMIENTO BASE", "EXCEDE RENDIMIENTO BASE"), "APOYO PUNTUAL")))))))</f>
        <v/>
      </c>
    </row>
    <row r="20" ht="19.5" customHeight="1" s="46">
      <c r="A20" s="12" t="n">
        <v>12</v>
      </c>
      <c r="B20" s="12" t="inlineStr">
        <is>
          <t>TL-01</t>
        </is>
      </c>
      <c r="C20" s="13" t="inlineStr">
        <is>
          <t>TORRE DE LUZ MAXILIGHT 4X1000W</t>
        </is>
      </c>
      <c r="D20" s="13" t="inlineStr">
        <is>
          <t>CUADRILLA NOCTURNA</t>
        </is>
      </c>
      <c r="E20" s="13" t="inlineStr">
        <is>
          <t>Iluminación Nocturna</t>
        </is>
      </c>
      <c r="F20" s="14" t="n">
        <v>0</v>
      </c>
      <c r="G20" s="37" t="n">
        <v>0</v>
      </c>
      <c r="H20" s="16" t="n">
        <v>0</v>
      </c>
      <c r="I20" s="37" t="n">
        <v>0</v>
      </c>
      <c r="J20" s="20" t="n">
        <v>0</v>
      </c>
      <c r="K20" s="20" t="n">
        <v>0</v>
      </c>
      <c r="L20" s="21" t="n">
        <v>2.41</v>
      </c>
      <c r="M20" s="22">
        <f>IF(L20&gt;0, I20/L20, 0)</f>
        <v/>
      </c>
      <c r="N20" s="12">
        <f>IF(I20=0, "SIN CONSUMO (Inactiva)", IF(A20=1, IF(K20&lt;=0.85, "DENTRO DE RENDIMIENTO BASE", "EXCEDE RENDIMIENTO BASE"), IF(A20=2, IF(J20&lt;=0.38, "DENTRO DE RENDIMIENTO BASE", "EXCEDE RENDIMIENTO BASE"), IF(OR(A20=3,A20=4,A20=5,A20=6), IF(J20&lt;=0.08, "DENTRO DE RENDIMIENTO BASE", "EXCEDE RENDIMIENTO BASE"), IF(A20=7, IF(J20&lt;=0.07, "DENTRO DE RENDIMIENTO BASE", "EXCEDE RENDIMIENTO BASE"), IF(A20=8, IF(K20&lt;=0.22, "DENTRO DE RENDIMIENTO BASE", "EXCEDE RENDIMIENTO BASE"), IF(A20=9, IF(J20&lt;=0.075, "DENTRO DE RENDIMIENTO BASE", "EXCEDE RENDIMIENTO BASE"), "APOYO PUNTUAL")))))))</f>
        <v/>
      </c>
    </row>
    <row r="21" ht="21.75" customHeight="1" s="46">
      <c r="A21" s="30" t="inlineStr">
        <is>
          <t>TOTAL SEMANA 25 (OBRA CARRETERA MÉXICO-TOLUCA)</t>
        </is>
      </c>
      <c r="B21" s="50" t="n"/>
      <c r="C21" s="50" t="n"/>
      <c r="D21" s="50" t="n"/>
      <c r="E21" s="51" t="n"/>
      <c r="F21" s="26">
        <f>C5+C6</f>
        <v/>
      </c>
      <c r="G21" s="27">
        <f>E5+E6</f>
        <v/>
      </c>
      <c r="H21" s="28">
        <f>G6</f>
        <v/>
      </c>
      <c r="I21" s="27">
        <f>SUM(I9:I20)</f>
        <v/>
      </c>
      <c r="J21" s="29">
        <f>IF(H21&gt;0, I21/H21, 0)</f>
        <v/>
      </c>
      <c r="K21" s="29">
        <f>IF(G21&gt;0, I21/G21, 0)</f>
        <v/>
      </c>
      <c r="L21" s="30" t="inlineStr">
        <is>
          <t>—</t>
        </is>
      </c>
      <c r="M21" s="31">
        <f>SUM(M9:M20)</f>
        <v/>
      </c>
      <c r="N21" s="30" t="inlineStr">
        <is>
          <t>SEMANA REGISTRADA</t>
        </is>
      </c>
    </row>
    <row r="22" ht="15.75" customHeight="1" s="46"/>
    <row r="23" ht="15.75" customHeight="1" s="46"/>
    <row r="24" ht="24" customHeight="1" s="46">
      <c r="A24" s="96" t="inlineStr">
        <is>
          <t>DESGLOSE DIARIO DE COMBUSTIBLE, VOLUMEN, TONELAJE Y RENDIMIENTO — SEMANA 25</t>
        </is>
      </c>
    </row>
    <row r="25" ht="19.5" customHeight="1" s="46">
      <c r="A25" s="48" t="inlineStr">
        <is>
          <t>DATOS DEL EQUIPO</t>
        </is>
      </c>
      <c r="F25" s="48" t="inlineStr">
        <is>
          <t>LUNES</t>
        </is>
      </c>
      <c r="J25" s="48" t="inlineStr">
        <is>
          <t>MARTES</t>
        </is>
      </c>
      <c r="N25" s="48" t="inlineStr">
        <is>
          <t>MIÉRCOLES</t>
        </is>
      </c>
      <c r="R25" s="48" t="inlineStr">
        <is>
          <t>JUEVES</t>
        </is>
      </c>
      <c r="V25" s="48" t="inlineStr">
        <is>
          <t>VIERNES</t>
        </is>
      </c>
      <c r="Z25" s="48" t="inlineStr">
        <is>
          <t>SÁBADO</t>
        </is>
      </c>
      <c r="AD25" s="97" t="inlineStr">
        <is>
          <t>TOTAL SEMANAL</t>
        </is>
      </c>
    </row>
    <row r="26" ht="25.5" customHeight="1" s="46">
      <c r="A26" s="34" t="inlineStr">
        <is>
          <t>No.</t>
        </is>
      </c>
      <c r="B26" s="34" t="inlineStr">
        <is>
          <t>Económico</t>
        </is>
      </c>
      <c r="C26" s="34" t="inlineStr">
        <is>
          <t>Equipo / Maquinaria</t>
        </is>
      </c>
      <c r="D26" s="34" t="inlineStr">
        <is>
          <t>Operador Asignado</t>
        </is>
      </c>
      <c r="E26" s="34" t="inlineStr">
        <is>
          <t>Concepto de Trabajo</t>
        </is>
      </c>
      <c r="F26" s="34" t="inlineStr">
        <is>
          <t>Diésel (L)</t>
        </is>
      </c>
      <c r="G26" s="34" t="inlineStr">
        <is>
          <t>Volumen (m³)</t>
        </is>
      </c>
      <c r="H26" s="34" t="inlineStr">
        <is>
          <t>Toneladas (Ton)</t>
        </is>
      </c>
      <c r="I26" s="34" t="inlineStr">
        <is>
          <t>Rendimiento Real</t>
        </is>
      </c>
      <c r="J26" s="34" t="inlineStr">
        <is>
          <t>Diésel (L)</t>
        </is>
      </c>
      <c r="K26" s="34" t="inlineStr">
        <is>
          <t>Volumen (m³)</t>
        </is>
      </c>
      <c r="L26" s="34" t="inlineStr">
        <is>
          <t>Toneladas (Ton)</t>
        </is>
      </c>
      <c r="M26" s="34" t="inlineStr">
        <is>
          <t>Rendimiento Real</t>
        </is>
      </c>
      <c r="N26" s="34" t="inlineStr">
        <is>
          <t>Diésel (L)</t>
        </is>
      </c>
      <c r="O26" s="34" t="inlineStr">
        <is>
          <t>Volumen (m³)</t>
        </is>
      </c>
      <c r="P26" s="34" t="inlineStr">
        <is>
          <t>Toneladas (Ton)</t>
        </is>
      </c>
      <c r="Q26" s="34" t="inlineStr">
        <is>
          <t>Rendimiento Real</t>
        </is>
      </c>
      <c r="R26" s="34" t="inlineStr">
        <is>
          <t>Diésel (L)</t>
        </is>
      </c>
      <c r="S26" s="34" t="inlineStr">
        <is>
          <t>Volumen (m³)</t>
        </is>
      </c>
      <c r="T26" s="34" t="inlineStr">
        <is>
          <t>Toneladas (Ton)</t>
        </is>
      </c>
      <c r="U26" s="34" t="inlineStr">
        <is>
          <t>Rendimiento Real</t>
        </is>
      </c>
      <c r="V26" s="34" t="inlineStr">
        <is>
          <t>Diésel (L)</t>
        </is>
      </c>
      <c r="W26" s="34" t="inlineStr">
        <is>
          <t>Volumen (m³)</t>
        </is>
      </c>
      <c r="X26" s="34" t="inlineStr">
        <is>
          <t>Toneladas (Ton)</t>
        </is>
      </c>
      <c r="Y26" s="34" t="inlineStr">
        <is>
          <t>Rendimiento Real</t>
        </is>
      </c>
      <c r="Z26" s="34" t="inlineStr">
        <is>
          <t>Diésel (L)</t>
        </is>
      </c>
      <c r="AA26" s="34" t="inlineStr">
        <is>
          <t>Volumen (m³)</t>
        </is>
      </c>
      <c r="AB26" s="34" t="inlineStr">
        <is>
          <t>Toneladas (Ton)</t>
        </is>
      </c>
      <c r="AC26" s="34" t="inlineStr">
        <is>
          <t>Rendimiento Real</t>
        </is>
      </c>
      <c r="AD26" s="35" t="inlineStr">
        <is>
          <t>Total Diésel (L)</t>
        </is>
      </c>
      <c r="AE26" s="35" t="inlineStr">
        <is>
          <t>Total Vol (m³)</t>
        </is>
      </c>
      <c r="AF26" s="35" t="inlineStr">
        <is>
          <t>Total Ton (Ton)</t>
        </is>
      </c>
      <c r="AG26" s="35" t="inlineStr">
        <is>
          <t>Rend. Promedio</t>
        </is>
      </c>
    </row>
    <row r="27" ht="18.75" customHeight="1" s="46">
      <c r="A27" s="12" t="n">
        <v>1</v>
      </c>
      <c r="B27" s="12" t="inlineStr">
        <is>
          <t>PRR-01</t>
        </is>
      </c>
      <c r="C27" s="13" t="inlineStr">
        <is>
          <t>PERFILADORA WIRTGEN W200i</t>
        </is>
      </c>
      <c r="D27" s="13" t="inlineStr">
        <is>
          <t>JAVIER PAREDES CORTE</t>
        </is>
      </c>
      <c r="E27" s="13" t="inlineStr">
        <is>
          <t>Fresado de Pavimento</t>
        </is>
      </c>
      <c r="F27" s="37" t="n">
        <v>400</v>
      </c>
      <c r="G27" s="37" t="n">
        <v>238</v>
      </c>
      <c r="H27" s="16">
        <f>G27*$E$4</f>
        <v/>
      </c>
      <c r="I27" s="20">
        <f>IF(G27&gt;0, F27/G27, 0)</f>
        <v/>
      </c>
      <c r="J27" s="37" t="n">
        <v>400</v>
      </c>
      <c r="K27" s="36" t="n">
        <v>210</v>
      </c>
      <c r="L27" s="16">
        <f>K27*$E$4</f>
        <v/>
      </c>
      <c r="M27" s="20">
        <f>IF(K27&gt;0, J27/K27, 0)</f>
        <v/>
      </c>
      <c r="N27" s="37" t="n">
        <v>200</v>
      </c>
      <c r="O27" s="37" t="n">
        <v>280</v>
      </c>
      <c r="P27" s="16">
        <f>O27*$E$4</f>
        <v/>
      </c>
      <c r="Q27" s="20">
        <f>IF(O27&gt;0, N27/O27, 0)</f>
        <v/>
      </c>
      <c r="R27" s="37" t="n">
        <v>200</v>
      </c>
      <c r="S27" s="37" t="n">
        <v>266</v>
      </c>
      <c r="T27" s="16">
        <f>S27*$E$4</f>
        <v/>
      </c>
      <c r="U27" s="20">
        <f>IF(S27&gt;0, R27/S27, 0)</f>
        <v/>
      </c>
      <c r="V27" s="37" t="n">
        <v>0</v>
      </c>
      <c r="W27" s="37" t="n">
        <v>0</v>
      </c>
      <c r="X27" s="16">
        <f>W27*$E$4</f>
        <v/>
      </c>
      <c r="Y27" s="20">
        <f>IF(W27&gt;0, V27/W27, 0)</f>
        <v/>
      </c>
      <c r="Z27" s="37" t="n">
        <v>0</v>
      </c>
      <c r="AA27" s="37" t="n">
        <v>0</v>
      </c>
      <c r="AB27" s="16">
        <f>AA27*$E$4</f>
        <v/>
      </c>
      <c r="AC27" s="20">
        <f>IF(AA27&gt;0, Z27/AA27, 0)</f>
        <v/>
      </c>
      <c r="AD27" s="37">
        <f>F27+J27+N27+R27+V27+Z27</f>
        <v/>
      </c>
      <c r="AE27" s="37">
        <f>G27+K27+O27+S27+W27+AA27</f>
        <v/>
      </c>
      <c r="AF27" s="16">
        <f>H27+L27+P27+T27+X27+AB27</f>
        <v/>
      </c>
      <c r="AG27" s="20">
        <f>IF(AE27&gt;0, AD27/AE27, 0)</f>
        <v/>
      </c>
    </row>
    <row r="28" ht="18.75" customHeight="1" s="46">
      <c r="A28" s="12" t="n">
        <v>2</v>
      </c>
      <c r="B28" s="12" t="inlineStr">
        <is>
          <t>VG-01</t>
        </is>
      </c>
      <c r="C28" s="13" t="inlineStr">
        <is>
          <t>PAVIMENTADORA VÖGELE SUPER 1800-3i</t>
        </is>
      </c>
      <c r="D28" s="13" t="inlineStr">
        <is>
          <t>ERWIN CUTEÑO HERNANDEZ</t>
        </is>
      </c>
      <c r="E28" s="13" t="inlineStr">
        <is>
          <t>Tendido de Mezcla Asfáltica</t>
        </is>
      </c>
      <c r="F28" s="37" t="n">
        <v>99</v>
      </c>
      <c r="G28" s="38" t="n">
        <v>162</v>
      </c>
      <c r="H28" s="16">
        <f>G28*$E$4</f>
        <v/>
      </c>
      <c r="I28" s="20">
        <f>IF(H28&gt;0, F28/H28, 0)</f>
        <v/>
      </c>
      <c r="J28" s="37" t="n">
        <v>107</v>
      </c>
      <c r="K28" s="37" t="n">
        <v>238</v>
      </c>
      <c r="L28" s="16">
        <f>K28*$E$4</f>
        <v/>
      </c>
      <c r="M28" s="20">
        <f>IF(L28&gt;0, J28/L28, 0)</f>
        <v/>
      </c>
      <c r="N28" s="37" t="n">
        <v>120</v>
      </c>
      <c r="O28" s="37" t="n">
        <v>168</v>
      </c>
      <c r="P28" s="16">
        <f>O28*$E$4</f>
        <v/>
      </c>
      <c r="Q28" s="20">
        <f>IF(P28&gt;0, N28/P28, 0)</f>
        <v/>
      </c>
      <c r="R28" s="37" t="n">
        <v>115</v>
      </c>
      <c r="S28" s="37" t="n">
        <v>196</v>
      </c>
      <c r="T28" s="16">
        <f>S28*$E$4</f>
        <v/>
      </c>
      <c r="U28" s="20">
        <f>IF(T28&gt;0, R28/T28, 0)</f>
        <v/>
      </c>
      <c r="V28" s="37" t="n">
        <v>120</v>
      </c>
      <c r="W28" s="37" t="n">
        <v>196</v>
      </c>
      <c r="X28" s="16">
        <f>W28*$E$4</f>
        <v/>
      </c>
      <c r="Y28" s="20">
        <f>IF(X28&gt;0, V28/X28, 0)</f>
        <v/>
      </c>
      <c r="Z28" s="37" t="n">
        <v>0</v>
      </c>
      <c r="AA28" s="37" t="n">
        <v>0</v>
      </c>
      <c r="AB28" s="16">
        <f>AA28*$E$4</f>
        <v/>
      </c>
      <c r="AC28" s="20">
        <f>IF(AB28&gt;0, Z28/AB28, 0)</f>
        <v/>
      </c>
      <c r="AD28" s="37">
        <f>F28+J28+N28+R28+V28+Z28</f>
        <v/>
      </c>
      <c r="AE28" s="37">
        <f>G28+K28+O28+S28+W28+AA28</f>
        <v/>
      </c>
      <c r="AF28" s="16">
        <f>H28+L28+P28+T28+X28+AB28</f>
        <v/>
      </c>
      <c r="AG28" s="20">
        <f>IF(AF28&gt;0, AD28/AF28, 0)</f>
        <v/>
      </c>
    </row>
    <row r="29" ht="18.75" customHeight="1" s="46">
      <c r="A29" s="12" t="n">
        <v>3</v>
      </c>
      <c r="B29" s="12" t="inlineStr">
        <is>
          <t>DR-01</t>
        </is>
      </c>
      <c r="C29" s="13" t="inlineStr">
        <is>
          <t>COMPACTADOR TÁNDEM HAMM-HD120 VV</t>
        </is>
      </c>
      <c r="D29" s="13" t="inlineStr">
        <is>
          <t>JOEL ALBERTO RIVERA RIVAS</t>
        </is>
      </c>
      <c r="E29" s="13" t="inlineStr">
        <is>
          <t>Compactación Tándem Primaria</t>
        </is>
      </c>
      <c r="F29" s="37" t="n">
        <v>0</v>
      </c>
      <c r="G29" s="38" t="n">
        <v>162</v>
      </c>
      <c r="H29" s="16">
        <f>G29*$E$4</f>
        <v/>
      </c>
      <c r="I29" s="20">
        <f>IF(H29&gt;0, F29/H29, 0)</f>
        <v/>
      </c>
      <c r="J29" s="37" t="n">
        <v>0</v>
      </c>
      <c r="K29" s="37" t="n">
        <v>238</v>
      </c>
      <c r="L29" s="16">
        <f>K29*$E$4</f>
        <v/>
      </c>
      <c r="M29" s="20">
        <f>IF(L29&gt;0, J29/L29, 0)</f>
        <v/>
      </c>
      <c r="N29" s="37" t="n">
        <v>0</v>
      </c>
      <c r="O29" s="37" t="n">
        <v>168</v>
      </c>
      <c r="P29" s="16">
        <f>O29*$E$4</f>
        <v/>
      </c>
      <c r="Q29" s="20">
        <f>IF(P29&gt;0, N29/P29, 0)</f>
        <v/>
      </c>
      <c r="R29" s="37" t="n">
        <v>0</v>
      </c>
      <c r="S29" s="37" t="n">
        <v>196</v>
      </c>
      <c r="T29" s="16">
        <f>S29*$E$4</f>
        <v/>
      </c>
      <c r="U29" s="20">
        <f>IF(T29&gt;0, R29/T29, 0)</f>
        <v/>
      </c>
      <c r="V29" s="37" t="n">
        <v>0</v>
      </c>
      <c r="W29" s="37" t="n">
        <v>196</v>
      </c>
      <c r="X29" s="16">
        <f>W29*$E$4</f>
        <v/>
      </c>
      <c r="Y29" s="20">
        <f>IF(X29&gt;0, V29/X29, 0)</f>
        <v/>
      </c>
      <c r="Z29" s="37" t="n">
        <v>0</v>
      </c>
      <c r="AA29" s="37" t="n">
        <v>0</v>
      </c>
      <c r="AB29" s="16">
        <f>AA29*$E$4</f>
        <v/>
      </c>
      <c r="AC29" s="20">
        <f>IF(AB29&gt;0, Z29/AB29, 0)</f>
        <v/>
      </c>
      <c r="AD29" s="37">
        <f>F29+J29+N29+R29+V29+Z29</f>
        <v/>
      </c>
      <c r="AE29" s="37">
        <f>G29+K29+O29+S29+W29+AA29</f>
        <v/>
      </c>
      <c r="AF29" s="16">
        <f>H29+L29+P29+T29+X29+AB29</f>
        <v/>
      </c>
      <c r="AG29" s="20">
        <f>IF(AF29&gt;0, AD29/AF29, 0)</f>
        <v/>
      </c>
    </row>
    <row r="30" ht="18.75" customHeight="1" s="46">
      <c r="A30" s="12" t="n">
        <v>4</v>
      </c>
      <c r="B30" s="12" t="inlineStr">
        <is>
          <t>DR-02</t>
        </is>
      </c>
      <c r="C30" s="13" t="inlineStr">
        <is>
          <t>COMPACTADOR TÁNDEM HAMM-HD140</t>
        </is>
      </c>
      <c r="D30" s="13" t="inlineStr">
        <is>
          <t>ALEXIS RENDON DOMINGUEZ</t>
        </is>
      </c>
      <c r="E30" s="13" t="inlineStr">
        <is>
          <t>Compactación Tándem Pesada</t>
        </is>
      </c>
      <c r="F30" s="37" t="n">
        <v>33</v>
      </c>
      <c r="G30" s="38" t="n">
        <v>162</v>
      </c>
      <c r="H30" s="16">
        <f>G30*$E$4</f>
        <v/>
      </c>
      <c r="I30" s="20">
        <f>IF(H30&gt;0, F30/H30, 0)</f>
        <v/>
      </c>
      <c r="J30" s="37" t="n">
        <v>0</v>
      </c>
      <c r="K30" s="37" t="n">
        <v>238</v>
      </c>
      <c r="L30" s="16">
        <f>K30*$E$4</f>
        <v/>
      </c>
      <c r="M30" s="20">
        <f>IF(L30&gt;0, J30/L30, 0)</f>
        <v/>
      </c>
      <c r="N30" s="37" t="n">
        <v>0</v>
      </c>
      <c r="O30" s="37" t="n">
        <v>168</v>
      </c>
      <c r="P30" s="16">
        <f>O30*$E$4</f>
        <v/>
      </c>
      <c r="Q30" s="20">
        <f>IF(P30&gt;0, N30/P30, 0)</f>
        <v/>
      </c>
      <c r="R30" s="37" t="n">
        <v>0</v>
      </c>
      <c r="S30" s="37" t="n">
        <v>196</v>
      </c>
      <c r="T30" s="16">
        <f>S30*$E$4</f>
        <v/>
      </c>
      <c r="U30" s="20">
        <f>IF(T30&gt;0, R30/T30, 0)</f>
        <v/>
      </c>
      <c r="V30" s="37" t="n">
        <v>0</v>
      </c>
      <c r="W30" s="37" t="n">
        <v>196</v>
      </c>
      <c r="X30" s="16">
        <f>W30*$E$4</f>
        <v/>
      </c>
      <c r="Y30" s="20">
        <f>IF(X30&gt;0, V30/X30, 0)</f>
        <v/>
      </c>
      <c r="Z30" s="37" t="n">
        <v>0</v>
      </c>
      <c r="AA30" s="37" t="n">
        <v>0</v>
      </c>
      <c r="AB30" s="16">
        <f>AA30*$E$4</f>
        <v/>
      </c>
      <c r="AC30" s="20">
        <f>IF(AB30&gt;0, Z30/AB30, 0)</f>
        <v/>
      </c>
      <c r="AD30" s="37">
        <f>F30+J30+N30+R30+V30+Z30</f>
        <v/>
      </c>
      <c r="AE30" s="37">
        <f>G30+K30+O30+S30+W30+AA30</f>
        <v/>
      </c>
      <c r="AF30" s="16">
        <f>H30+L30+P30+T30+X30+AB30</f>
        <v/>
      </c>
      <c r="AG30" s="20">
        <f>IF(AF30&gt;0, AD30/AF30, 0)</f>
        <v/>
      </c>
    </row>
    <row r="31" ht="18.75" customHeight="1" s="46">
      <c r="A31" s="12" t="n">
        <v>5</v>
      </c>
      <c r="B31" s="12" t="inlineStr">
        <is>
          <t>NM-01</t>
        </is>
      </c>
      <c r="C31" s="13" t="inlineStr">
        <is>
          <t>COMPACTADOR NEUMÁTICO DYNAPAC CP271</t>
        </is>
      </c>
      <c r="D31" s="13" t="inlineStr">
        <is>
          <t>JOSE CARLOS ROMERO TELLEZ</t>
        </is>
      </c>
      <c r="E31" s="13" t="inlineStr">
        <is>
          <t>Compactación Neumática / Sellado</t>
        </is>
      </c>
      <c r="F31" s="37" t="n">
        <v>50</v>
      </c>
      <c r="G31" s="38" t="n">
        <v>162</v>
      </c>
      <c r="H31" s="16">
        <f>G31*$E$4</f>
        <v/>
      </c>
      <c r="I31" s="20">
        <f>IF(H31&gt;0, F31/H31, 0)</f>
        <v/>
      </c>
      <c r="J31" s="37" t="n">
        <v>30</v>
      </c>
      <c r="K31" s="37" t="n">
        <v>238</v>
      </c>
      <c r="L31" s="16">
        <f>K31*$E$4</f>
        <v/>
      </c>
      <c r="M31" s="20">
        <f>IF(L31&gt;0, J31/L31, 0)</f>
        <v/>
      </c>
      <c r="N31" s="37" t="n">
        <v>30</v>
      </c>
      <c r="O31" s="37" t="n">
        <v>168</v>
      </c>
      <c r="P31" s="16">
        <f>O31*$E$4</f>
        <v/>
      </c>
      <c r="Q31" s="20">
        <f>IF(P31&gt;0, N31/P31, 0)</f>
        <v/>
      </c>
      <c r="R31" s="37" t="n">
        <v>30</v>
      </c>
      <c r="S31" s="37" t="n">
        <v>196</v>
      </c>
      <c r="T31" s="16">
        <f>S31*$E$4</f>
        <v/>
      </c>
      <c r="U31" s="20">
        <f>IF(T31&gt;0, R31/T31, 0)</f>
        <v/>
      </c>
      <c r="V31" s="37" t="n">
        <v>84</v>
      </c>
      <c r="W31" s="37" t="n">
        <v>196</v>
      </c>
      <c r="X31" s="16">
        <f>W31*$E$4</f>
        <v/>
      </c>
      <c r="Y31" s="20">
        <f>IF(X31&gt;0, V31/X31, 0)</f>
        <v/>
      </c>
      <c r="Z31" s="37" t="n">
        <v>0</v>
      </c>
      <c r="AA31" s="37" t="n">
        <v>0</v>
      </c>
      <c r="AB31" s="16">
        <f>AA31*$E$4</f>
        <v/>
      </c>
      <c r="AC31" s="20">
        <f>IF(AB31&gt;0, Z31/AB31, 0)</f>
        <v/>
      </c>
      <c r="AD31" s="37">
        <f>F31+J31+N31+R31+V31+Z31</f>
        <v/>
      </c>
      <c r="AE31" s="37">
        <f>G31+K31+O31+S31+W31+AA31</f>
        <v/>
      </c>
      <c r="AF31" s="16">
        <f>H31+L31+P31+T31+X31+AB31</f>
        <v/>
      </c>
      <c r="AG31" s="20">
        <f>IF(AF31&gt;0, AD31/AF31, 0)</f>
        <v/>
      </c>
    </row>
    <row r="32" ht="18.75" customHeight="1" s="46">
      <c r="A32" s="12" t="n">
        <v>6</v>
      </c>
      <c r="B32" s="12" t="inlineStr">
        <is>
          <t>NM-09</t>
        </is>
      </c>
      <c r="C32" s="13" t="inlineStr">
        <is>
          <t>COMPACTADOR NEUMÁTICO HAMM 208</t>
        </is>
      </c>
      <c r="D32" s="13" t="inlineStr">
        <is>
          <t>NOLVIN DE JESUS PEREZ GOMEZ</t>
        </is>
      </c>
      <c r="E32" s="13" t="inlineStr">
        <is>
          <t>Compactación Neumática / Acabado</t>
        </is>
      </c>
      <c r="F32" s="37" t="n">
        <v>0</v>
      </c>
      <c r="G32" s="38" t="n">
        <v>162</v>
      </c>
      <c r="H32" s="16">
        <f>G32*$E$4</f>
        <v/>
      </c>
      <c r="I32" s="20">
        <f>IF(H32&gt;0, F32/H32, 0)</f>
        <v/>
      </c>
      <c r="J32" s="37" t="n">
        <v>0</v>
      </c>
      <c r="K32" s="37" t="n">
        <v>238</v>
      </c>
      <c r="L32" s="16">
        <f>K32*$E$4</f>
        <v/>
      </c>
      <c r="M32" s="20">
        <f>IF(L32&gt;0, J32/L32, 0)</f>
        <v/>
      </c>
      <c r="N32" s="37" t="n">
        <v>0</v>
      </c>
      <c r="O32" s="37" t="n">
        <v>168</v>
      </c>
      <c r="P32" s="16">
        <f>O32*$E$4</f>
        <v/>
      </c>
      <c r="Q32" s="20">
        <f>IF(P32&gt;0, N32/P32, 0)</f>
        <v/>
      </c>
      <c r="R32" s="37" t="n">
        <v>0</v>
      </c>
      <c r="S32" s="37" t="n">
        <v>196</v>
      </c>
      <c r="T32" s="16">
        <f>S32*$E$4</f>
        <v/>
      </c>
      <c r="U32" s="20">
        <f>IF(T32&gt;0, R32/T32, 0)</f>
        <v/>
      </c>
      <c r="V32" s="37" t="n">
        <v>0</v>
      </c>
      <c r="W32" s="37" t="n">
        <v>196</v>
      </c>
      <c r="X32" s="16">
        <f>W32*$E$4</f>
        <v/>
      </c>
      <c r="Y32" s="20">
        <f>IF(X32&gt;0, V32/X32, 0)</f>
        <v/>
      </c>
      <c r="Z32" s="37" t="n">
        <v>0</v>
      </c>
      <c r="AA32" s="37" t="n">
        <v>0</v>
      </c>
      <c r="AB32" s="16">
        <f>AA32*$E$4</f>
        <v/>
      </c>
      <c r="AC32" s="20">
        <f>IF(AB32&gt;0, Z32/AB32, 0)</f>
        <v/>
      </c>
      <c r="AD32" s="37">
        <f>F32+J32+N32+R32+V32+Z32</f>
        <v/>
      </c>
      <c r="AE32" s="37">
        <f>G32+K32+O32+S32+W32+AA32</f>
        <v/>
      </c>
      <c r="AF32" s="16">
        <f>H32+L32+P32+T32+X32+AB32</f>
        <v/>
      </c>
      <c r="AG32" s="20">
        <f>IF(AF32&gt;0, AD32/AF32, 0)</f>
        <v/>
      </c>
    </row>
    <row r="33" ht="18.75" customHeight="1" s="46">
      <c r="A33" s="12" t="n">
        <v>7</v>
      </c>
      <c r="B33" s="12" t="inlineStr">
        <is>
          <t>BR-01</t>
        </is>
      </c>
      <c r="C33" s="13" t="inlineStr">
        <is>
          <t>BARREDORA INDUSTRIAL BROCE BROOM-350</t>
        </is>
      </c>
      <c r="D33" s="13" t="inlineStr">
        <is>
          <t>EDGAR ROSALES MARTINEZ</t>
        </is>
      </c>
      <c r="E33" s="13" t="inlineStr">
        <is>
          <t>Limpieza y Barrido Previo</t>
        </is>
      </c>
      <c r="F33" s="37" t="n">
        <v>0</v>
      </c>
      <c r="G33" s="38" t="n">
        <v>162</v>
      </c>
      <c r="H33" s="16">
        <f>G33*$E$4</f>
        <v/>
      </c>
      <c r="I33" s="20">
        <f>IF(H33&gt;0, F33/H33, 0)</f>
        <v/>
      </c>
      <c r="J33" s="37" t="n">
        <v>30</v>
      </c>
      <c r="K33" s="37" t="n">
        <v>238</v>
      </c>
      <c r="L33" s="16">
        <f>K33*$E$4</f>
        <v/>
      </c>
      <c r="M33" s="20">
        <f>IF(L33&gt;0, J33/L33, 0)</f>
        <v/>
      </c>
      <c r="N33" s="37" t="n">
        <v>28</v>
      </c>
      <c r="O33" s="37" t="n">
        <v>168</v>
      </c>
      <c r="P33" s="16">
        <f>O33*$E$4</f>
        <v/>
      </c>
      <c r="Q33" s="20">
        <f>IF(P33&gt;0, N33/P33, 0)</f>
        <v/>
      </c>
      <c r="R33" s="37" t="n">
        <v>0</v>
      </c>
      <c r="S33" s="37" t="n">
        <v>196</v>
      </c>
      <c r="T33" s="16">
        <f>S33*$E$4</f>
        <v/>
      </c>
      <c r="U33" s="20">
        <f>IF(T33&gt;0, R33/T33, 0)</f>
        <v/>
      </c>
      <c r="V33" s="37" t="n">
        <v>30</v>
      </c>
      <c r="W33" s="37" t="n">
        <v>196</v>
      </c>
      <c r="X33" s="16">
        <f>W33*$E$4</f>
        <v/>
      </c>
      <c r="Y33" s="20">
        <f>IF(X33&gt;0, V33/X33, 0)</f>
        <v/>
      </c>
      <c r="Z33" s="37" t="n">
        <v>0</v>
      </c>
      <c r="AA33" s="37" t="n">
        <v>0</v>
      </c>
      <c r="AB33" s="16">
        <f>AA33*$E$4</f>
        <v/>
      </c>
      <c r="AC33" s="20">
        <f>IF(AB33&gt;0, Z33/AB33, 0)</f>
        <v/>
      </c>
      <c r="AD33" s="37">
        <f>F33+J33+N33+R33+V33+Z33</f>
        <v/>
      </c>
      <c r="AE33" s="37">
        <f>G33+K33+O33+S33+W33+AA33</f>
        <v/>
      </c>
      <c r="AF33" s="16">
        <f>H33+L33+P33+T33+X33+AB33</f>
        <v/>
      </c>
      <c r="AG33" s="20">
        <f>IF(AF33&gt;0, AD33/AF33, 0)</f>
        <v/>
      </c>
    </row>
    <row r="34" ht="18.75" customHeight="1" s="46">
      <c r="A34" s="12" t="n">
        <v>8</v>
      </c>
      <c r="B34" s="12" t="inlineStr">
        <is>
          <t>RT-05</t>
        </is>
      </c>
      <c r="C34" s="13" t="inlineStr">
        <is>
          <t>RETROEXCAVADORA JOHN DEERE 310SK</t>
        </is>
      </c>
      <c r="D34" s="13" t="inlineStr">
        <is>
          <t>ADOLFO NAVA LOPEZ</t>
        </is>
      </c>
      <c r="E34" s="13" t="inlineStr">
        <is>
          <t>Carga Fresado y Derrumbes</t>
        </is>
      </c>
      <c r="F34" s="37" t="n">
        <v>40</v>
      </c>
      <c r="G34" s="37" t="n">
        <v>238</v>
      </c>
      <c r="H34" s="16">
        <f>G34*$E$4</f>
        <v/>
      </c>
      <c r="I34" s="20">
        <f>IF(G34&gt;0, F34/G34, 0)</f>
        <v/>
      </c>
      <c r="J34" s="37" t="n">
        <v>40</v>
      </c>
      <c r="K34" s="36" t="n">
        <v>210</v>
      </c>
      <c r="L34" s="16">
        <f>K34*$E$4</f>
        <v/>
      </c>
      <c r="M34" s="20">
        <f>IF(K34&gt;0, J34/K34, 0)</f>
        <v/>
      </c>
      <c r="N34" s="37" t="n">
        <v>60</v>
      </c>
      <c r="O34" s="37" t="n">
        <v>280</v>
      </c>
      <c r="P34" s="16">
        <f>O34*$E$4</f>
        <v/>
      </c>
      <c r="Q34" s="20">
        <f>IF(O34&gt;0, N34/O34, 0)</f>
        <v/>
      </c>
      <c r="R34" s="37" t="n">
        <v>30</v>
      </c>
      <c r="S34" s="37" t="n">
        <v>266</v>
      </c>
      <c r="T34" s="16">
        <f>S34*$E$4</f>
        <v/>
      </c>
      <c r="U34" s="20">
        <f>IF(S34&gt;0, R34/S34, 0)</f>
        <v/>
      </c>
      <c r="V34" s="37" t="n">
        <v>150</v>
      </c>
      <c r="W34" s="37" t="n">
        <v>0</v>
      </c>
      <c r="X34" s="16">
        <f>W34*$E$4</f>
        <v/>
      </c>
      <c r="Y34" s="20">
        <f>IF(W34&gt;0, V34/W34, 0)</f>
        <v/>
      </c>
      <c r="Z34" s="37" t="n">
        <v>0</v>
      </c>
      <c r="AA34" s="37" t="n">
        <v>0</v>
      </c>
      <c r="AB34" s="16">
        <f>AA34*$E$4</f>
        <v/>
      </c>
      <c r="AC34" s="20">
        <f>IF(AA34&gt;0, Z34/AA34, 0)</f>
        <v/>
      </c>
      <c r="AD34" s="37">
        <f>F34+J34+N34+R34+V34+Z34</f>
        <v/>
      </c>
      <c r="AE34" s="37">
        <f>G34+K34+O34+S34+W34+AA34</f>
        <v/>
      </c>
      <c r="AF34" s="16">
        <f>H34+L34+P34+T34+X34+AB34</f>
        <v/>
      </c>
      <c r="AG34" s="20">
        <f>IF(AE34&gt;0, AD34/AE34, 0)</f>
        <v/>
      </c>
    </row>
    <row r="35" ht="18.75" customHeight="1" s="46">
      <c r="A35" s="12" t="n">
        <v>9</v>
      </c>
      <c r="B35" s="12" t="inlineStr">
        <is>
          <t>PT-01</t>
        </is>
      </c>
      <c r="C35" s="13" t="inlineStr">
        <is>
          <t>PETROLIZADORA INTERNATIONAL / FORD F800</t>
        </is>
      </c>
      <c r="D35" s="13" t="inlineStr">
        <is>
          <t>ELTHON EDUARDO MARTINEZ GOMORA</t>
        </is>
      </c>
      <c r="E35" s="13" t="inlineStr">
        <is>
          <t>Riego de Liga / Emulsión</t>
        </is>
      </c>
      <c r="F35" s="37" t="n">
        <v>50</v>
      </c>
      <c r="G35" s="38" t="n">
        <v>162</v>
      </c>
      <c r="H35" s="16">
        <f>G35*$E$4</f>
        <v/>
      </c>
      <c r="I35" s="20">
        <f>IF(H35&gt;0, F35/H35, 0)</f>
        <v/>
      </c>
      <c r="J35" s="37" t="n">
        <v>50</v>
      </c>
      <c r="K35" s="37" t="n">
        <v>238</v>
      </c>
      <c r="L35" s="16">
        <f>K35*$E$4</f>
        <v/>
      </c>
      <c r="M35" s="20">
        <f>IF(L35&gt;0, J35/L35, 0)</f>
        <v/>
      </c>
      <c r="N35" s="37" t="n">
        <v>0</v>
      </c>
      <c r="O35" s="37" t="n">
        <v>168</v>
      </c>
      <c r="P35" s="16">
        <f>O35*$E$4</f>
        <v/>
      </c>
      <c r="Q35" s="20">
        <f>IF(P35&gt;0, N35/P35, 0)</f>
        <v/>
      </c>
      <c r="R35" s="37" t="n">
        <v>50</v>
      </c>
      <c r="S35" s="37" t="n">
        <v>196</v>
      </c>
      <c r="T35" s="16">
        <f>S35*$E$4</f>
        <v/>
      </c>
      <c r="U35" s="20">
        <f>IF(T35&gt;0, R35/T35, 0)</f>
        <v/>
      </c>
      <c r="V35" s="37" t="n">
        <v>0</v>
      </c>
      <c r="W35" s="37" t="n">
        <v>196</v>
      </c>
      <c r="X35" s="16">
        <f>W35*$E$4</f>
        <v/>
      </c>
      <c r="Y35" s="20">
        <f>IF(X35&gt;0, V35/X35, 0)</f>
        <v/>
      </c>
      <c r="Z35" s="37" t="n">
        <v>0</v>
      </c>
      <c r="AA35" s="37" t="n">
        <v>0</v>
      </c>
      <c r="AB35" s="16">
        <f>AA35*$E$4</f>
        <v/>
      </c>
      <c r="AC35" s="20">
        <f>IF(AB35&gt;0, Z35/AB35, 0)</f>
        <v/>
      </c>
      <c r="AD35" s="37">
        <f>F35+J35+N35+R35+V35+Z35</f>
        <v/>
      </c>
      <c r="AE35" s="37">
        <f>G35+K35+O35+S35+W35+AA35</f>
        <v/>
      </c>
      <c r="AF35" s="16">
        <f>H35+L35+P35+T35+X35+AB35</f>
        <v/>
      </c>
      <c r="AG35" s="20">
        <f>IF(AF35&gt;0, AD35/AF35, 0)</f>
        <v/>
      </c>
    </row>
    <row r="36" ht="18.75" customHeight="1" s="46">
      <c r="A36" s="12" t="n">
        <v>10</v>
      </c>
      <c r="B36" s="12" t="inlineStr">
        <is>
          <t>CPR-01</t>
        </is>
      </c>
      <c r="C36" s="13" t="inlineStr">
        <is>
          <t>COMPRESOR DE AIRE INGERSOLL RAND IR185</t>
        </is>
      </c>
      <c r="D36" s="13" t="inlineStr">
        <is>
          <t>CUADRILLA DE LIMPIEZA</t>
        </is>
      </c>
      <c r="E36" s="13" t="inlineStr">
        <is>
          <t>Sopleteado de Juntas</t>
        </is>
      </c>
      <c r="F36" s="37" t="n">
        <v>0</v>
      </c>
      <c r="G36" s="37" t="n">
        <v>0</v>
      </c>
      <c r="H36" s="16">
        <f>G36*$E$4</f>
        <v/>
      </c>
      <c r="I36" s="20" t="n">
        <v>0</v>
      </c>
      <c r="J36" s="37" t="n">
        <v>0</v>
      </c>
      <c r="K36" s="37" t="n">
        <v>0</v>
      </c>
      <c r="L36" s="16">
        <f>K36*$E$4</f>
        <v/>
      </c>
      <c r="M36" s="20" t="n">
        <v>0</v>
      </c>
      <c r="N36" s="37" t="n">
        <v>0</v>
      </c>
      <c r="O36" s="37" t="n">
        <v>0</v>
      </c>
      <c r="P36" s="16">
        <f>O36*$E$4</f>
        <v/>
      </c>
      <c r="Q36" s="20" t="n">
        <v>0</v>
      </c>
      <c r="R36" s="37" t="n">
        <v>0</v>
      </c>
      <c r="S36" s="37" t="n">
        <v>0</v>
      </c>
      <c r="T36" s="16">
        <f>S36*$E$4</f>
        <v/>
      </c>
      <c r="U36" s="20" t="n">
        <v>0</v>
      </c>
      <c r="V36" s="37" t="n">
        <v>0</v>
      </c>
      <c r="W36" s="37" t="n">
        <v>0</v>
      </c>
      <c r="X36" s="16">
        <f>W36*$E$4</f>
        <v/>
      </c>
      <c r="Y36" s="20" t="n">
        <v>0</v>
      </c>
      <c r="Z36" s="37" t="n">
        <v>0</v>
      </c>
      <c r="AA36" s="37" t="n">
        <v>0</v>
      </c>
      <c r="AB36" s="16">
        <f>AA36*$E$4</f>
        <v/>
      </c>
      <c r="AC36" s="20" t="n">
        <v>0</v>
      </c>
      <c r="AD36" s="37">
        <f>F36+J36+N36+R36+V36+Z36</f>
        <v/>
      </c>
      <c r="AE36" s="37">
        <f>G36+K36+O36+S36+W36+AA36</f>
        <v/>
      </c>
      <c r="AF36" s="16">
        <f>H36+L36+P36+T36+X36+AB36</f>
        <v/>
      </c>
      <c r="AG36" s="20" t="n">
        <v>0</v>
      </c>
    </row>
    <row r="37" ht="18.75" customHeight="1" s="46">
      <c r="A37" s="12" t="n">
        <v>11</v>
      </c>
      <c r="B37" s="12" t="inlineStr">
        <is>
          <t>PP-01</t>
        </is>
      </c>
      <c r="C37" s="13" t="inlineStr">
        <is>
          <t>CAMIÓN IMPACTO / PIPA DE AGUA FORD</t>
        </is>
      </c>
      <c r="D37" s="13" t="inlineStr">
        <is>
          <t>CUADRILLA DE AGUA</t>
        </is>
      </c>
      <c r="E37" s="13" t="inlineStr">
        <is>
          <t>Enfriamiento Rodillos / Riego</t>
        </is>
      </c>
      <c r="F37" s="37" t="n">
        <v>0</v>
      </c>
      <c r="G37" s="37" t="n">
        <v>0</v>
      </c>
      <c r="H37" s="16">
        <f>G37*$E$4</f>
        <v/>
      </c>
      <c r="I37" s="20" t="n">
        <v>0</v>
      </c>
      <c r="J37" s="37" t="n">
        <v>0</v>
      </c>
      <c r="K37" s="37" t="n">
        <v>0</v>
      </c>
      <c r="L37" s="16">
        <f>K37*$E$4</f>
        <v/>
      </c>
      <c r="M37" s="20" t="n">
        <v>0</v>
      </c>
      <c r="N37" s="37" t="n">
        <v>0</v>
      </c>
      <c r="O37" s="37" t="n">
        <v>0</v>
      </c>
      <c r="P37" s="16">
        <f>O37*$E$4</f>
        <v/>
      </c>
      <c r="Q37" s="20" t="n">
        <v>0</v>
      </c>
      <c r="R37" s="37" t="n">
        <v>0</v>
      </c>
      <c r="S37" s="37" t="n">
        <v>0</v>
      </c>
      <c r="T37" s="16">
        <f>S37*$E$4</f>
        <v/>
      </c>
      <c r="U37" s="20" t="n">
        <v>0</v>
      </c>
      <c r="V37" s="37" t="n">
        <v>0</v>
      </c>
      <c r="W37" s="37" t="n">
        <v>0</v>
      </c>
      <c r="X37" s="16">
        <f>W37*$E$4</f>
        <v/>
      </c>
      <c r="Y37" s="20" t="n">
        <v>0</v>
      </c>
      <c r="Z37" s="37" t="n">
        <v>0</v>
      </c>
      <c r="AA37" s="37" t="n">
        <v>0</v>
      </c>
      <c r="AB37" s="16">
        <f>AA37*$E$4</f>
        <v/>
      </c>
      <c r="AC37" s="20" t="n">
        <v>0</v>
      </c>
      <c r="AD37" s="37">
        <f>F37+J37+N37+R37+V37+Z37</f>
        <v/>
      </c>
      <c r="AE37" s="37">
        <f>G37+K37+O37+S37+W37+AA37</f>
        <v/>
      </c>
      <c r="AF37" s="16">
        <f>H37+L37+P37+T37+X37+AB37</f>
        <v/>
      </c>
      <c r="AG37" s="20" t="n">
        <v>0</v>
      </c>
    </row>
    <row r="38" ht="18.75" customHeight="1" s="46">
      <c r="A38" s="12" t="n">
        <v>12</v>
      </c>
      <c r="B38" s="12" t="inlineStr">
        <is>
          <t>TL-01</t>
        </is>
      </c>
      <c r="C38" s="13" t="inlineStr">
        <is>
          <t>TORRE DE LUZ MAXILIGHT 4X1000W</t>
        </is>
      </c>
      <c r="D38" s="13" t="inlineStr">
        <is>
          <t>CUADRILLA NOCTURNA</t>
        </is>
      </c>
      <c r="E38" s="13" t="inlineStr">
        <is>
          <t>Iluminación Nocturna</t>
        </is>
      </c>
      <c r="F38" s="37" t="n">
        <v>0</v>
      </c>
      <c r="G38" s="37" t="n">
        <v>0</v>
      </c>
      <c r="H38" s="16">
        <f>G38*$E$4</f>
        <v/>
      </c>
      <c r="I38" s="20" t="n">
        <v>0</v>
      </c>
      <c r="J38" s="37" t="n">
        <v>0</v>
      </c>
      <c r="K38" s="37" t="n">
        <v>0</v>
      </c>
      <c r="L38" s="16">
        <f>K38*$E$4</f>
        <v/>
      </c>
      <c r="M38" s="20" t="n">
        <v>0</v>
      </c>
      <c r="N38" s="37" t="n">
        <v>0</v>
      </c>
      <c r="O38" s="37" t="n">
        <v>0</v>
      </c>
      <c r="P38" s="16">
        <f>O38*$E$4</f>
        <v/>
      </c>
      <c r="Q38" s="20" t="n">
        <v>0</v>
      </c>
      <c r="R38" s="37" t="n">
        <v>0</v>
      </c>
      <c r="S38" s="37" t="n">
        <v>0</v>
      </c>
      <c r="T38" s="16">
        <f>S38*$E$4</f>
        <v/>
      </c>
      <c r="U38" s="20" t="n">
        <v>0</v>
      </c>
      <c r="V38" s="37" t="n">
        <v>0</v>
      </c>
      <c r="W38" s="37" t="n">
        <v>0</v>
      </c>
      <c r="X38" s="16">
        <f>W38*$E$4</f>
        <v/>
      </c>
      <c r="Y38" s="20" t="n">
        <v>0</v>
      </c>
      <c r="Z38" s="37" t="n">
        <v>0</v>
      </c>
      <c r="AA38" s="37" t="n">
        <v>0</v>
      </c>
      <c r="AB38" s="16">
        <f>AA38*$E$4</f>
        <v/>
      </c>
      <c r="AC38" s="20" t="n">
        <v>0</v>
      </c>
      <c r="AD38" s="37">
        <f>F38+J38+N38+R38+V38+Z38</f>
        <v/>
      </c>
      <c r="AE38" s="37">
        <f>G38+K38+O38+S38+W38+AA38</f>
        <v/>
      </c>
      <c r="AF38" s="16">
        <f>H38+L38+P38+T38+X38+AB38</f>
        <v/>
      </c>
      <c r="AG38" s="20" t="n">
        <v>0</v>
      </c>
    </row>
    <row r="39" ht="21.75" customHeight="1" s="46">
      <c r="A39" s="30" t="inlineStr">
        <is>
          <t>TOTAL DIARIO CONSOLIDADO (OBRA MÉXICO-TOLUCA)</t>
        </is>
      </c>
      <c r="B39" s="50" t="n"/>
      <c r="C39" s="50" t="n"/>
      <c r="D39" s="50" t="n"/>
      <c r="E39" s="51" t="n"/>
      <c r="F39" s="27">
        <f>SUM(F27:F38)</f>
        <v/>
      </c>
      <c r="G39" s="27">
        <f>MAX(G27:G38)</f>
        <v/>
      </c>
      <c r="H39" s="28">
        <f>G39*$E$4</f>
        <v/>
      </c>
      <c r="I39" s="29">
        <f>IF(H39&gt;0, F39/H39, 0)</f>
        <v/>
      </c>
      <c r="J39" s="27">
        <f>SUM(J27:J38)</f>
        <v/>
      </c>
      <c r="K39" s="27">
        <f>MAX(K27:K38)</f>
        <v/>
      </c>
      <c r="L39" s="28">
        <f>K39*$E$4</f>
        <v/>
      </c>
      <c r="M39" s="29">
        <f>IF(L39&gt;0, J39/L39, 0)</f>
        <v/>
      </c>
      <c r="N39" s="27">
        <f>SUM(N27:N38)</f>
        <v/>
      </c>
      <c r="O39" s="27">
        <f>MAX(O27:O38)</f>
        <v/>
      </c>
      <c r="P39" s="28">
        <f>O39*$E$4</f>
        <v/>
      </c>
      <c r="Q39" s="29">
        <f>IF(P39&gt;0, N39/P39, 0)</f>
        <v/>
      </c>
      <c r="R39" s="27">
        <f>SUM(R27:R38)</f>
        <v/>
      </c>
      <c r="S39" s="27">
        <f>MAX(S27:S38)</f>
        <v/>
      </c>
      <c r="T39" s="28">
        <f>S39*$E$4</f>
        <v/>
      </c>
      <c r="U39" s="29">
        <f>IF(T39&gt;0, R39/T39, 0)</f>
        <v/>
      </c>
      <c r="V39" s="27">
        <f>SUM(V27:V38)</f>
        <v/>
      </c>
      <c r="W39" s="27">
        <f>MAX(W27:W38)</f>
        <v/>
      </c>
      <c r="X39" s="28">
        <f>W39*$E$4</f>
        <v/>
      </c>
      <c r="Y39" s="29">
        <f>IF(X39&gt;0, V39/X39, 0)</f>
        <v/>
      </c>
      <c r="Z39" s="27">
        <f>SUM(Z27:Z38)</f>
        <v/>
      </c>
      <c r="AA39" s="27">
        <f>MAX(AA27:AA38)</f>
        <v/>
      </c>
      <c r="AB39" s="28">
        <f>AA39*$E$4</f>
        <v/>
      </c>
      <c r="AC39" s="29">
        <f>IF(AB39&gt;0, Z39/AB39, 0)</f>
        <v/>
      </c>
      <c r="AD39" s="27">
        <f>SUM(AD27:AD38)</f>
        <v/>
      </c>
      <c r="AE39" s="27">
        <f>SUM(AE27:AE38)</f>
        <v/>
      </c>
      <c r="AF39" s="28">
        <f>SUM(AF27:AF38)</f>
        <v/>
      </c>
      <c r="AG39" s="29">
        <f>IF(AF39&gt;0, AD39/AF39, 0)</f>
        <v/>
      </c>
    </row>
    <row r="40" ht="15.75" customHeight="1" s="46"/>
    <row r="41" ht="15.75" customHeight="1" s="46">
      <c r="A41" s="40" t="inlineStr">
        <is>
          <t>NOTA TÉCNICA Y CRITERIOS DE CONTROL DE RENDIMIENTO — OBRA MÉXICO-TOLUCA:
1. Peso Volumétrico Oficial del Asfalto: 1.742 Ton/m³ (Toneladas = m³ Carpeta × 1.742).
2. Rendimiento Base (L/h): Consumo nominal de fabricante ajustado con 1.2% anual de desgaste por antigüedad al 2026.
3. Rendimiento Real: Diésel Surtido / Toneladas Tendidas (L/Ton) o Diésel Surtido / Volumen Fresado (L/m³).
4. Estatus Operativo: DENTRO DE RENDIMIENTO BASE (Verde) / EXCEDE RENDIMIENTO BASE (Rojo) / SIN CONSUMO (Gris).</t>
        </is>
      </c>
    </row>
    <row r="42" ht="15.75" customHeight="1" s="46"/>
    <row r="43" ht="15.75" customHeight="1" s="46"/>
    <row r="44" ht="15.75" customHeight="1" s="46"/>
    <row r="45" ht="15.75" customHeight="1" s="46"/>
    <row r="46" ht="15.75" customHeight="1" s="46"/>
    <row r="47" ht="15.75" customHeight="1" s="46"/>
    <row r="48" ht="15.75" customHeight="1" s="46"/>
    <row r="49" ht="15.75" customHeight="1" s="46"/>
    <row r="50" ht="15.75" customHeight="1" s="46"/>
    <row r="51" ht="15.75" customHeight="1" s="46"/>
    <row r="52" ht="15.75" customHeight="1" s="46"/>
    <row r="53" ht="15.75" customHeight="1" s="46"/>
    <row r="54" ht="15.75" customHeight="1" s="46"/>
    <row r="55" ht="15.75" customHeight="1" s="46"/>
    <row r="56" ht="15.75" customHeight="1" s="46"/>
    <row r="57" ht="15.75" customHeight="1" s="46"/>
    <row r="58" ht="15.75" customHeight="1" s="46"/>
    <row r="59" ht="15.75" customHeight="1" s="46"/>
    <row r="60" ht="15.75" customHeight="1" s="46"/>
    <row r="61" ht="15.75" customHeight="1" s="46"/>
    <row r="62" ht="15.75" customHeight="1" s="46"/>
    <row r="63" ht="15.75" customHeight="1" s="46"/>
    <row r="64" ht="15.75" customHeight="1" s="46"/>
    <row r="65" ht="15.75" customHeight="1" s="46"/>
    <row r="66" ht="15.75" customHeight="1" s="46"/>
    <row r="67" ht="15.75" customHeight="1" s="46"/>
    <row r="68" ht="15.75" customHeight="1" s="46"/>
    <row r="69" ht="15.75" customHeight="1" s="46"/>
    <row r="70" ht="15.75" customHeight="1" s="46"/>
    <row r="71" ht="15.75" customHeight="1" s="46"/>
    <row r="72" ht="15.75" customHeight="1" s="46"/>
    <row r="73" ht="15.75" customHeight="1" s="46"/>
    <row r="74" ht="15.75" customHeight="1" s="46"/>
    <row r="75" ht="15.75" customHeight="1" s="46"/>
    <row r="76" ht="15.75" customHeight="1" s="46"/>
    <row r="77" ht="15.75" customHeight="1" s="46"/>
    <row r="78" ht="15.75" customHeight="1" s="46"/>
    <row r="79" ht="15.75" customHeight="1" s="46"/>
    <row r="80" ht="15.75" customHeight="1" s="46"/>
    <row r="81" ht="15.75" customHeight="1" s="46"/>
    <row r="82" ht="15.75" customHeight="1" s="46"/>
    <row r="83" ht="15.75" customHeight="1" s="46"/>
    <row r="84" ht="15.75" customHeight="1" s="46"/>
    <row r="85" ht="15.75" customHeight="1" s="46"/>
    <row r="86" ht="15.75" customHeight="1" s="46"/>
    <row r="87" ht="15.75" customHeight="1" s="46"/>
    <row r="88" ht="15.75" customHeight="1" s="46"/>
    <row r="89" ht="15.75" customHeight="1" s="46"/>
    <row r="90" ht="15.75" customHeight="1" s="46"/>
    <row r="91" ht="15.75" customHeight="1" s="46"/>
    <row r="92" ht="15.75" customHeight="1" s="46"/>
    <row r="93" ht="15.75" customHeight="1" s="46"/>
    <row r="94" ht="15.75" customHeight="1" s="46"/>
    <row r="95" ht="15.75" customHeight="1" s="46"/>
    <row r="96" ht="15.75" customHeight="1" s="46"/>
    <row r="97" ht="15.75" customHeight="1" s="46"/>
    <row r="98" ht="15.75" customHeight="1" s="46"/>
    <row r="99" ht="15.75" customHeight="1" s="46"/>
    <row r="100" ht="15.75" customHeight="1" s="46"/>
    <row r="101" ht="15.75" customHeight="1" s="46"/>
    <row r="102" ht="15.75" customHeight="1" s="46"/>
    <row r="103" ht="15.75" customHeight="1" s="46"/>
    <row r="104" ht="15.75" customHeight="1" s="46"/>
    <row r="105" ht="15.75" customHeight="1" s="46"/>
    <row r="106" ht="15.75" customHeight="1" s="46"/>
    <row r="107" ht="15.75" customHeight="1" s="46"/>
    <row r="108" ht="15.75" customHeight="1" s="46"/>
    <row r="109" ht="15.75" customHeight="1" s="46"/>
    <row r="110" ht="15.75" customHeight="1" s="46"/>
    <row r="111" ht="15.75" customHeight="1" s="46"/>
    <row r="112" ht="15.75" customHeight="1" s="46"/>
    <row r="113" ht="15.75" customHeight="1" s="46"/>
    <row r="114" ht="15.75" customHeight="1" s="46"/>
    <row r="115" ht="15.75" customHeight="1" s="46"/>
    <row r="116" ht="15.75" customHeight="1" s="46"/>
    <row r="117" ht="15.75" customHeight="1" s="46"/>
    <row r="118" ht="15.75" customHeight="1" s="46"/>
    <row r="119" ht="15.75" customHeight="1" s="46"/>
    <row r="120" ht="15.75" customHeight="1" s="46"/>
    <row r="121" ht="15.75" customHeight="1" s="46"/>
    <row r="122" ht="15.75" customHeight="1" s="46"/>
    <row r="123" ht="15.75" customHeight="1" s="46"/>
    <row r="124" ht="15.75" customHeight="1" s="46"/>
    <row r="125" ht="15.75" customHeight="1" s="46"/>
    <row r="126" ht="15.75" customHeight="1" s="46"/>
    <row r="127" ht="15.75" customHeight="1" s="46"/>
    <row r="128" ht="15.75" customHeight="1" s="46"/>
    <row r="129" ht="15.75" customHeight="1" s="46"/>
    <row r="130" ht="15.75" customHeight="1" s="46"/>
    <row r="131" ht="15.75" customHeight="1" s="46"/>
    <row r="132" ht="15.75" customHeight="1" s="46"/>
    <row r="133" ht="15.75" customHeight="1" s="46"/>
    <row r="134" ht="15.75" customHeight="1" s="46"/>
    <row r="135" ht="15.75" customHeight="1" s="46"/>
    <row r="136" ht="15.75" customHeight="1" s="46"/>
    <row r="137" ht="15.75" customHeight="1" s="46"/>
    <row r="138" ht="15.75" customHeight="1" s="46"/>
    <row r="139" ht="15.75" customHeight="1" s="46"/>
    <row r="140" ht="15.75" customHeight="1" s="46"/>
    <row r="141" ht="15.75" customHeight="1" s="46"/>
    <row r="142" ht="15.75" customHeight="1" s="46"/>
    <row r="143" ht="15.75" customHeight="1" s="46"/>
    <row r="144" ht="15.75" customHeight="1" s="46"/>
    <row r="145" ht="15.75" customHeight="1" s="46"/>
    <row r="146" ht="15.75" customHeight="1" s="46"/>
    <row r="147" ht="15.75" customHeight="1" s="46"/>
    <row r="148" ht="15.75" customHeight="1" s="46"/>
    <row r="149" ht="15.75" customHeight="1" s="46"/>
    <row r="150" ht="15.75" customHeight="1" s="46"/>
    <row r="151" ht="15.75" customHeight="1" s="46"/>
    <row r="152" ht="15.75" customHeight="1" s="46"/>
    <row r="153" ht="15.75" customHeight="1" s="46"/>
    <row r="154" ht="15.75" customHeight="1" s="46"/>
    <row r="155" ht="15.75" customHeight="1" s="46"/>
    <row r="156" ht="15.75" customHeight="1" s="46"/>
    <row r="157" ht="15.75" customHeight="1" s="46"/>
    <row r="158" ht="15.75" customHeight="1" s="46"/>
    <row r="159" ht="15.75" customHeight="1" s="46"/>
    <row r="160" ht="15.75" customHeight="1" s="46"/>
    <row r="161" ht="15.75" customHeight="1" s="46"/>
    <row r="162" ht="15.75" customHeight="1" s="46"/>
    <row r="163" ht="15.75" customHeight="1" s="46"/>
    <row r="164" ht="15.75" customHeight="1" s="46"/>
    <row r="165" ht="15.75" customHeight="1" s="46"/>
    <row r="166" ht="15.75" customHeight="1" s="46"/>
    <row r="167" ht="15.75" customHeight="1" s="46"/>
    <row r="168" ht="15.75" customHeight="1" s="46"/>
    <row r="169" ht="15.75" customHeight="1" s="46"/>
    <row r="170" ht="15.75" customHeight="1" s="46"/>
    <row r="171" ht="15.75" customHeight="1" s="46"/>
    <row r="172" ht="15.75" customHeight="1" s="46"/>
    <row r="173" ht="15.75" customHeight="1" s="46"/>
    <row r="174" ht="15.75" customHeight="1" s="46"/>
    <row r="175" ht="15.75" customHeight="1" s="46"/>
    <row r="176" ht="15.75" customHeight="1" s="46"/>
    <row r="177" ht="15.75" customHeight="1" s="46"/>
    <row r="178" ht="15.75" customHeight="1" s="46"/>
    <row r="179" ht="15.75" customHeight="1" s="46"/>
    <row r="180" ht="15.75" customHeight="1" s="46"/>
    <row r="181" ht="15.75" customHeight="1" s="46"/>
    <row r="182" ht="15.75" customHeight="1" s="46"/>
    <row r="183" ht="15.75" customHeight="1" s="46"/>
    <row r="184" ht="15.75" customHeight="1" s="46"/>
    <row r="185" ht="15.75" customHeight="1" s="46"/>
    <row r="186" ht="15.75" customHeight="1" s="46"/>
    <row r="187" ht="15.75" customHeight="1" s="46"/>
    <row r="188" ht="15.75" customHeight="1" s="46"/>
    <row r="189" ht="15.75" customHeight="1" s="46"/>
    <row r="190" ht="15.75" customHeight="1" s="46"/>
    <row r="191" ht="15.75" customHeight="1" s="46"/>
    <row r="192" ht="15.75" customHeight="1" s="46"/>
    <row r="193" ht="15.75" customHeight="1" s="46"/>
    <row r="194" ht="15.75" customHeight="1" s="46"/>
    <row r="195" ht="15.75" customHeight="1" s="46"/>
    <row r="196" ht="15.75" customHeight="1" s="46"/>
    <row r="197" ht="15.75" customHeight="1" s="46"/>
    <row r="198" ht="15.75" customHeight="1" s="46"/>
    <row r="199" ht="15.75" customHeight="1" s="46"/>
    <row r="200" ht="15.75" customHeight="1" s="46"/>
    <row r="201" ht="15.75" customHeight="1" s="46"/>
    <row r="202" ht="15.75" customHeight="1" s="46"/>
    <row r="203" ht="15.75" customHeight="1" s="46"/>
    <row r="204" ht="15.75" customHeight="1" s="46"/>
    <row r="205" ht="15.75" customHeight="1" s="46"/>
    <row r="206" ht="15.75" customHeight="1" s="46"/>
    <row r="207" ht="15.75" customHeight="1" s="46"/>
    <row r="208" ht="15.75" customHeight="1" s="46"/>
    <row r="209" ht="15.75" customHeight="1" s="46"/>
    <row r="210" ht="15.75" customHeight="1" s="46"/>
    <row r="211" ht="15.75" customHeight="1" s="46"/>
    <row r="212" ht="15.75" customHeight="1" s="46"/>
    <row r="213" ht="15.75" customHeight="1" s="46"/>
    <row r="214" ht="15.75" customHeight="1" s="46"/>
    <row r="215" ht="15.75" customHeight="1" s="46"/>
    <row r="216" ht="15.75" customHeight="1" s="46"/>
    <row r="217" ht="15.75" customHeight="1" s="46"/>
    <row r="218" ht="15.75" customHeight="1" s="46"/>
    <row r="219" ht="15.75" customHeight="1" s="46"/>
    <row r="220" ht="15.75" customHeight="1" s="46"/>
    <row r="221" ht="15.75" customHeight="1" s="46"/>
    <row r="222" ht="15.75" customHeight="1" s="46"/>
    <row r="223" ht="15.75" customHeight="1" s="46"/>
    <row r="224" ht="15.75" customHeight="1" s="46"/>
    <row r="225" ht="15.75" customHeight="1" s="46"/>
    <row r="226" ht="15.75" customHeight="1" s="46"/>
    <row r="227" ht="15.75" customHeight="1" s="46"/>
    <row r="228" ht="15.75" customHeight="1" s="46"/>
    <row r="229" ht="15.75" customHeight="1" s="46"/>
    <row r="230" ht="15.75" customHeight="1" s="46"/>
    <row r="231" ht="15.75" customHeight="1" s="46"/>
    <row r="232" ht="15.75" customHeight="1" s="46"/>
    <row r="233" ht="15.75" customHeight="1" s="46"/>
    <row r="234" ht="15.75" customHeight="1" s="46"/>
    <row r="235" ht="15.75" customHeight="1" s="46"/>
    <row r="236" ht="15.75" customHeight="1" s="46"/>
    <row r="237" ht="15.75" customHeight="1" s="46"/>
    <row r="238" ht="15.75" customHeight="1" s="46"/>
    <row r="239" ht="15.75" customHeight="1" s="46"/>
    <row r="240" ht="15.75" customHeight="1" s="46"/>
    <row r="241" ht="15.75" customHeight="1" s="46"/>
    <row r="242" ht="15.75" customHeight="1" s="46"/>
    <row r="243" ht="15.75" customHeight="1" s="46"/>
    <row r="244" ht="15.75" customHeight="1" s="46"/>
    <row r="245" ht="15.75" customHeight="1" s="46"/>
    <row r="246" ht="15.75" customHeight="1" s="46"/>
    <row r="247" ht="15.75" customHeight="1" s="46"/>
    <row r="248" ht="15.75" customHeight="1" s="46"/>
    <row r="249" ht="15.75" customHeight="1" s="46"/>
    <row r="250" ht="15.75" customHeight="1" s="46"/>
    <row r="251" ht="15.75" customHeight="1" s="46"/>
    <row r="252" ht="15.75" customHeight="1" s="46"/>
    <row r="253" ht="15.75" customHeight="1" s="46"/>
    <row r="254" ht="15.75" customHeight="1" s="46"/>
    <row r="255" ht="15.75" customHeight="1" s="46"/>
    <row r="256" ht="15.75" customHeight="1" s="46"/>
    <row r="257" ht="15.75" customHeight="1" s="46"/>
    <row r="258" ht="15.75" customHeight="1" s="46"/>
    <row r="259" ht="15.75" customHeight="1" s="46"/>
    <row r="260" ht="15.75" customHeight="1" s="46"/>
    <row r="261" ht="15.75" customHeight="1" s="46"/>
    <row r="262" ht="15.75" customHeight="1" s="46"/>
    <row r="263" ht="15.75" customHeight="1" s="46"/>
    <row r="264" ht="15.75" customHeight="1" s="46"/>
    <row r="265" ht="15.75" customHeight="1" s="46"/>
    <row r="266" ht="15.75" customHeight="1" s="46"/>
    <row r="267" ht="15.75" customHeight="1" s="46"/>
    <row r="268" ht="15.75" customHeight="1" s="46"/>
    <row r="269" ht="15.75" customHeight="1" s="46"/>
    <row r="270" ht="15.75" customHeight="1" s="46"/>
    <row r="271" ht="15.75" customHeight="1" s="46"/>
    <row r="272" ht="15.75" customHeight="1" s="46"/>
    <row r="273" ht="15.75" customHeight="1" s="46"/>
    <row r="274" ht="15.75" customHeight="1" s="46"/>
    <row r="275" ht="15.75" customHeight="1" s="46"/>
    <row r="276" ht="15.75" customHeight="1" s="46"/>
    <row r="277" ht="15.75" customHeight="1" s="46"/>
    <row r="278" ht="15.75" customHeight="1" s="46"/>
    <row r="279" ht="15.75" customHeight="1" s="46"/>
    <row r="280" ht="15.75" customHeight="1" s="46"/>
    <row r="281" ht="15.75" customHeight="1" s="46"/>
    <row r="282" ht="15.75" customHeight="1" s="46"/>
    <row r="283" ht="15.75" customHeight="1" s="46"/>
    <row r="284" ht="15.75" customHeight="1" s="46"/>
    <row r="285" ht="15.75" customHeight="1" s="46"/>
    <row r="286" ht="15.75" customHeight="1" s="46"/>
    <row r="287" ht="15.75" customHeight="1" s="46"/>
    <row r="288" ht="15.75" customHeight="1" s="46"/>
    <row r="289" ht="15.75" customHeight="1" s="46"/>
    <row r="290" ht="15.75" customHeight="1" s="46"/>
    <row r="291" ht="15.75" customHeight="1" s="46"/>
    <row r="292" ht="15.75" customHeight="1" s="46"/>
    <row r="293" ht="15.75" customHeight="1" s="46"/>
    <row r="294" ht="15.75" customHeight="1" s="46"/>
    <row r="295" ht="15.75" customHeight="1" s="46"/>
    <row r="296" ht="15.75" customHeight="1" s="46"/>
    <row r="297" ht="15.75" customHeight="1" s="46"/>
    <row r="298" ht="15.75" customHeight="1" s="46"/>
    <row r="299" ht="15.75" customHeight="1" s="46"/>
    <row r="300" ht="15.75" customHeight="1" s="46"/>
    <row r="301" ht="15.75" customHeight="1" s="46"/>
    <row r="302" ht="15.75" customHeight="1" s="46"/>
    <row r="303" ht="15.75" customHeight="1" s="46"/>
    <row r="304" ht="15.75" customHeight="1" s="46"/>
    <row r="305" ht="15.75" customHeight="1" s="46"/>
    <row r="306" ht="15.75" customHeight="1" s="46"/>
    <row r="307" ht="15.75" customHeight="1" s="46"/>
    <row r="308" ht="15.75" customHeight="1" s="46"/>
    <row r="309" ht="15.75" customHeight="1" s="46"/>
    <row r="310" ht="15.75" customHeight="1" s="46"/>
    <row r="311" ht="15.75" customHeight="1" s="46"/>
    <row r="312" ht="15.75" customHeight="1" s="46"/>
    <row r="313" ht="15.75" customHeight="1" s="46"/>
    <row r="314" ht="15.75" customHeight="1" s="46"/>
    <row r="315" ht="15.75" customHeight="1" s="46"/>
    <row r="316" ht="15.75" customHeight="1" s="46"/>
    <row r="317" ht="15.75" customHeight="1" s="46"/>
    <row r="318" ht="15.75" customHeight="1" s="46"/>
    <row r="319" ht="15.75" customHeight="1" s="46"/>
    <row r="320" ht="15.75" customHeight="1" s="46"/>
    <row r="321" ht="15.75" customHeight="1" s="46"/>
    <row r="322" ht="15.75" customHeight="1" s="46"/>
    <row r="323" ht="15.75" customHeight="1" s="46"/>
    <row r="324" ht="15.75" customHeight="1" s="46"/>
    <row r="325" ht="15.75" customHeight="1" s="46"/>
    <row r="326" ht="15.75" customHeight="1" s="46"/>
    <row r="327" ht="15.75" customHeight="1" s="46"/>
    <row r="328" ht="15.75" customHeight="1" s="46"/>
    <row r="329" ht="15.75" customHeight="1" s="46"/>
    <row r="330" ht="15.75" customHeight="1" s="46"/>
    <row r="331" ht="15.75" customHeight="1" s="46"/>
    <row r="332" ht="15.75" customHeight="1" s="46"/>
    <row r="333" ht="15.75" customHeight="1" s="46"/>
    <row r="334" ht="15.75" customHeight="1" s="46"/>
    <row r="335" ht="15.75" customHeight="1" s="46"/>
    <row r="336" ht="15.75" customHeight="1" s="46"/>
    <row r="337" ht="15.75" customHeight="1" s="46"/>
    <row r="338" ht="15.75" customHeight="1" s="46"/>
    <row r="339" ht="15.75" customHeight="1" s="46"/>
    <row r="340" ht="15.75" customHeight="1" s="46"/>
    <row r="341" ht="15.75" customHeight="1" s="46"/>
    <row r="342" ht="15.75" customHeight="1" s="46"/>
    <row r="343" ht="15.75" customHeight="1" s="46"/>
    <row r="344" ht="15.75" customHeight="1" s="46"/>
    <row r="345" ht="15.75" customHeight="1" s="46"/>
    <row r="346" ht="15.75" customHeight="1" s="46"/>
    <row r="347" ht="15.75" customHeight="1" s="46"/>
    <row r="348" ht="15.75" customHeight="1" s="46"/>
    <row r="349" ht="15.75" customHeight="1" s="46"/>
    <row r="350" ht="15.75" customHeight="1" s="46"/>
    <row r="351" ht="15.75" customHeight="1" s="46"/>
    <row r="352" ht="15.75" customHeight="1" s="46"/>
    <row r="353" ht="15.75" customHeight="1" s="46"/>
    <row r="354" ht="15.75" customHeight="1" s="46"/>
    <row r="355" ht="15.75" customHeight="1" s="46"/>
    <row r="356" ht="15.75" customHeight="1" s="46"/>
    <row r="357" ht="15.75" customHeight="1" s="46"/>
    <row r="358" ht="15.75" customHeight="1" s="46"/>
    <row r="359" ht="15.75" customHeight="1" s="46"/>
    <row r="360" ht="15.75" customHeight="1" s="46"/>
    <row r="361" ht="15.75" customHeight="1" s="46"/>
    <row r="362" ht="15.75" customHeight="1" s="46"/>
    <row r="363" ht="15.75" customHeight="1" s="46"/>
    <row r="364" ht="15.75" customHeight="1" s="46"/>
    <row r="365" ht="15.75" customHeight="1" s="46"/>
    <row r="366" ht="15.75" customHeight="1" s="46"/>
    <row r="367" ht="15.75" customHeight="1" s="46"/>
    <row r="368" ht="15.75" customHeight="1" s="46"/>
    <row r="369" ht="15.75" customHeight="1" s="46"/>
    <row r="370" ht="15.75" customHeight="1" s="46"/>
    <row r="371" ht="15.75" customHeight="1" s="46"/>
    <row r="372" ht="15.75" customHeight="1" s="46"/>
    <row r="373" ht="15.75" customHeight="1" s="46"/>
    <row r="374" ht="15.75" customHeight="1" s="46"/>
    <row r="375" ht="15.75" customHeight="1" s="46"/>
    <row r="376" ht="15.75" customHeight="1" s="46"/>
    <row r="377" ht="15.75" customHeight="1" s="46"/>
    <row r="378" ht="15.75" customHeight="1" s="46"/>
    <row r="379" ht="15.75" customHeight="1" s="46"/>
    <row r="380" ht="15.75" customHeight="1" s="46"/>
    <row r="381" ht="15.75" customHeight="1" s="46"/>
    <row r="382" ht="15.75" customHeight="1" s="46"/>
    <row r="383" ht="15.75" customHeight="1" s="46"/>
    <row r="384" ht="15.75" customHeight="1" s="46"/>
    <row r="385" ht="15.75" customHeight="1" s="46"/>
    <row r="386" ht="15.75" customHeight="1" s="46"/>
    <row r="387" ht="15.75" customHeight="1" s="46"/>
    <row r="388" ht="15.75" customHeight="1" s="46"/>
    <row r="389" ht="15.75" customHeight="1" s="46"/>
    <row r="390" ht="15.75" customHeight="1" s="46"/>
    <row r="391" ht="15.75" customHeight="1" s="46"/>
    <row r="392" ht="15.75" customHeight="1" s="46"/>
    <row r="393" ht="15.75" customHeight="1" s="46"/>
    <row r="394" ht="15.75" customHeight="1" s="46"/>
    <row r="395" ht="15.75" customHeight="1" s="46"/>
    <row r="396" ht="15.75" customHeight="1" s="46"/>
    <row r="397" ht="15.75" customHeight="1" s="46"/>
    <row r="398" ht="15.75" customHeight="1" s="46"/>
    <row r="399" ht="15.75" customHeight="1" s="46"/>
    <row r="400" ht="15.75" customHeight="1" s="46"/>
    <row r="401" ht="15.75" customHeight="1" s="46"/>
    <row r="402" ht="15.75" customHeight="1" s="46"/>
    <row r="403" ht="15.75" customHeight="1" s="46"/>
    <row r="404" ht="15.75" customHeight="1" s="46"/>
    <row r="405" ht="15.75" customHeight="1" s="46"/>
    <row r="406" ht="15.75" customHeight="1" s="46"/>
    <row r="407" ht="15.75" customHeight="1" s="46"/>
    <row r="408" ht="15.75" customHeight="1" s="46"/>
    <row r="409" ht="15.75" customHeight="1" s="46"/>
    <row r="410" ht="15.75" customHeight="1" s="46"/>
    <row r="411" ht="15.75" customHeight="1" s="46"/>
    <row r="412" ht="15.75" customHeight="1" s="46"/>
    <row r="413" ht="15.75" customHeight="1" s="46"/>
    <row r="414" ht="15.75" customHeight="1" s="46"/>
    <row r="415" ht="15.75" customHeight="1" s="46"/>
    <row r="416" ht="15.75" customHeight="1" s="46"/>
    <row r="417" ht="15.75" customHeight="1" s="46"/>
    <row r="418" ht="15.75" customHeight="1" s="46"/>
    <row r="419" ht="15.75" customHeight="1" s="46"/>
    <row r="420" ht="15.75" customHeight="1" s="46"/>
    <row r="421" ht="15.75" customHeight="1" s="46"/>
    <row r="422" ht="15.75" customHeight="1" s="46"/>
    <row r="423" ht="15.75" customHeight="1" s="46"/>
    <row r="424" ht="15.75" customHeight="1" s="46"/>
    <row r="425" ht="15.75" customHeight="1" s="46"/>
    <row r="426" ht="15.75" customHeight="1" s="46"/>
    <row r="427" ht="15.75" customHeight="1" s="46"/>
    <row r="428" ht="15.75" customHeight="1" s="46"/>
    <row r="429" ht="15.75" customHeight="1" s="46"/>
    <row r="430" ht="15.75" customHeight="1" s="46"/>
    <row r="431" ht="15.75" customHeight="1" s="46"/>
    <row r="432" ht="15.75" customHeight="1" s="46"/>
    <row r="433" ht="15.75" customHeight="1" s="46"/>
    <row r="434" ht="15.75" customHeight="1" s="46"/>
    <row r="435" ht="15.75" customHeight="1" s="46"/>
    <row r="436" ht="15.75" customHeight="1" s="46"/>
    <row r="437" ht="15.75" customHeight="1" s="46"/>
    <row r="438" ht="15.75" customHeight="1" s="46"/>
    <row r="439" ht="15.75" customHeight="1" s="46"/>
    <row r="440" ht="15.75" customHeight="1" s="46"/>
    <row r="441" ht="15.75" customHeight="1" s="46"/>
    <row r="442" ht="15.75" customHeight="1" s="46"/>
    <row r="443" ht="15.75" customHeight="1" s="46"/>
    <row r="444" ht="15.75" customHeight="1" s="46"/>
    <row r="445" ht="15.75" customHeight="1" s="46"/>
    <row r="446" ht="15.75" customHeight="1" s="46"/>
    <row r="447" ht="15.75" customHeight="1" s="46"/>
    <row r="448" ht="15.75" customHeight="1" s="46"/>
    <row r="449" ht="15.75" customHeight="1" s="46"/>
    <row r="450" ht="15.75" customHeight="1" s="46"/>
    <row r="451" ht="15.75" customHeight="1" s="46"/>
    <row r="452" ht="15.75" customHeight="1" s="46"/>
    <row r="453" ht="15.75" customHeight="1" s="46"/>
    <row r="454" ht="15.75" customHeight="1" s="46"/>
    <row r="455" ht="15.75" customHeight="1" s="46"/>
    <row r="456" ht="15.75" customHeight="1" s="46"/>
    <row r="457" ht="15.75" customHeight="1" s="46"/>
    <row r="458" ht="15.75" customHeight="1" s="46"/>
    <row r="459" ht="15.75" customHeight="1" s="46"/>
    <row r="460" ht="15.75" customHeight="1" s="46"/>
    <row r="461" ht="15.75" customHeight="1" s="46"/>
    <row r="462" ht="15.75" customHeight="1" s="46"/>
    <row r="463" ht="15.75" customHeight="1" s="46"/>
    <row r="464" ht="15.75" customHeight="1" s="46"/>
    <row r="465" ht="15.75" customHeight="1" s="46"/>
    <row r="466" ht="15.75" customHeight="1" s="46"/>
    <row r="467" ht="15.75" customHeight="1" s="46"/>
    <row r="468" ht="15.75" customHeight="1" s="46"/>
    <row r="469" ht="15.75" customHeight="1" s="46"/>
    <row r="470" ht="15.75" customHeight="1" s="46"/>
    <row r="471" ht="15.75" customHeight="1" s="46"/>
    <row r="472" ht="15.75" customHeight="1" s="46"/>
    <row r="473" ht="15.75" customHeight="1" s="46"/>
    <row r="474" ht="15.75" customHeight="1" s="46"/>
    <row r="475" ht="15.75" customHeight="1" s="46"/>
    <row r="476" ht="15.75" customHeight="1" s="46"/>
    <row r="477" ht="15.75" customHeight="1" s="46"/>
    <row r="478" ht="15.75" customHeight="1" s="46"/>
    <row r="479" ht="15.75" customHeight="1" s="46"/>
    <row r="480" ht="15.75" customHeight="1" s="46"/>
    <row r="481" ht="15.75" customHeight="1" s="46"/>
    <row r="482" ht="15.75" customHeight="1" s="46"/>
    <row r="483" ht="15.75" customHeight="1" s="46"/>
    <row r="484" ht="15.75" customHeight="1" s="46"/>
    <row r="485" ht="15.75" customHeight="1" s="46"/>
    <row r="486" ht="15.75" customHeight="1" s="46"/>
    <row r="487" ht="15.75" customHeight="1" s="46"/>
    <row r="488" ht="15.75" customHeight="1" s="46"/>
    <row r="489" ht="15.75" customHeight="1" s="46"/>
    <row r="490" ht="15.75" customHeight="1" s="46"/>
    <row r="491" ht="15.75" customHeight="1" s="46"/>
    <row r="492" ht="15.75" customHeight="1" s="46"/>
    <row r="493" ht="15.75" customHeight="1" s="46"/>
    <row r="494" ht="15.75" customHeight="1" s="46"/>
    <row r="495" ht="15.75" customHeight="1" s="46"/>
    <row r="496" ht="15.75" customHeight="1" s="46"/>
    <row r="497" ht="15.75" customHeight="1" s="46"/>
    <row r="498" ht="15.75" customHeight="1" s="46"/>
    <row r="499" ht="15.75" customHeight="1" s="46"/>
    <row r="500" ht="15.75" customHeight="1" s="46"/>
    <row r="501" ht="15.75" customHeight="1" s="46"/>
    <row r="502" ht="15.75" customHeight="1" s="46"/>
    <row r="503" ht="15.75" customHeight="1" s="46"/>
    <row r="504" ht="15.75" customHeight="1" s="46"/>
    <row r="505" ht="15.75" customHeight="1" s="46"/>
    <row r="506" ht="15.75" customHeight="1" s="46"/>
    <row r="507" ht="15.75" customHeight="1" s="46"/>
    <row r="508" ht="15.75" customHeight="1" s="46"/>
    <row r="509" ht="15.75" customHeight="1" s="46"/>
    <row r="510" ht="15.75" customHeight="1" s="46"/>
    <row r="511" ht="15.75" customHeight="1" s="46"/>
    <row r="512" ht="15.75" customHeight="1" s="46"/>
    <row r="513" ht="15.75" customHeight="1" s="46"/>
    <row r="514" ht="15.75" customHeight="1" s="46"/>
    <row r="515" ht="15.75" customHeight="1" s="46"/>
    <row r="516" ht="15.75" customHeight="1" s="46"/>
    <row r="517" ht="15.75" customHeight="1" s="46"/>
    <row r="518" ht="15.75" customHeight="1" s="46"/>
    <row r="519" ht="15.75" customHeight="1" s="46"/>
    <row r="520" ht="15.75" customHeight="1" s="46"/>
    <row r="521" ht="15.75" customHeight="1" s="46"/>
    <row r="522" ht="15.75" customHeight="1" s="46"/>
    <row r="523" ht="15.75" customHeight="1" s="46"/>
    <row r="524" ht="15.75" customHeight="1" s="46"/>
    <row r="525" ht="15.75" customHeight="1" s="46"/>
    <row r="526" ht="15.75" customHeight="1" s="46"/>
    <row r="527" ht="15.75" customHeight="1" s="46"/>
    <row r="528" ht="15.75" customHeight="1" s="46"/>
    <row r="529" ht="15.75" customHeight="1" s="46"/>
    <row r="530" ht="15.75" customHeight="1" s="46"/>
    <row r="531" ht="15.75" customHeight="1" s="46"/>
    <row r="532" ht="15.75" customHeight="1" s="46"/>
    <row r="533" ht="15.75" customHeight="1" s="46"/>
    <row r="534" ht="15.75" customHeight="1" s="46"/>
    <row r="535" ht="15.75" customHeight="1" s="46"/>
    <row r="536" ht="15.75" customHeight="1" s="46"/>
    <row r="537" ht="15.75" customHeight="1" s="46"/>
    <row r="538" ht="15.75" customHeight="1" s="46"/>
    <row r="539" ht="15.75" customHeight="1" s="46"/>
    <row r="540" ht="15.75" customHeight="1" s="46"/>
    <row r="541" ht="15.75" customHeight="1" s="46"/>
    <row r="542" ht="15.75" customHeight="1" s="46"/>
    <row r="543" ht="15.75" customHeight="1" s="46"/>
    <row r="544" ht="15.75" customHeight="1" s="46"/>
    <row r="545" ht="15.75" customHeight="1" s="46"/>
    <row r="546" ht="15.75" customHeight="1" s="46"/>
    <row r="547" ht="15.75" customHeight="1" s="46"/>
    <row r="548" ht="15.75" customHeight="1" s="46"/>
    <row r="549" ht="15.75" customHeight="1" s="46"/>
    <row r="550" ht="15.75" customHeight="1" s="46"/>
    <row r="551" ht="15.75" customHeight="1" s="46"/>
    <row r="552" ht="15.75" customHeight="1" s="46"/>
    <row r="553" ht="15.75" customHeight="1" s="46"/>
    <row r="554" ht="15.75" customHeight="1" s="46"/>
    <row r="555" ht="15.75" customHeight="1" s="46"/>
    <row r="556" ht="15.75" customHeight="1" s="46"/>
    <row r="557" ht="15.75" customHeight="1" s="46"/>
    <row r="558" ht="15.75" customHeight="1" s="46"/>
    <row r="559" ht="15.75" customHeight="1" s="46"/>
    <row r="560" ht="15.75" customHeight="1" s="46"/>
    <row r="561" ht="15.75" customHeight="1" s="46"/>
    <row r="562" ht="15.75" customHeight="1" s="46"/>
    <row r="563" ht="15.75" customHeight="1" s="46"/>
    <row r="564" ht="15.75" customHeight="1" s="46"/>
    <row r="565" ht="15.75" customHeight="1" s="46"/>
    <row r="566" ht="15.75" customHeight="1" s="46"/>
    <row r="567" ht="15.75" customHeight="1" s="46"/>
    <row r="568" ht="15.75" customHeight="1" s="46"/>
    <row r="569" ht="15.75" customHeight="1" s="46"/>
    <row r="570" ht="15.75" customHeight="1" s="46"/>
    <row r="571" ht="15.75" customHeight="1" s="46"/>
    <row r="572" ht="15.75" customHeight="1" s="46"/>
    <row r="573" ht="15.75" customHeight="1" s="46"/>
    <row r="574" ht="15.75" customHeight="1" s="46"/>
    <row r="575" ht="15.75" customHeight="1" s="46"/>
    <row r="576" ht="15.75" customHeight="1" s="46"/>
    <row r="577" ht="15.75" customHeight="1" s="46"/>
    <row r="578" ht="15.75" customHeight="1" s="46"/>
    <row r="579" ht="15.75" customHeight="1" s="46"/>
    <row r="580" ht="15.75" customHeight="1" s="46"/>
    <row r="581" ht="15.75" customHeight="1" s="46"/>
    <row r="582" ht="15.75" customHeight="1" s="46"/>
    <row r="583" ht="15.75" customHeight="1" s="46"/>
    <row r="584" ht="15.75" customHeight="1" s="46"/>
    <row r="585" ht="15.75" customHeight="1" s="46"/>
    <row r="586" ht="15.75" customHeight="1" s="46"/>
    <row r="587" ht="15.75" customHeight="1" s="46"/>
    <row r="588" ht="15.75" customHeight="1" s="46"/>
    <row r="589" ht="15.75" customHeight="1" s="46"/>
    <row r="590" ht="15.75" customHeight="1" s="46"/>
    <row r="591" ht="15.75" customHeight="1" s="46"/>
    <row r="592" ht="15.75" customHeight="1" s="46"/>
    <row r="593" ht="15.75" customHeight="1" s="46"/>
    <row r="594" ht="15.75" customHeight="1" s="46"/>
    <row r="595" ht="15.75" customHeight="1" s="46"/>
    <row r="596" ht="15.75" customHeight="1" s="46"/>
    <row r="597" ht="15.75" customHeight="1" s="46"/>
    <row r="598" ht="15.75" customHeight="1" s="46"/>
    <row r="599" ht="15.75" customHeight="1" s="46"/>
    <row r="600" ht="15.75" customHeight="1" s="46"/>
    <row r="601" ht="15.75" customHeight="1" s="46"/>
    <row r="602" ht="15.75" customHeight="1" s="46"/>
    <row r="603" ht="15.75" customHeight="1" s="46"/>
    <row r="604" ht="15.75" customHeight="1" s="46"/>
    <row r="605" ht="15.75" customHeight="1" s="46"/>
    <row r="606" ht="15.75" customHeight="1" s="46"/>
    <row r="607" ht="15.75" customHeight="1" s="46"/>
    <row r="608" ht="15.75" customHeight="1" s="46"/>
    <row r="609" ht="15.75" customHeight="1" s="46"/>
    <row r="610" ht="15.75" customHeight="1" s="46"/>
    <row r="611" ht="15.75" customHeight="1" s="46"/>
    <row r="612" ht="15.75" customHeight="1" s="46"/>
    <row r="613" ht="15.75" customHeight="1" s="46"/>
    <row r="614" ht="15.75" customHeight="1" s="46"/>
    <row r="615" ht="15.75" customHeight="1" s="46"/>
    <row r="616" ht="15.75" customHeight="1" s="46"/>
    <row r="617" ht="15.75" customHeight="1" s="46"/>
    <row r="618" ht="15.75" customHeight="1" s="46"/>
    <row r="619" ht="15.75" customHeight="1" s="46"/>
    <row r="620" ht="15.75" customHeight="1" s="46"/>
    <row r="621" ht="15.75" customHeight="1" s="46"/>
    <row r="622" ht="15.75" customHeight="1" s="46"/>
    <row r="623" ht="15.75" customHeight="1" s="46"/>
    <row r="624" ht="15.75" customHeight="1" s="46"/>
    <row r="625" ht="15.75" customHeight="1" s="46"/>
    <row r="626" ht="15.75" customHeight="1" s="46"/>
    <row r="627" ht="15.75" customHeight="1" s="46"/>
    <row r="628" ht="15.75" customHeight="1" s="46"/>
    <row r="629" ht="15.75" customHeight="1" s="46"/>
    <row r="630" ht="15.75" customHeight="1" s="46"/>
    <row r="631" ht="15.75" customHeight="1" s="46"/>
    <row r="632" ht="15.75" customHeight="1" s="46"/>
    <row r="633" ht="15.75" customHeight="1" s="46"/>
    <row r="634" ht="15.75" customHeight="1" s="46"/>
    <row r="635" ht="15.75" customHeight="1" s="46"/>
    <row r="636" ht="15.75" customHeight="1" s="46"/>
    <row r="637" ht="15.75" customHeight="1" s="46"/>
    <row r="638" ht="15.75" customHeight="1" s="46"/>
    <row r="639" ht="15.75" customHeight="1" s="46"/>
    <row r="640" ht="15.75" customHeight="1" s="46"/>
    <row r="641" ht="15.75" customHeight="1" s="46"/>
    <row r="642" ht="15.75" customHeight="1" s="46"/>
    <row r="643" ht="15.75" customHeight="1" s="46"/>
    <row r="644" ht="15.75" customHeight="1" s="46"/>
    <row r="645" ht="15.75" customHeight="1" s="46"/>
    <row r="646" ht="15.75" customHeight="1" s="46"/>
    <row r="647" ht="15.75" customHeight="1" s="46"/>
    <row r="648" ht="15.75" customHeight="1" s="46"/>
    <row r="649" ht="15.75" customHeight="1" s="46"/>
    <row r="650" ht="15.75" customHeight="1" s="46"/>
    <row r="651" ht="15.75" customHeight="1" s="46"/>
    <row r="652" ht="15.75" customHeight="1" s="46"/>
    <row r="653" ht="15.75" customHeight="1" s="46"/>
    <row r="654" ht="15.75" customHeight="1" s="46"/>
    <row r="655" ht="15.75" customHeight="1" s="46"/>
    <row r="656" ht="15.75" customHeight="1" s="46"/>
    <row r="657" ht="15.75" customHeight="1" s="46"/>
    <row r="658" ht="15.75" customHeight="1" s="46"/>
    <row r="659" ht="15.75" customHeight="1" s="46"/>
    <row r="660" ht="15.75" customHeight="1" s="46"/>
    <row r="661" ht="15.75" customHeight="1" s="46"/>
    <row r="662" ht="15.75" customHeight="1" s="46"/>
    <row r="663" ht="15.75" customHeight="1" s="46"/>
    <row r="664" ht="15.75" customHeight="1" s="46"/>
    <row r="665" ht="15.75" customHeight="1" s="46"/>
    <row r="666" ht="15.75" customHeight="1" s="46"/>
    <row r="667" ht="15.75" customHeight="1" s="46"/>
    <row r="668" ht="15.75" customHeight="1" s="46"/>
    <row r="669" ht="15.75" customHeight="1" s="46"/>
    <row r="670" ht="15.75" customHeight="1" s="46"/>
    <row r="671" ht="15.75" customHeight="1" s="46"/>
    <row r="672" ht="15.75" customHeight="1" s="46"/>
    <row r="673" ht="15.75" customHeight="1" s="46"/>
    <row r="674" ht="15.75" customHeight="1" s="46"/>
    <row r="675" ht="15.75" customHeight="1" s="46"/>
    <row r="676" ht="15.75" customHeight="1" s="46"/>
    <row r="677" ht="15.75" customHeight="1" s="46"/>
    <row r="678" ht="15.75" customHeight="1" s="46"/>
    <row r="679" ht="15.75" customHeight="1" s="46"/>
    <row r="680" ht="15.75" customHeight="1" s="46"/>
    <row r="681" ht="15.75" customHeight="1" s="46"/>
    <row r="682" ht="15.75" customHeight="1" s="46"/>
    <row r="683" ht="15.75" customHeight="1" s="46"/>
    <row r="684" ht="15.75" customHeight="1" s="46"/>
    <row r="685" ht="15.75" customHeight="1" s="46"/>
    <row r="686" ht="15.75" customHeight="1" s="46"/>
    <row r="687" ht="15.75" customHeight="1" s="46"/>
    <row r="688" ht="15.75" customHeight="1" s="46"/>
    <row r="689" ht="15.75" customHeight="1" s="46"/>
    <row r="690" ht="15.75" customHeight="1" s="46"/>
    <row r="691" ht="15.75" customHeight="1" s="46"/>
    <row r="692" ht="15.75" customHeight="1" s="46"/>
    <row r="693" ht="15.75" customHeight="1" s="46"/>
    <row r="694" ht="15.75" customHeight="1" s="46"/>
    <row r="695" ht="15.75" customHeight="1" s="46"/>
    <row r="696" ht="15.75" customHeight="1" s="46"/>
    <row r="697" ht="15.75" customHeight="1" s="46"/>
    <row r="698" ht="15.75" customHeight="1" s="46"/>
    <row r="699" ht="15.75" customHeight="1" s="46"/>
    <row r="700" ht="15.75" customHeight="1" s="46"/>
    <row r="701" ht="15.75" customHeight="1" s="46"/>
    <row r="702" ht="15.75" customHeight="1" s="46"/>
    <row r="703" ht="15.75" customHeight="1" s="46"/>
    <row r="704" ht="15.75" customHeight="1" s="46"/>
    <row r="705" ht="15.75" customHeight="1" s="46"/>
    <row r="706" ht="15.75" customHeight="1" s="46"/>
    <row r="707" ht="15.75" customHeight="1" s="46"/>
    <row r="708" ht="15.75" customHeight="1" s="46"/>
    <row r="709" ht="15.75" customHeight="1" s="46"/>
    <row r="710" ht="15.75" customHeight="1" s="46"/>
    <row r="711" ht="15.75" customHeight="1" s="46"/>
    <row r="712" ht="15.75" customHeight="1" s="46"/>
    <row r="713" ht="15.75" customHeight="1" s="46"/>
    <row r="714" ht="15.75" customHeight="1" s="46"/>
    <row r="715" ht="15.75" customHeight="1" s="46"/>
    <row r="716" ht="15.75" customHeight="1" s="46"/>
    <row r="717" ht="15.75" customHeight="1" s="46"/>
    <row r="718" ht="15.75" customHeight="1" s="46"/>
    <row r="719" ht="15.75" customHeight="1" s="46"/>
    <row r="720" ht="15.75" customHeight="1" s="46"/>
    <row r="721" ht="15.75" customHeight="1" s="46"/>
    <row r="722" ht="15.75" customHeight="1" s="46"/>
    <row r="723" ht="15.75" customHeight="1" s="46"/>
    <row r="724" ht="15.75" customHeight="1" s="46"/>
    <row r="725" ht="15.75" customHeight="1" s="46"/>
    <row r="726" ht="15.75" customHeight="1" s="46"/>
    <row r="727" ht="15.75" customHeight="1" s="46"/>
    <row r="728" ht="15.75" customHeight="1" s="46"/>
    <row r="729" ht="15.75" customHeight="1" s="46"/>
    <row r="730" ht="15.75" customHeight="1" s="46"/>
    <row r="731" ht="15.75" customHeight="1" s="46"/>
    <row r="732" ht="15.75" customHeight="1" s="46"/>
    <row r="733" ht="15.75" customHeight="1" s="46"/>
    <row r="734" ht="15.75" customHeight="1" s="46"/>
    <row r="735" ht="15.75" customHeight="1" s="46"/>
    <row r="736" ht="15.75" customHeight="1" s="46"/>
    <row r="737" ht="15.75" customHeight="1" s="46"/>
    <row r="738" ht="15.75" customHeight="1" s="46"/>
    <row r="739" ht="15.75" customHeight="1" s="46"/>
    <row r="740" ht="15.75" customHeight="1" s="46"/>
    <row r="741" ht="15.75" customHeight="1" s="46"/>
    <row r="742" ht="15.75" customHeight="1" s="46"/>
    <row r="743" ht="15.75" customHeight="1" s="46"/>
    <row r="744" ht="15.75" customHeight="1" s="46"/>
    <row r="745" ht="15.75" customHeight="1" s="46"/>
    <row r="746" ht="15.75" customHeight="1" s="46"/>
    <row r="747" ht="15.75" customHeight="1" s="46"/>
    <row r="748" ht="15.75" customHeight="1" s="46"/>
    <row r="749" ht="15.75" customHeight="1" s="46"/>
    <row r="750" ht="15.75" customHeight="1" s="46"/>
    <row r="751" ht="15.75" customHeight="1" s="46"/>
    <row r="752" ht="15.75" customHeight="1" s="46"/>
    <row r="753" ht="15.75" customHeight="1" s="46"/>
    <row r="754" ht="15.75" customHeight="1" s="46"/>
    <row r="755" ht="15.75" customHeight="1" s="46"/>
    <row r="756" ht="15.75" customHeight="1" s="46"/>
    <row r="757" ht="15.75" customHeight="1" s="46"/>
    <row r="758" ht="15.75" customHeight="1" s="46"/>
    <row r="759" ht="15.75" customHeight="1" s="46"/>
    <row r="760" ht="15.75" customHeight="1" s="46"/>
    <row r="761" ht="15.75" customHeight="1" s="46"/>
    <row r="762" ht="15.75" customHeight="1" s="46"/>
    <row r="763" ht="15.75" customHeight="1" s="46"/>
    <row r="764" ht="15.75" customHeight="1" s="46"/>
    <row r="765" ht="15.75" customHeight="1" s="46"/>
    <row r="766" ht="15.75" customHeight="1" s="46"/>
    <row r="767" ht="15.75" customHeight="1" s="46"/>
    <row r="768" ht="15.75" customHeight="1" s="46"/>
    <row r="769" ht="15.75" customHeight="1" s="46"/>
    <row r="770" ht="15.75" customHeight="1" s="46"/>
    <row r="771" ht="15.75" customHeight="1" s="46"/>
    <row r="772" ht="15.75" customHeight="1" s="46"/>
    <row r="773" ht="15.75" customHeight="1" s="46"/>
    <row r="774" ht="15.75" customHeight="1" s="46"/>
    <row r="775" ht="15.75" customHeight="1" s="46"/>
    <row r="776" ht="15.75" customHeight="1" s="46"/>
    <row r="777" ht="15.75" customHeight="1" s="46"/>
    <row r="778" ht="15.75" customHeight="1" s="46"/>
    <row r="779" ht="15.75" customHeight="1" s="46"/>
    <row r="780" ht="15.75" customHeight="1" s="46"/>
    <row r="781" ht="15.75" customHeight="1" s="46"/>
    <row r="782" ht="15.75" customHeight="1" s="46"/>
    <row r="783" ht="15.75" customHeight="1" s="46"/>
    <row r="784" ht="15.75" customHeight="1" s="46"/>
    <row r="785" ht="15.75" customHeight="1" s="46"/>
    <row r="786" ht="15.75" customHeight="1" s="46"/>
    <row r="787" ht="15.75" customHeight="1" s="46"/>
    <row r="788" ht="15.75" customHeight="1" s="46"/>
    <row r="789" ht="15.75" customHeight="1" s="46"/>
    <row r="790" ht="15.75" customHeight="1" s="46"/>
    <row r="791" ht="15.75" customHeight="1" s="46"/>
    <row r="792" ht="15.75" customHeight="1" s="46"/>
    <row r="793" ht="15.75" customHeight="1" s="46"/>
    <row r="794" ht="15.75" customHeight="1" s="46"/>
    <row r="795" ht="15.75" customHeight="1" s="46"/>
    <row r="796" ht="15.75" customHeight="1" s="46"/>
    <row r="797" ht="15.75" customHeight="1" s="46"/>
    <row r="798" ht="15.75" customHeight="1" s="46"/>
    <row r="799" ht="15.75" customHeight="1" s="46"/>
    <row r="800" ht="15.75" customHeight="1" s="46"/>
    <row r="801" ht="15.75" customHeight="1" s="46"/>
    <row r="802" ht="15.75" customHeight="1" s="46"/>
    <row r="803" ht="15.75" customHeight="1" s="46"/>
    <row r="804" ht="15.75" customHeight="1" s="46"/>
    <row r="805" ht="15.75" customHeight="1" s="46"/>
    <row r="806" ht="15.75" customHeight="1" s="46"/>
    <row r="807" ht="15.75" customHeight="1" s="46"/>
    <row r="808" ht="15.75" customHeight="1" s="46"/>
    <row r="809" ht="15.75" customHeight="1" s="46"/>
    <row r="810" ht="15.75" customHeight="1" s="46"/>
    <row r="811" ht="15.75" customHeight="1" s="46"/>
    <row r="812" ht="15.75" customHeight="1" s="46"/>
    <row r="813" ht="15.75" customHeight="1" s="46"/>
    <row r="814" ht="15.75" customHeight="1" s="46"/>
    <row r="815" ht="15.75" customHeight="1" s="46"/>
    <row r="816" ht="15.75" customHeight="1" s="46"/>
    <row r="817" ht="15.75" customHeight="1" s="46"/>
    <row r="818" ht="15.75" customHeight="1" s="46"/>
    <row r="819" ht="15.75" customHeight="1" s="46"/>
    <row r="820" ht="15.75" customHeight="1" s="46"/>
    <row r="821" ht="15.75" customHeight="1" s="46"/>
    <row r="822" ht="15.75" customHeight="1" s="46"/>
    <row r="823" ht="15.75" customHeight="1" s="46"/>
    <row r="824" ht="15.75" customHeight="1" s="46"/>
    <row r="825" ht="15.75" customHeight="1" s="46"/>
    <row r="826" ht="15.75" customHeight="1" s="46"/>
    <row r="827" ht="15.75" customHeight="1" s="46"/>
    <row r="828" ht="15.75" customHeight="1" s="46"/>
    <row r="829" ht="15.75" customHeight="1" s="46"/>
    <row r="830" ht="15.75" customHeight="1" s="46"/>
    <row r="831" ht="15.75" customHeight="1" s="46"/>
    <row r="832" ht="15.75" customHeight="1" s="46"/>
    <row r="833" ht="15.75" customHeight="1" s="46"/>
    <row r="834" ht="15.75" customHeight="1" s="46"/>
    <row r="835" ht="15.75" customHeight="1" s="46"/>
    <row r="836" ht="15.75" customHeight="1" s="46"/>
    <row r="837" ht="15.75" customHeight="1" s="46"/>
    <row r="838" ht="15.75" customHeight="1" s="46"/>
    <row r="839" ht="15.75" customHeight="1" s="46"/>
    <row r="840" ht="15.75" customHeight="1" s="46"/>
    <row r="841" ht="15.75" customHeight="1" s="46"/>
    <row r="842" ht="15.75" customHeight="1" s="46"/>
    <row r="843" ht="15.75" customHeight="1" s="46"/>
    <row r="844" ht="15.75" customHeight="1" s="46"/>
    <row r="845" ht="15.75" customHeight="1" s="46"/>
    <row r="846" ht="15.75" customHeight="1" s="46"/>
    <row r="847" ht="15.75" customHeight="1" s="46"/>
    <row r="848" ht="15.75" customHeight="1" s="46"/>
    <row r="849" ht="15.75" customHeight="1" s="46"/>
    <row r="850" ht="15.75" customHeight="1" s="46"/>
    <row r="851" ht="15.75" customHeight="1" s="46"/>
    <row r="852" ht="15.75" customHeight="1" s="46"/>
    <row r="853" ht="15.75" customHeight="1" s="46"/>
    <row r="854" ht="15.75" customHeight="1" s="46"/>
    <row r="855" ht="15.75" customHeight="1" s="46"/>
    <row r="856" ht="15.75" customHeight="1" s="46"/>
    <row r="857" ht="15.75" customHeight="1" s="46"/>
    <row r="858" ht="15.75" customHeight="1" s="46"/>
    <row r="859" ht="15.75" customHeight="1" s="46"/>
    <row r="860" ht="15.75" customHeight="1" s="46"/>
    <row r="861" ht="15.75" customHeight="1" s="46"/>
    <row r="862" ht="15.75" customHeight="1" s="46"/>
    <row r="863" ht="15.75" customHeight="1" s="46"/>
    <row r="864" ht="15.75" customHeight="1" s="46"/>
    <row r="865" ht="15.75" customHeight="1" s="46"/>
    <row r="866" ht="15.75" customHeight="1" s="46"/>
    <row r="867" ht="15.75" customHeight="1" s="46"/>
    <row r="868" ht="15.75" customHeight="1" s="46"/>
    <row r="869" ht="15.75" customHeight="1" s="46"/>
    <row r="870" ht="15.75" customHeight="1" s="46"/>
    <row r="871" ht="15.75" customHeight="1" s="46"/>
    <row r="872" ht="15.75" customHeight="1" s="46"/>
    <row r="873" ht="15.75" customHeight="1" s="46"/>
    <row r="874" ht="15.75" customHeight="1" s="46"/>
    <row r="875" ht="15.75" customHeight="1" s="46"/>
    <row r="876" ht="15.75" customHeight="1" s="46"/>
    <row r="877" ht="15.75" customHeight="1" s="46"/>
    <row r="878" ht="15.75" customHeight="1" s="46"/>
    <row r="879" ht="15.75" customHeight="1" s="46"/>
    <row r="880" ht="15.75" customHeight="1" s="46"/>
    <row r="881" ht="15.75" customHeight="1" s="46"/>
    <row r="882" ht="15.75" customHeight="1" s="46"/>
    <row r="883" ht="15.75" customHeight="1" s="46"/>
    <row r="884" ht="15.75" customHeight="1" s="46"/>
    <row r="885" ht="15.75" customHeight="1" s="46"/>
    <row r="886" ht="15.75" customHeight="1" s="46"/>
    <row r="887" ht="15.75" customHeight="1" s="46"/>
    <row r="888" ht="15.75" customHeight="1" s="46"/>
    <row r="889" ht="15.75" customHeight="1" s="46"/>
    <row r="890" ht="15.75" customHeight="1" s="46"/>
    <row r="891" ht="15.75" customHeight="1" s="46"/>
    <row r="892" ht="15.75" customHeight="1" s="46"/>
    <row r="893" ht="15.75" customHeight="1" s="46"/>
    <row r="894" ht="15.75" customHeight="1" s="46"/>
    <row r="895" ht="15.75" customHeight="1" s="46"/>
    <row r="896" ht="15.75" customHeight="1" s="46"/>
    <row r="897" ht="15.75" customHeight="1" s="46"/>
    <row r="898" ht="15.75" customHeight="1" s="46"/>
    <row r="899" ht="15.75" customHeight="1" s="46"/>
    <row r="900" ht="15.75" customHeight="1" s="46"/>
    <row r="901" ht="15.75" customHeight="1" s="46"/>
    <row r="902" ht="15.75" customHeight="1" s="46"/>
    <row r="903" ht="15.75" customHeight="1" s="46"/>
    <row r="904" ht="15.75" customHeight="1" s="46"/>
    <row r="905" ht="15.75" customHeight="1" s="46"/>
    <row r="906" ht="15.75" customHeight="1" s="46"/>
    <row r="907" ht="15.75" customHeight="1" s="46"/>
    <row r="908" ht="15.75" customHeight="1" s="46"/>
    <row r="909" ht="15.75" customHeight="1" s="46"/>
    <row r="910" ht="15.75" customHeight="1" s="46"/>
    <row r="911" ht="15.75" customHeight="1" s="46"/>
    <row r="912" ht="15.75" customHeight="1" s="46"/>
    <row r="913" ht="15.75" customHeight="1" s="46"/>
    <row r="914" ht="15.75" customHeight="1" s="46"/>
    <row r="915" ht="15.75" customHeight="1" s="46"/>
    <row r="916" ht="15.75" customHeight="1" s="46"/>
    <row r="917" ht="15.75" customHeight="1" s="46"/>
    <row r="918" ht="15.75" customHeight="1" s="46"/>
    <row r="919" ht="15.75" customHeight="1" s="46"/>
    <row r="920" ht="15.75" customHeight="1" s="46"/>
    <row r="921" ht="15.75" customHeight="1" s="46"/>
    <row r="922" ht="15.75" customHeight="1" s="46"/>
    <row r="923" ht="15.75" customHeight="1" s="46"/>
    <row r="924" ht="15.75" customHeight="1" s="46"/>
    <row r="925" ht="15.75" customHeight="1" s="46"/>
    <row r="926" ht="15.75" customHeight="1" s="46"/>
    <row r="927" ht="15.75" customHeight="1" s="46"/>
    <row r="928" ht="15.75" customHeight="1" s="46"/>
    <row r="929" ht="15.75" customHeight="1" s="46"/>
    <row r="930" ht="15.75" customHeight="1" s="46"/>
    <row r="931" ht="15.75" customHeight="1" s="46"/>
    <row r="932" ht="15.75" customHeight="1" s="46"/>
    <row r="933" ht="15.75" customHeight="1" s="46"/>
    <row r="934" ht="15.75" customHeight="1" s="46"/>
    <row r="935" ht="15.75" customHeight="1" s="46"/>
    <row r="936" ht="15.75" customHeight="1" s="46"/>
    <row r="937" ht="15.75" customHeight="1" s="46"/>
    <row r="938" ht="15.75" customHeight="1" s="46"/>
    <row r="939" ht="15.75" customHeight="1" s="46"/>
    <row r="940" ht="15.75" customHeight="1" s="46"/>
    <row r="941" ht="15.75" customHeight="1" s="46"/>
    <row r="942" ht="15.75" customHeight="1" s="46"/>
    <row r="943" ht="15.75" customHeight="1" s="46"/>
    <row r="944" ht="15.75" customHeight="1" s="46"/>
    <row r="945" ht="15.75" customHeight="1" s="46"/>
    <row r="946" ht="15.75" customHeight="1" s="46"/>
    <row r="947" ht="15.75" customHeight="1" s="46"/>
    <row r="948" ht="15.75" customHeight="1" s="46"/>
    <row r="949" ht="15.75" customHeight="1" s="46"/>
    <row r="950" ht="15.75" customHeight="1" s="46"/>
    <row r="951" ht="15.75" customHeight="1" s="46"/>
    <row r="952" ht="15.75" customHeight="1" s="46"/>
    <row r="953" ht="15.75" customHeight="1" s="46"/>
    <row r="954" ht="15.75" customHeight="1" s="46"/>
    <row r="955" ht="15.75" customHeight="1" s="46"/>
    <row r="956" ht="15.75" customHeight="1" s="46"/>
    <row r="957" ht="15.75" customHeight="1" s="46"/>
    <row r="958" ht="15.75" customHeight="1" s="46"/>
    <row r="959" ht="15.75" customHeight="1" s="46"/>
    <row r="960" ht="15.75" customHeight="1" s="46"/>
    <row r="961" ht="15.75" customHeight="1" s="46"/>
    <row r="962" ht="15.75" customHeight="1" s="46"/>
    <row r="963" ht="15.75" customHeight="1" s="46"/>
    <row r="964" ht="15.75" customHeight="1" s="46"/>
    <row r="965" ht="15.75" customHeight="1" s="46"/>
    <row r="966" ht="15.75" customHeight="1" s="46"/>
    <row r="967" ht="15.75" customHeight="1" s="46"/>
    <row r="968" ht="15.75" customHeight="1" s="46"/>
    <row r="969" ht="15.75" customHeight="1" s="46"/>
    <row r="970" ht="15.75" customHeight="1" s="46"/>
    <row r="971" ht="15.75" customHeight="1" s="46"/>
    <row r="972" ht="15.75" customHeight="1" s="46"/>
    <row r="973" ht="15.75" customHeight="1" s="46"/>
    <row r="974" ht="15.75" customHeight="1" s="46"/>
    <row r="975" ht="15.75" customHeight="1" s="46"/>
    <row r="976" ht="15.75" customHeight="1" s="46"/>
    <row r="977" ht="15.75" customHeight="1" s="46"/>
    <row r="978" ht="15.75" customHeight="1" s="46"/>
    <row r="979" ht="15.75" customHeight="1" s="46"/>
    <row r="980" ht="15.75" customHeight="1" s="46"/>
    <row r="981" ht="15.75" customHeight="1" s="46"/>
    <row r="982" ht="15.75" customHeight="1" s="46"/>
    <row r="983" ht="15.75" customHeight="1" s="46"/>
    <row r="984" ht="15.75" customHeight="1" s="46"/>
    <row r="985" ht="15.75" customHeight="1" s="46"/>
    <row r="986" ht="15.75" customHeight="1" s="46"/>
    <row r="987" ht="15.75" customHeight="1" s="46"/>
    <row r="988" ht="15.75" customHeight="1" s="46"/>
    <row r="989" ht="15.75" customHeight="1" s="46"/>
    <row r="990" ht="15.75" customHeight="1" s="46"/>
    <row r="991" ht="15.75" customHeight="1" s="46"/>
    <row r="992" ht="15.75" customHeight="1" s="46"/>
    <row r="993" ht="15.75" customHeight="1" s="46"/>
    <row r="994" ht="15.75" customHeight="1" s="46"/>
    <row r="995" ht="15.75" customHeight="1" s="46"/>
    <row r="996" ht="15.75" customHeight="1" s="46"/>
    <row r="997" ht="15.75" customHeight="1" s="46"/>
    <row r="998" ht="15.75" customHeight="1" s="46"/>
    <row r="999" ht="15.75" customHeight="1" s="46"/>
    <row r="1000" ht="15.75" customHeight="1" s="46"/>
  </sheetData>
  <mergeCells count="14">
    <mergeCell ref="A21:E21"/>
    <mergeCell ref="A39:E39"/>
    <mergeCell ref="N25:Q25"/>
    <mergeCell ref="A25:E25"/>
    <mergeCell ref="A2:N2"/>
    <mergeCell ref="A41:N45"/>
    <mergeCell ref="A24:AG24"/>
    <mergeCell ref="R25:U25"/>
    <mergeCell ref="V25:Y25"/>
    <mergeCell ref="Z25:AC25"/>
    <mergeCell ref="F25:I25"/>
    <mergeCell ref="J25:M25"/>
    <mergeCell ref="AD25:AG25"/>
    <mergeCell ref="A1:N1"/>
  </mergeCells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45"/>
  <sheetViews>
    <sheetView workbookViewId="0">
      <selection activeCell="A1" sqref="A1"/>
    </sheetView>
  </sheetViews>
  <sheetFormatPr baseColWidth="8" defaultColWidth="14.43" defaultRowHeight="15" customHeight="1"/>
  <cols>
    <col width="4" customWidth="1" style="46" min="1" max="1"/>
    <col width="10" customWidth="1" style="46" min="2" max="2"/>
    <col width="32" customWidth="1" style="46" min="3" max="3"/>
    <col width="26" customWidth="1" style="46" min="4" max="4"/>
    <col width="28" customWidth="1" style="46" min="5" max="5"/>
    <col width="14" customWidth="1" style="46" min="6" max="7"/>
    <col width="15" customWidth="1" style="46" min="8" max="9"/>
    <col width="16" customWidth="1" style="46" min="10" max="11"/>
    <col width="14" customWidth="1" style="46" min="12" max="12"/>
    <col width="15" customWidth="1" style="46" min="13" max="13"/>
    <col width="24" customWidth="1" style="46" min="14" max="14"/>
    <col width="14" customWidth="1" style="46" min="15" max="33"/>
  </cols>
  <sheetData>
    <row r="1" ht="24.75" customHeight="1" s="46">
      <c r="A1" s="47" t="inlineStr">
        <is>
          <t>CONTROL SEMANAL DE RENDIMIENTO DE MAQUINARIA (SEMANA 26)</t>
        </is>
      </c>
    </row>
    <row r="2" ht="18" customHeight="1" s="46">
      <c r="A2" s="48" t="inlineStr">
        <is>
          <t>OBRA: CARRETERA LIBRE MÉXICO-TOLUCA | PERIODO: 22/Jun/2026 - 27/Jun/2026</t>
        </is>
      </c>
    </row>
    <row r="4">
      <c r="A4" s="5" t="inlineStr">
        <is>
          <t>1. PARÁMETROS:</t>
        </is>
      </c>
      <c r="B4" s="5" t="inlineStr">
        <is>
          <t>PESO VOLUMÉTRICO ASFALTO (Ton/m³):</t>
        </is>
      </c>
      <c r="E4" s="7" t="n">
        <v>1.742</v>
      </c>
    </row>
    <row r="5">
      <c r="A5" s="5" t="inlineStr">
        <is>
          <t>2. FRESADO SEMANAL:</t>
        </is>
      </c>
      <c r="B5" s="8" t="inlineStr">
        <is>
          <t>Viajes de Fresado:</t>
        </is>
      </c>
      <c r="C5" s="41" t="n">
        <v>76</v>
      </c>
      <c r="D5" s="8" t="inlineStr">
        <is>
          <t>Volumen Fresado (m³):</t>
        </is>
      </c>
      <c r="E5" s="42" t="n">
        <v>1029</v>
      </c>
    </row>
    <row r="6">
      <c r="A6" s="5" t="inlineStr">
        <is>
          <t>3. CARPETA SEMANAL:</t>
        </is>
      </c>
      <c r="B6" s="8" t="inlineStr">
        <is>
          <t>Viajes de Mezcla:</t>
        </is>
      </c>
      <c r="C6" s="41" t="n">
        <v>41</v>
      </c>
      <c r="D6" s="8" t="inlineStr">
        <is>
          <t>Volumen Carpeta (m³):</t>
        </is>
      </c>
      <c r="E6" s="42" t="n">
        <v>583</v>
      </c>
      <c r="F6" s="8" t="inlineStr">
        <is>
          <t>Toneladas Carpeta (Ton):</t>
        </is>
      </c>
      <c r="G6" s="17">
        <f>E6*$E$4</f>
        <v/>
      </c>
    </row>
    <row r="8" ht="27.75" customHeight="1" s="46">
      <c r="A8" s="10" t="inlineStr">
        <is>
          <t>No.</t>
        </is>
      </c>
      <c r="B8" s="10" t="inlineStr">
        <is>
          <t>Económico</t>
        </is>
      </c>
      <c r="C8" s="10" t="inlineStr">
        <is>
          <t>Equipo / Maquinaria</t>
        </is>
      </c>
      <c r="D8" s="10" t="inlineStr">
        <is>
          <t>Operador Asignado</t>
        </is>
      </c>
      <c r="E8" s="10" t="inlineStr">
        <is>
          <t>Concepto de Trabajo</t>
        </is>
      </c>
      <c r="F8" s="10" t="inlineStr">
        <is>
          <t>Viajes Asignados</t>
        </is>
      </c>
      <c r="G8" s="10" t="inlineStr">
        <is>
          <t>Volumen (m³)</t>
        </is>
      </c>
      <c r="H8" s="10" t="inlineStr">
        <is>
          <t>Toneladas (Ton)</t>
        </is>
      </c>
      <c r="I8" s="10" t="inlineStr">
        <is>
          <t>Diésel Surtido (L)</t>
        </is>
      </c>
      <c r="J8" s="10" t="inlineStr">
        <is>
          <t>Rendimiento Real (L/Ton)</t>
        </is>
      </c>
      <c r="K8" s="10" t="inlineStr">
        <is>
          <t>Rendimiento Real (L/m³)</t>
        </is>
      </c>
      <c r="L8" s="10" t="inlineStr">
        <is>
          <t>Rend. Base (L/h)</t>
        </is>
      </c>
      <c r="M8" s="10" t="inlineStr">
        <is>
          <t>Horas Est. Operación</t>
        </is>
      </c>
      <c r="N8" s="10" t="inlineStr">
        <is>
          <t>Estatus Operativo</t>
        </is>
      </c>
    </row>
    <row r="9" ht="19.5" customHeight="1" s="46">
      <c r="A9" s="12" t="n">
        <v>1</v>
      </c>
      <c r="B9" s="12" t="inlineStr">
        <is>
          <t>PRR-01</t>
        </is>
      </c>
      <c r="C9" s="13" t="inlineStr">
        <is>
          <t>PERFILADORA WIRTGEN W200i</t>
        </is>
      </c>
      <c r="D9" s="13" t="inlineStr">
        <is>
          <t>JAVIER PAREDES CORTE</t>
        </is>
      </c>
      <c r="E9" s="13" t="inlineStr">
        <is>
          <t>Fresado de Pavimento</t>
        </is>
      </c>
      <c r="F9" s="14">
        <f>$C$5</f>
        <v/>
      </c>
      <c r="G9" s="37">
        <f>$E$5</f>
        <v/>
      </c>
      <c r="H9" s="18" t="inlineStr">
        <is>
          <t>-</t>
        </is>
      </c>
      <c r="I9" s="37" t="n">
        <v>1393</v>
      </c>
      <c r="J9" s="19" t="inlineStr">
        <is>
          <t>-</t>
        </is>
      </c>
      <c r="K9" s="20">
        <f>IF(G9&gt;0, I9/G9, 0)</f>
        <v/>
      </c>
      <c r="L9" s="21" t="n">
        <v>67.2</v>
      </c>
      <c r="M9" s="22">
        <f>IF(L9&gt;0, I9/L9, 0)</f>
        <v/>
      </c>
      <c r="N9" s="12">
        <f>IF(I9=0, "SIN CONSUMO (Inactiva)", IF(A9=1, IF(K9&lt;=0.85, "DENTRO DE RENDIMIENTO BASE", "EXCEDE RENDIMIENTO BASE"), IF(A9=2, IF(J9&lt;=0.38, "DENTRO DE RENDIMIENTO BASE", "EXCEDE RENDIMIENTO BASE"), IF(OR(A9=3,A9=4,A9=5,A9=6), IF(J9&lt;=0.08, "DENTRO DE RENDIMIENTO BASE", "EXCEDE RENDIMIENTO BASE"), IF(A9=7, IF(J9&lt;=0.07, "DENTRO DE RENDIMIENTO BASE", "EXCEDE RENDIMIENTO BASE"), IF(A9=8, IF(K9&lt;=0.22, "DENTRO DE RENDIMIENTO BASE", "EXCEDE RENDIMIENTO BASE"), IF(A9=9, IF(J9&lt;=0.075, "DENTRO DE RENDIMIENTO BASE", "EXCEDE RENDIMIENTO BASE"), "APOYO PUNTUAL")))))))</f>
        <v/>
      </c>
    </row>
    <row r="10" ht="19.5" customHeight="1" s="46">
      <c r="A10" s="12" t="n">
        <v>2</v>
      </c>
      <c r="B10" s="12" t="inlineStr">
        <is>
          <t>VG-01</t>
        </is>
      </c>
      <c r="C10" s="13" t="inlineStr">
        <is>
          <t>PAVIMENTADORA VÖGELE SUPER 1800-3i</t>
        </is>
      </c>
      <c r="D10" s="13" t="inlineStr">
        <is>
          <t>ERWIN CUTEÑO HERNANDEZ</t>
        </is>
      </c>
      <c r="E10" s="13" t="inlineStr">
        <is>
          <t>Tendido de Mezcla Asfáltica</t>
        </is>
      </c>
      <c r="F10" s="14">
        <f>$C$6</f>
        <v/>
      </c>
      <c r="G10" s="37">
        <f>$E$6</f>
        <v/>
      </c>
      <c r="H10" s="16">
        <f>G10*$E$4</f>
        <v/>
      </c>
      <c r="I10" s="37" t="n">
        <v>322</v>
      </c>
      <c r="J10" s="20">
        <f>IF(H10&gt;0, I10/H10, 0)</f>
        <v/>
      </c>
      <c r="K10" s="20">
        <f>IF(G10&gt;0, I10/G10, 0)</f>
        <v/>
      </c>
      <c r="L10" s="21" t="n">
        <v>16.24</v>
      </c>
      <c r="M10" s="22">
        <f>IF(L10&gt;0, I10/L10, 0)</f>
        <v/>
      </c>
      <c r="N10" s="12">
        <f>IF(I10=0, "SIN CONSUMO (Inactiva)", IF(A10=1, IF(K10&lt;=0.85, "DENTRO DE RENDIMIENTO BASE", "EXCEDE RENDIMIENTO BASE"), IF(A10=2, IF(J10&lt;=0.38, "DENTRO DE RENDIMIENTO BASE", "EXCEDE RENDIMIENTO BASE"), IF(OR(A10=3,A10=4,A10=5,A10=6), IF(J10&lt;=0.08, "DENTRO DE RENDIMIENTO BASE", "EXCEDE RENDIMIENTO BASE"), IF(A10=7, IF(J10&lt;=0.07, "DENTRO DE RENDIMIENTO BASE", "EXCEDE RENDIMIENTO BASE"), IF(A10=8, IF(K10&lt;=0.22, "DENTRO DE RENDIMIENTO BASE", "EXCEDE RENDIMIENTO BASE"), IF(A10=9, IF(J10&lt;=0.075, "DENTRO DE RENDIMIENTO BASE", "EXCEDE RENDIMIENTO BASE"), "APOYO PUNTUAL")))))))</f>
        <v/>
      </c>
    </row>
    <row r="11" ht="19.5" customHeight="1" s="46">
      <c r="A11" s="12" t="n">
        <v>3</v>
      </c>
      <c r="B11" s="12" t="inlineStr">
        <is>
          <t>DR-01</t>
        </is>
      </c>
      <c r="C11" s="13" t="inlineStr">
        <is>
          <t>COMPACTADOR TÁNDEM HAMM-HD120 VV</t>
        </is>
      </c>
      <c r="D11" s="13" t="inlineStr">
        <is>
          <t>JOEL ALBERTO RIVERA RIVAS</t>
        </is>
      </c>
      <c r="E11" s="13" t="inlineStr">
        <is>
          <t>Compactación Tándem Primaria</t>
        </is>
      </c>
      <c r="F11" s="14">
        <f>$C$6</f>
        <v/>
      </c>
      <c r="G11" s="37">
        <f>$E$6</f>
        <v/>
      </c>
      <c r="H11" s="16">
        <f>G11*$E$4</f>
        <v/>
      </c>
      <c r="I11" s="37" t="n">
        <v>117</v>
      </c>
      <c r="J11" s="20">
        <f>IF(H11&gt;0, I11/H11, 0)</f>
        <v/>
      </c>
      <c r="K11" s="20">
        <f>IF(G11&gt;0, I11/G11, 0)</f>
        <v/>
      </c>
      <c r="L11" s="21" t="n">
        <v>14.3</v>
      </c>
      <c r="M11" s="22">
        <f>IF(L11&gt;0, I11/L11, 0)</f>
        <v/>
      </c>
      <c r="N11" s="12">
        <f>IF(I11=0, "SIN CONSUMO (Inactiva)", IF(A11=1, IF(K11&lt;=0.85, "DENTRO DE RENDIMIENTO BASE", "EXCEDE RENDIMIENTO BASE"), IF(A11=2, IF(J11&lt;=0.38, "DENTRO DE RENDIMIENTO BASE", "EXCEDE RENDIMIENTO BASE"), IF(OR(A11=3,A11=4,A11=5,A11=6), IF(J11&lt;=0.08, "DENTRO DE RENDIMIENTO BASE", "EXCEDE RENDIMIENTO BASE"), IF(A11=7, IF(J11&lt;=0.07, "DENTRO DE RENDIMIENTO BASE", "EXCEDE RENDIMIENTO BASE"), IF(A11=8, IF(K11&lt;=0.22, "DENTRO DE RENDIMIENTO BASE", "EXCEDE RENDIMIENTO BASE"), IF(A11=9, IF(J11&lt;=0.075, "DENTRO DE RENDIMIENTO BASE", "EXCEDE RENDIMIENTO BASE"), "APOYO PUNTUAL")))))))</f>
        <v/>
      </c>
    </row>
    <row r="12" ht="19.5" customHeight="1" s="46">
      <c r="A12" s="12" t="n">
        <v>4</v>
      </c>
      <c r="B12" s="12" t="inlineStr">
        <is>
          <t>DR-02</t>
        </is>
      </c>
      <c r="C12" s="13" t="inlineStr">
        <is>
          <t>COMPACTADOR TÁNDEM HAMM-HD140</t>
        </is>
      </c>
      <c r="D12" s="13" t="inlineStr">
        <is>
          <t>ALEXIS RENDON DOMINGUEZ</t>
        </is>
      </c>
      <c r="E12" s="13" t="inlineStr">
        <is>
          <t>Compactación Tándem Pesada</t>
        </is>
      </c>
      <c r="F12" s="14">
        <f>$C$6</f>
        <v/>
      </c>
      <c r="G12" s="37">
        <f>$E$6</f>
        <v/>
      </c>
      <c r="H12" s="16">
        <f>G12*$E$4</f>
        <v/>
      </c>
      <c r="I12" s="37" t="n">
        <v>190</v>
      </c>
      <c r="J12" s="20">
        <f>IF(H12&gt;0, I12/H12, 0)</f>
        <v/>
      </c>
      <c r="K12" s="20">
        <f>IF(G12&gt;0, I12/G12, 0)</f>
        <v/>
      </c>
      <c r="L12" s="21" t="n">
        <v>14.3</v>
      </c>
      <c r="M12" s="22">
        <f>IF(L12&gt;0, I12/L12, 0)</f>
        <v/>
      </c>
      <c r="N12" s="12">
        <f>IF(I12=0, "SIN CONSUMO (Inactiva)", IF(A12=1, IF(K12&lt;=0.85, "DENTRO DE RENDIMIENTO BASE", "EXCEDE RENDIMIENTO BASE"), IF(A12=2, IF(J12&lt;=0.38, "DENTRO DE RENDIMIENTO BASE", "EXCEDE RENDIMIENTO BASE"), IF(OR(A12=3,A12=4,A12=5,A12=6), IF(J12&lt;=0.08, "DENTRO DE RENDIMIENTO BASE", "EXCEDE RENDIMIENTO BASE"), IF(A12=7, IF(J12&lt;=0.07, "DENTRO DE RENDIMIENTO BASE", "EXCEDE RENDIMIENTO BASE"), IF(A12=8, IF(K12&lt;=0.22, "DENTRO DE RENDIMIENTO BASE", "EXCEDE RENDIMIENTO BASE"), IF(A12=9, IF(J12&lt;=0.075, "DENTRO DE RENDIMIENTO BASE", "EXCEDE RENDIMIENTO BASE"), "APOYO PUNTUAL")))))))</f>
        <v/>
      </c>
    </row>
    <row r="13" ht="19.5" customHeight="1" s="46">
      <c r="A13" s="12" t="n">
        <v>5</v>
      </c>
      <c r="B13" s="12" t="inlineStr">
        <is>
          <t>NM-01</t>
        </is>
      </c>
      <c r="C13" s="13" t="inlineStr">
        <is>
          <t>COMPACTADOR NEUMÁTICO DYNAPAC CP271</t>
        </is>
      </c>
      <c r="D13" s="13" t="inlineStr">
        <is>
          <t>JOSE CARLOS ROMERO TELLEZ</t>
        </is>
      </c>
      <c r="E13" s="13" t="inlineStr">
        <is>
          <t>Compactación Neumática / Sellado</t>
        </is>
      </c>
      <c r="F13" s="14">
        <f>$C$6</f>
        <v/>
      </c>
      <c r="G13" s="37">
        <f>$E$6</f>
        <v/>
      </c>
      <c r="H13" s="16">
        <f>G13*$E$4</f>
        <v/>
      </c>
      <c r="I13" s="37" t="n">
        <v>324</v>
      </c>
      <c r="J13" s="20">
        <f>IF(H13&gt;0, I13/H13, 0)</f>
        <v/>
      </c>
      <c r="K13" s="20">
        <f>IF(G13&gt;0, I13/G13, 0)</f>
        <v/>
      </c>
      <c r="L13" s="21" t="n">
        <v>11.44</v>
      </c>
      <c r="M13" s="22">
        <f>IF(L13&gt;0, I13/L13, 0)</f>
        <v/>
      </c>
      <c r="N13" s="12">
        <f>IF(I13=0, "SIN CONSUMO (Inactiva)", IF(A13=1, IF(K13&lt;=0.85, "DENTRO DE RENDIMIENTO BASE", "EXCEDE RENDIMIENTO BASE"), IF(A13=2, IF(J13&lt;=0.38, "DENTRO DE RENDIMIENTO BASE", "EXCEDE RENDIMIENTO BASE"), IF(OR(A13=3,A13=4,A13=5,A13=6), IF(J13&lt;=0.08, "DENTRO DE RENDIMIENTO BASE", "EXCEDE RENDIMIENTO BASE"), IF(A13=7, IF(J13&lt;=0.07, "DENTRO DE RENDIMIENTO BASE", "EXCEDE RENDIMIENTO BASE"), IF(A13=8, IF(K13&lt;=0.22, "DENTRO DE RENDIMIENTO BASE", "EXCEDE RENDIMIENTO BASE"), IF(A13=9, IF(J13&lt;=0.075, "DENTRO DE RENDIMIENTO BASE", "EXCEDE RENDIMIENTO BASE"), "APOYO PUNTUAL")))))))</f>
        <v/>
      </c>
    </row>
    <row r="14" ht="19.5" customHeight="1" s="46">
      <c r="A14" s="12" t="n">
        <v>6</v>
      </c>
      <c r="B14" s="12" t="inlineStr">
        <is>
          <t>NM-09</t>
        </is>
      </c>
      <c r="C14" s="13" t="inlineStr">
        <is>
          <t>COMPACTADOR NEUMÁTICO HAMM 208</t>
        </is>
      </c>
      <c r="D14" s="13" t="inlineStr">
        <is>
          <t>NOLVIN DE JESUS PEREZ GOMEZ</t>
        </is>
      </c>
      <c r="E14" s="13" t="inlineStr">
        <is>
          <t>Compactación Neumática / Acabado</t>
        </is>
      </c>
      <c r="F14" s="14">
        <f>$C$6</f>
        <v/>
      </c>
      <c r="G14" s="37">
        <f>$E$6</f>
        <v/>
      </c>
      <c r="H14" s="16">
        <f>G14*$E$4</f>
        <v/>
      </c>
      <c r="I14" s="37" t="n">
        <v>0</v>
      </c>
      <c r="J14" s="20">
        <f>IF(H14&gt;0, I14/H14, 0)</f>
        <v/>
      </c>
      <c r="K14" s="20">
        <f>IF(G14&gt;0, I14/G14, 0)</f>
        <v/>
      </c>
      <c r="L14" s="21" t="n">
        <v>10.96</v>
      </c>
      <c r="M14" s="22">
        <f>IF(L14&gt;0, I14/L14, 0)</f>
        <v/>
      </c>
      <c r="N14" s="12">
        <f>IF(I14=0, "SIN CONSUMO (Inactiva)", IF(A14=1, IF(K14&lt;=0.85, "DENTRO DE RENDIMIENTO BASE", "EXCEDE RENDIMIENTO BASE"), IF(A14=2, IF(J14&lt;=0.38, "DENTRO DE RENDIMIENTO BASE", "EXCEDE RENDIMIENTO BASE"), IF(OR(A14=3,A14=4,A14=5,A14=6), IF(J14&lt;=0.08, "DENTRO DE RENDIMIENTO BASE", "EXCEDE RENDIMIENTO BASE"), IF(A14=7, IF(J14&lt;=0.07, "DENTRO DE RENDIMIENTO BASE", "EXCEDE RENDIMIENTO BASE"), IF(A14=8, IF(K14&lt;=0.22, "DENTRO DE RENDIMIENTO BASE", "EXCEDE RENDIMIENTO BASE"), IF(A14=9, IF(J14&lt;=0.075, "DENTRO DE RENDIMIENTO BASE", "EXCEDE RENDIMIENTO BASE"), "APOYO PUNTUAL")))))))</f>
        <v/>
      </c>
    </row>
    <row r="15" ht="19.5" customHeight="1" s="46">
      <c r="A15" s="12" t="n">
        <v>7</v>
      </c>
      <c r="B15" s="12" t="inlineStr">
        <is>
          <t>BR-01</t>
        </is>
      </c>
      <c r="C15" s="13" t="inlineStr">
        <is>
          <t>BARREDORA INDUSTRIAL BROCE BROOM-350</t>
        </is>
      </c>
      <c r="D15" s="13" t="inlineStr">
        <is>
          <t>EDGAR ROSALES MARTINEZ</t>
        </is>
      </c>
      <c r="E15" s="13" t="inlineStr">
        <is>
          <t>Limpieza y Barrido Previo</t>
        </is>
      </c>
      <c r="F15" s="14">
        <f>$C$6</f>
        <v/>
      </c>
      <c r="G15" s="37">
        <f>$E$6</f>
        <v/>
      </c>
      <c r="H15" s="16">
        <f>G15*$E$4</f>
        <v/>
      </c>
      <c r="I15" s="37" t="n">
        <v>50</v>
      </c>
      <c r="J15" s="20">
        <f>IF(H15&gt;0, I15/H15, 0)</f>
        <v/>
      </c>
      <c r="K15" s="20">
        <f>IF(G15&gt;0, I15/G15, 0)</f>
        <v/>
      </c>
      <c r="L15" s="21" t="n">
        <v>8.94</v>
      </c>
      <c r="M15" s="22">
        <f>IF(L15&gt;0, I15/L15, 0)</f>
        <v/>
      </c>
      <c r="N15" s="12">
        <f>IF(I15=0, "SIN CONSUMO (Inactiva)", IF(A15=1, IF(K15&lt;=0.85, "DENTRO DE RENDIMIENTO BASE", "EXCEDE RENDIMIENTO BASE"), IF(A15=2, IF(J15&lt;=0.38, "DENTRO DE RENDIMIENTO BASE", "EXCEDE RENDIMIENTO BASE"), IF(OR(A15=3,A15=4,A15=5,A15=6), IF(J15&lt;=0.08, "DENTRO DE RENDIMIENTO BASE", "EXCEDE RENDIMIENTO BASE"), IF(A15=7, IF(J15&lt;=0.07, "DENTRO DE RENDIMIENTO BASE", "EXCEDE RENDIMIENTO BASE"), IF(A15=8, IF(K15&lt;=0.22, "DENTRO DE RENDIMIENTO BASE", "EXCEDE RENDIMIENTO BASE"), IF(A15=9, IF(J15&lt;=0.075, "DENTRO DE RENDIMIENTO BASE", "EXCEDE RENDIMIENTO BASE"), "APOYO PUNTUAL")))))))</f>
        <v/>
      </c>
    </row>
    <row r="16" ht="19.5" customHeight="1" s="46">
      <c r="A16" s="12" t="n">
        <v>8</v>
      </c>
      <c r="B16" s="12" t="inlineStr">
        <is>
          <t>RT-05</t>
        </is>
      </c>
      <c r="C16" s="13" t="inlineStr">
        <is>
          <t>RETROEXCAVADORA JOHN DEERE 310SK</t>
        </is>
      </c>
      <c r="D16" s="13" t="inlineStr">
        <is>
          <t>ADOLFO NAVA LOPEZ</t>
        </is>
      </c>
      <c r="E16" s="13" t="inlineStr">
        <is>
          <t>Carga Fresado y Derrumbes</t>
        </is>
      </c>
      <c r="F16" s="14">
        <f>$C$5</f>
        <v/>
      </c>
      <c r="G16" s="37">
        <f>$E$5</f>
        <v/>
      </c>
      <c r="H16" s="18" t="inlineStr">
        <is>
          <t>-</t>
        </is>
      </c>
      <c r="I16" s="37" t="n">
        <v>258</v>
      </c>
      <c r="J16" s="19" t="inlineStr">
        <is>
          <t>-</t>
        </is>
      </c>
      <c r="K16" s="20">
        <f>IF(G16&gt;0, I16/G16, 0)</f>
        <v/>
      </c>
      <c r="L16" s="21" t="n">
        <v>7.44</v>
      </c>
      <c r="M16" s="22">
        <f>IF(L16&gt;0, I16/L16, 0)</f>
        <v/>
      </c>
      <c r="N16" s="12">
        <f>IF(I16=0, "SIN CONSUMO (Inactiva)", IF(A16=1, IF(K16&lt;=0.85, "DENTRO DE RENDIMIENTO BASE", "EXCEDE RENDIMIENTO BASE"), IF(A16=2, IF(J16&lt;=0.38, "DENTRO DE RENDIMIENTO BASE", "EXCEDE RENDIMIENTO BASE"), IF(OR(A16=3,A16=4,A16=5,A16=6), IF(J16&lt;=0.08, "DENTRO DE RENDIMIENTO BASE", "EXCEDE RENDIMIENTO BASE"), IF(A16=7, IF(J16&lt;=0.07, "DENTRO DE RENDIMIENTO BASE", "EXCEDE RENDIMIENTO BASE"), IF(A16=8, IF(K16&lt;=0.22, "DENTRO DE RENDIMIENTO BASE", "EXCEDE RENDIMIENTO BASE"), IF(A16=9, IF(J16&lt;=0.075, "DENTRO DE RENDIMIENTO BASE", "EXCEDE RENDIMIENTO BASE"), "APOYO PUNTUAL")))))))</f>
        <v/>
      </c>
    </row>
    <row r="17" ht="19.5" customHeight="1" s="46">
      <c r="A17" s="12" t="n">
        <v>9</v>
      </c>
      <c r="B17" s="12" t="inlineStr">
        <is>
          <t>PT-01</t>
        </is>
      </c>
      <c r="C17" s="13" t="inlineStr">
        <is>
          <t>PETROLIZADORA INTERNATIONAL / FORD F800</t>
        </is>
      </c>
      <c r="D17" s="13" t="inlineStr">
        <is>
          <t>ELTHON EDUARDO MARTINEZ GOMORA</t>
        </is>
      </c>
      <c r="E17" s="13" t="inlineStr">
        <is>
          <t>Riego de Liga / Emulsión</t>
        </is>
      </c>
      <c r="F17" s="14">
        <f>$C$6</f>
        <v/>
      </c>
      <c r="G17" s="37">
        <f>$E$6</f>
        <v/>
      </c>
      <c r="H17" s="16">
        <f>G17*$E$4</f>
        <v/>
      </c>
      <c r="I17" s="37" t="n">
        <v>100</v>
      </c>
      <c r="J17" s="20">
        <f>IF(H17&gt;0, I17/H17, 0)</f>
        <v/>
      </c>
      <c r="K17" s="20">
        <f>IF(G17&gt;0, I17/G17, 0)</f>
        <v/>
      </c>
      <c r="L17" s="21" t="n">
        <v>12.76</v>
      </c>
      <c r="M17" s="22">
        <f>IF(L17&gt;0, I17/L17, 0)</f>
        <v/>
      </c>
      <c r="N17" s="12">
        <f>IF(I17=0, "SIN CONSUMO (Inactiva)", IF(A17=1, IF(K17&lt;=0.85, "DENTRO DE RENDIMIENTO BASE", "EXCEDE RENDIMIENTO BASE"), IF(A17=2, IF(J17&lt;=0.38, "DENTRO DE RENDIMIENTO BASE", "EXCEDE RENDIMIENTO BASE"), IF(OR(A17=3,A17=4,A17=5,A17=6), IF(J17&lt;=0.08, "DENTRO DE RENDIMIENTO BASE", "EXCEDE RENDIMIENTO BASE"), IF(A17=7, IF(J17&lt;=0.07, "DENTRO DE RENDIMIENTO BASE", "EXCEDE RENDIMIENTO BASE"), IF(A17=8, IF(K17&lt;=0.22, "DENTRO DE RENDIMIENTO BASE", "EXCEDE RENDIMIENTO BASE"), IF(A17=9, IF(J17&lt;=0.075, "DENTRO DE RENDIMIENTO BASE", "EXCEDE RENDIMIENTO BASE"), "APOYO PUNTUAL")))))))</f>
        <v/>
      </c>
    </row>
    <row r="18" ht="19.5" customHeight="1" s="46">
      <c r="A18" s="12" t="n">
        <v>10</v>
      </c>
      <c r="B18" s="12" t="inlineStr">
        <is>
          <t>CPR-01</t>
        </is>
      </c>
      <c r="C18" s="13" t="inlineStr">
        <is>
          <t>COMPRESOR DE AIRE INGERSOLL RAND IR185</t>
        </is>
      </c>
      <c r="D18" s="13" t="inlineStr">
        <is>
          <t>CUADRILLA DE LIMPIEZA</t>
        </is>
      </c>
      <c r="E18" s="13" t="inlineStr">
        <is>
          <t>Sopleteado de Juntas</t>
        </is>
      </c>
      <c r="F18" s="14" t="n">
        <v>0</v>
      </c>
      <c r="G18" s="37" t="n">
        <v>0</v>
      </c>
      <c r="H18" s="16" t="n">
        <v>0</v>
      </c>
      <c r="I18" s="37" t="n">
        <v>0</v>
      </c>
      <c r="J18" s="20" t="n">
        <v>0</v>
      </c>
      <c r="K18" s="20" t="n">
        <v>0</v>
      </c>
      <c r="L18" s="21" t="n">
        <v>9.970000000000001</v>
      </c>
      <c r="M18" s="22">
        <f>IF(L18&gt;0, I18/L18, 0)</f>
        <v/>
      </c>
      <c r="N18" s="12">
        <f>IF(I18=0, "SIN CONSUMO (Inactiva)", IF(A18=1, IF(K18&lt;=0.85, "DENTRO DE RENDIMIENTO BASE", "EXCEDE RENDIMIENTO BASE"), IF(A18=2, IF(J18&lt;=0.38, "DENTRO DE RENDIMIENTO BASE", "EXCEDE RENDIMIENTO BASE"), IF(OR(A18=3,A18=4,A18=5,A18=6), IF(J18&lt;=0.08, "DENTRO DE RENDIMIENTO BASE", "EXCEDE RENDIMIENTO BASE"), IF(A18=7, IF(J18&lt;=0.07, "DENTRO DE RENDIMIENTO BASE", "EXCEDE RENDIMIENTO BASE"), IF(A18=8, IF(K18&lt;=0.22, "DENTRO DE RENDIMIENTO BASE", "EXCEDE RENDIMIENTO BASE"), IF(A18=9, IF(J18&lt;=0.075, "DENTRO DE RENDIMIENTO BASE", "EXCEDE RENDIMIENTO BASE"), "APOYO PUNTUAL")))))))</f>
        <v/>
      </c>
    </row>
    <row r="19" ht="19.5" customHeight="1" s="46">
      <c r="A19" s="12" t="n">
        <v>11</v>
      </c>
      <c r="B19" s="12" t="inlineStr">
        <is>
          <t>PP-01</t>
        </is>
      </c>
      <c r="C19" s="13" t="inlineStr">
        <is>
          <t>CAMIÓN IMPACTO / PIPA DE AGUA FORD</t>
        </is>
      </c>
      <c r="D19" s="13" t="inlineStr">
        <is>
          <t>CUADRILLA DE AGUA</t>
        </is>
      </c>
      <c r="E19" s="13" t="inlineStr">
        <is>
          <t>Enfriamiento Rodillos / Riego</t>
        </is>
      </c>
      <c r="F19" s="14" t="n">
        <v>0</v>
      </c>
      <c r="G19" s="37" t="n">
        <v>0</v>
      </c>
      <c r="H19" s="16" t="n">
        <v>0</v>
      </c>
      <c r="I19" s="37" t="n">
        <v>50</v>
      </c>
      <c r="J19" s="20" t="n">
        <v>0</v>
      </c>
      <c r="K19" s="20" t="n">
        <v>0</v>
      </c>
      <c r="L19" s="21" t="n">
        <v>3.03</v>
      </c>
      <c r="M19" s="22">
        <f>IF(L19&gt;0, I19/L19, 0)</f>
        <v/>
      </c>
      <c r="N19" s="12">
        <f>IF(I19=0, "SIN CONSUMO (Inactiva)", IF(A19=1, IF(K19&lt;=0.85, "DENTRO DE RENDIMIENTO BASE", "EXCEDE RENDIMIENTO BASE"), IF(A19=2, IF(J19&lt;=0.38, "DENTRO DE RENDIMIENTO BASE", "EXCEDE RENDIMIENTO BASE"), IF(OR(A19=3,A19=4,A19=5,A19=6), IF(J19&lt;=0.08, "DENTRO DE RENDIMIENTO BASE", "EXCEDE RENDIMIENTO BASE"), IF(A19=7, IF(J19&lt;=0.07, "DENTRO DE RENDIMIENTO BASE", "EXCEDE RENDIMIENTO BASE"), IF(A19=8, IF(K19&lt;=0.22, "DENTRO DE RENDIMIENTO BASE", "EXCEDE RENDIMIENTO BASE"), IF(A19=9, IF(J19&lt;=0.075, "DENTRO DE RENDIMIENTO BASE", "EXCEDE RENDIMIENTO BASE"), "APOYO PUNTUAL")))))))</f>
        <v/>
      </c>
    </row>
    <row r="20" ht="19.5" customHeight="1" s="46">
      <c r="A20" s="12" t="n">
        <v>12</v>
      </c>
      <c r="B20" s="12" t="inlineStr">
        <is>
          <t>TL-01</t>
        </is>
      </c>
      <c r="C20" s="13" t="inlineStr">
        <is>
          <t>TORRE DE LUZ MAXILIGHT 4X1000W</t>
        </is>
      </c>
      <c r="D20" s="13" t="inlineStr">
        <is>
          <t>CUADRILLA NOCTURNA</t>
        </is>
      </c>
      <c r="E20" s="13" t="inlineStr">
        <is>
          <t>Iluminación Nocturna</t>
        </is>
      </c>
      <c r="F20" s="14" t="n">
        <v>0</v>
      </c>
      <c r="G20" s="37" t="n">
        <v>0</v>
      </c>
      <c r="H20" s="16" t="n">
        <v>0</v>
      </c>
      <c r="I20" s="37" t="n">
        <v>0</v>
      </c>
      <c r="J20" s="20" t="n">
        <v>0</v>
      </c>
      <c r="K20" s="20" t="n">
        <v>0</v>
      </c>
      <c r="L20" s="21" t="n">
        <v>2.41</v>
      </c>
      <c r="M20" s="22">
        <f>IF(L20&gt;0, I20/L20, 0)</f>
        <v/>
      </c>
      <c r="N20" s="12">
        <f>IF(I20=0, "SIN CONSUMO (Inactiva)", IF(A20=1, IF(K20&lt;=0.85, "DENTRO DE RENDIMIENTO BASE", "EXCEDE RENDIMIENTO BASE"), IF(A20=2, IF(J20&lt;=0.38, "DENTRO DE RENDIMIENTO BASE", "EXCEDE RENDIMIENTO BASE"), IF(OR(A20=3,A20=4,A20=5,A20=6), IF(J20&lt;=0.08, "DENTRO DE RENDIMIENTO BASE", "EXCEDE RENDIMIENTO BASE"), IF(A20=7, IF(J20&lt;=0.07, "DENTRO DE RENDIMIENTO BASE", "EXCEDE RENDIMIENTO BASE"), IF(A20=8, IF(K20&lt;=0.22, "DENTRO DE RENDIMIENTO BASE", "EXCEDE RENDIMIENTO BASE"), IF(A20=9, IF(J20&lt;=0.075, "DENTRO DE RENDIMIENTO BASE", "EXCEDE RENDIMIENTO BASE"), "APOYO PUNTUAL")))))))</f>
        <v/>
      </c>
    </row>
    <row r="21" ht="21.75" customHeight="1" s="46">
      <c r="A21" s="30" t="inlineStr">
        <is>
          <t>TOTAL SEMANA 26 (OBRA CARRETERA MÉXICO-TOLUCA)</t>
        </is>
      </c>
      <c r="B21" s="50" t="n"/>
      <c r="C21" s="50" t="n"/>
      <c r="D21" s="50" t="n"/>
      <c r="E21" s="51" t="n"/>
      <c r="F21" s="26">
        <f>C5+C6</f>
        <v/>
      </c>
      <c r="G21" s="27">
        <f>E5+E6</f>
        <v/>
      </c>
      <c r="H21" s="28">
        <f>G6</f>
        <v/>
      </c>
      <c r="I21" s="27">
        <f>SUM(I9:I20)</f>
        <v/>
      </c>
      <c r="J21" s="29">
        <f>IF(H21&gt;0, I21/H21, 0)</f>
        <v/>
      </c>
      <c r="K21" s="29">
        <f>IF(G21&gt;0, I21/G21, 0)</f>
        <v/>
      </c>
      <c r="L21" s="30" t="inlineStr">
        <is>
          <t>—</t>
        </is>
      </c>
      <c r="M21" s="31">
        <f>SUM(M9:M20)</f>
        <v/>
      </c>
      <c r="N21" s="30" t="inlineStr">
        <is>
          <t>SEMANA REGISTRADA</t>
        </is>
      </c>
    </row>
    <row r="22" ht="15.75" customHeight="1" s="46"/>
    <row r="23" ht="15.75" customHeight="1" s="46"/>
    <row r="24" ht="24" customHeight="1" s="46">
      <c r="A24" s="96" t="inlineStr">
        <is>
          <t>DESGLOSE DIARIO DE COMBUSTIBLE, VOLUMEN, TONELAJE Y RENDIMIENTO — SEMANA 26</t>
        </is>
      </c>
    </row>
    <row r="25" ht="19.5" customHeight="1" s="46">
      <c r="A25" s="48" t="inlineStr">
        <is>
          <t>DATOS DEL EQUIPO</t>
        </is>
      </c>
      <c r="F25" s="48" t="inlineStr">
        <is>
          <t>LUNES</t>
        </is>
      </c>
      <c r="J25" s="48" t="inlineStr">
        <is>
          <t>MARTES</t>
        </is>
      </c>
      <c r="N25" s="48" t="inlineStr">
        <is>
          <t>MIÉRCOLES</t>
        </is>
      </c>
      <c r="R25" s="48" t="inlineStr">
        <is>
          <t>JUEVES</t>
        </is>
      </c>
      <c r="V25" s="48" t="inlineStr">
        <is>
          <t>VIERNES</t>
        </is>
      </c>
      <c r="Z25" s="48" t="inlineStr">
        <is>
          <t>SÁBADO</t>
        </is>
      </c>
      <c r="AD25" s="97" t="inlineStr">
        <is>
          <t>TOTAL SEMANAL</t>
        </is>
      </c>
    </row>
    <row r="26" ht="25.5" customHeight="1" s="46">
      <c r="A26" s="34" t="inlineStr">
        <is>
          <t>No.</t>
        </is>
      </c>
      <c r="B26" s="34" t="inlineStr">
        <is>
          <t>Económico</t>
        </is>
      </c>
      <c r="C26" s="34" t="inlineStr">
        <is>
          <t>Equipo / Maquinaria</t>
        </is>
      </c>
      <c r="D26" s="34" t="inlineStr">
        <is>
          <t>Operador Asignado</t>
        </is>
      </c>
      <c r="E26" s="34" t="inlineStr">
        <is>
          <t>Concepto de Trabajo</t>
        </is>
      </c>
      <c r="F26" s="34" t="inlineStr">
        <is>
          <t>Diésel (L)</t>
        </is>
      </c>
      <c r="G26" s="34" t="inlineStr">
        <is>
          <t>Volumen (m³)</t>
        </is>
      </c>
      <c r="H26" s="34" t="inlineStr">
        <is>
          <t>Toneladas (Ton)</t>
        </is>
      </c>
      <c r="I26" s="34" t="inlineStr">
        <is>
          <t>Rendimiento Real</t>
        </is>
      </c>
      <c r="J26" s="34" t="inlineStr">
        <is>
          <t>Diésel (L)</t>
        </is>
      </c>
      <c r="K26" s="34" t="inlineStr">
        <is>
          <t>Volumen (m³)</t>
        </is>
      </c>
      <c r="L26" s="34" t="inlineStr">
        <is>
          <t>Toneladas (Ton)</t>
        </is>
      </c>
      <c r="M26" s="34" t="inlineStr">
        <is>
          <t>Rendimiento Real</t>
        </is>
      </c>
      <c r="N26" s="34" t="inlineStr">
        <is>
          <t>Diésel (L)</t>
        </is>
      </c>
      <c r="O26" s="34" t="inlineStr">
        <is>
          <t>Volumen (m³)</t>
        </is>
      </c>
      <c r="P26" s="34" t="inlineStr">
        <is>
          <t>Toneladas (Ton)</t>
        </is>
      </c>
      <c r="Q26" s="34" t="inlineStr">
        <is>
          <t>Rendimiento Real</t>
        </is>
      </c>
      <c r="R26" s="34" t="inlineStr">
        <is>
          <t>Diésel (L)</t>
        </is>
      </c>
      <c r="S26" s="34" t="inlineStr">
        <is>
          <t>Volumen (m³)</t>
        </is>
      </c>
      <c r="T26" s="34" t="inlineStr">
        <is>
          <t>Toneladas (Ton)</t>
        </is>
      </c>
      <c r="U26" s="34" t="inlineStr">
        <is>
          <t>Rendimiento Real</t>
        </is>
      </c>
      <c r="V26" s="34" t="inlineStr">
        <is>
          <t>Diésel (L)</t>
        </is>
      </c>
      <c r="W26" s="34" t="inlineStr">
        <is>
          <t>Volumen (m³)</t>
        </is>
      </c>
      <c r="X26" s="34" t="inlineStr">
        <is>
          <t>Toneladas (Ton)</t>
        </is>
      </c>
      <c r="Y26" s="34" t="inlineStr">
        <is>
          <t>Rendimiento Real</t>
        </is>
      </c>
      <c r="Z26" s="34" t="inlineStr">
        <is>
          <t>Diésel (L)</t>
        </is>
      </c>
      <c r="AA26" s="34" t="inlineStr">
        <is>
          <t>Volumen (m³)</t>
        </is>
      </c>
      <c r="AB26" s="34" t="inlineStr">
        <is>
          <t>Toneladas (Ton)</t>
        </is>
      </c>
      <c r="AC26" s="34" t="inlineStr">
        <is>
          <t>Rendimiento Real</t>
        </is>
      </c>
      <c r="AD26" s="35" t="inlineStr">
        <is>
          <t>Total Diésel (L)</t>
        </is>
      </c>
      <c r="AE26" s="35" t="inlineStr">
        <is>
          <t>Total Vol (m³)</t>
        </is>
      </c>
      <c r="AF26" s="35" t="inlineStr">
        <is>
          <t>Total Ton (Ton)</t>
        </is>
      </c>
      <c r="AG26" s="35" t="inlineStr">
        <is>
          <t>Rend. Promedio</t>
        </is>
      </c>
    </row>
    <row r="27" ht="18.75" customHeight="1" s="46">
      <c r="A27" s="12" t="n">
        <v>1</v>
      </c>
      <c r="B27" s="12" t="inlineStr">
        <is>
          <t>PRR-01</t>
        </is>
      </c>
      <c r="C27" s="13" t="inlineStr">
        <is>
          <t>PERFILADORA WIRTGEN W200i</t>
        </is>
      </c>
      <c r="D27" s="13" t="inlineStr">
        <is>
          <t>JAVIER PAREDES CORTE</t>
        </is>
      </c>
      <c r="E27" s="13" t="inlineStr">
        <is>
          <t>Fresado de Pavimento</t>
        </is>
      </c>
      <c r="F27" s="37" t="n">
        <v>250</v>
      </c>
      <c r="G27" s="37" t="n">
        <v>161</v>
      </c>
      <c r="H27" s="16">
        <f>G27*$E$4</f>
        <v/>
      </c>
      <c r="I27" s="20">
        <f>IF(G27&gt;0, F27/G27, 0)</f>
        <v/>
      </c>
      <c r="J27" s="37" t="n">
        <v>296</v>
      </c>
      <c r="K27" s="37" t="n">
        <v>7</v>
      </c>
      <c r="L27" s="16">
        <f>K27*$E$4</f>
        <v/>
      </c>
      <c r="M27" s="20">
        <f>IF(K27&gt;0, J27/K27, 0)</f>
        <v/>
      </c>
      <c r="N27" s="37" t="n">
        <v>200</v>
      </c>
      <c r="O27" s="37" t="n">
        <v>273</v>
      </c>
      <c r="P27" s="16">
        <f>O27*$E$4</f>
        <v/>
      </c>
      <c r="Q27" s="20">
        <f>IF(O27&gt;0, N27/O27, 0)</f>
        <v/>
      </c>
      <c r="R27" s="37" t="n">
        <v>0</v>
      </c>
      <c r="S27" s="37" t="n">
        <v>77</v>
      </c>
      <c r="T27" s="16">
        <f>S27*$E$4</f>
        <v/>
      </c>
      <c r="U27" s="20">
        <f>IF(S27&gt;0, R27/S27, 0)</f>
        <v/>
      </c>
      <c r="V27" s="37" t="n">
        <v>529</v>
      </c>
      <c r="W27" s="37" t="n">
        <v>217</v>
      </c>
      <c r="X27" s="16">
        <f>W27*$E$4</f>
        <v/>
      </c>
      <c r="Y27" s="20">
        <f>IF(W27&gt;0, V27/W27, 0)</f>
        <v/>
      </c>
      <c r="Z27" s="37" t="n">
        <v>118</v>
      </c>
      <c r="AA27" s="37" t="n">
        <v>294</v>
      </c>
      <c r="AB27" s="16">
        <f>AA27*$E$4</f>
        <v/>
      </c>
      <c r="AC27" s="20">
        <f>IF(AA27&gt;0, Z27/AA27, 0)</f>
        <v/>
      </c>
      <c r="AD27" s="37">
        <f>F27+J27+N27+R27+V27+Z27</f>
        <v/>
      </c>
      <c r="AE27" s="37">
        <f>G27+K27+O27+S27+W27+AA27</f>
        <v/>
      </c>
      <c r="AF27" s="16">
        <f>H27+L27+P27+T27+X27+AB27</f>
        <v/>
      </c>
      <c r="AG27" s="20">
        <f>IF(AE27&gt;0, AD27/AE27, 0)</f>
        <v/>
      </c>
    </row>
    <row r="28" ht="18.75" customHeight="1" s="46">
      <c r="A28" s="12" t="n">
        <v>2</v>
      </c>
      <c r="B28" s="12" t="inlineStr">
        <is>
          <t>VG-01</t>
        </is>
      </c>
      <c r="C28" s="13" t="inlineStr">
        <is>
          <t>PAVIMENTADORA VÖGELE SUPER 1800-3i</t>
        </is>
      </c>
      <c r="D28" s="13" t="inlineStr">
        <is>
          <t>ERWIN CUTEÑO HERNANDEZ</t>
        </is>
      </c>
      <c r="E28" s="13" t="inlineStr">
        <is>
          <t>Tendido de Mezcla Asfáltica</t>
        </is>
      </c>
      <c r="F28" s="37" t="n">
        <v>106</v>
      </c>
      <c r="G28" s="37" t="n">
        <v>112</v>
      </c>
      <c r="H28" s="16">
        <f>G28*$E$4</f>
        <v/>
      </c>
      <c r="I28" s="20">
        <f>IF(H28&gt;0, F28/H28, 0)</f>
        <v/>
      </c>
      <c r="J28" s="37" t="n">
        <v>20</v>
      </c>
      <c r="K28" s="37" t="n">
        <v>196</v>
      </c>
      <c r="L28" s="16">
        <f>K28*$E$4</f>
        <v/>
      </c>
      <c r="M28" s="20">
        <f>IF(L28&gt;0, J28/L28, 0)</f>
        <v/>
      </c>
      <c r="N28" s="37" t="n">
        <v>76</v>
      </c>
      <c r="O28" s="37" t="n">
        <v>0</v>
      </c>
      <c r="P28" s="16">
        <f>O28*$E$4</f>
        <v/>
      </c>
      <c r="Q28" s="20">
        <f>IF(P28&gt;0, N28/P28, 0)</f>
        <v/>
      </c>
      <c r="R28" s="37" t="n">
        <v>0</v>
      </c>
      <c r="S28" s="37" t="n">
        <v>135</v>
      </c>
      <c r="T28" s="16">
        <f>S28*$E$4</f>
        <v/>
      </c>
      <c r="U28" s="20">
        <f>IF(T28&gt;0, R28/T28, 0)</f>
        <v/>
      </c>
      <c r="V28" s="37" t="n">
        <v>120</v>
      </c>
      <c r="W28" s="37" t="n">
        <v>140</v>
      </c>
      <c r="X28" s="16">
        <f>W28*$E$4</f>
        <v/>
      </c>
      <c r="Y28" s="20">
        <f>IF(X28&gt;0, V28/X28, 0)</f>
        <v/>
      </c>
      <c r="Z28" s="37" t="n">
        <v>0</v>
      </c>
      <c r="AA28" s="37" t="n">
        <v>0</v>
      </c>
      <c r="AB28" s="16">
        <f>AA28*$E$4</f>
        <v/>
      </c>
      <c r="AC28" s="20">
        <f>IF(AB28&gt;0, Z28/AB28, 0)</f>
        <v/>
      </c>
      <c r="AD28" s="37">
        <f>F28+J28+N28+R28+V28+Z28</f>
        <v/>
      </c>
      <c r="AE28" s="37">
        <f>G28+K28+O28+S28+W28+AA28</f>
        <v/>
      </c>
      <c r="AF28" s="16">
        <f>H28+L28+P28+T28+X28+AB28</f>
        <v/>
      </c>
      <c r="AG28" s="20">
        <f>IF(AF28&gt;0, AD28/AF28, 0)</f>
        <v/>
      </c>
    </row>
    <row r="29" ht="18.75" customHeight="1" s="46">
      <c r="A29" s="12" t="n">
        <v>3</v>
      </c>
      <c r="B29" s="12" t="inlineStr">
        <is>
          <t>DR-01</t>
        </is>
      </c>
      <c r="C29" s="13" t="inlineStr">
        <is>
          <t>COMPACTADOR TÁNDEM HAMM-HD120 VV</t>
        </is>
      </c>
      <c r="D29" s="13" t="inlineStr">
        <is>
          <t>JOEL ALBERTO RIVERA RIVAS</t>
        </is>
      </c>
      <c r="E29" s="13" t="inlineStr">
        <is>
          <t>Compactación Tándem Primaria</t>
        </is>
      </c>
      <c r="F29" s="37" t="n">
        <v>50</v>
      </c>
      <c r="G29" s="37" t="n">
        <v>112</v>
      </c>
      <c r="H29" s="16">
        <f>G29*$E$4</f>
        <v/>
      </c>
      <c r="I29" s="20">
        <f>IF(H29&gt;0, F29/H29, 0)</f>
        <v/>
      </c>
      <c r="J29" s="37" t="n">
        <v>0</v>
      </c>
      <c r="K29" s="37" t="n">
        <v>196</v>
      </c>
      <c r="L29" s="16">
        <f>K29*$E$4</f>
        <v/>
      </c>
      <c r="M29" s="20">
        <f>IF(L29&gt;0, J29/L29, 0)</f>
        <v/>
      </c>
      <c r="N29" s="37" t="n">
        <v>35</v>
      </c>
      <c r="O29" s="37" t="n">
        <v>0</v>
      </c>
      <c r="P29" s="16">
        <f>O29*$E$4</f>
        <v/>
      </c>
      <c r="Q29" s="20">
        <f>IF(P29&gt;0, N29/P29, 0)</f>
        <v/>
      </c>
      <c r="R29" s="37" t="n">
        <v>0</v>
      </c>
      <c r="S29" s="37" t="n">
        <v>135</v>
      </c>
      <c r="T29" s="16">
        <f>S29*$E$4</f>
        <v/>
      </c>
      <c r="U29" s="20">
        <f>IF(T29&gt;0, R29/T29, 0)</f>
        <v/>
      </c>
      <c r="V29" s="37" t="n">
        <v>32</v>
      </c>
      <c r="W29" s="37" t="n">
        <v>140</v>
      </c>
      <c r="X29" s="16">
        <f>W29*$E$4</f>
        <v/>
      </c>
      <c r="Y29" s="20">
        <f>IF(X29&gt;0, V29/X29, 0)</f>
        <v/>
      </c>
      <c r="Z29" s="37" t="n">
        <v>0</v>
      </c>
      <c r="AA29" s="37" t="n">
        <v>0</v>
      </c>
      <c r="AB29" s="16">
        <f>AA29*$E$4</f>
        <v/>
      </c>
      <c r="AC29" s="20">
        <f>IF(AB29&gt;0, Z29/AB29, 0)</f>
        <v/>
      </c>
      <c r="AD29" s="37">
        <f>F29+J29+N29+R29+V29+Z29</f>
        <v/>
      </c>
      <c r="AE29" s="37">
        <f>G29+K29+O29+S29+W29+AA29</f>
        <v/>
      </c>
      <c r="AF29" s="16">
        <f>H29+L29+P29+T29+X29+AB29</f>
        <v/>
      </c>
      <c r="AG29" s="20">
        <f>IF(AF29&gt;0, AD29/AF29, 0)</f>
        <v/>
      </c>
    </row>
    <row r="30" ht="18.75" customHeight="1" s="46">
      <c r="A30" s="12" t="n">
        <v>4</v>
      </c>
      <c r="B30" s="12" t="inlineStr">
        <is>
          <t>DR-02</t>
        </is>
      </c>
      <c r="C30" s="13" t="inlineStr">
        <is>
          <t>COMPACTADOR TÁNDEM HAMM-HD140</t>
        </is>
      </c>
      <c r="D30" s="13" t="inlineStr">
        <is>
          <t>ALEXIS RENDON DOMINGUEZ</t>
        </is>
      </c>
      <c r="E30" s="13" t="inlineStr">
        <is>
          <t>Compactación Tándem Pesada</t>
        </is>
      </c>
      <c r="F30" s="37" t="n">
        <v>0</v>
      </c>
      <c r="G30" s="37" t="n">
        <v>112</v>
      </c>
      <c r="H30" s="16">
        <f>G30*$E$4</f>
        <v/>
      </c>
      <c r="I30" s="20">
        <f>IF(H30&gt;0, F30/H30, 0)</f>
        <v/>
      </c>
      <c r="J30" s="37" t="n">
        <v>0</v>
      </c>
      <c r="K30" s="37" t="n">
        <v>196</v>
      </c>
      <c r="L30" s="16">
        <f>K30*$E$4</f>
        <v/>
      </c>
      <c r="M30" s="20">
        <f>IF(L30&gt;0, J30/L30, 0)</f>
        <v/>
      </c>
      <c r="N30" s="37" t="n">
        <v>40</v>
      </c>
      <c r="O30" s="37" t="n">
        <v>0</v>
      </c>
      <c r="P30" s="16">
        <f>O30*$E$4</f>
        <v/>
      </c>
      <c r="Q30" s="20">
        <f>IF(P30&gt;0, N30/P30, 0)</f>
        <v/>
      </c>
      <c r="R30" s="37" t="n">
        <v>30</v>
      </c>
      <c r="S30" s="37" t="n">
        <v>135</v>
      </c>
      <c r="T30" s="16">
        <f>S30*$E$4</f>
        <v/>
      </c>
      <c r="U30" s="20">
        <f>IF(T30&gt;0, R30/T30, 0)</f>
        <v/>
      </c>
      <c r="V30" s="37" t="n">
        <v>120</v>
      </c>
      <c r="W30" s="37" t="n">
        <v>140</v>
      </c>
      <c r="X30" s="16">
        <f>W30*$E$4</f>
        <v/>
      </c>
      <c r="Y30" s="20">
        <f>IF(X30&gt;0, V30/X30, 0)</f>
        <v/>
      </c>
      <c r="Z30" s="37" t="n">
        <v>0</v>
      </c>
      <c r="AA30" s="37" t="n">
        <v>0</v>
      </c>
      <c r="AB30" s="16">
        <f>AA30*$E$4</f>
        <v/>
      </c>
      <c r="AC30" s="20">
        <f>IF(AB30&gt;0, Z30/AB30, 0)</f>
        <v/>
      </c>
      <c r="AD30" s="37">
        <f>F30+J30+N30+R30+V30+Z30</f>
        <v/>
      </c>
      <c r="AE30" s="37">
        <f>G30+K30+O30+S30+W30+AA30</f>
        <v/>
      </c>
      <c r="AF30" s="16">
        <f>H30+L30+P30+T30+X30+AB30</f>
        <v/>
      </c>
      <c r="AG30" s="20">
        <f>IF(AF30&gt;0, AD30/AF30, 0)</f>
        <v/>
      </c>
    </row>
    <row r="31" ht="18.75" customHeight="1" s="46">
      <c r="A31" s="12" t="n">
        <v>5</v>
      </c>
      <c r="B31" s="12" t="inlineStr">
        <is>
          <t>NM-01</t>
        </is>
      </c>
      <c r="C31" s="13" t="inlineStr">
        <is>
          <t>COMPACTADOR NEUMÁTICO DYNAPAC CP271</t>
        </is>
      </c>
      <c r="D31" s="13" t="inlineStr">
        <is>
          <t>JOSE CARLOS ROMERO TELLEZ</t>
        </is>
      </c>
      <c r="E31" s="13" t="inlineStr">
        <is>
          <t>Compactación Neumática / Sellado</t>
        </is>
      </c>
      <c r="F31" s="37" t="n">
        <v>50</v>
      </c>
      <c r="G31" s="37" t="n">
        <v>112</v>
      </c>
      <c r="H31" s="16">
        <f>G31*$E$4</f>
        <v/>
      </c>
      <c r="I31" s="20">
        <f>IF(H31&gt;0, F31/H31, 0)</f>
        <v/>
      </c>
      <c r="J31" s="37" t="n">
        <v>50</v>
      </c>
      <c r="K31" s="37" t="n">
        <v>196</v>
      </c>
      <c r="L31" s="16">
        <f>K31*$E$4</f>
        <v/>
      </c>
      <c r="M31" s="20">
        <f>IF(L31&gt;0, J31/L31, 0)</f>
        <v/>
      </c>
      <c r="N31" s="37" t="n">
        <v>80</v>
      </c>
      <c r="O31" s="37" t="n">
        <v>0</v>
      </c>
      <c r="P31" s="16">
        <f>O31*$E$4</f>
        <v/>
      </c>
      <c r="Q31" s="20">
        <f>IF(P31&gt;0, N31/P31, 0)</f>
        <v/>
      </c>
      <c r="R31" s="37" t="n">
        <v>44</v>
      </c>
      <c r="S31" s="37" t="n">
        <v>135</v>
      </c>
      <c r="T31" s="16">
        <f>S31*$E$4</f>
        <v/>
      </c>
      <c r="U31" s="20">
        <f>IF(T31&gt;0, R31/T31, 0)</f>
        <v/>
      </c>
      <c r="V31" s="37" t="n">
        <v>70</v>
      </c>
      <c r="W31" s="37" t="n">
        <v>140</v>
      </c>
      <c r="X31" s="16">
        <f>W31*$E$4</f>
        <v/>
      </c>
      <c r="Y31" s="20">
        <f>IF(X31&gt;0, V31/X31, 0)</f>
        <v/>
      </c>
      <c r="Z31" s="37" t="n">
        <v>30</v>
      </c>
      <c r="AA31" s="37" t="n">
        <v>0</v>
      </c>
      <c r="AB31" s="16">
        <f>AA31*$E$4</f>
        <v/>
      </c>
      <c r="AC31" s="20">
        <f>IF(AB31&gt;0, Z31/AB31, 0)</f>
        <v/>
      </c>
      <c r="AD31" s="37">
        <f>F31+J31+N31+R31+V31+Z31</f>
        <v/>
      </c>
      <c r="AE31" s="37">
        <f>G31+K31+O31+S31+W31+AA31</f>
        <v/>
      </c>
      <c r="AF31" s="16">
        <f>H31+L31+P31+T31+X31+AB31</f>
        <v/>
      </c>
      <c r="AG31" s="20">
        <f>IF(AF31&gt;0, AD31/AF31, 0)</f>
        <v/>
      </c>
    </row>
    <row r="32" ht="18.75" customHeight="1" s="46">
      <c r="A32" s="12" t="n">
        <v>6</v>
      </c>
      <c r="B32" s="12" t="inlineStr">
        <is>
          <t>NM-09</t>
        </is>
      </c>
      <c r="C32" s="13" t="inlineStr">
        <is>
          <t>COMPACTADOR NEUMÁTICO HAMM 208</t>
        </is>
      </c>
      <c r="D32" s="13" t="inlineStr">
        <is>
          <t>NOLVIN DE JESUS PEREZ GOMEZ</t>
        </is>
      </c>
      <c r="E32" s="13" t="inlineStr">
        <is>
          <t>Compactación Neumática / Acabado</t>
        </is>
      </c>
      <c r="F32" s="37" t="n">
        <v>0</v>
      </c>
      <c r="G32" s="37" t="n">
        <v>112</v>
      </c>
      <c r="H32" s="16">
        <f>G32*$E$4</f>
        <v/>
      </c>
      <c r="I32" s="20">
        <f>IF(H32&gt;0, F32/H32, 0)</f>
        <v/>
      </c>
      <c r="J32" s="37" t="n">
        <v>0</v>
      </c>
      <c r="K32" s="37" t="n">
        <v>196</v>
      </c>
      <c r="L32" s="16">
        <f>K32*$E$4</f>
        <v/>
      </c>
      <c r="M32" s="20">
        <f>IF(L32&gt;0, J32/L32, 0)</f>
        <v/>
      </c>
      <c r="N32" s="37" t="n">
        <v>0</v>
      </c>
      <c r="O32" s="37" t="n">
        <v>0</v>
      </c>
      <c r="P32" s="16">
        <f>O32*$E$4</f>
        <v/>
      </c>
      <c r="Q32" s="20">
        <f>IF(P32&gt;0, N32/P32, 0)</f>
        <v/>
      </c>
      <c r="R32" s="37" t="n">
        <v>0</v>
      </c>
      <c r="S32" s="37" t="n">
        <v>135</v>
      </c>
      <c r="T32" s="16">
        <f>S32*$E$4</f>
        <v/>
      </c>
      <c r="U32" s="20">
        <f>IF(T32&gt;0, R32/T32, 0)</f>
        <v/>
      </c>
      <c r="V32" s="37" t="n">
        <v>0</v>
      </c>
      <c r="W32" s="37" t="n">
        <v>140</v>
      </c>
      <c r="X32" s="16">
        <f>W32*$E$4</f>
        <v/>
      </c>
      <c r="Y32" s="20">
        <f>IF(X32&gt;0, V32/X32, 0)</f>
        <v/>
      </c>
      <c r="Z32" s="37" t="n">
        <v>0</v>
      </c>
      <c r="AA32" s="37" t="n">
        <v>0</v>
      </c>
      <c r="AB32" s="16">
        <f>AA32*$E$4</f>
        <v/>
      </c>
      <c r="AC32" s="20">
        <f>IF(AB32&gt;0, Z32/AB32, 0)</f>
        <v/>
      </c>
      <c r="AD32" s="37">
        <f>F32+J32+N32+R32+V32+Z32</f>
        <v/>
      </c>
      <c r="AE32" s="37">
        <f>G32+K32+O32+S32+W32+AA32</f>
        <v/>
      </c>
      <c r="AF32" s="16">
        <f>H32+L32+P32+T32+X32+AB32</f>
        <v/>
      </c>
      <c r="AG32" s="20">
        <f>IF(AF32&gt;0, AD32/AF32, 0)</f>
        <v/>
      </c>
    </row>
    <row r="33" ht="18.75" customHeight="1" s="46">
      <c r="A33" s="12" t="n">
        <v>7</v>
      </c>
      <c r="B33" s="12" t="inlineStr">
        <is>
          <t>BR-01</t>
        </is>
      </c>
      <c r="C33" s="13" t="inlineStr">
        <is>
          <t>BARREDORA INDUSTRIAL BROCE BROOM-350</t>
        </is>
      </c>
      <c r="D33" s="13" t="inlineStr">
        <is>
          <t>EDGAR ROSALES MARTINEZ</t>
        </is>
      </c>
      <c r="E33" s="13" t="inlineStr">
        <is>
          <t>Limpieza y Barrido Previo</t>
        </is>
      </c>
      <c r="F33" s="37" t="n">
        <v>0</v>
      </c>
      <c r="G33" s="37" t="n">
        <v>112</v>
      </c>
      <c r="H33" s="16">
        <f>G33*$E$4</f>
        <v/>
      </c>
      <c r="I33" s="20">
        <f>IF(H33&gt;0, F33/H33, 0)</f>
        <v/>
      </c>
      <c r="J33" s="37" t="n">
        <v>0</v>
      </c>
      <c r="K33" s="37" t="n">
        <v>196</v>
      </c>
      <c r="L33" s="16">
        <f>K33*$E$4</f>
        <v/>
      </c>
      <c r="M33" s="20">
        <f>IF(L33&gt;0, J33/L33, 0)</f>
        <v/>
      </c>
      <c r="N33" s="37" t="n">
        <v>0</v>
      </c>
      <c r="O33" s="37" t="n">
        <v>0</v>
      </c>
      <c r="P33" s="16">
        <f>O33*$E$4</f>
        <v/>
      </c>
      <c r="Q33" s="20">
        <f>IF(P33&gt;0, N33/P33, 0)</f>
        <v/>
      </c>
      <c r="R33" s="37" t="n">
        <v>26</v>
      </c>
      <c r="S33" s="37" t="n">
        <v>135</v>
      </c>
      <c r="T33" s="16">
        <f>S33*$E$4</f>
        <v/>
      </c>
      <c r="U33" s="20">
        <f>IF(T33&gt;0, R33/T33, 0)</f>
        <v/>
      </c>
      <c r="V33" s="37" t="n">
        <v>0</v>
      </c>
      <c r="W33" s="37" t="n">
        <v>140</v>
      </c>
      <c r="X33" s="16">
        <f>W33*$E$4</f>
        <v/>
      </c>
      <c r="Y33" s="20">
        <f>IF(X33&gt;0, V33/X33, 0)</f>
        <v/>
      </c>
      <c r="Z33" s="37" t="n">
        <v>24</v>
      </c>
      <c r="AA33" s="37" t="n">
        <v>0</v>
      </c>
      <c r="AB33" s="16">
        <f>AA33*$E$4</f>
        <v/>
      </c>
      <c r="AC33" s="20">
        <f>IF(AB33&gt;0, Z33/AB33, 0)</f>
        <v/>
      </c>
      <c r="AD33" s="37">
        <f>F33+J33+N33+R33+V33+Z33</f>
        <v/>
      </c>
      <c r="AE33" s="37">
        <f>G33+K33+O33+S33+W33+AA33</f>
        <v/>
      </c>
      <c r="AF33" s="16">
        <f>H33+L33+P33+T33+X33+AB33</f>
        <v/>
      </c>
      <c r="AG33" s="20">
        <f>IF(AF33&gt;0, AD33/AF33, 0)</f>
        <v/>
      </c>
    </row>
    <row r="34" ht="18.75" customHeight="1" s="46">
      <c r="A34" s="12" t="n">
        <v>8</v>
      </c>
      <c r="B34" s="12" t="inlineStr">
        <is>
          <t>RT-05</t>
        </is>
      </c>
      <c r="C34" s="13" t="inlineStr">
        <is>
          <t>RETROEXCAVADORA JOHN DEERE 310SK</t>
        </is>
      </c>
      <c r="D34" s="13" t="inlineStr">
        <is>
          <t>ADOLFO NAVA LOPEZ</t>
        </is>
      </c>
      <c r="E34" s="13" t="inlineStr">
        <is>
          <t>Carga Fresado y Derrumbes</t>
        </is>
      </c>
      <c r="F34" s="37" t="n">
        <v>50</v>
      </c>
      <c r="G34" s="37" t="n">
        <v>161</v>
      </c>
      <c r="H34" s="16">
        <f>G34*$E$4</f>
        <v/>
      </c>
      <c r="I34" s="20">
        <f>IF(G34&gt;0, F34/G34, 0)</f>
        <v/>
      </c>
      <c r="J34" s="37" t="n">
        <v>0</v>
      </c>
      <c r="K34" s="37" t="n">
        <v>7</v>
      </c>
      <c r="L34" s="16">
        <f>K34*$E$4</f>
        <v/>
      </c>
      <c r="M34" s="20">
        <f>IF(K34&gt;0, J34/K34, 0)</f>
        <v/>
      </c>
      <c r="N34" s="37" t="n">
        <v>40</v>
      </c>
      <c r="O34" s="37" t="n">
        <v>273</v>
      </c>
      <c r="P34" s="16">
        <f>O34*$E$4</f>
        <v/>
      </c>
      <c r="Q34" s="20">
        <f>IF(O34&gt;0, N34/O34, 0)</f>
        <v/>
      </c>
      <c r="R34" s="37" t="n">
        <v>0</v>
      </c>
      <c r="S34" s="37" t="n">
        <v>77</v>
      </c>
      <c r="T34" s="16">
        <f>S34*$E$4</f>
        <v/>
      </c>
      <c r="U34" s="20">
        <f>IF(S34&gt;0, R34/S34, 0)</f>
        <v/>
      </c>
      <c r="V34" s="37" t="n">
        <v>168</v>
      </c>
      <c r="W34" s="37" t="n">
        <v>217</v>
      </c>
      <c r="X34" s="16">
        <f>W34*$E$4</f>
        <v/>
      </c>
      <c r="Y34" s="20">
        <f>IF(W34&gt;0, V34/W34, 0)</f>
        <v/>
      </c>
      <c r="Z34" s="37" t="n">
        <v>0</v>
      </c>
      <c r="AA34" s="37" t="n">
        <v>294</v>
      </c>
      <c r="AB34" s="16">
        <f>AA34*$E$4</f>
        <v/>
      </c>
      <c r="AC34" s="20">
        <f>IF(AA34&gt;0, Z34/AA34, 0)</f>
        <v/>
      </c>
      <c r="AD34" s="37">
        <f>F34+J34+N34+R34+V34+Z34</f>
        <v/>
      </c>
      <c r="AE34" s="37">
        <f>G34+K34+O34+S34+W34+AA34</f>
        <v/>
      </c>
      <c r="AF34" s="16">
        <f>H34+L34+P34+T34+X34+AB34</f>
        <v/>
      </c>
      <c r="AG34" s="20">
        <f>IF(AE34&gt;0, AD34/AE34, 0)</f>
        <v/>
      </c>
    </row>
    <row r="35" ht="18.75" customHeight="1" s="46">
      <c r="A35" s="12" t="n">
        <v>9</v>
      </c>
      <c r="B35" s="12" t="inlineStr">
        <is>
          <t>PT-01</t>
        </is>
      </c>
      <c r="C35" s="13" t="inlineStr">
        <is>
          <t>PETROLIZADORA INTERNATIONAL / FORD F800</t>
        </is>
      </c>
      <c r="D35" s="13" t="inlineStr">
        <is>
          <t>ELTHON EDUARDO MARTINEZ GOMORA</t>
        </is>
      </c>
      <c r="E35" s="13" t="inlineStr">
        <is>
          <t>Riego de Liga / Emulsión</t>
        </is>
      </c>
      <c r="F35" s="37" t="n">
        <v>0</v>
      </c>
      <c r="G35" s="37" t="n">
        <v>112</v>
      </c>
      <c r="H35" s="16">
        <f>G35*$E$4</f>
        <v/>
      </c>
      <c r="I35" s="20">
        <f>IF(H35&gt;0, F35/H35, 0)</f>
        <v/>
      </c>
      <c r="J35" s="37" t="n">
        <v>0</v>
      </c>
      <c r="K35" s="37" t="n">
        <v>196</v>
      </c>
      <c r="L35" s="16">
        <f>K35*$E$4</f>
        <v/>
      </c>
      <c r="M35" s="20">
        <f>IF(L35&gt;0, J35/L35, 0)</f>
        <v/>
      </c>
      <c r="N35" s="37" t="n">
        <v>0</v>
      </c>
      <c r="O35" s="37" t="n">
        <v>0</v>
      </c>
      <c r="P35" s="16">
        <f>O35*$E$4</f>
        <v/>
      </c>
      <c r="Q35" s="20">
        <f>IF(P35&gt;0, N35/P35, 0)</f>
        <v/>
      </c>
      <c r="R35" s="37" t="n">
        <v>50</v>
      </c>
      <c r="S35" s="37" t="n">
        <v>135</v>
      </c>
      <c r="T35" s="16">
        <f>S35*$E$4</f>
        <v/>
      </c>
      <c r="U35" s="20">
        <f>IF(T35&gt;0, R35/T35, 0)</f>
        <v/>
      </c>
      <c r="V35" s="37" t="n">
        <v>0</v>
      </c>
      <c r="W35" s="37" t="n">
        <v>140</v>
      </c>
      <c r="X35" s="16">
        <f>W35*$E$4</f>
        <v/>
      </c>
      <c r="Y35" s="20">
        <f>IF(X35&gt;0, V35/X35, 0)</f>
        <v/>
      </c>
      <c r="Z35" s="37" t="n">
        <v>50</v>
      </c>
      <c r="AA35" s="37" t="n">
        <v>0</v>
      </c>
      <c r="AB35" s="16">
        <f>AA35*$E$4</f>
        <v/>
      </c>
      <c r="AC35" s="20">
        <f>IF(AB35&gt;0, Z35/AB35, 0)</f>
        <v/>
      </c>
      <c r="AD35" s="37">
        <f>F35+J35+N35+R35+V35+Z35</f>
        <v/>
      </c>
      <c r="AE35" s="37">
        <f>G35+K35+O35+S35+W35+AA35</f>
        <v/>
      </c>
      <c r="AF35" s="16">
        <f>H35+L35+P35+T35+X35+AB35</f>
        <v/>
      </c>
      <c r="AG35" s="20">
        <f>IF(AF35&gt;0, AD35/AF35, 0)</f>
        <v/>
      </c>
    </row>
    <row r="36" ht="18.75" customHeight="1" s="46">
      <c r="A36" s="12" t="n">
        <v>10</v>
      </c>
      <c r="B36" s="12" t="inlineStr">
        <is>
          <t>CPR-01</t>
        </is>
      </c>
      <c r="C36" s="13" t="inlineStr">
        <is>
          <t>COMPRESOR DE AIRE INGERSOLL RAND IR185</t>
        </is>
      </c>
      <c r="D36" s="13" t="inlineStr">
        <is>
          <t>CUADRILLA DE LIMPIEZA</t>
        </is>
      </c>
      <c r="E36" s="13" t="inlineStr">
        <is>
          <t>Sopleteado de Juntas</t>
        </is>
      </c>
      <c r="F36" s="37" t="n">
        <v>0</v>
      </c>
      <c r="G36" s="37" t="n">
        <v>0</v>
      </c>
      <c r="H36" s="16">
        <f>G36*$E$4</f>
        <v/>
      </c>
      <c r="I36" s="20" t="n">
        <v>0</v>
      </c>
      <c r="J36" s="37" t="n">
        <v>0</v>
      </c>
      <c r="K36" s="37" t="n">
        <v>0</v>
      </c>
      <c r="L36" s="16">
        <f>K36*$E$4</f>
        <v/>
      </c>
      <c r="M36" s="20" t="n">
        <v>0</v>
      </c>
      <c r="N36" s="37" t="n">
        <v>0</v>
      </c>
      <c r="O36" s="37" t="n">
        <v>0</v>
      </c>
      <c r="P36" s="16">
        <f>O36*$E$4</f>
        <v/>
      </c>
      <c r="Q36" s="20" t="n">
        <v>0</v>
      </c>
      <c r="R36" s="37" t="n">
        <v>0</v>
      </c>
      <c r="S36" s="37" t="n">
        <v>0</v>
      </c>
      <c r="T36" s="16">
        <f>S36*$E$4</f>
        <v/>
      </c>
      <c r="U36" s="20" t="n">
        <v>0</v>
      </c>
      <c r="V36" s="37" t="n">
        <v>0</v>
      </c>
      <c r="W36" s="37" t="n">
        <v>0</v>
      </c>
      <c r="X36" s="16">
        <f>W36*$E$4</f>
        <v/>
      </c>
      <c r="Y36" s="20" t="n">
        <v>0</v>
      </c>
      <c r="Z36" s="37" t="n">
        <v>0</v>
      </c>
      <c r="AA36" s="37" t="n">
        <v>0</v>
      </c>
      <c r="AB36" s="16">
        <f>AA36*$E$4</f>
        <v/>
      </c>
      <c r="AC36" s="20" t="n">
        <v>0</v>
      </c>
      <c r="AD36" s="37">
        <f>F36+J36+N36+R36+V36+Z36</f>
        <v/>
      </c>
      <c r="AE36" s="37">
        <f>G36+K36+O36+S36+W36+AA36</f>
        <v/>
      </c>
      <c r="AF36" s="16">
        <f>H36+L36+P36+T36+X36+AB36</f>
        <v/>
      </c>
      <c r="AG36" s="20" t="n">
        <v>0</v>
      </c>
    </row>
    <row r="37" ht="18.75" customHeight="1" s="46">
      <c r="A37" s="12" t="n">
        <v>11</v>
      </c>
      <c r="B37" s="12" t="inlineStr">
        <is>
          <t>PP-01</t>
        </is>
      </c>
      <c r="C37" s="13" t="inlineStr">
        <is>
          <t>CAMIÓN IMPACTO / PIPA DE AGUA FORD</t>
        </is>
      </c>
      <c r="D37" s="13" t="inlineStr">
        <is>
          <t>CUADRILLA DE AGUA</t>
        </is>
      </c>
      <c r="E37" s="13" t="inlineStr">
        <is>
          <t>Enfriamiento Rodillos / Riego</t>
        </is>
      </c>
      <c r="F37" s="37" t="n">
        <v>0</v>
      </c>
      <c r="G37" s="37" t="n">
        <v>0</v>
      </c>
      <c r="H37" s="16">
        <f>G37*$E$4</f>
        <v/>
      </c>
      <c r="I37" s="20" t="n">
        <v>0</v>
      </c>
      <c r="J37" s="37" t="n">
        <v>0</v>
      </c>
      <c r="K37" s="37" t="n">
        <v>0</v>
      </c>
      <c r="L37" s="16">
        <f>K37*$E$4</f>
        <v/>
      </c>
      <c r="M37" s="20" t="n">
        <v>0</v>
      </c>
      <c r="N37" s="37" t="n">
        <v>0</v>
      </c>
      <c r="O37" s="37" t="n">
        <v>0</v>
      </c>
      <c r="P37" s="16">
        <f>O37*$E$4</f>
        <v/>
      </c>
      <c r="Q37" s="20" t="n">
        <v>0</v>
      </c>
      <c r="R37" s="37" t="n">
        <v>0</v>
      </c>
      <c r="S37" s="37" t="n">
        <v>0</v>
      </c>
      <c r="T37" s="16">
        <f>S37*$E$4</f>
        <v/>
      </c>
      <c r="U37" s="20" t="n">
        <v>0</v>
      </c>
      <c r="V37" s="37" t="n">
        <v>0</v>
      </c>
      <c r="W37" s="37" t="n">
        <v>0</v>
      </c>
      <c r="X37" s="16">
        <f>W37*$E$4</f>
        <v/>
      </c>
      <c r="Y37" s="20" t="n">
        <v>0</v>
      </c>
      <c r="Z37" s="37" t="n">
        <v>50</v>
      </c>
      <c r="AA37" s="37" t="n">
        <v>0</v>
      </c>
      <c r="AB37" s="16">
        <f>AA37*$E$4</f>
        <v/>
      </c>
      <c r="AC37" s="20" t="n">
        <v>0</v>
      </c>
      <c r="AD37" s="37">
        <f>F37+J37+N37+R37+V37+Z37</f>
        <v/>
      </c>
      <c r="AE37" s="37">
        <f>G37+K37+O37+S37+W37+AA37</f>
        <v/>
      </c>
      <c r="AF37" s="16">
        <f>H37+L37+P37+T37+X37+AB37</f>
        <v/>
      </c>
      <c r="AG37" s="20" t="n">
        <v>0</v>
      </c>
    </row>
    <row r="38" ht="18.75" customHeight="1" s="46">
      <c r="A38" s="12" t="n">
        <v>12</v>
      </c>
      <c r="B38" s="12" t="inlineStr">
        <is>
          <t>TL-01</t>
        </is>
      </c>
      <c r="C38" s="13" t="inlineStr">
        <is>
          <t>TORRE DE LUZ MAXILIGHT 4X1000W</t>
        </is>
      </c>
      <c r="D38" s="13" t="inlineStr">
        <is>
          <t>CUADRILLA NOCTURNA</t>
        </is>
      </c>
      <c r="E38" s="13" t="inlineStr">
        <is>
          <t>Iluminación Nocturna</t>
        </is>
      </c>
      <c r="F38" s="37" t="n">
        <v>0</v>
      </c>
      <c r="G38" s="37" t="n">
        <v>0</v>
      </c>
      <c r="H38" s="16">
        <f>G38*$E$4</f>
        <v/>
      </c>
      <c r="I38" s="20" t="n">
        <v>0</v>
      </c>
      <c r="J38" s="37" t="n">
        <v>0</v>
      </c>
      <c r="K38" s="37" t="n">
        <v>0</v>
      </c>
      <c r="L38" s="16">
        <f>K38*$E$4</f>
        <v/>
      </c>
      <c r="M38" s="20" t="n">
        <v>0</v>
      </c>
      <c r="N38" s="37" t="n">
        <v>0</v>
      </c>
      <c r="O38" s="37" t="n">
        <v>0</v>
      </c>
      <c r="P38" s="16">
        <f>O38*$E$4</f>
        <v/>
      </c>
      <c r="Q38" s="20" t="n">
        <v>0</v>
      </c>
      <c r="R38" s="37" t="n">
        <v>0</v>
      </c>
      <c r="S38" s="37" t="n">
        <v>0</v>
      </c>
      <c r="T38" s="16">
        <f>S38*$E$4</f>
        <v/>
      </c>
      <c r="U38" s="20" t="n">
        <v>0</v>
      </c>
      <c r="V38" s="37" t="n">
        <v>0</v>
      </c>
      <c r="W38" s="37" t="n">
        <v>0</v>
      </c>
      <c r="X38" s="16">
        <f>W38*$E$4</f>
        <v/>
      </c>
      <c r="Y38" s="20" t="n">
        <v>0</v>
      </c>
      <c r="Z38" s="37" t="n">
        <v>0</v>
      </c>
      <c r="AA38" s="37" t="n">
        <v>0</v>
      </c>
      <c r="AB38" s="16">
        <f>AA38*$E$4</f>
        <v/>
      </c>
      <c r="AC38" s="20" t="n">
        <v>0</v>
      </c>
      <c r="AD38" s="37">
        <f>F38+J38+N38+R38+V38+Z38</f>
        <v/>
      </c>
      <c r="AE38" s="37">
        <f>G38+K38+O38+S38+W38+AA38</f>
        <v/>
      </c>
      <c r="AF38" s="16">
        <f>H38+L38+P38+T38+X38+AB38</f>
        <v/>
      </c>
      <c r="AG38" s="20" t="n">
        <v>0</v>
      </c>
    </row>
    <row r="39" ht="21.75" customHeight="1" s="46">
      <c r="A39" s="30" t="inlineStr">
        <is>
          <t>TOTAL DIARIO CONSOLIDADO (OBRA MÉXICO-TOLUCA)</t>
        </is>
      </c>
      <c r="B39" s="50" t="n"/>
      <c r="C39" s="50" t="n"/>
      <c r="D39" s="50" t="n"/>
      <c r="E39" s="51" t="n"/>
      <c r="F39" s="27">
        <f>SUM(F27:F38)</f>
        <v/>
      </c>
      <c r="G39" s="27">
        <f>MAX(G27:G38)</f>
        <v/>
      </c>
      <c r="H39" s="28">
        <f>G39*$E$4</f>
        <v/>
      </c>
      <c r="I39" s="29">
        <f>IF(H39&gt;0, F39/H39, 0)</f>
        <v/>
      </c>
      <c r="J39" s="27">
        <f>SUM(J27:J38)</f>
        <v/>
      </c>
      <c r="K39" s="27">
        <f>MAX(K27:K38)</f>
        <v/>
      </c>
      <c r="L39" s="28">
        <f>K39*$E$4</f>
        <v/>
      </c>
      <c r="M39" s="29">
        <f>IF(L39&gt;0, J39/L39, 0)</f>
        <v/>
      </c>
      <c r="N39" s="27">
        <f>SUM(N27:N38)</f>
        <v/>
      </c>
      <c r="O39" s="27">
        <f>MAX(O27:O38)</f>
        <v/>
      </c>
      <c r="P39" s="28">
        <f>O39*$E$4</f>
        <v/>
      </c>
      <c r="Q39" s="29">
        <f>IF(P39&gt;0, N39/P39, 0)</f>
        <v/>
      </c>
      <c r="R39" s="27">
        <f>SUM(R27:R38)</f>
        <v/>
      </c>
      <c r="S39" s="27">
        <f>MAX(S27:S38)</f>
        <v/>
      </c>
      <c r="T39" s="28">
        <f>S39*$E$4</f>
        <v/>
      </c>
      <c r="U39" s="29">
        <f>IF(T39&gt;0, R39/T39, 0)</f>
        <v/>
      </c>
      <c r="V39" s="27">
        <f>SUM(V27:V38)</f>
        <v/>
      </c>
      <c r="W39" s="27">
        <f>MAX(W27:W38)</f>
        <v/>
      </c>
      <c r="X39" s="28">
        <f>W39*$E$4</f>
        <v/>
      </c>
      <c r="Y39" s="29">
        <f>IF(X39&gt;0, V39/X39, 0)</f>
        <v/>
      </c>
      <c r="Z39" s="27">
        <f>SUM(Z27:Z38)</f>
        <v/>
      </c>
      <c r="AA39" s="27">
        <f>MAX(AA27:AA38)</f>
        <v/>
      </c>
      <c r="AB39" s="28">
        <f>AA39*$E$4</f>
        <v/>
      </c>
      <c r="AC39" s="29">
        <f>IF(AB39&gt;0, Z39/AB39, 0)</f>
        <v/>
      </c>
      <c r="AD39" s="27">
        <f>SUM(AD27:AD38)</f>
        <v/>
      </c>
      <c r="AE39" s="27">
        <f>SUM(AE27:AE38)</f>
        <v/>
      </c>
      <c r="AF39" s="28">
        <f>SUM(AF27:AF38)</f>
        <v/>
      </c>
      <c r="AG39" s="29">
        <f>IF(AF39&gt;0, AD39/AF39, 0)</f>
        <v/>
      </c>
    </row>
    <row r="40" ht="15.75" customHeight="1" s="46"/>
    <row r="41" ht="15.75" customHeight="1" s="46">
      <c r="A41" s="40" t="inlineStr">
        <is>
          <t>NOTA TÉCNICA Y CRITERIOS DE CONTROL DE RENDIMIENTO — OBRA MÉXICO-TOLUCA:
1. Peso Volumétrico Oficial del Asfalto: 1.742 Ton/m³ (Toneladas = m³ Carpeta × 1.742).
2. Rendimiento Base (L/h): Consumo nominal de fabricante ajustado con 1.2% anual de desgaste por antigüedad al 2026.
3. Rendimiento Real: Diésel Surtido / Toneladas Tendidas (L/Ton) o Diésel Surtido / Volumen Fresado (L/m³).
4. Estatus Operativo: DENTRO DE RENDIMIENTO BASE (Verde) / EXCEDE RENDIMIENTO BASE (Rojo) / SIN CONSUMO (Gris).</t>
        </is>
      </c>
    </row>
    <row r="42" ht="15.75" customHeight="1" s="46"/>
    <row r="43" ht="15.75" customHeight="1" s="46"/>
    <row r="44" ht="15.75" customHeight="1" s="46"/>
    <row r="45" ht="15.75" customHeight="1" s="46"/>
    <row r="46" ht="15.75" customHeight="1" s="46"/>
    <row r="47" ht="15.75" customHeight="1" s="46"/>
    <row r="48" ht="15.75" customHeight="1" s="46"/>
    <row r="49" ht="15.75" customHeight="1" s="46"/>
    <row r="50" ht="15.75" customHeight="1" s="46"/>
    <row r="51" ht="15.75" customHeight="1" s="46"/>
    <row r="52" ht="15.75" customHeight="1" s="46"/>
    <row r="53" ht="15.75" customHeight="1" s="46"/>
    <row r="54" ht="15.75" customHeight="1" s="46"/>
    <row r="55" ht="15.75" customHeight="1" s="46"/>
    <row r="56" ht="15.75" customHeight="1" s="46"/>
    <row r="57" ht="15.75" customHeight="1" s="46"/>
    <row r="58" ht="15.75" customHeight="1" s="46"/>
    <row r="59" ht="15.75" customHeight="1" s="46"/>
    <row r="60" ht="15.75" customHeight="1" s="46"/>
    <row r="61" ht="15.75" customHeight="1" s="46"/>
    <row r="62" ht="15.75" customHeight="1" s="46"/>
    <row r="63" ht="15.75" customHeight="1" s="46"/>
    <row r="64" ht="15.75" customHeight="1" s="46"/>
    <row r="65" ht="15.75" customHeight="1" s="46"/>
    <row r="66" ht="15.75" customHeight="1" s="46"/>
    <row r="67" ht="15.75" customHeight="1" s="46"/>
    <row r="68" ht="15.75" customHeight="1" s="46"/>
    <row r="69" ht="15.75" customHeight="1" s="46"/>
    <row r="70" ht="15.75" customHeight="1" s="46"/>
    <row r="71" ht="15.75" customHeight="1" s="46"/>
    <row r="72" ht="15.75" customHeight="1" s="46"/>
    <row r="73" ht="15.75" customHeight="1" s="46"/>
    <row r="74" ht="15.75" customHeight="1" s="46"/>
    <row r="75" ht="15.75" customHeight="1" s="46"/>
    <row r="76" ht="15.75" customHeight="1" s="46"/>
    <row r="77" ht="15.75" customHeight="1" s="46"/>
    <row r="78" ht="15.75" customHeight="1" s="46"/>
    <row r="79" ht="15.75" customHeight="1" s="46"/>
    <row r="80" ht="15.75" customHeight="1" s="46"/>
    <row r="81" ht="15.75" customHeight="1" s="46"/>
    <row r="82" ht="15.75" customHeight="1" s="46"/>
    <row r="83" ht="15.75" customHeight="1" s="46"/>
    <row r="84" ht="15.75" customHeight="1" s="46"/>
    <row r="85" ht="15.75" customHeight="1" s="46"/>
    <row r="86" ht="15.75" customHeight="1" s="46"/>
    <row r="87" ht="15.75" customHeight="1" s="46"/>
    <row r="88" ht="15.75" customHeight="1" s="46"/>
    <row r="89" ht="15.75" customHeight="1" s="46"/>
    <row r="90" ht="15.75" customHeight="1" s="46"/>
    <row r="91" ht="15.75" customHeight="1" s="46"/>
    <row r="92" ht="15.75" customHeight="1" s="46"/>
    <row r="93" ht="15.75" customHeight="1" s="46"/>
    <row r="94" ht="15.75" customHeight="1" s="46"/>
    <row r="95" ht="15.75" customHeight="1" s="46"/>
    <row r="96" ht="15.75" customHeight="1" s="46"/>
    <row r="97" ht="15.75" customHeight="1" s="46"/>
    <row r="98" ht="15.75" customHeight="1" s="46"/>
    <row r="99" ht="15.75" customHeight="1" s="46"/>
    <row r="100" ht="15.75" customHeight="1" s="46"/>
    <row r="101" ht="15.75" customHeight="1" s="46"/>
    <row r="102" ht="15.75" customHeight="1" s="46"/>
    <row r="103" ht="15.75" customHeight="1" s="46"/>
    <row r="104" ht="15.75" customHeight="1" s="46"/>
    <row r="105" ht="15.75" customHeight="1" s="46"/>
    <row r="106" ht="15.75" customHeight="1" s="46"/>
    <row r="107" ht="15.75" customHeight="1" s="46"/>
    <row r="108" ht="15.75" customHeight="1" s="46"/>
    <row r="109" ht="15.75" customHeight="1" s="46"/>
    <row r="110" ht="15.75" customHeight="1" s="46"/>
    <row r="111" ht="15.75" customHeight="1" s="46"/>
    <row r="112" ht="15.75" customHeight="1" s="46"/>
    <row r="113" ht="15.75" customHeight="1" s="46"/>
    <row r="114" ht="15.75" customHeight="1" s="46"/>
    <row r="115" ht="15.75" customHeight="1" s="46"/>
    <row r="116" ht="15.75" customHeight="1" s="46"/>
    <row r="117" ht="15.75" customHeight="1" s="46"/>
    <row r="118" ht="15.75" customHeight="1" s="46"/>
    <row r="119" ht="15.75" customHeight="1" s="46"/>
    <row r="120" ht="15.75" customHeight="1" s="46"/>
    <row r="121" ht="15.75" customHeight="1" s="46"/>
    <row r="122" ht="15.75" customHeight="1" s="46"/>
    <row r="123" ht="15.75" customHeight="1" s="46"/>
    <row r="124" ht="15.75" customHeight="1" s="46"/>
    <row r="125" ht="15.75" customHeight="1" s="46"/>
    <row r="126" ht="15.75" customHeight="1" s="46"/>
    <row r="127" ht="15.75" customHeight="1" s="46"/>
    <row r="128" ht="15.75" customHeight="1" s="46"/>
    <row r="129" ht="15.75" customHeight="1" s="46"/>
    <row r="130" ht="15.75" customHeight="1" s="46"/>
    <row r="131" ht="15.75" customHeight="1" s="46"/>
    <row r="132" ht="15.75" customHeight="1" s="46"/>
    <row r="133" ht="15.75" customHeight="1" s="46"/>
    <row r="134" ht="15.75" customHeight="1" s="46"/>
    <row r="135" ht="15.75" customHeight="1" s="46"/>
    <row r="136" ht="15.75" customHeight="1" s="46"/>
    <row r="137" ht="15.75" customHeight="1" s="46"/>
    <row r="138" ht="15.75" customHeight="1" s="46"/>
    <row r="139" ht="15.75" customHeight="1" s="46"/>
    <row r="140" ht="15.75" customHeight="1" s="46"/>
    <row r="141" ht="15.75" customHeight="1" s="46"/>
    <row r="142" ht="15.75" customHeight="1" s="46"/>
    <row r="143" ht="15.75" customHeight="1" s="46"/>
    <row r="144" ht="15.75" customHeight="1" s="46"/>
    <row r="145" ht="15.75" customHeight="1" s="46"/>
    <row r="146" ht="15.75" customHeight="1" s="46"/>
    <row r="147" ht="15.75" customHeight="1" s="46"/>
    <row r="148" ht="15.75" customHeight="1" s="46"/>
    <row r="149" ht="15.75" customHeight="1" s="46"/>
    <row r="150" ht="15.75" customHeight="1" s="46"/>
    <row r="151" ht="15.75" customHeight="1" s="46"/>
    <row r="152" ht="15.75" customHeight="1" s="46"/>
    <row r="153" ht="15.75" customHeight="1" s="46"/>
    <row r="154" ht="15.75" customHeight="1" s="46"/>
    <row r="155" ht="15.75" customHeight="1" s="46"/>
    <row r="156" ht="15.75" customHeight="1" s="46"/>
    <row r="157" ht="15.75" customHeight="1" s="46"/>
    <row r="158" ht="15.75" customHeight="1" s="46"/>
    <row r="159" ht="15.75" customHeight="1" s="46"/>
    <row r="160" ht="15.75" customHeight="1" s="46"/>
    <row r="161" ht="15.75" customHeight="1" s="46"/>
    <row r="162" ht="15.75" customHeight="1" s="46"/>
    <row r="163" ht="15.75" customHeight="1" s="46"/>
    <row r="164" ht="15.75" customHeight="1" s="46"/>
    <row r="165" ht="15.75" customHeight="1" s="46"/>
    <row r="166" ht="15.75" customHeight="1" s="46"/>
    <row r="167" ht="15.75" customHeight="1" s="46"/>
    <row r="168" ht="15.75" customHeight="1" s="46"/>
    <row r="169" ht="15.75" customHeight="1" s="46"/>
    <row r="170" ht="15.75" customHeight="1" s="46"/>
    <row r="171" ht="15.75" customHeight="1" s="46"/>
    <row r="172" ht="15.75" customHeight="1" s="46"/>
    <row r="173" ht="15.75" customHeight="1" s="46"/>
    <row r="174" ht="15.75" customHeight="1" s="46"/>
    <row r="175" ht="15.75" customHeight="1" s="46"/>
    <row r="176" ht="15.75" customHeight="1" s="46"/>
    <row r="177" ht="15.75" customHeight="1" s="46"/>
    <row r="178" ht="15.75" customHeight="1" s="46"/>
    <row r="179" ht="15.75" customHeight="1" s="46"/>
    <row r="180" ht="15.75" customHeight="1" s="46"/>
    <row r="181" ht="15.75" customHeight="1" s="46"/>
    <row r="182" ht="15.75" customHeight="1" s="46"/>
    <row r="183" ht="15.75" customHeight="1" s="46"/>
    <row r="184" ht="15.75" customHeight="1" s="46"/>
    <row r="185" ht="15.75" customHeight="1" s="46"/>
    <row r="186" ht="15.75" customHeight="1" s="46"/>
    <row r="187" ht="15.75" customHeight="1" s="46"/>
    <row r="188" ht="15.75" customHeight="1" s="46"/>
    <row r="189" ht="15.75" customHeight="1" s="46"/>
    <row r="190" ht="15.75" customHeight="1" s="46"/>
    <row r="191" ht="15.75" customHeight="1" s="46"/>
    <row r="192" ht="15.75" customHeight="1" s="46"/>
    <row r="193" ht="15.75" customHeight="1" s="46"/>
    <row r="194" ht="15.75" customHeight="1" s="46"/>
    <row r="195" ht="15.75" customHeight="1" s="46"/>
    <row r="196" ht="15.75" customHeight="1" s="46"/>
    <row r="197" ht="15.75" customHeight="1" s="46"/>
    <row r="198" ht="15.75" customHeight="1" s="46"/>
    <row r="199" ht="15.75" customHeight="1" s="46"/>
    <row r="200" ht="15.75" customHeight="1" s="46"/>
    <row r="201" ht="15.75" customHeight="1" s="46"/>
    <row r="202" ht="15.75" customHeight="1" s="46"/>
    <row r="203" ht="15.75" customHeight="1" s="46"/>
    <row r="204" ht="15.75" customHeight="1" s="46"/>
    <row r="205" ht="15.75" customHeight="1" s="46"/>
    <row r="206" ht="15.75" customHeight="1" s="46"/>
    <row r="207" ht="15.75" customHeight="1" s="46"/>
    <row r="208" ht="15.75" customHeight="1" s="46"/>
    <row r="209" ht="15.75" customHeight="1" s="46"/>
    <row r="210" ht="15.75" customHeight="1" s="46"/>
    <row r="211" ht="15.75" customHeight="1" s="46"/>
    <row r="212" ht="15.75" customHeight="1" s="46"/>
    <row r="213" ht="15.75" customHeight="1" s="46"/>
    <row r="214" ht="15.75" customHeight="1" s="46"/>
    <row r="215" ht="15.75" customHeight="1" s="46"/>
    <row r="216" ht="15.75" customHeight="1" s="46"/>
    <row r="217" ht="15.75" customHeight="1" s="46"/>
    <row r="218" ht="15.75" customHeight="1" s="46"/>
    <row r="219" ht="15.75" customHeight="1" s="46"/>
    <row r="220" ht="15.75" customHeight="1" s="46"/>
    <row r="221" ht="15.75" customHeight="1" s="46"/>
    <row r="222" ht="15.75" customHeight="1" s="46"/>
    <row r="223" ht="15.75" customHeight="1" s="46"/>
    <row r="224" ht="15.75" customHeight="1" s="46"/>
    <row r="225" ht="15.75" customHeight="1" s="46"/>
    <row r="226" ht="15.75" customHeight="1" s="46"/>
    <row r="227" ht="15.75" customHeight="1" s="46"/>
    <row r="228" ht="15.75" customHeight="1" s="46"/>
    <row r="229" ht="15.75" customHeight="1" s="46"/>
    <row r="230" ht="15.75" customHeight="1" s="46"/>
    <row r="231" ht="15.75" customHeight="1" s="46"/>
    <row r="232" ht="15.75" customHeight="1" s="46"/>
    <row r="233" ht="15.75" customHeight="1" s="46"/>
    <row r="234" ht="15.75" customHeight="1" s="46"/>
    <row r="235" ht="15.75" customHeight="1" s="46"/>
    <row r="236" ht="15.75" customHeight="1" s="46"/>
    <row r="237" ht="15.75" customHeight="1" s="46"/>
    <row r="238" ht="15.75" customHeight="1" s="46"/>
    <row r="239" ht="15.75" customHeight="1" s="46"/>
    <row r="240" ht="15.75" customHeight="1" s="46"/>
    <row r="241" ht="15.75" customHeight="1" s="46"/>
    <row r="242" ht="15.75" customHeight="1" s="46"/>
    <row r="243" ht="15.75" customHeight="1" s="46"/>
    <row r="244" ht="15.75" customHeight="1" s="46"/>
    <row r="245" ht="15.75" customHeight="1" s="46"/>
    <row r="246" ht="15.75" customHeight="1" s="46"/>
    <row r="247" ht="15.75" customHeight="1" s="46"/>
    <row r="248" ht="15.75" customHeight="1" s="46"/>
    <row r="249" ht="15.75" customHeight="1" s="46"/>
    <row r="250" ht="15.75" customHeight="1" s="46"/>
    <row r="251" ht="15.75" customHeight="1" s="46"/>
    <row r="252" ht="15.75" customHeight="1" s="46"/>
    <row r="253" ht="15.75" customHeight="1" s="46"/>
    <row r="254" ht="15.75" customHeight="1" s="46"/>
    <row r="255" ht="15.75" customHeight="1" s="46"/>
    <row r="256" ht="15.75" customHeight="1" s="46"/>
    <row r="257" ht="15.75" customHeight="1" s="46"/>
    <row r="258" ht="15.75" customHeight="1" s="46"/>
    <row r="259" ht="15.75" customHeight="1" s="46"/>
    <row r="260" ht="15.75" customHeight="1" s="46"/>
    <row r="261" ht="15.75" customHeight="1" s="46"/>
    <row r="262" ht="15.75" customHeight="1" s="46"/>
    <row r="263" ht="15.75" customHeight="1" s="46"/>
    <row r="264" ht="15.75" customHeight="1" s="46"/>
    <row r="265" ht="15.75" customHeight="1" s="46"/>
    <row r="266" ht="15.75" customHeight="1" s="46"/>
    <row r="267" ht="15.75" customHeight="1" s="46"/>
    <row r="268" ht="15.75" customHeight="1" s="46"/>
    <row r="269" ht="15.75" customHeight="1" s="46"/>
    <row r="270" ht="15.75" customHeight="1" s="46"/>
    <row r="271" ht="15.75" customHeight="1" s="46"/>
    <row r="272" ht="15.75" customHeight="1" s="46"/>
    <row r="273" ht="15.75" customHeight="1" s="46"/>
    <row r="274" ht="15.75" customHeight="1" s="46"/>
    <row r="275" ht="15.75" customHeight="1" s="46"/>
    <row r="276" ht="15.75" customHeight="1" s="46"/>
    <row r="277" ht="15.75" customHeight="1" s="46"/>
    <row r="278" ht="15.75" customHeight="1" s="46"/>
    <row r="279" ht="15.75" customHeight="1" s="46"/>
    <row r="280" ht="15.75" customHeight="1" s="46"/>
    <row r="281" ht="15.75" customHeight="1" s="46"/>
    <row r="282" ht="15.75" customHeight="1" s="46"/>
    <row r="283" ht="15.75" customHeight="1" s="46"/>
    <row r="284" ht="15.75" customHeight="1" s="46"/>
    <row r="285" ht="15.75" customHeight="1" s="46"/>
    <row r="286" ht="15.75" customHeight="1" s="46"/>
    <row r="287" ht="15.75" customHeight="1" s="46"/>
    <row r="288" ht="15.75" customHeight="1" s="46"/>
    <row r="289" ht="15.75" customHeight="1" s="46"/>
    <row r="290" ht="15.75" customHeight="1" s="46"/>
    <row r="291" ht="15.75" customHeight="1" s="46"/>
    <row r="292" ht="15.75" customHeight="1" s="46"/>
    <row r="293" ht="15.75" customHeight="1" s="46"/>
    <row r="294" ht="15.75" customHeight="1" s="46"/>
    <row r="295" ht="15.75" customHeight="1" s="46"/>
    <row r="296" ht="15.75" customHeight="1" s="46"/>
    <row r="297" ht="15.75" customHeight="1" s="46"/>
    <row r="298" ht="15.75" customHeight="1" s="46"/>
    <row r="299" ht="15.75" customHeight="1" s="46"/>
    <row r="300" ht="15.75" customHeight="1" s="46"/>
    <row r="301" ht="15.75" customHeight="1" s="46"/>
    <row r="302" ht="15.75" customHeight="1" s="46"/>
    <row r="303" ht="15.75" customHeight="1" s="46"/>
    <row r="304" ht="15.75" customHeight="1" s="46"/>
    <row r="305" ht="15.75" customHeight="1" s="46"/>
    <row r="306" ht="15.75" customHeight="1" s="46"/>
    <row r="307" ht="15.75" customHeight="1" s="46"/>
    <row r="308" ht="15.75" customHeight="1" s="46"/>
    <row r="309" ht="15.75" customHeight="1" s="46"/>
    <row r="310" ht="15.75" customHeight="1" s="46"/>
    <row r="311" ht="15.75" customHeight="1" s="46"/>
    <row r="312" ht="15.75" customHeight="1" s="46"/>
    <row r="313" ht="15.75" customHeight="1" s="46"/>
    <row r="314" ht="15.75" customHeight="1" s="46"/>
    <row r="315" ht="15.75" customHeight="1" s="46"/>
    <row r="316" ht="15.75" customHeight="1" s="46"/>
    <row r="317" ht="15.75" customHeight="1" s="46"/>
    <row r="318" ht="15.75" customHeight="1" s="46"/>
    <row r="319" ht="15.75" customHeight="1" s="46"/>
    <row r="320" ht="15.75" customHeight="1" s="46"/>
    <row r="321" ht="15.75" customHeight="1" s="46"/>
    <row r="322" ht="15.75" customHeight="1" s="46"/>
    <row r="323" ht="15.75" customHeight="1" s="46"/>
    <row r="324" ht="15.75" customHeight="1" s="46"/>
    <row r="325" ht="15.75" customHeight="1" s="46"/>
    <row r="326" ht="15.75" customHeight="1" s="46"/>
    <row r="327" ht="15.75" customHeight="1" s="46"/>
    <row r="328" ht="15.75" customHeight="1" s="46"/>
    <row r="329" ht="15.75" customHeight="1" s="46"/>
    <row r="330" ht="15.75" customHeight="1" s="46"/>
    <row r="331" ht="15.75" customHeight="1" s="46"/>
    <row r="332" ht="15.75" customHeight="1" s="46"/>
    <row r="333" ht="15.75" customHeight="1" s="46"/>
    <row r="334" ht="15.75" customHeight="1" s="46"/>
    <row r="335" ht="15.75" customHeight="1" s="46"/>
    <row r="336" ht="15.75" customHeight="1" s="46"/>
    <row r="337" ht="15.75" customHeight="1" s="46"/>
    <row r="338" ht="15.75" customHeight="1" s="46"/>
    <row r="339" ht="15.75" customHeight="1" s="46"/>
    <row r="340" ht="15.75" customHeight="1" s="46"/>
    <row r="341" ht="15.75" customHeight="1" s="46"/>
    <row r="342" ht="15.75" customHeight="1" s="46"/>
    <row r="343" ht="15.75" customHeight="1" s="46"/>
    <row r="344" ht="15.75" customHeight="1" s="46"/>
    <row r="345" ht="15.75" customHeight="1" s="46"/>
    <row r="346" ht="15.75" customHeight="1" s="46"/>
    <row r="347" ht="15.75" customHeight="1" s="46"/>
    <row r="348" ht="15.75" customHeight="1" s="46"/>
    <row r="349" ht="15.75" customHeight="1" s="46"/>
    <row r="350" ht="15.75" customHeight="1" s="46"/>
    <row r="351" ht="15.75" customHeight="1" s="46"/>
    <row r="352" ht="15.75" customHeight="1" s="46"/>
    <row r="353" ht="15.75" customHeight="1" s="46"/>
    <row r="354" ht="15.75" customHeight="1" s="46"/>
    <row r="355" ht="15.75" customHeight="1" s="46"/>
    <row r="356" ht="15.75" customHeight="1" s="46"/>
    <row r="357" ht="15.75" customHeight="1" s="46"/>
    <row r="358" ht="15.75" customHeight="1" s="46"/>
    <row r="359" ht="15.75" customHeight="1" s="46"/>
    <row r="360" ht="15.75" customHeight="1" s="46"/>
    <row r="361" ht="15.75" customHeight="1" s="46"/>
    <row r="362" ht="15.75" customHeight="1" s="46"/>
    <row r="363" ht="15.75" customHeight="1" s="46"/>
    <row r="364" ht="15.75" customHeight="1" s="46"/>
    <row r="365" ht="15.75" customHeight="1" s="46"/>
    <row r="366" ht="15.75" customHeight="1" s="46"/>
    <row r="367" ht="15.75" customHeight="1" s="46"/>
    <row r="368" ht="15.75" customHeight="1" s="46"/>
    <row r="369" ht="15.75" customHeight="1" s="46"/>
    <row r="370" ht="15.75" customHeight="1" s="46"/>
    <row r="371" ht="15.75" customHeight="1" s="46"/>
    <row r="372" ht="15.75" customHeight="1" s="46"/>
    <row r="373" ht="15.75" customHeight="1" s="46"/>
    <row r="374" ht="15.75" customHeight="1" s="46"/>
    <row r="375" ht="15.75" customHeight="1" s="46"/>
    <row r="376" ht="15.75" customHeight="1" s="46"/>
    <row r="377" ht="15.75" customHeight="1" s="46"/>
    <row r="378" ht="15.75" customHeight="1" s="46"/>
    <row r="379" ht="15.75" customHeight="1" s="46"/>
    <row r="380" ht="15.75" customHeight="1" s="46"/>
    <row r="381" ht="15.75" customHeight="1" s="46"/>
    <row r="382" ht="15.75" customHeight="1" s="46"/>
    <row r="383" ht="15.75" customHeight="1" s="46"/>
    <row r="384" ht="15.75" customHeight="1" s="46"/>
    <row r="385" ht="15.75" customHeight="1" s="46"/>
    <row r="386" ht="15.75" customHeight="1" s="46"/>
    <row r="387" ht="15.75" customHeight="1" s="46"/>
    <row r="388" ht="15.75" customHeight="1" s="46"/>
    <row r="389" ht="15.75" customHeight="1" s="46"/>
    <row r="390" ht="15.75" customHeight="1" s="46"/>
    <row r="391" ht="15.75" customHeight="1" s="46"/>
    <row r="392" ht="15.75" customHeight="1" s="46"/>
    <row r="393" ht="15.75" customHeight="1" s="46"/>
    <row r="394" ht="15.75" customHeight="1" s="46"/>
    <row r="395" ht="15.75" customHeight="1" s="46"/>
    <row r="396" ht="15.75" customHeight="1" s="46"/>
    <row r="397" ht="15.75" customHeight="1" s="46"/>
    <row r="398" ht="15.75" customHeight="1" s="46"/>
    <row r="399" ht="15.75" customHeight="1" s="46"/>
    <row r="400" ht="15.75" customHeight="1" s="46"/>
    <row r="401" ht="15.75" customHeight="1" s="46"/>
    <row r="402" ht="15.75" customHeight="1" s="46"/>
    <row r="403" ht="15.75" customHeight="1" s="46"/>
    <row r="404" ht="15.75" customHeight="1" s="46"/>
    <row r="405" ht="15.75" customHeight="1" s="46"/>
    <row r="406" ht="15.75" customHeight="1" s="46"/>
    <row r="407" ht="15.75" customHeight="1" s="46"/>
    <row r="408" ht="15.75" customHeight="1" s="46"/>
    <row r="409" ht="15.75" customHeight="1" s="46"/>
    <row r="410" ht="15.75" customHeight="1" s="46"/>
    <row r="411" ht="15.75" customHeight="1" s="46"/>
    <row r="412" ht="15.75" customHeight="1" s="46"/>
    <row r="413" ht="15.75" customHeight="1" s="46"/>
    <row r="414" ht="15.75" customHeight="1" s="46"/>
    <row r="415" ht="15.75" customHeight="1" s="46"/>
    <row r="416" ht="15.75" customHeight="1" s="46"/>
    <row r="417" ht="15.75" customHeight="1" s="46"/>
    <row r="418" ht="15.75" customHeight="1" s="46"/>
    <row r="419" ht="15.75" customHeight="1" s="46"/>
    <row r="420" ht="15.75" customHeight="1" s="46"/>
    <row r="421" ht="15.75" customHeight="1" s="46"/>
    <row r="422" ht="15.75" customHeight="1" s="46"/>
    <row r="423" ht="15.75" customHeight="1" s="46"/>
    <row r="424" ht="15.75" customHeight="1" s="46"/>
    <row r="425" ht="15.75" customHeight="1" s="46"/>
    <row r="426" ht="15.75" customHeight="1" s="46"/>
    <row r="427" ht="15.75" customHeight="1" s="46"/>
    <row r="428" ht="15.75" customHeight="1" s="46"/>
    <row r="429" ht="15.75" customHeight="1" s="46"/>
    <row r="430" ht="15.75" customHeight="1" s="46"/>
    <row r="431" ht="15.75" customHeight="1" s="46"/>
    <row r="432" ht="15.75" customHeight="1" s="46"/>
    <row r="433" ht="15.75" customHeight="1" s="46"/>
    <row r="434" ht="15.75" customHeight="1" s="46"/>
    <row r="435" ht="15.75" customHeight="1" s="46"/>
    <row r="436" ht="15.75" customHeight="1" s="46"/>
    <row r="437" ht="15.75" customHeight="1" s="46"/>
    <row r="438" ht="15.75" customHeight="1" s="46"/>
    <row r="439" ht="15.75" customHeight="1" s="46"/>
    <row r="440" ht="15.75" customHeight="1" s="46"/>
    <row r="441" ht="15.75" customHeight="1" s="46"/>
    <row r="442" ht="15.75" customHeight="1" s="46"/>
    <row r="443" ht="15.75" customHeight="1" s="46"/>
    <row r="444" ht="15.75" customHeight="1" s="46"/>
    <row r="445" ht="15.75" customHeight="1" s="46"/>
    <row r="446" ht="15.75" customHeight="1" s="46"/>
    <row r="447" ht="15.75" customHeight="1" s="46"/>
    <row r="448" ht="15.75" customHeight="1" s="46"/>
    <row r="449" ht="15.75" customHeight="1" s="46"/>
    <row r="450" ht="15.75" customHeight="1" s="46"/>
    <row r="451" ht="15.75" customHeight="1" s="46"/>
    <row r="452" ht="15.75" customHeight="1" s="46"/>
    <row r="453" ht="15.75" customHeight="1" s="46"/>
    <row r="454" ht="15.75" customHeight="1" s="46"/>
    <row r="455" ht="15.75" customHeight="1" s="46"/>
    <row r="456" ht="15.75" customHeight="1" s="46"/>
    <row r="457" ht="15.75" customHeight="1" s="46"/>
    <row r="458" ht="15.75" customHeight="1" s="46"/>
    <row r="459" ht="15.75" customHeight="1" s="46"/>
    <row r="460" ht="15.75" customHeight="1" s="46"/>
    <row r="461" ht="15.75" customHeight="1" s="46"/>
    <row r="462" ht="15.75" customHeight="1" s="46"/>
    <row r="463" ht="15.75" customHeight="1" s="46"/>
    <row r="464" ht="15.75" customHeight="1" s="46"/>
    <row r="465" ht="15.75" customHeight="1" s="46"/>
    <row r="466" ht="15.75" customHeight="1" s="46"/>
    <row r="467" ht="15.75" customHeight="1" s="46"/>
    <row r="468" ht="15.75" customHeight="1" s="46"/>
    <row r="469" ht="15.75" customHeight="1" s="46"/>
    <row r="470" ht="15.75" customHeight="1" s="46"/>
    <row r="471" ht="15.75" customHeight="1" s="46"/>
    <row r="472" ht="15.75" customHeight="1" s="46"/>
    <row r="473" ht="15.75" customHeight="1" s="46"/>
    <row r="474" ht="15.75" customHeight="1" s="46"/>
    <row r="475" ht="15.75" customHeight="1" s="46"/>
    <row r="476" ht="15.75" customHeight="1" s="46"/>
    <row r="477" ht="15.75" customHeight="1" s="46"/>
    <row r="478" ht="15.75" customHeight="1" s="46"/>
    <row r="479" ht="15.75" customHeight="1" s="46"/>
    <row r="480" ht="15.75" customHeight="1" s="46"/>
    <row r="481" ht="15.75" customHeight="1" s="46"/>
    <row r="482" ht="15.75" customHeight="1" s="46"/>
    <row r="483" ht="15.75" customHeight="1" s="46"/>
    <row r="484" ht="15.75" customHeight="1" s="46"/>
    <row r="485" ht="15.75" customHeight="1" s="46"/>
    <row r="486" ht="15.75" customHeight="1" s="46"/>
    <row r="487" ht="15.75" customHeight="1" s="46"/>
    <row r="488" ht="15.75" customHeight="1" s="46"/>
    <row r="489" ht="15.75" customHeight="1" s="46"/>
    <row r="490" ht="15.75" customHeight="1" s="46"/>
    <row r="491" ht="15.75" customHeight="1" s="46"/>
    <row r="492" ht="15.75" customHeight="1" s="46"/>
    <row r="493" ht="15.75" customHeight="1" s="46"/>
    <row r="494" ht="15.75" customHeight="1" s="46"/>
    <row r="495" ht="15.75" customHeight="1" s="46"/>
    <row r="496" ht="15.75" customHeight="1" s="46"/>
    <row r="497" ht="15.75" customHeight="1" s="46"/>
    <row r="498" ht="15.75" customHeight="1" s="46"/>
    <row r="499" ht="15.75" customHeight="1" s="46"/>
    <row r="500" ht="15.75" customHeight="1" s="46"/>
    <row r="501" ht="15.75" customHeight="1" s="46"/>
    <row r="502" ht="15.75" customHeight="1" s="46"/>
    <row r="503" ht="15.75" customHeight="1" s="46"/>
    <row r="504" ht="15.75" customHeight="1" s="46"/>
    <row r="505" ht="15.75" customHeight="1" s="46"/>
    <row r="506" ht="15.75" customHeight="1" s="46"/>
    <row r="507" ht="15.75" customHeight="1" s="46"/>
    <row r="508" ht="15.75" customHeight="1" s="46"/>
    <row r="509" ht="15.75" customHeight="1" s="46"/>
    <row r="510" ht="15.75" customHeight="1" s="46"/>
    <row r="511" ht="15.75" customHeight="1" s="46"/>
    <row r="512" ht="15.75" customHeight="1" s="46"/>
    <row r="513" ht="15.75" customHeight="1" s="46"/>
    <row r="514" ht="15.75" customHeight="1" s="46"/>
    <row r="515" ht="15.75" customHeight="1" s="46"/>
    <row r="516" ht="15.75" customHeight="1" s="46"/>
    <row r="517" ht="15.75" customHeight="1" s="46"/>
    <row r="518" ht="15.75" customHeight="1" s="46"/>
    <row r="519" ht="15.75" customHeight="1" s="46"/>
    <row r="520" ht="15.75" customHeight="1" s="46"/>
    <row r="521" ht="15.75" customHeight="1" s="46"/>
    <row r="522" ht="15.75" customHeight="1" s="46"/>
    <row r="523" ht="15.75" customHeight="1" s="46"/>
    <row r="524" ht="15.75" customHeight="1" s="46"/>
    <row r="525" ht="15.75" customHeight="1" s="46"/>
    <row r="526" ht="15.75" customHeight="1" s="46"/>
    <row r="527" ht="15.75" customHeight="1" s="46"/>
    <row r="528" ht="15.75" customHeight="1" s="46"/>
    <row r="529" ht="15.75" customHeight="1" s="46"/>
    <row r="530" ht="15.75" customHeight="1" s="46"/>
    <row r="531" ht="15.75" customHeight="1" s="46"/>
    <row r="532" ht="15.75" customHeight="1" s="46"/>
    <row r="533" ht="15.75" customHeight="1" s="46"/>
    <row r="534" ht="15.75" customHeight="1" s="46"/>
    <row r="535" ht="15.75" customHeight="1" s="46"/>
    <row r="536" ht="15.75" customHeight="1" s="46"/>
    <row r="537" ht="15.75" customHeight="1" s="46"/>
    <row r="538" ht="15.75" customHeight="1" s="46"/>
    <row r="539" ht="15.75" customHeight="1" s="46"/>
    <row r="540" ht="15.75" customHeight="1" s="46"/>
    <row r="541" ht="15.75" customHeight="1" s="46"/>
    <row r="542" ht="15.75" customHeight="1" s="46"/>
    <row r="543" ht="15.75" customHeight="1" s="46"/>
    <row r="544" ht="15.75" customHeight="1" s="46"/>
    <row r="545" ht="15.75" customHeight="1" s="46"/>
    <row r="546" ht="15.75" customHeight="1" s="46"/>
    <row r="547" ht="15.75" customHeight="1" s="46"/>
    <row r="548" ht="15.75" customHeight="1" s="46"/>
    <row r="549" ht="15.75" customHeight="1" s="46"/>
    <row r="550" ht="15.75" customHeight="1" s="46"/>
    <row r="551" ht="15.75" customHeight="1" s="46"/>
    <row r="552" ht="15.75" customHeight="1" s="46"/>
    <row r="553" ht="15.75" customHeight="1" s="46"/>
    <row r="554" ht="15.75" customHeight="1" s="46"/>
    <row r="555" ht="15.75" customHeight="1" s="46"/>
    <row r="556" ht="15.75" customHeight="1" s="46"/>
    <row r="557" ht="15.75" customHeight="1" s="46"/>
    <row r="558" ht="15.75" customHeight="1" s="46"/>
    <row r="559" ht="15.75" customHeight="1" s="46"/>
    <row r="560" ht="15.75" customHeight="1" s="46"/>
    <row r="561" ht="15.75" customHeight="1" s="46"/>
    <row r="562" ht="15.75" customHeight="1" s="46"/>
    <row r="563" ht="15.75" customHeight="1" s="46"/>
    <row r="564" ht="15.75" customHeight="1" s="46"/>
    <row r="565" ht="15.75" customHeight="1" s="46"/>
    <row r="566" ht="15.75" customHeight="1" s="46"/>
    <row r="567" ht="15.75" customHeight="1" s="46"/>
    <row r="568" ht="15.75" customHeight="1" s="46"/>
    <row r="569" ht="15.75" customHeight="1" s="46"/>
    <row r="570" ht="15.75" customHeight="1" s="46"/>
    <row r="571" ht="15.75" customHeight="1" s="46"/>
    <row r="572" ht="15.75" customHeight="1" s="46"/>
    <row r="573" ht="15.75" customHeight="1" s="46"/>
    <row r="574" ht="15.75" customHeight="1" s="46"/>
    <row r="575" ht="15.75" customHeight="1" s="46"/>
    <row r="576" ht="15.75" customHeight="1" s="46"/>
    <row r="577" ht="15.75" customHeight="1" s="46"/>
    <row r="578" ht="15.75" customHeight="1" s="46"/>
    <row r="579" ht="15.75" customHeight="1" s="46"/>
    <row r="580" ht="15.75" customHeight="1" s="46"/>
    <row r="581" ht="15.75" customHeight="1" s="46"/>
    <row r="582" ht="15.75" customHeight="1" s="46"/>
    <row r="583" ht="15.75" customHeight="1" s="46"/>
    <row r="584" ht="15.75" customHeight="1" s="46"/>
    <row r="585" ht="15.75" customHeight="1" s="46"/>
    <row r="586" ht="15.75" customHeight="1" s="46"/>
    <row r="587" ht="15.75" customHeight="1" s="46"/>
    <row r="588" ht="15.75" customHeight="1" s="46"/>
    <row r="589" ht="15.75" customHeight="1" s="46"/>
    <row r="590" ht="15.75" customHeight="1" s="46"/>
    <row r="591" ht="15.75" customHeight="1" s="46"/>
    <row r="592" ht="15.75" customHeight="1" s="46"/>
    <row r="593" ht="15.75" customHeight="1" s="46"/>
    <row r="594" ht="15.75" customHeight="1" s="46"/>
    <row r="595" ht="15.75" customHeight="1" s="46"/>
    <row r="596" ht="15.75" customHeight="1" s="46"/>
    <row r="597" ht="15.75" customHeight="1" s="46"/>
    <row r="598" ht="15.75" customHeight="1" s="46"/>
    <row r="599" ht="15.75" customHeight="1" s="46"/>
    <row r="600" ht="15.75" customHeight="1" s="46"/>
    <row r="601" ht="15.75" customHeight="1" s="46"/>
    <row r="602" ht="15.75" customHeight="1" s="46"/>
    <row r="603" ht="15.75" customHeight="1" s="46"/>
    <row r="604" ht="15.75" customHeight="1" s="46"/>
    <row r="605" ht="15.75" customHeight="1" s="46"/>
    <row r="606" ht="15.75" customHeight="1" s="46"/>
    <row r="607" ht="15.75" customHeight="1" s="46"/>
    <row r="608" ht="15.75" customHeight="1" s="46"/>
    <row r="609" ht="15.75" customHeight="1" s="46"/>
    <row r="610" ht="15.75" customHeight="1" s="46"/>
    <row r="611" ht="15.75" customHeight="1" s="46"/>
    <row r="612" ht="15.75" customHeight="1" s="46"/>
    <row r="613" ht="15.75" customHeight="1" s="46"/>
    <row r="614" ht="15.75" customHeight="1" s="46"/>
    <row r="615" ht="15.75" customHeight="1" s="46"/>
    <row r="616" ht="15.75" customHeight="1" s="46"/>
    <row r="617" ht="15.75" customHeight="1" s="46"/>
    <row r="618" ht="15.75" customHeight="1" s="46"/>
    <row r="619" ht="15.75" customHeight="1" s="46"/>
    <row r="620" ht="15.75" customHeight="1" s="46"/>
    <row r="621" ht="15.75" customHeight="1" s="46"/>
    <row r="622" ht="15.75" customHeight="1" s="46"/>
    <row r="623" ht="15.75" customHeight="1" s="46"/>
    <row r="624" ht="15.75" customHeight="1" s="46"/>
    <row r="625" ht="15.75" customHeight="1" s="46"/>
    <row r="626" ht="15.75" customHeight="1" s="46"/>
    <row r="627" ht="15.75" customHeight="1" s="46"/>
    <row r="628" ht="15.75" customHeight="1" s="46"/>
    <row r="629" ht="15.75" customHeight="1" s="46"/>
    <row r="630" ht="15.75" customHeight="1" s="46"/>
    <row r="631" ht="15.75" customHeight="1" s="46"/>
    <row r="632" ht="15.75" customHeight="1" s="46"/>
    <row r="633" ht="15.75" customHeight="1" s="46"/>
    <row r="634" ht="15.75" customHeight="1" s="46"/>
    <row r="635" ht="15.75" customHeight="1" s="46"/>
    <row r="636" ht="15.75" customHeight="1" s="46"/>
    <row r="637" ht="15.75" customHeight="1" s="46"/>
    <row r="638" ht="15.75" customHeight="1" s="46"/>
    <row r="639" ht="15.75" customHeight="1" s="46"/>
    <row r="640" ht="15.75" customHeight="1" s="46"/>
    <row r="641" ht="15.75" customHeight="1" s="46"/>
    <row r="642" ht="15.75" customHeight="1" s="46"/>
    <row r="643" ht="15.75" customHeight="1" s="46"/>
    <row r="644" ht="15.75" customHeight="1" s="46"/>
    <row r="645" ht="15.75" customHeight="1" s="46"/>
    <row r="646" ht="15.75" customHeight="1" s="46"/>
    <row r="647" ht="15.75" customHeight="1" s="46"/>
    <row r="648" ht="15.75" customHeight="1" s="46"/>
    <row r="649" ht="15.75" customHeight="1" s="46"/>
    <row r="650" ht="15.75" customHeight="1" s="46"/>
    <row r="651" ht="15.75" customHeight="1" s="46"/>
    <row r="652" ht="15.75" customHeight="1" s="46"/>
    <row r="653" ht="15.75" customHeight="1" s="46"/>
    <row r="654" ht="15.75" customHeight="1" s="46"/>
    <row r="655" ht="15.75" customHeight="1" s="46"/>
    <row r="656" ht="15.75" customHeight="1" s="46"/>
    <row r="657" ht="15.75" customHeight="1" s="46"/>
    <row r="658" ht="15.75" customHeight="1" s="46"/>
    <row r="659" ht="15.75" customHeight="1" s="46"/>
    <row r="660" ht="15.75" customHeight="1" s="46"/>
    <row r="661" ht="15.75" customHeight="1" s="46"/>
    <row r="662" ht="15.75" customHeight="1" s="46"/>
    <row r="663" ht="15.75" customHeight="1" s="46"/>
    <row r="664" ht="15.75" customHeight="1" s="46"/>
    <row r="665" ht="15.75" customHeight="1" s="46"/>
    <row r="666" ht="15.75" customHeight="1" s="46"/>
    <row r="667" ht="15.75" customHeight="1" s="46"/>
    <row r="668" ht="15.75" customHeight="1" s="46"/>
    <row r="669" ht="15.75" customHeight="1" s="46"/>
    <row r="670" ht="15.75" customHeight="1" s="46"/>
    <row r="671" ht="15.75" customHeight="1" s="46"/>
    <row r="672" ht="15.75" customHeight="1" s="46"/>
    <row r="673" ht="15.75" customHeight="1" s="46"/>
    <row r="674" ht="15.75" customHeight="1" s="46"/>
    <row r="675" ht="15.75" customHeight="1" s="46"/>
    <row r="676" ht="15.75" customHeight="1" s="46"/>
    <row r="677" ht="15.75" customHeight="1" s="46"/>
    <row r="678" ht="15.75" customHeight="1" s="46"/>
    <row r="679" ht="15.75" customHeight="1" s="46"/>
    <row r="680" ht="15.75" customHeight="1" s="46"/>
    <row r="681" ht="15.75" customHeight="1" s="46"/>
    <row r="682" ht="15.75" customHeight="1" s="46"/>
    <row r="683" ht="15.75" customHeight="1" s="46"/>
    <row r="684" ht="15.75" customHeight="1" s="46"/>
    <row r="685" ht="15.75" customHeight="1" s="46"/>
    <row r="686" ht="15.75" customHeight="1" s="46"/>
    <row r="687" ht="15.75" customHeight="1" s="46"/>
    <row r="688" ht="15.75" customHeight="1" s="46"/>
    <row r="689" ht="15.75" customHeight="1" s="46"/>
    <row r="690" ht="15.75" customHeight="1" s="46"/>
    <row r="691" ht="15.75" customHeight="1" s="46"/>
    <row r="692" ht="15.75" customHeight="1" s="46"/>
    <row r="693" ht="15.75" customHeight="1" s="46"/>
    <row r="694" ht="15.75" customHeight="1" s="46"/>
    <row r="695" ht="15.75" customHeight="1" s="46"/>
    <row r="696" ht="15.75" customHeight="1" s="46"/>
    <row r="697" ht="15.75" customHeight="1" s="46"/>
    <row r="698" ht="15.75" customHeight="1" s="46"/>
    <row r="699" ht="15.75" customHeight="1" s="46"/>
    <row r="700" ht="15.75" customHeight="1" s="46"/>
    <row r="701" ht="15.75" customHeight="1" s="46"/>
    <row r="702" ht="15.75" customHeight="1" s="46"/>
    <row r="703" ht="15.75" customHeight="1" s="46"/>
    <row r="704" ht="15.75" customHeight="1" s="46"/>
    <row r="705" ht="15.75" customHeight="1" s="46"/>
    <row r="706" ht="15.75" customHeight="1" s="46"/>
    <row r="707" ht="15.75" customHeight="1" s="46"/>
    <row r="708" ht="15.75" customHeight="1" s="46"/>
    <row r="709" ht="15.75" customHeight="1" s="46"/>
    <row r="710" ht="15.75" customHeight="1" s="46"/>
    <row r="711" ht="15.75" customHeight="1" s="46"/>
    <row r="712" ht="15.75" customHeight="1" s="46"/>
    <row r="713" ht="15.75" customHeight="1" s="46"/>
    <row r="714" ht="15.75" customHeight="1" s="46"/>
    <row r="715" ht="15.75" customHeight="1" s="46"/>
    <row r="716" ht="15.75" customHeight="1" s="46"/>
    <row r="717" ht="15.75" customHeight="1" s="46"/>
    <row r="718" ht="15.75" customHeight="1" s="46"/>
    <row r="719" ht="15.75" customHeight="1" s="46"/>
    <row r="720" ht="15.75" customHeight="1" s="46"/>
    <row r="721" ht="15.75" customHeight="1" s="46"/>
    <row r="722" ht="15.75" customHeight="1" s="46"/>
    <row r="723" ht="15.75" customHeight="1" s="46"/>
    <row r="724" ht="15.75" customHeight="1" s="46"/>
    <row r="725" ht="15.75" customHeight="1" s="46"/>
    <row r="726" ht="15.75" customHeight="1" s="46"/>
    <row r="727" ht="15.75" customHeight="1" s="46"/>
    <row r="728" ht="15.75" customHeight="1" s="46"/>
    <row r="729" ht="15.75" customHeight="1" s="46"/>
    <row r="730" ht="15.75" customHeight="1" s="46"/>
    <row r="731" ht="15.75" customHeight="1" s="46"/>
    <row r="732" ht="15.75" customHeight="1" s="46"/>
    <row r="733" ht="15.75" customHeight="1" s="46"/>
    <row r="734" ht="15.75" customHeight="1" s="46"/>
    <row r="735" ht="15.75" customHeight="1" s="46"/>
    <row r="736" ht="15.75" customHeight="1" s="46"/>
    <row r="737" ht="15.75" customHeight="1" s="46"/>
    <row r="738" ht="15.75" customHeight="1" s="46"/>
    <row r="739" ht="15.75" customHeight="1" s="46"/>
    <row r="740" ht="15.75" customHeight="1" s="46"/>
    <row r="741" ht="15.75" customHeight="1" s="46"/>
    <row r="742" ht="15.75" customHeight="1" s="46"/>
    <row r="743" ht="15.75" customHeight="1" s="46"/>
    <row r="744" ht="15.75" customHeight="1" s="46"/>
    <row r="745" ht="15.75" customHeight="1" s="46"/>
    <row r="746" ht="15.75" customHeight="1" s="46"/>
    <row r="747" ht="15.75" customHeight="1" s="46"/>
    <row r="748" ht="15.75" customHeight="1" s="46"/>
    <row r="749" ht="15.75" customHeight="1" s="46"/>
    <row r="750" ht="15.75" customHeight="1" s="46"/>
    <row r="751" ht="15.75" customHeight="1" s="46"/>
    <row r="752" ht="15.75" customHeight="1" s="46"/>
    <row r="753" ht="15.75" customHeight="1" s="46"/>
    <row r="754" ht="15.75" customHeight="1" s="46"/>
    <row r="755" ht="15.75" customHeight="1" s="46"/>
    <row r="756" ht="15.75" customHeight="1" s="46"/>
    <row r="757" ht="15.75" customHeight="1" s="46"/>
    <row r="758" ht="15.75" customHeight="1" s="46"/>
    <row r="759" ht="15.75" customHeight="1" s="46"/>
    <row r="760" ht="15.75" customHeight="1" s="46"/>
    <row r="761" ht="15.75" customHeight="1" s="46"/>
    <row r="762" ht="15.75" customHeight="1" s="46"/>
    <row r="763" ht="15.75" customHeight="1" s="46"/>
    <row r="764" ht="15.75" customHeight="1" s="46"/>
    <row r="765" ht="15.75" customHeight="1" s="46"/>
    <row r="766" ht="15.75" customHeight="1" s="46"/>
    <row r="767" ht="15.75" customHeight="1" s="46"/>
    <row r="768" ht="15.75" customHeight="1" s="46"/>
    <row r="769" ht="15.75" customHeight="1" s="46"/>
    <row r="770" ht="15.75" customHeight="1" s="46"/>
    <row r="771" ht="15.75" customHeight="1" s="46"/>
    <row r="772" ht="15.75" customHeight="1" s="46"/>
    <row r="773" ht="15.75" customHeight="1" s="46"/>
    <row r="774" ht="15.75" customHeight="1" s="46"/>
    <row r="775" ht="15.75" customHeight="1" s="46"/>
    <row r="776" ht="15.75" customHeight="1" s="46"/>
    <row r="777" ht="15.75" customHeight="1" s="46"/>
    <row r="778" ht="15.75" customHeight="1" s="46"/>
    <row r="779" ht="15.75" customHeight="1" s="46"/>
    <row r="780" ht="15.75" customHeight="1" s="46"/>
    <row r="781" ht="15.75" customHeight="1" s="46"/>
    <row r="782" ht="15.75" customHeight="1" s="46"/>
    <row r="783" ht="15.75" customHeight="1" s="46"/>
    <row r="784" ht="15.75" customHeight="1" s="46"/>
    <row r="785" ht="15.75" customHeight="1" s="46"/>
    <row r="786" ht="15.75" customHeight="1" s="46"/>
    <row r="787" ht="15.75" customHeight="1" s="46"/>
    <row r="788" ht="15.75" customHeight="1" s="46"/>
    <row r="789" ht="15.75" customHeight="1" s="46"/>
    <row r="790" ht="15.75" customHeight="1" s="46"/>
    <row r="791" ht="15.75" customHeight="1" s="46"/>
    <row r="792" ht="15.75" customHeight="1" s="46"/>
    <row r="793" ht="15.75" customHeight="1" s="46"/>
    <row r="794" ht="15.75" customHeight="1" s="46"/>
    <row r="795" ht="15.75" customHeight="1" s="46"/>
    <row r="796" ht="15.75" customHeight="1" s="46"/>
    <row r="797" ht="15.75" customHeight="1" s="46"/>
    <row r="798" ht="15.75" customHeight="1" s="46"/>
    <row r="799" ht="15.75" customHeight="1" s="46"/>
    <row r="800" ht="15.75" customHeight="1" s="46"/>
    <row r="801" ht="15.75" customHeight="1" s="46"/>
    <row r="802" ht="15.75" customHeight="1" s="46"/>
    <row r="803" ht="15.75" customHeight="1" s="46"/>
    <row r="804" ht="15.75" customHeight="1" s="46"/>
    <row r="805" ht="15.75" customHeight="1" s="46"/>
    <row r="806" ht="15.75" customHeight="1" s="46"/>
    <row r="807" ht="15.75" customHeight="1" s="46"/>
    <row r="808" ht="15.75" customHeight="1" s="46"/>
    <row r="809" ht="15.75" customHeight="1" s="46"/>
    <row r="810" ht="15.75" customHeight="1" s="46"/>
    <row r="811" ht="15.75" customHeight="1" s="46"/>
    <row r="812" ht="15.75" customHeight="1" s="46"/>
    <row r="813" ht="15.75" customHeight="1" s="46"/>
    <row r="814" ht="15.75" customHeight="1" s="46"/>
    <row r="815" ht="15.75" customHeight="1" s="46"/>
    <row r="816" ht="15.75" customHeight="1" s="46"/>
    <row r="817" ht="15.75" customHeight="1" s="46"/>
    <row r="818" ht="15.75" customHeight="1" s="46"/>
    <row r="819" ht="15.75" customHeight="1" s="46"/>
    <row r="820" ht="15.75" customHeight="1" s="46"/>
    <row r="821" ht="15.75" customHeight="1" s="46"/>
    <row r="822" ht="15.75" customHeight="1" s="46"/>
    <row r="823" ht="15.75" customHeight="1" s="46"/>
    <row r="824" ht="15.75" customHeight="1" s="46"/>
    <row r="825" ht="15.75" customHeight="1" s="46"/>
    <row r="826" ht="15.75" customHeight="1" s="46"/>
    <row r="827" ht="15.75" customHeight="1" s="46"/>
    <row r="828" ht="15.75" customHeight="1" s="46"/>
    <row r="829" ht="15.75" customHeight="1" s="46"/>
    <row r="830" ht="15.75" customHeight="1" s="46"/>
    <row r="831" ht="15.75" customHeight="1" s="46"/>
    <row r="832" ht="15.75" customHeight="1" s="46"/>
    <row r="833" ht="15.75" customHeight="1" s="46"/>
    <row r="834" ht="15.75" customHeight="1" s="46"/>
    <row r="835" ht="15.75" customHeight="1" s="46"/>
    <row r="836" ht="15.75" customHeight="1" s="46"/>
    <row r="837" ht="15.75" customHeight="1" s="46"/>
    <row r="838" ht="15.75" customHeight="1" s="46"/>
    <row r="839" ht="15.75" customHeight="1" s="46"/>
    <row r="840" ht="15.75" customHeight="1" s="46"/>
    <row r="841" ht="15.75" customHeight="1" s="46"/>
    <row r="842" ht="15.75" customHeight="1" s="46"/>
    <row r="843" ht="15.75" customHeight="1" s="46"/>
    <row r="844" ht="15.75" customHeight="1" s="46"/>
    <row r="845" ht="15.75" customHeight="1" s="46"/>
    <row r="846" ht="15.75" customHeight="1" s="46"/>
    <row r="847" ht="15.75" customHeight="1" s="46"/>
    <row r="848" ht="15.75" customHeight="1" s="46"/>
    <row r="849" ht="15.75" customHeight="1" s="46"/>
    <row r="850" ht="15.75" customHeight="1" s="46"/>
    <row r="851" ht="15.75" customHeight="1" s="46"/>
    <row r="852" ht="15.75" customHeight="1" s="46"/>
    <row r="853" ht="15.75" customHeight="1" s="46"/>
    <row r="854" ht="15.75" customHeight="1" s="46"/>
    <row r="855" ht="15.75" customHeight="1" s="46"/>
    <row r="856" ht="15.75" customHeight="1" s="46"/>
    <row r="857" ht="15.75" customHeight="1" s="46"/>
    <row r="858" ht="15.75" customHeight="1" s="46"/>
    <row r="859" ht="15.75" customHeight="1" s="46"/>
    <row r="860" ht="15.75" customHeight="1" s="46"/>
    <row r="861" ht="15.75" customHeight="1" s="46"/>
    <row r="862" ht="15.75" customHeight="1" s="46"/>
    <row r="863" ht="15.75" customHeight="1" s="46"/>
    <row r="864" ht="15.75" customHeight="1" s="46"/>
    <row r="865" ht="15.75" customHeight="1" s="46"/>
    <row r="866" ht="15.75" customHeight="1" s="46"/>
    <row r="867" ht="15.75" customHeight="1" s="46"/>
    <row r="868" ht="15.75" customHeight="1" s="46"/>
    <row r="869" ht="15.75" customHeight="1" s="46"/>
    <row r="870" ht="15.75" customHeight="1" s="46"/>
    <row r="871" ht="15.75" customHeight="1" s="46"/>
    <row r="872" ht="15.75" customHeight="1" s="46"/>
    <row r="873" ht="15.75" customHeight="1" s="46"/>
    <row r="874" ht="15.75" customHeight="1" s="46"/>
    <row r="875" ht="15.75" customHeight="1" s="46"/>
    <row r="876" ht="15.75" customHeight="1" s="46"/>
    <row r="877" ht="15.75" customHeight="1" s="46"/>
    <row r="878" ht="15.75" customHeight="1" s="46"/>
    <row r="879" ht="15.75" customHeight="1" s="46"/>
    <row r="880" ht="15.75" customHeight="1" s="46"/>
    <row r="881" ht="15.75" customHeight="1" s="46"/>
    <row r="882" ht="15.75" customHeight="1" s="46"/>
    <row r="883" ht="15.75" customHeight="1" s="46"/>
    <row r="884" ht="15.75" customHeight="1" s="46"/>
    <row r="885" ht="15.75" customHeight="1" s="46"/>
    <row r="886" ht="15.75" customHeight="1" s="46"/>
    <row r="887" ht="15.75" customHeight="1" s="46"/>
    <row r="888" ht="15.75" customHeight="1" s="46"/>
    <row r="889" ht="15.75" customHeight="1" s="46"/>
    <row r="890" ht="15.75" customHeight="1" s="46"/>
    <row r="891" ht="15.75" customHeight="1" s="46"/>
    <row r="892" ht="15.75" customHeight="1" s="46"/>
    <row r="893" ht="15.75" customHeight="1" s="46"/>
    <row r="894" ht="15.75" customHeight="1" s="46"/>
    <row r="895" ht="15.75" customHeight="1" s="46"/>
    <row r="896" ht="15.75" customHeight="1" s="46"/>
    <row r="897" ht="15.75" customHeight="1" s="46"/>
    <row r="898" ht="15.75" customHeight="1" s="46"/>
    <row r="899" ht="15.75" customHeight="1" s="46"/>
    <row r="900" ht="15.75" customHeight="1" s="46"/>
    <row r="901" ht="15.75" customHeight="1" s="46"/>
    <row r="902" ht="15.75" customHeight="1" s="46"/>
    <row r="903" ht="15.75" customHeight="1" s="46"/>
    <row r="904" ht="15.75" customHeight="1" s="46"/>
    <row r="905" ht="15.75" customHeight="1" s="46"/>
    <row r="906" ht="15.75" customHeight="1" s="46"/>
    <row r="907" ht="15.75" customHeight="1" s="46"/>
    <row r="908" ht="15.75" customHeight="1" s="46"/>
    <row r="909" ht="15.75" customHeight="1" s="46"/>
    <row r="910" ht="15.75" customHeight="1" s="46"/>
    <row r="911" ht="15.75" customHeight="1" s="46"/>
    <row r="912" ht="15.75" customHeight="1" s="46"/>
    <row r="913" ht="15.75" customHeight="1" s="46"/>
    <row r="914" ht="15.75" customHeight="1" s="46"/>
    <row r="915" ht="15.75" customHeight="1" s="46"/>
    <row r="916" ht="15.75" customHeight="1" s="46"/>
    <row r="917" ht="15.75" customHeight="1" s="46"/>
    <row r="918" ht="15.75" customHeight="1" s="46"/>
    <row r="919" ht="15.75" customHeight="1" s="46"/>
    <row r="920" ht="15.75" customHeight="1" s="46"/>
    <row r="921" ht="15.75" customHeight="1" s="46"/>
    <row r="922" ht="15.75" customHeight="1" s="46"/>
    <row r="923" ht="15.75" customHeight="1" s="46"/>
    <row r="924" ht="15.75" customHeight="1" s="46"/>
    <row r="925" ht="15.75" customHeight="1" s="46"/>
    <row r="926" ht="15.75" customHeight="1" s="46"/>
    <row r="927" ht="15.75" customHeight="1" s="46"/>
    <row r="928" ht="15.75" customHeight="1" s="46"/>
    <row r="929" ht="15.75" customHeight="1" s="46"/>
    <row r="930" ht="15.75" customHeight="1" s="46"/>
    <row r="931" ht="15.75" customHeight="1" s="46"/>
    <row r="932" ht="15.75" customHeight="1" s="46"/>
    <row r="933" ht="15.75" customHeight="1" s="46"/>
    <row r="934" ht="15.75" customHeight="1" s="46"/>
    <row r="935" ht="15.75" customHeight="1" s="46"/>
    <row r="936" ht="15.75" customHeight="1" s="46"/>
    <row r="937" ht="15.75" customHeight="1" s="46"/>
    <row r="938" ht="15.75" customHeight="1" s="46"/>
    <row r="939" ht="15.75" customHeight="1" s="46"/>
    <row r="940" ht="15.75" customHeight="1" s="46"/>
    <row r="941" ht="15.75" customHeight="1" s="46"/>
    <row r="942" ht="15.75" customHeight="1" s="46"/>
    <row r="943" ht="15.75" customHeight="1" s="46"/>
    <row r="944" ht="15.75" customHeight="1" s="46"/>
    <row r="945" ht="15.75" customHeight="1" s="46"/>
    <row r="946" ht="15.75" customHeight="1" s="46"/>
    <row r="947" ht="15.75" customHeight="1" s="46"/>
    <row r="948" ht="15.75" customHeight="1" s="46"/>
    <row r="949" ht="15.75" customHeight="1" s="46"/>
    <row r="950" ht="15.75" customHeight="1" s="46"/>
    <row r="951" ht="15.75" customHeight="1" s="46"/>
    <row r="952" ht="15.75" customHeight="1" s="46"/>
    <row r="953" ht="15.75" customHeight="1" s="46"/>
    <row r="954" ht="15.75" customHeight="1" s="46"/>
    <row r="955" ht="15.75" customHeight="1" s="46"/>
    <row r="956" ht="15.75" customHeight="1" s="46"/>
    <row r="957" ht="15.75" customHeight="1" s="46"/>
    <row r="958" ht="15.75" customHeight="1" s="46"/>
    <row r="959" ht="15.75" customHeight="1" s="46"/>
    <row r="960" ht="15.75" customHeight="1" s="46"/>
    <row r="961" ht="15.75" customHeight="1" s="46"/>
    <row r="962" ht="15.75" customHeight="1" s="46"/>
    <row r="963" ht="15.75" customHeight="1" s="46"/>
    <row r="964" ht="15.75" customHeight="1" s="46"/>
    <row r="965" ht="15.75" customHeight="1" s="46"/>
    <row r="966" ht="15.75" customHeight="1" s="46"/>
    <row r="967" ht="15.75" customHeight="1" s="46"/>
    <row r="968" ht="15.75" customHeight="1" s="46"/>
    <row r="969" ht="15.75" customHeight="1" s="46"/>
    <row r="970" ht="15.75" customHeight="1" s="46"/>
    <row r="971" ht="15.75" customHeight="1" s="46"/>
    <row r="972" ht="15.75" customHeight="1" s="46"/>
    <row r="973" ht="15.75" customHeight="1" s="46"/>
    <row r="974" ht="15.75" customHeight="1" s="46"/>
    <row r="975" ht="15.75" customHeight="1" s="46"/>
    <row r="976" ht="15.75" customHeight="1" s="46"/>
    <row r="977" ht="15.75" customHeight="1" s="46"/>
    <row r="978" ht="15.75" customHeight="1" s="46"/>
    <row r="979" ht="15.75" customHeight="1" s="46"/>
    <row r="980" ht="15.75" customHeight="1" s="46"/>
    <row r="981" ht="15.75" customHeight="1" s="46"/>
    <row r="982" ht="15.75" customHeight="1" s="46"/>
    <row r="983" ht="15.75" customHeight="1" s="46"/>
    <row r="984" ht="15.75" customHeight="1" s="46"/>
    <row r="985" ht="15.75" customHeight="1" s="46"/>
    <row r="986" ht="15.75" customHeight="1" s="46"/>
    <row r="987" ht="15.75" customHeight="1" s="46"/>
    <row r="988" ht="15.75" customHeight="1" s="46"/>
    <row r="989" ht="15.75" customHeight="1" s="46"/>
    <row r="990" ht="15.75" customHeight="1" s="46"/>
    <row r="991" ht="15.75" customHeight="1" s="46"/>
    <row r="992" ht="15.75" customHeight="1" s="46"/>
    <row r="993" ht="15.75" customHeight="1" s="46"/>
    <row r="994" ht="15.75" customHeight="1" s="46"/>
    <row r="995" ht="15.75" customHeight="1" s="46"/>
    <row r="996" ht="15.75" customHeight="1" s="46"/>
    <row r="997" ht="15.75" customHeight="1" s="46"/>
    <row r="998" ht="15.75" customHeight="1" s="46"/>
    <row r="999" ht="15.75" customHeight="1" s="46"/>
    <row r="1000" ht="15.75" customHeight="1" s="46"/>
  </sheetData>
  <mergeCells count="14">
    <mergeCell ref="A21:E21"/>
    <mergeCell ref="A39:E39"/>
    <mergeCell ref="N25:Q25"/>
    <mergeCell ref="A25:E25"/>
    <mergeCell ref="A2:N2"/>
    <mergeCell ref="A41:N45"/>
    <mergeCell ref="A24:AG24"/>
    <mergeCell ref="R25:U25"/>
    <mergeCell ref="V25:Y25"/>
    <mergeCell ref="Z25:AC25"/>
    <mergeCell ref="F25:I25"/>
    <mergeCell ref="J25:M25"/>
    <mergeCell ref="AD25:AG25"/>
    <mergeCell ref="A1:N1"/>
  </mergeCells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G45"/>
  <sheetViews>
    <sheetView workbookViewId="0">
      <selection activeCell="A1" sqref="A1"/>
    </sheetView>
  </sheetViews>
  <sheetFormatPr baseColWidth="8" defaultColWidth="14.43" defaultRowHeight="15" customHeight="1"/>
  <cols>
    <col width="4" customWidth="1" style="46" min="1" max="1"/>
    <col width="10" customWidth="1" style="46" min="2" max="2"/>
    <col width="32" customWidth="1" style="46" min="3" max="3"/>
    <col width="26" customWidth="1" style="46" min="4" max="4"/>
    <col width="28" customWidth="1" style="46" min="5" max="5"/>
    <col width="14" customWidth="1" style="46" min="6" max="7"/>
    <col width="15" customWidth="1" style="46" min="8" max="9"/>
    <col width="16" customWidth="1" style="46" min="10" max="11"/>
    <col width="14" customWidth="1" style="46" min="12" max="12"/>
    <col width="15" customWidth="1" style="46" min="13" max="13"/>
    <col width="24" customWidth="1" style="46" min="14" max="14"/>
    <col width="14" customWidth="1" style="46" min="15" max="33"/>
  </cols>
  <sheetData>
    <row r="1" ht="24.75" customHeight="1" s="46">
      <c r="A1" s="47" t="inlineStr">
        <is>
          <t>CONTROL SEMANAL DE RENDIMIENTO DE MAQUINARIA (SEMANA 27)</t>
        </is>
      </c>
    </row>
    <row r="2" ht="18" customHeight="1" s="46">
      <c r="A2" s="48" t="inlineStr">
        <is>
          <t>OBRA: CARRETERA LIBRE MÉXICO-TOLUCA | PERIODO: 29/Jun/2026 - 04/Jul/2026</t>
        </is>
      </c>
    </row>
    <row r="4">
      <c r="A4" s="5" t="inlineStr">
        <is>
          <t>1. PARÁMETROS:</t>
        </is>
      </c>
      <c r="B4" s="5" t="inlineStr">
        <is>
          <t>PESO VOLUMÉTRICO ASFALTO (Ton/m³):</t>
        </is>
      </c>
      <c r="E4" s="7" t="n">
        <v>1.742</v>
      </c>
    </row>
    <row r="5">
      <c r="A5" s="5" t="inlineStr">
        <is>
          <t>2. FRESADO SEMANAL:</t>
        </is>
      </c>
      <c r="B5" s="8" t="inlineStr">
        <is>
          <t>Viajes de Fresado:</t>
        </is>
      </c>
      <c r="C5" s="41" t="n">
        <v>107</v>
      </c>
      <c r="D5" s="8" t="inlineStr">
        <is>
          <t>Volumen Fresado (m³):</t>
        </is>
      </c>
      <c r="E5" s="42" t="n">
        <v>1470</v>
      </c>
    </row>
    <row r="6">
      <c r="A6" s="5" t="inlineStr">
        <is>
          <t>3. CARPETA SEMANAL:</t>
        </is>
      </c>
      <c r="B6" s="8" t="inlineStr">
        <is>
          <t>Viajes de Mezcla:</t>
        </is>
      </c>
      <c r="C6" s="41" t="n">
        <v>61</v>
      </c>
      <c r="D6" s="8" t="inlineStr">
        <is>
          <t>Volumen Carpeta (m³):</t>
        </is>
      </c>
      <c r="E6" s="42" t="n">
        <v>857</v>
      </c>
      <c r="F6" s="8" t="inlineStr">
        <is>
          <t>Toneladas Carpeta (Ton):</t>
        </is>
      </c>
      <c r="G6" s="17">
        <f>E6*$E$4</f>
        <v/>
      </c>
    </row>
    <row r="8" ht="27.75" customHeight="1" s="46">
      <c r="A8" s="10" t="inlineStr">
        <is>
          <t>No.</t>
        </is>
      </c>
      <c r="B8" s="10" t="inlineStr">
        <is>
          <t>Económico</t>
        </is>
      </c>
      <c r="C8" s="10" t="inlineStr">
        <is>
          <t>Equipo / Maquinaria</t>
        </is>
      </c>
      <c r="D8" s="10" t="inlineStr">
        <is>
          <t>Operador Asignado</t>
        </is>
      </c>
      <c r="E8" s="10" t="inlineStr">
        <is>
          <t>Concepto de Trabajo</t>
        </is>
      </c>
      <c r="F8" s="10" t="inlineStr">
        <is>
          <t>Viajes Asignados</t>
        </is>
      </c>
      <c r="G8" s="10" t="inlineStr">
        <is>
          <t>Volumen (m³)</t>
        </is>
      </c>
      <c r="H8" s="10" t="inlineStr">
        <is>
          <t>Toneladas (Ton)</t>
        </is>
      </c>
      <c r="I8" s="10" t="inlineStr">
        <is>
          <t>Diésel Surtido (L)</t>
        </is>
      </c>
      <c r="J8" s="10" t="inlineStr">
        <is>
          <t>Rendimiento Real (L/Ton)</t>
        </is>
      </c>
      <c r="K8" s="10" t="inlineStr">
        <is>
          <t>Rendimiento Real (L/m³)</t>
        </is>
      </c>
      <c r="L8" s="10" t="inlineStr">
        <is>
          <t>Rend. Base (L/h)</t>
        </is>
      </c>
      <c r="M8" s="10" t="inlineStr">
        <is>
          <t>Horas Est. Operación</t>
        </is>
      </c>
      <c r="N8" s="10" t="inlineStr">
        <is>
          <t>Estatus Operativo</t>
        </is>
      </c>
    </row>
    <row r="9" ht="19.5" customHeight="1" s="46">
      <c r="A9" s="12" t="n">
        <v>1</v>
      </c>
      <c r="B9" s="12" t="inlineStr">
        <is>
          <t>PRR-01</t>
        </is>
      </c>
      <c r="C9" s="13" t="inlineStr">
        <is>
          <t>PERFILADORA WIRTGEN W200i</t>
        </is>
      </c>
      <c r="D9" s="13" t="inlineStr">
        <is>
          <t>JAVIER PAREDES CORTE</t>
        </is>
      </c>
      <c r="E9" s="13" t="inlineStr">
        <is>
          <t>Fresado de Pavimento</t>
        </is>
      </c>
      <c r="F9" s="14">
        <f>$C$5</f>
        <v/>
      </c>
      <c r="G9" s="37">
        <f>$E$5</f>
        <v/>
      </c>
      <c r="H9" s="18" t="inlineStr">
        <is>
          <t>-</t>
        </is>
      </c>
      <c r="I9" s="37" t="n">
        <v>1754</v>
      </c>
      <c r="J9" s="19" t="inlineStr">
        <is>
          <t>-</t>
        </is>
      </c>
      <c r="K9" s="20">
        <f>IF(G9&gt;0, I9/G9, 0)</f>
        <v/>
      </c>
      <c r="L9" s="21" t="n">
        <v>67.2</v>
      </c>
      <c r="M9" s="22">
        <f>IF(L9&gt;0, I9/L9, 0)</f>
        <v/>
      </c>
      <c r="N9" s="12">
        <f>IF(I9=0, "SIN CONSUMO (Inactiva)", IF(A9=1, IF(K9&lt;=0.85, "DENTRO DE RENDIMIENTO BASE", "EXCEDE RENDIMIENTO BASE"), IF(A9=2, IF(J9&lt;=0.38, "DENTRO DE RENDIMIENTO BASE", "EXCEDE RENDIMIENTO BASE"), IF(OR(A9=3,A9=4,A9=5,A9=6), IF(J9&lt;=0.08, "DENTRO DE RENDIMIENTO BASE", "EXCEDE RENDIMIENTO BASE"), IF(A9=7, IF(J9&lt;=0.07, "DENTRO DE RENDIMIENTO BASE", "EXCEDE RENDIMIENTO BASE"), IF(A9=8, IF(K9&lt;=0.22, "DENTRO DE RENDIMIENTO BASE", "EXCEDE RENDIMIENTO BASE"), IF(A9=9, IF(J9&lt;=0.075, "DENTRO DE RENDIMIENTO BASE", "EXCEDE RENDIMIENTO BASE"), "APOYO PUNTUAL")))))))</f>
        <v/>
      </c>
    </row>
    <row r="10" ht="19.5" customHeight="1" s="46">
      <c r="A10" s="12" t="n">
        <v>2</v>
      </c>
      <c r="B10" s="12" t="inlineStr">
        <is>
          <t>VG-01</t>
        </is>
      </c>
      <c r="C10" s="13" t="inlineStr">
        <is>
          <t>PAVIMENTADORA VÖGELE SUPER 1800-3i</t>
        </is>
      </c>
      <c r="D10" s="13" t="inlineStr">
        <is>
          <t>ERWIN CUTEÑO HERNANDEZ</t>
        </is>
      </c>
      <c r="E10" s="13" t="inlineStr">
        <is>
          <t>Tendido de Mezcla Asfáltica</t>
        </is>
      </c>
      <c r="F10" s="14">
        <f>$C$6</f>
        <v/>
      </c>
      <c r="G10" s="37">
        <f>$E$6</f>
        <v/>
      </c>
      <c r="H10" s="16">
        <f>G10*$E$4</f>
        <v/>
      </c>
      <c r="I10" s="37" t="n">
        <v>599</v>
      </c>
      <c r="J10" s="20">
        <f>IF(H10&gt;0, I10/H10, 0)</f>
        <v/>
      </c>
      <c r="K10" s="20">
        <f>IF(G10&gt;0, I10/G10, 0)</f>
        <v/>
      </c>
      <c r="L10" s="21" t="n">
        <v>16.24</v>
      </c>
      <c r="M10" s="22">
        <f>IF(L10&gt;0, I10/L10, 0)</f>
        <v/>
      </c>
      <c r="N10" s="12">
        <f>IF(I10=0, "SIN CONSUMO (Inactiva)", IF(A10=1, IF(K10&lt;=0.85, "DENTRO DE RENDIMIENTO BASE", "EXCEDE RENDIMIENTO BASE"), IF(A10=2, IF(J10&lt;=0.38, "DENTRO DE RENDIMIENTO BASE", "EXCEDE RENDIMIENTO BASE"), IF(OR(A10=3,A10=4,A10=5,A10=6), IF(J10&lt;=0.08, "DENTRO DE RENDIMIENTO BASE", "EXCEDE RENDIMIENTO BASE"), IF(A10=7, IF(J10&lt;=0.07, "DENTRO DE RENDIMIENTO BASE", "EXCEDE RENDIMIENTO BASE"), IF(A10=8, IF(K10&lt;=0.22, "DENTRO DE RENDIMIENTO BASE", "EXCEDE RENDIMIENTO BASE"), IF(A10=9, IF(J10&lt;=0.075, "DENTRO DE RENDIMIENTO BASE", "EXCEDE RENDIMIENTO BASE"), "APOYO PUNTUAL")))))))</f>
        <v/>
      </c>
    </row>
    <row r="11" ht="19.5" customHeight="1" s="46">
      <c r="A11" s="12" t="n">
        <v>3</v>
      </c>
      <c r="B11" s="12" t="inlineStr">
        <is>
          <t>DR-01</t>
        </is>
      </c>
      <c r="C11" s="13" t="inlineStr">
        <is>
          <t>COMPACTADOR TÁNDEM HAMM-HD120 VV</t>
        </is>
      </c>
      <c r="D11" s="13" t="inlineStr">
        <is>
          <t>JOEL ALBERTO RIVERA RIVAS</t>
        </is>
      </c>
      <c r="E11" s="13" t="inlineStr">
        <is>
          <t>Compactación Tándem Primaria</t>
        </is>
      </c>
      <c r="F11" s="14">
        <f>$C$6</f>
        <v/>
      </c>
      <c r="G11" s="37">
        <f>$E$6</f>
        <v/>
      </c>
      <c r="H11" s="16">
        <f>G11*$E$4</f>
        <v/>
      </c>
      <c r="I11" s="37" t="n">
        <v>174</v>
      </c>
      <c r="J11" s="20">
        <f>IF(H11&gt;0, I11/H11, 0)</f>
        <v/>
      </c>
      <c r="K11" s="20">
        <f>IF(G11&gt;0, I11/G11, 0)</f>
        <v/>
      </c>
      <c r="L11" s="21" t="n">
        <v>14.3</v>
      </c>
      <c r="M11" s="22">
        <f>IF(L11&gt;0, I11/L11, 0)</f>
        <v/>
      </c>
      <c r="N11" s="12">
        <f>IF(I11=0, "SIN CONSUMO (Inactiva)", IF(A11=1, IF(K11&lt;=0.85, "DENTRO DE RENDIMIENTO BASE", "EXCEDE RENDIMIENTO BASE"), IF(A11=2, IF(J11&lt;=0.38, "DENTRO DE RENDIMIENTO BASE", "EXCEDE RENDIMIENTO BASE"), IF(OR(A11=3,A11=4,A11=5,A11=6), IF(J11&lt;=0.08, "DENTRO DE RENDIMIENTO BASE", "EXCEDE RENDIMIENTO BASE"), IF(A11=7, IF(J11&lt;=0.07, "DENTRO DE RENDIMIENTO BASE", "EXCEDE RENDIMIENTO BASE"), IF(A11=8, IF(K11&lt;=0.22, "DENTRO DE RENDIMIENTO BASE", "EXCEDE RENDIMIENTO BASE"), IF(A11=9, IF(J11&lt;=0.075, "DENTRO DE RENDIMIENTO BASE", "EXCEDE RENDIMIENTO BASE"), "APOYO PUNTUAL")))))))</f>
        <v/>
      </c>
    </row>
    <row r="12" ht="19.5" customHeight="1" s="46">
      <c r="A12" s="12" t="n">
        <v>4</v>
      </c>
      <c r="B12" s="12" t="inlineStr">
        <is>
          <t>DR-02</t>
        </is>
      </c>
      <c r="C12" s="13" t="inlineStr">
        <is>
          <t>COMPACTADOR TÁNDEM HAMM-HD140</t>
        </is>
      </c>
      <c r="D12" s="13" t="inlineStr">
        <is>
          <t>ALEXIS RENDON DOMINGUEZ</t>
        </is>
      </c>
      <c r="E12" s="13" t="inlineStr">
        <is>
          <t>Compactación Tándem Pesada</t>
        </is>
      </c>
      <c r="F12" s="14">
        <f>$C$6</f>
        <v/>
      </c>
      <c r="G12" s="37">
        <f>$E$6</f>
        <v/>
      </c>
      <c r="H12" s="16">
        <f>G12*$E$4</f>
        <v/>
      </c>
      <c r="I12" s="37" t="n">
        <v>113</v>
      </c>
      <c r="J12" s="20">
        <f>IF(H12&gt;0, I12/H12, 0)</f>
        <v/>
      </c>
      <c r="K12" s="20">
        <f>IF(G12&gt;0, I12/G12, 0)</f>
        <v/>
      </c>
      <c r="L12" s="21" t="n">
        <v>14.3</v>
      </c>
      <c r="M12" s="22">
        <f>IF(L12&gt;0, I12/L12, 0)</f>
        <v/>
      </c>
      <c r="N12" s="12">
        <f>IF(I12=0, "SIN CONSUMO (Inactiva)", IF(A12=1, IF(K12&lt;=0.85, "DENTRO DE RENDIMIENTO BASE", "EXCEDE RENDIMIENTO BASE"), IF(A12=2, IF(J12&lt;=0.38, "DENTRO DE RENDIMIENTO BASE", "EXCEDE RENDIMIENTO BASE"), IF(OR(A12=3,A12=4,A12=5,A12=6), IF(J12&lt;=0.08, "DENTRO DE RENDIMIENTO BASE", "EXCEDE RENDIMIENTO BASE"), IF(A12=7, IF(J12&lt;=0.07, "DENTRO DE RENDIMIENTO BASE", "EXCEDE RENDIMIENTO BASE"), IF(A12=8, IF(K12&lt;=0.22, "DENTRO DE RENDIMIENTO BASE", "EXCEDE RENDIMIENTO BASE"), IF(A12=9, IF(J12&lt;=0.075, "DENTRO DE RENDIMIENTO BASE", "EXCEDE RENDIMIENTO BASE"), "APOYO PUNTUAL")))))))</f>
        <v/>
      </c>
    </row>
    <row r="13" ht="19.5" customHeight="1" s="46">
      <c r="A13" s="12" t="n">
        <v>5</v>
      </c>
      <c r="B13" s="12" t="inlineStr">
        <is>
          <t>NM-01</t>
        </is>
      </c>
      <c r="C13" s="13" t="inlineStr">
        <is>
          <t>COMPACTADOR NEUMÁTICO DYNAPAC CP271</t>
        </is>
      </c>
      <c r="D13" s="13" t="inlineStr">
        <is>
          <t>JOSE CARLOS ROMERO TELLEZ</t>
        </is>
      </c>
      <c r="E13" s="13" t="inlineStr">
        <is>
          <t>Compactación Neumática / Sellado</t>
        </is>
      </c>
      <c r="F13" s="14">
        <f>$C$6</f>
        <v/>
      </c>
      <c r="G13" s="37">
        <f>$E$6</f>
        <v/>
      </c>
      <c r="H13" s="16">
        <f>G13*$E$4</f>
        <v/>
      </c>
      <c r="I13" s="37" t="n">
        <v>260</v>
      </c>
      <c r="J13" s="20">
        <f>IF(H13&gt;0, I13/H13, 0)</f>
        <v/>
      </c>
      <c r="K13" s="20">
        <f>IF(G13&gt;0, I13/G13, 0)</f>
        <v/>
      </c>
      <c r="L13" s="21" t="n">
        <v>11.44</v>
      </c>
      <c r="M13" s="22">
        <f>IF(L13&gt;0, I13/L13, 0)</f>
        <v/>
      </c>
      <c r="N13" s="12">
        <f>IF(I13=0, "SIN CONSUMO (Inactiva)", IF(A13=1, IF(K13&lt;=0.85, "DENTRO DE RENDIMIENTO BASE", "EXCEDE RENDIMIENTO BASE"), IF(A13=2, IF(J13&lt;=0.38, "DENTRO DE RENDIMIENTO BASE", "EXCEDE RENDIMIENTO BASE"), IF(OR(A13=3,A13=4,A13=5,A13=6), IF(J13&lt;=0.08, "DENTRO DE RENDIMIENTO BASE", "EXCEDE RENDIMIENTO BASE"), IF(A13=7, IF(J13&lt;=0.07, "DENTRO DE RENDIMIENTO BASE", "EXCEDE RENDIMIENTO BASE"), IF(A13=8, IF(K13&lt;=0.22, "DENTRO DE RENDIMIENTO BASE", "EXCEDE RENDIMIENTO BASE"), IF(A13=9, IF(J13&lt;=0.075, "DENTRO DE RENDIMIENTO BASE", "EXCEDE RENDIMIENTO BASE"), "APOYO PUNTUAL")))))))</f>
        <v/>
      </c>
    </row>
    <row r="14" ht="19.5" customHeight="1" s="46">
      <c r="A14" s="12" t="n">
        <v>6</v>
      </c>
      <c r="B14" s="12" t="inlineStr">
        <is>
          <t>NM-09</t>
        </is>
      </c>
      <c r="C14" s="13" t="inlineStr">
        <is>
          <t>COMPACTADOR NEUMÁTICO HAMM 208</t>
        </is>
      </c>
      <c r="D14" s="13" t="inlineStr">
        <is>
          <t>NOLVIN DE JESUS PEREZ GOMEZ</t>
        </is>
      </c>
      <c r="E14" s="13" t="inlineStr">
        <is>
          <t>Compactación Neumática / Acabado</t>
        </is>
      </c>
      <c r="F14" s="14">
        <f>$C$6</f>
        <v/>
      </c>
      <c r="G14" s="37">
        <f>$E$6</f>
        <v/>
      </c>
      <c r="H14" s="16">
        <f>G14*$E$4</f>
        <v/>
      </c>
      <c r="I14" s="37" t="n">
        <v>0</v>
      </c>
      <c r="J14" s="20">
        <f>IF(H14&gt;0, I14/H14, 0)</f>
        <v/>
      </c>
      <c r="K14" s="20">
        <f>IF(G14&gt;0, I14/G14, 0)</f>
        <v/>
      </c>
      <c r="L14" s="21" t="n">
        <v>10.96</v>
      </c>
      <c r="M14" s="22">
        <f>IF(L14&gt;0, I14/L14, 0)</f>
        <v/>
      </c>
      <c r="N14" s="12">
        <f>IF(I14=0, "SIN CONSUMO (Inactiva)", IF(A14=1, IF(K14&lt;=0.85, "DENTRO DE RENDIMIENTO BASE", "EXCEDE RENDIMIENTO BASE"), IF(A14=2, IF(J14&lt;=0.38, "DENTRO DE RENDIMIENTO BASE", "EXCEDE RENDIMIENTO BASE"), IF(OR(A14=3,A14=4,A14=5,A14=6), IF(J14&lt;=0.08, "DENTRO DE RENDIMIENTO BASE", "EXCEDE RENDIMIENTO BASE"), IF(A14=7, IF(J14&lt;=0.07, "DENTRO DE RENDIMIENTO BASE", "EXCEDE RENDIMIENTO BASE"), IF(A14=8, IF(K14&lt;=0.22, "DENTRO DE RENDIMIENTO BASE", "EXCEDE RENDIMIENTO BASE"), IF(A14=9, IF(J14&lt;=0.075, "DENTRO DE RENDIMIENTO BASE", "EXCEDE RENDIMIENTO BASE"), "APOYO PUNTUAL")))))))</f>
        <v/>
      </c>
    </row>
    <row r="15" ht="19.5" customHeight="1" s="46">
      <c r="A15" s="12" t="n">
        <v>7</v>
      </c>
      <c r="B15" s="12" t="inlineStr">
        <is>
          <t>BR-01</t>
        </is>
      </c>
      <c r="C15" s="13" t="inlineStr">
        <is>
          <t>BARREDORA INDUSTRIAL BROCE BROOM-350</t>
        </is>
      </c>
      <c r="D15" s="13" t="inlineStr">
        <is>
          <t>EDGAR ROSALES MARTINEZ</t>
        </is>
      </c>
      <c r="E15" s="13" t="inlineStr">
        <is>
          <t>Limpieza y Barrido Previo</t>
        </is>
      </c>
      <c r="F15" s="14">
        <f>$C$6</f>
        <v/>
      </c>
      <c r="G15" s="37">
        <f>$E$6</f>
        <v/>
      </c>
      <c r="H15" s="16">
        <f>G15*$E$4</f>
        <v/>
      </c>
      <c r="I15" s="37" t="n">
        <v>58</v>
      </c>
      <c r="J15" s="20">
        <f>IF(H15&gt;0, I15/H15, 0)</f>
        <v/>
      </c>
      <c r="K15" s="20">
        <f>IF(G15&gt;0, I15/G15, 0)</f>
        <v/>
      </c>
      <c r="L15" s="21" t="n">
        <v>8.94</v>
      </c>
      <c r="M15" s="22">
        <f>IF(L15&gt;0, I15/L15, 0)</f>
        <v/>
      </c>
      <c r="N15" s="12">
        <f>IF(I15=0, "SIN CONSUMO (Inactiva)", IF(A15=1, IF(K15&lt;=0.85, "DENTRO DE RENDIMIENTO BASE", "EXCEDE RENDIMIENTO BASE"), IF(A15=2, IF(J15&lt;=0.38, "DENTRO DE RENDIMIENTO BASE", "EXCEDE RENDIMIENTO BASE"), IF(OR(A15=3,A15=4,A15=5,A15=6), IF(J15&lt;=0.08, "DENTRO DE RENDIMIENTO BASE", "EXCEDE RENDIMIENTO BASE"), IF(A15=7, IF(J15&lt;=0.07, "DENTRO DE RENDIMIENTO BASE", "EXCEDE RENDIMIENTO BASE"), IF(A15=8, IF(K15&lt;=0.22, "DENTRO DE RENDIMIENTO BASE", "EXCEDE RENDIMIENTO BASE"), IF(A15=9, IF(J15&lt;=0.075, "DENTRO DE RENDIMIENTO BASE", "EXCEDE RENDIMIENTO BASE"), "APOYO PUNTUAL")))))))</f>
        <v/>
      </c>
    </row>
    <row r="16" ht="19.5" customHeight="1" s="46">
      <c r="A16" s="12" t="n">
        <v>8</v>
      </c>
      <c r="B16" s="12" t="inlineStr">
        <is>
          <t>RT-05</t>
        </is>
      </c>
      <c r="C16" s="13" t="inlineStr">
        <is>
          <t>RETROEXCAVADORA JOHN DEERE 310SK</t>
        </is>
      </c>
      <c r="D16" s="13" t="inlineStr">
        <is>
          <t>ADOLFO NAVA LOPEZ</t>
        </is>
      </c>
      <c r="E16" s="13" t="inlineStr">
        <is>
          <t>Carga Fresado y Derrumbes</t>
        </is>
      </c>
      <c r="F16" s="14">
        <f>$C$5</f>
        <v/>
      </c>
      <c r="G16" s="37">
        <f>$E$5</f>
        <v/>
      </c>
      <c r="H16" s="18" t="inlineStr">
        <is>
          <t>-</t>
        </is>
      </c>
      <c r="I16" s="37" t="n">
        <v>463</v>
      </c>
      <c r="J16" s="19" t="inlineStr">
        <is>
          <t>-</t>
        </is>
      </c>
      <c r="K16" s="20">
        <f>IF(G16&gt;0, I16/G16, 0)</f>
        <v/>
      </c>
      <c r="L16" s="21" t="n">
        <v>7.44</v>
      </c>
      <c r="M16" s="22">
        <f>IF(L16&gt;0, I16/L16, 0)</f>
        <v/>
      </c>
      <c r="N16" s="12">
        <f>IF(I16=0, "SIN CONSUMO (Inactiva)", IF(A16=1, IF(K16&lt;=0.85, "DENTRO DE RENDIMIENTO BASE", "EXCEDE RENDIMIENTO BASE"), IF(A16=2, IF(J16&lt;=0.38, "DENTRO DE RENDIMIENTO BASE", "EXCEDE RENDIMIENTO BASE"), IF(OR(A16=3,A16=4,A16=5,A16=6), IF(J16&lt;=0.08, "DENTRO DE RENDIMIENTO BASE", "EXCEDE RENDIMIENTO BASE"), IF(A16=7, IF(J16&lt;=0.07, "DENTRO DE RENDIMIENTO BASE", "EXCEDE RENDIMIENTO BASE"), IF(A16=8, IF(K16&lt;=0.22, "DENTRO DE RENDIMIENTO BASE", "EXCEDE RENDIMIENTO BASE"), IF(A16=9, IF(J16&lt;=0.075, "DENTRO DE RENDIMIENTO BASE", "EXCEDE RENDIMIENTO BASE"), "APOYO PUNTUAL")))))))</f>
        <v/>
      </c>
    </row>
    <row r="17" ht="19.5" customHeight="1" s="46">
      <c r="A17" s="12" t="n">
        <v>9</v>
      </c>
      <c r="B17" s="12" t="inlineStr">
        <is>
          <t>PT-01</t>
        </is>
      </c>
      <c r="C17" s="13" t="inlineStr">
        <is>
          <t>PETROLIZADORA INTERNATIONAL / FORD F800</t>
        </is>
      </c>
      <c r="D17" s="13" t="inlineStr">
        <is>
          <t>ELTHON EDUARDO MARTINEZ GOMORA</t>
        </is>
      </c>
      <c r="E17" s="13" t="inlineStr">
        <is>
          <t>Riego de Liga / Emulsión</t>
        </is>
      </c>
      <c r="F17" s="14">
        <f>$C$6</f>
        <v/>
      </c>
      <c r="G17" s="37">
        <f>$E$6</f>
        <v/>
      </c>
      <c r="H17" s="16">
        <f>G17*$E$4</f>
        <v/>
      </c>
      <c r="I17" s="37" t="n">
        <v>306</v>
      </c>
      <c r="J17" s="20">
        <f>IF(H17&gt;0, I17/H17, 0)</f>
        <v/>
      </c>
      <c r="K17" s="20">
        <f>IF(G17&gt;0, I17/G17, 0)</f>
        <v/>
      </c>
      <c r="L17" s="21" t="n">
        <v>12.76</v>
      </c>
      <c r="M17" s="22">
        <f>IF(L17&gt;0, I17/L17, 0)</f>
        <v/>
      </c>
      <c r="N17" s="12">
        <f>IF(I17=0, "SIN CONSUMO (Inactiva)", IF(A17=1, IF(K17&lt;=0.85, "DENTRO DE RENDIMIENTO BASE", "EXCEDE RENDIMIENTO BASE"), IF(A17=2, IF(J17&lt;=0.38, "DENTRO DE RENDIMIENTO BASE", "EXCEDE RENDIMIENTO BASE"), IF(OR(A17=3,A17=4,A17=5,A17=6), IF(J17&lt;=0.08, "DENTRO DE RENDIMIENTO BASE", "EXCEDE RENDIMIENTO BASE"), IF(A17=7, IF(J17&lt;=0.07, "DENTRO DE RENDIMIENTO BASE", "EXCEDE RENDIMIENTO BASE"), IF(A17=8, IF(K17&lt;=0.22, "DENTRO DE RENDIMIENTO BASE", "EXCEDE RENDIMIENTO BASE"), IF(A17=9, IF(J17&lt;=0.075, "DENTRO DE RENDIMIENTO BASE", "EXCEDE RENDIMIENTO BASE"), "APOYO PUNTUAL")))))))</f>
        <v/>
      </c>
    </row>
    <row r="18" ht="19.5" customHeight="1" s="46">
      <c r="A18" s="12" t="n">
        <v>10</v>
      </c>
      <c r="B18" s="12" t="inlineStr">
        <is>
          <t>CPR-01</t>
        </is>
      </c>
      <c r="C18" s="13" t="inlineStr">
        <is>
          <t>COMPRESOR DE AIRE INGERSOLL RAND IR185</t>
        </is>
      </c>
      <c r="D18" s="13" t="inlineStr">
        <is>
          <t>CUADRILLA DE LIMPIEZA</t>
        </is>
      </c>
      <c r="E18" s="13" t="inlineStr">
        <is>
          <t>Sopleteado de Juntas</t>
        </is>
      </c>
      <c r="F18" s="14" t="n">
        <v>0</v>
      </c>
      <c r="G18" s="37" t="n">
        <v>0</v>
      </c>
      <c r="H18" s="16" t="n">
        <v>0</v>
      </c>
      <c r="I18" s="37" t="n">
        <v>0</v>
      </c>
      <c r="J18" s="20" t="n">
        <v>0</v>
      </c>
      <c r="K18" s="20" t="n">
        <v>0</v>
      </c>
      <c r="L18" s="21" t="n">
        <v>9.970000000000001</v>
      </c>
      <c r="M18" s="22">
        <f>IF(L18&gt;0, I18/L18, 0)</f>
        <v/>
      </c>
      <c r="N18" s="12">
        <f>IF(I18=0, "SIN CONSUMO (Inactiva)", IF(A18=1, IF(K18&lt;=0.85, "DENTRO DE RENDIMIENTO BASE", "EXCEDE RENDIMIENTO BASE"), IF(A18=2, IF(J18&lt;=0.38, "DENTRO DE RENDIMIENTO BASE", "EXCEDE RENDIMIENTO BASE"), IF(OR(A18=3,A18=4,A18=5,A18=6), IF(J18&lt;=0.08, "DENTRO DE RENDIMIENTO BASE", "EXCEDE RENDIMIENTO BASE"), IF(A18=7, IF(J18&lt;=0.07, "DENTRO DE RENDIMIENTO BASE", "EXCEDE RENDIMIENTO BASE"), IF(A18=8, IF(K18&lt;=0.22, "DENTRO DE RENDIMIENTO BASE", "EXCEDE RENDIMIENTO BASE"), IF(A18=9, IF(J18&lt;=0.075, "DENTRO DE RENDIMIENTO BASE", "EXCEDE RENDIMIENTO BASE"), "APOYO PUNTUAL")))))))</f>
        <v/>
      </c>
    </row>
    <row r="19" ht="19.5" customHeight="1" s="46">
      <c r="A19" s="12" t="n">
        <v>11</v>
      </c>
      <c r="B19" s="12" t="inlineStr">
        <is>
          <t>PP-01</t>
        </is>
      </c>
      <c r="C19" s="13" t="inlineStr">
        <is>
          <t>CAMIÓN IMPACTO / PIPA DE AGUA FORD</t>
        </is>
      </c>
      <c r="D19" s="13" t="inlineStr">
        <is>
          <t>CUADRILLA DE AGUA</t>
        </is>
      </c>
      <c r="E19" s="13" t="inlineStr">
        <is>
          <t>Enfriamiento Rodillos / Riego</t>
        </is>
      </c>
      <c r="F19" s="14" t="n">
        <v>0</v>
      </c>
      <c r="G19" s="37" t="n">
        <v>0</v>
      </c>
      <c r="H19" s="16" t="n">
        <v>0</v>
      </c>
      <c r="I19" s="37" t="n">
        <v>0</v>
      </c>
      <c r="J19" s="20" t="n">
        <v>0</v>
      </c>
      <c r="K19" s="20" t="n">
        <v>0</v>
      </c>
      <c r="L19" s="21" t="n">
        <v>3.03</v>
      </c>
      <c r="M19" s="22">
        <f>IF(L19&gt;0, I19/L19, 0)</f>
        <v/>
      </c>
      <c r="N19" s="12">
        <f>IF(I19=0, "SIN CONSUMO (Inactiva)", IF(A19=1, IF(K19&lt;=0.85, "DENTRO DE RENDIMIENTO BASE", "EXCEDE RENDIMIENTO BASE"), IF(A19=2, IF(J19&lt;=0.38, "DENTRO DE RENDIMIENTO BASE", "EXCEDE RENDIMIENTO BASE"), IF(OR(A19=3,A19=4,A19=5,A19=6), IF(J19&lt;=0.08, "DENTRO DE RENDIMIENTO BASE", "EXCEDE RENDIMIENTO BASE"), IF(A19=7, IF(J19&lt;=0.07, "DENTRO DE RENDIMIENTO BASE", "EXCEDE RENDIMIENTO BASE"), IF(A19=8, IF(K19&lt;=0.22, "DENTRO DE RENDIMIENTO BASE", "EXCEDE RENDIMIENTO BASE"), IF(A19=9, IF(J19&lt;=0.075, "DENTRO DE RENDIMIENTO BASE", "EXCEDE RENDIMIENTO BASE"), "APOYO PUNTUAL")))))))</f>
        <v/>
      </c>
    </row>
    <row r="20" ht="19.5" customHeight="1" s="46">
      <c r="A20" s="12" t="n">
        <v>12</v>
      </c>
      <c r="B20" s="12" t="inlineStr">
        <is>
          <t>TL-01</t>
        </is>
      </c>
      <c r="C20" s="13" t="inlineStr">
        <is>
          <t>TORRE DE LUZ MAXILIGHT 4X1000W</t>
        </is>
      </c>
      <c r="D20" s="13" t="inlineStr">
        <is>
          <t>CUADRILLA NOCTURNA</t>
        </is>
      </c>
      <c r="E20" s="13" t="inlineStr">
        <is>
          <t>Iluminación Nocturna</t>
        </is>
      </c>
      <c r="F20" s="14" t="n">
        <v>0</v>
      </c>
      <c r="G20" s="37" t="n">
        <v>0</v>
      </c>
      <c r="H20" s="16" t="n">
        <v>0</v>
      </c>
      <c r="I20" s="37" t="n">
        <v>0</v>
      </c>
      <c r="J20" s="20" t="n">
        <v>0</v>
      </c>
      <c r="K20" s="20" t="n">
        <v>0</v>
      </c>
      <c r="L20" s="21" t="n">
        <v>2.41</v>
      </c>
      <c r="M20" s="22">
        <f>IF(L20&gt;0, I20/L20, 0)</f>
        <v/>
      </c>
      <c r="N20" s="12">
        <f>IF(I20=0, "SIN CONSUMO (Inactiva)", IF(A20=1, IF(K20&lt;=0.85, "DENTRO DE RENDIMIENTO BASE", "EXCEDE RENDIMIENTO BASE"), IF(A20=2, IF(J20&lt;=0.38, "DENTRO DE RENDIMIENTO BASE", "EXCEDE RENDIMIENTO BASE"), IF(OR(A20=3,A20=4,A20=5,A20=6), IF(J20&lt;=0.08, "DENTRO DE RENDIMIENTO BASE", "EXCEDE RENDIMIENTO BASE"), IF(A20=7, IF(J20&lt;=0.07, "DENTRO DE RENDIMIENTO BASE", "EXCEDE RENDIMIENTO BASE"), IF(A20=8, IF(K20&lt;=0.22, "DENTRO DE RENDIMIENTO BASE", "EXCEDE RENDIMIENTO BASE"), IF(A20=9, IF(J20&lt;=0.075, "DENTRO DE RENDIMIENTO BASE", "EXCEDE RENDIMIENTO BASE"), "APOYO PUNTUAL")))))))</f>
        <v/>
      </c>
    </row>
    <row r="21" ht="21.75" customHeight="1" s="46">
      <c r="A21" s="30" t="inlineStr">
        <is>
          <t>TOTAL SEMANA 27 (OBRA CARRETERA MÉXICO-TOLUCA)</t>
        </is>
      </c>
      <c r="B21" s="50" t="n"/>
      <c r="C21" s="50" t="n"/>
      <c r="D21" s="50" t="n"/>
      <c r="E21" s="51" t="n"/>
      <c r="F21" s="26">
        <f>C5+C6</f>
        <v/>
      </c>
      <c r="G21" s="27">
        <f>E5+E6</f>
        <v/>
      </c>
      <c r="H21" s="28">
        <f>G6</f>
        <v/>
      </c>
      <c r="I21" s="27">
        <f>SUM(I9:I20)</f>
        <v/>
      </c>
      <c r="J21" s="29">
        <f>IF(H21&gt;0, I21/H21, 0)</f>
        <v/>
      </c>
      <c r="K21" s="29">
        <f>IF(G21&gt;0, I21/G21, 0)</f>
        <v/>
      </c>
      <c r="L21" s="30" t="inlineStr">
        <is>
          <t>—</t>
        </is>
      </c>
      <c r="M21" s="31">
        <f>SUM(M9:M20)</f>
        <v/>
      </c>
      <c r="N21" s="30" t="inlineStr">
        <is>
          <t>SEMANA REGISTRADA</t>
        </is>
      </c>
    </row>
    <row r="22" ht="15.75" customHeight="1" s="46"/>
    <row r="23" ht="15.75" customHeight="1" s="46"/>
    <row r="24" ht="24" customHeight="1" s="46">
      <c r="A24" s="96" t="inlineStr">
        <is>
          <t>DESGLOSE DIARIO DE COMBUSTIBLE, VOLUMEN, TONELAJE Y RENDIMIENTO — SEMANA 27</t>
        </is>
      </c>
    </row>
    <row r="25" ht="19.5" customHeight="1" s="46">
      <c r="A25" s="48" t="inlineStr">
        <is>
          <t>DATOS DEL EQUIPO</t>
        </is>
      </c>
      <c r="F25" s="48" t="inlineStr">
        <is>
          <t>LUNES</t>
        </is>
      </c>
      <c r="J25" s="48" t="inlineStr">
        <is>
          <t>MARTES</t>
        </is>
      </c>
      <c r="N25" s="48" t="inlineStr">
        <is>
          <t>MIÉRCOLES</t>
        </is>
      </c>
      <c r="R25" s="48" t="inlineStr">
        <is>
          <t>JUEVES</t>
        </is>
      </c>
      <c r="V25" s="48" t="inlineStr">
        <is>
          <t>VIERNES</t>
        </is>
      </c>
      <c r="Z25" s="48" t="inlineStr">
        <is>
          <t>SÁBADO</t>
        </is>
      </c>
      <c r="AD25" s="97" t="inlineStr">
        <is>
          <t>TOTAL SEMANAL</t>
        </is>
      </c>
    </row>
    <row r="26" ht="25.5" customHeight="1" s="46">
      <c r="A26" s="34" t="inlineStr">
        <is>
          <t>No.</t>
        </is>
      </c>
      <c r="B26" s="34" t="inlineStr">
        <is>
          <t>Económico</t>
        </is>
      </c>
      <c r="C26" s="34" t="inlineStr">
        <is>
          <t>Equipo / Maquinaria</t>
        </is>
      </c>
      <c r="D26" s="34" t="inlineStr">
        <is>
          <t>Operador Asignado</t>
        </is>
      </c>
      <c r="E26" s="34" t="inlineStr">
        <is>
          <t>Concepto de Trabajo</t>
        </is>
      </c>
      <c r="F26" s="34" t="inlineStr">
        <is>
          <t>Diésel (L)</t>
        </is>
      </c>
      <c r="G26" s="34" t="inlineStr">
        <is>
          <t>Volumen (m³)</t>
        </is>
      </c>
      <c r="H26" s="34" t="inlineStr">
        <is>
          <t>Toneladas (Ton)</t>
        </is>
      </c>
      <c r="I26" s="34" t="inlineStr">
        <is>
          <t>Rendimiento Real</t>
        </is>
      </c>
      <c r="J26" s="34" t="inlineStr">
        <is>
          <t>Diésel (L)</t>
        </is>
      </c>
      <c r="K26" s="34" t="inlineStr">
        <is>
          <t>Volumen (m³)</t>
        </is>
      </c>
      <c r="L26" s="34" t="inlineStr">
        <is>
          <t>Toneladas (Ton)</t>
        </is>
      </c>
      <c r="M26" s="34" t="inlineStr">
        <is>
          <t>Rendimiento Real</t>
        </is>
      </c>
      <c r="N26" s="34" t="inlineStr">
        <is>
          <t>Diésel (L)</t>
        </is>
      </c>
      <c r="O26" s="34" t="inlineStr">
        <is>
          <t>Volumen (m³)</t>
        </is>
      </c>
      <c r="P26" s="34" t="inlineStr">
        <is>
          <t>Toneladas (Ton)</t>
        </is>
      </c>
      <c r="Q26" s="34" t="inlineStr">
        <is>
          <t>Rendimiento Real</t>
        </is>
      </c>
      <c r="R26" s="34" t="inlineStr">
        <is>
          <t>Diésel (L)</t>
        </is>
      </c>
      <c r="S26" s="34" t="inlineStr">
        <is>
          <t>Volumen (m³)</t>
        </is>
      </c>
      <c r="T26" s="34" t="inlineStr">
        <is>
          <t>Toneladas (Ton)</t>
        </is>
      </c>
      <c r="U26" s="34" t="inlineStr">
        <is>
          <t>Rendimiento Real</t>
        </is>
      </c>
      <c r="V26" s="34" t="inlineStr">
        <is>
          <t>Diésel (L)</t>
        </is>
      </c>
      <c r="W26" s="34" t="inlineStr">
        <is>
          <t>Volumen (m³)</t>
        </is>
      </c>
      <c r="X26" s="34" t="inlineStr">
        <is>
          <t>Toneladas (Ton)</t>
        </is>
      </c>
      <c r="Y26" s="34" t="inlineStr">
        <is>
          <t>Rendimiento Real</t>
        </is>
      </c>
      <c r="Z26" s="34" t="inlineStr">
        <is>
          <t>Diésel (L)</t>
        </is>
      </c>
      <c r="AA26" s="34" t="inlineStr">
        <is>
          <t>Volumen (m³)</t>
        </is>
      </c>
      <c r="AB26" s="34" t="inlineStr">
        <is>
          <t>Toneladas (Ton)</t>
        </is>
      </c>
      <c r="AC26" s="34" t="inlineStr">
        <is>
          <t>Rendimiento Real</t>
        </is>
      </c>
      <c r="AD26" s="35" t="inlineStr">
        <is>
          <t>Total Diésel (L)</t>
        </is>
      </c>
      <c r="AE26" s="35" t="inlineStr">
        <is>
          <t>Total Vol (m³)</t>
        </is>
      </c>
      <c r="AF26" s="35" t="inlineStr">
        <is>
          <t>Total Ton (Ton)</t>
        </is>
      </c>
      <c r="AG26" s="35" t="inlineStr">
        <is>
          <t>Rend. Promedio</t>
        </is>
      </c>
    </row>
    <row r="27" ht="18.75" customHeight="1" s="46">
      <c r="A27" s="12" t="n">
        <v>1</v>
      </c>
      <c r="B27" s="12" t="inlineStr">
        <is>
          <t>PRR-01</t>
        </is>
      </c>
      <c r="C27" s="13" t="inlineStr">
        <is>
          <t>PERFILADORA WIRTGEN W200i</t>
        </is>
      </c>
      <c r="D27" s="13" t="inlineStr">
        <is>
          <t>JAVIER PAREDES CORTE</t>
        </is>
      </c>
      <c r="E27" s="13" t="inlineStr">
        <is>
          <t>Fresado de Pavimento</t>
        </is>
      </c>
      <c r="F27" s="37" t="n">
        <v>97</v>
      </c>
      <c r="G27" s="37" t="n">
        <v>154</v>
      </c>
      <c r="H27" s="16">
        <f>G27*$E$4</f>
        <v/>
      </c>
      <c r="I27" s="20">
        <f>IF(G27&gt;0, F27/G27, 0)</f>
        <v/>
      </c>
      <c r="J27" s="37" t="n">
        <v>500</v>
      </c>
      <c r="K27" s="37" t="n">
        <v>329</v>
      </c>
      <c r="L27" s="16">
        <f>K27*$E$4</f>
        <v/>
      </c>
      <c r="M27" s="20">
        <f>IF(K27&gt;0, J27/K27, 0)</f>
        <v/>
      </c>
      <c r="N27" s="37" t="n">
        <v>250</v>
      </c>
      <c r="O27" s="37" t="n">
        <v>301</v>
      </c>
      <c r="P27" s="16">
        <f>O27*$E$4</f>
        <v/>
      </c>
      <c r="Q27" s="20">
        <f>IF(O27&gt;0, N27/O27, 0)</f>
        <v/>
      </c>
      <c r="R27" s="37" t="n">
        <v>0</v>
      </c>
      <c r="S27" s="37" t="n">
        <v>294</v>
      </c>
      <c r="T27" s="16">
        <f>S27*$E$4</f>
        <v/>
      </c>
      <c r="U27" s="20">
        <f>IF(S27&gt;0, R27/S27, 0)</f>
        <v/>
      </c>
      <c r="V27" s="37" t="n">
        <v>907</v>
      </c>
      <c r="W27" s="37" t="n">
        <v>203</v>
      </c>
      <c r="X27" s="16">
        <f>W27*$E$4</f>
        <v/>
      </c>
      <c r="Y27" s="20">
        <f>IF(W27&gt;0, V27/W27, 0)</f>
        <v/>
      </c>
      <c r="Z27" s="37" t="n">
        <v>0</v>
      </c>
      <c r="AA27" s="37" t="n">
        <v>189</v>
      </c>
      <c r="AB27" s="16">
        <f>AA27*$E$4</f>
        <v/>
      </c>
      <c r="AC27" s="20">
        <f>IF(AA27&gt;0, Z27/AA27, 0)</f>
        <v/>
      </c>
      <c r="AD27" s="37">
        <f>F27+J27+N27+R27+V27+Z27</f>
        <v/>
      </c>
      <c r="AE27" s="37">
        <f>G27+K27+O27+S27+W27+AA27</f>
        <v/>
      </c>
      <c r="AF27" s="16">
        <f>H27+L27+P27+T27+X27+AB27</f>
        <v/>
      </c>
      <c r="AG27" s="20">
        <f>IF(AE27&gt;0, AD27/AE27, 0)</f>
        <v/>
      </c>
    </row>
    <row r="28" ht="18.75" customHeight="1" s="46">
      <c r="A28" s="12" t="n">
        <v>2</v>
      </c>
      <c r="B28" s="12" t="inlineStr">
        <is>
          <t>VG-01</t>
        </is>
      </c>
      <c r="C28" s="13" t="inlineStr">
        <is>
          <t>PAVIMENTADORA VÖGELE SUPER 1800-3i</t>
        </is>
      </c>
      <c r="D28" s="13" t="inlineStr">
        <is>
          <t>ERWIN CUTEÑO HERNANDEZ</t>
        </is>
      </c>
      <c r="E28" s="13" t="inlineStr">
        <is>
          <t>Tendido de Mezcla Asfáltica</t>
        </is>
      </c>
      <c r="F28" s="37" t="n">
        <v>102</v>
      </c>
      <c r="G28" s="37" t="n">
        <v>60</v>
      </c>
      <c r="H28" s="16">
        <f>G28*$E$4</f>
        <v/>
      </c>
      <c r="I28" s="20">
        <f>IF(H28&gt;0, F28/H28, 0)</f>
        <v/>
      </c>
      <c r="J28" s="37" t="n">
        <v>120</v>
      </c>
      <c r="K28" s="37" t="n">
        <v>158</v>
      </c>
      <c r="L28" s="16">
        <f>K28*$E$4</f>
        <v/>
      </c>
      <c r="M28" s="20">
        <f>IF(L28&gt;0, J28/L28, 0)</f>
        <v/>
      </c>
      <c r="N28" s="37" t="n">
        <v>0</v>
      </c>
      <c r="O28" s="37" t="n">
        <v>133</v>
      </c>
      <c r="P28" s="16">
        <f>O28*$E$4</f>
        <v/>
      </c>
      <c r="Q28" s="20">
        <f>IF(P28&gt;0, N28/P28, 0)</f>
        <v/>
      </c>
      <c r="R28" s="37" t="n">
        <v>0</v>
      </c>
      <c r="S28" s="37" t="n">
        <v>210</v>
      </c>
      <c r="T28" s="16">
        <f>S28*$E$4</f>
        <v/>
      </c>
      <c r="U28" s="20">
        <f>IF(T28&gt;0, R28/T28, 0)</f>
        <v/>
      </c>
      <c r="V28" s="37" t="n">
        <v>267</v>
      </c>
      <c r="W28" s="37" t="n">
        <v>168</v>
      </c>
      <c r="X28" s="16">
        <f>W28*$E$4</f>
        <v/>
      </c>
      <c r="Y28" s="20">
        <f>IF(X28&gt;0, V28/X28, 0)</f>
        <v/>
      </c>
      <c r="Z28" s="37" t="n">
        <v>110</v>
      </c>
      <c r="AA28" s="37" t="n">
        <v>128</v>
      </c>
      <c r="AB28" s="16">
        <f>AA28*$E$4</f>
        <v/>
      </c>
      <c r="AC28" s="20">
        <f>IF(AB28&gt;0, Z28/AB28, 0)</f>
        <v/>
      </c>
      <c r="AD28" s="37">
        <f>F28+J28+N28+R28+V28+Z28</f>
        <v/>
      </c>
      <c r="AE28" s="37">
        <f>G28+K28+O28+S28+W28+AA28</f>
        <v/>
      </c>
      <c r="AF28" s="16">
        <f>H28+L28+P28+T28+X28+AB28</f>
        <v/>
      </c>
      <c r="AG28" s="20">
        <f>IF(AF28&gt;0, AD28/AF28, 0)</f>
        <v/>
      </c>
    </row>
    <row r="29" ht="18.75" customHeight="1" s="46">
      <c r="A29" s="12" t="n">
        <v>3</v>
      </c>
      <c r="B29" s="12" t="inlineStr">
        <is>
          <t>DR-01</t>
        </is>
      </c>
      <c r="C29" s="13" t="inlineStr">
        <is>
          <t>COMPACTADOR TÁNDEM HAMM-HD120 VV</t>
        </is>
      </c>
      <c r="D29" s="13" t="inlineStr">
        <is>
          <t>JOEL ALBERTO RIVERA RIVAS</t>
        </is>
      </c>
      <c r="E29" s="13" t="inlineStr">
        <is>
          <t>Compactación Tándem Primaria</t>
        </is>
      </c>
      <c r="F29" s="37" t="n">
        <v>41</v>
      </c>
      <c r="G29" s="37" t="n">
        <v>60</v>
      </c>
      <c r="H29" s="16">
        <f>G29*$E$4</f>
        <v/>
      </c>
      <c r="I29" s="20">
        <f>IF(H29&gt;0, F29/H29, 0)</f>
        <v/>
      </c>
      <c r="J29" s="37" t="n">
        <v>33</v>
      </c>
      <c r="K29" s="37" t="n">
        <v>158</v>
      </c>
      <c r="L29" s="16">
        <f>K29*$E$4</f>
        <v/>
      </c>
      <c r="M29" s="20">
        <f>IF(L29&gt;0, J29/L29, 0)</f>
        <v/>
      </c>
      <c r="N29" s="37" t="n">
        <v>0</v>
      </c>
      <c r="O29" s="37" t="n">
        <v>133</v>
      </c>
      <c r="P29" s="16">
        <f>O29*$E$4</f>
        <v/>
      </c>
      <c r="Q29" s="20">
        <f>IF(P29&gt;0, N29/P29, 0)</f>
        <v/>
      </c>
      <c r="R29" s="37" t="n">
        <v>50</v>
      </c>
      <c r="S29" s="37" t="n">
        <v>210</v>
      </c>
      <c r="T29" s="16">
        <f>S29*$E$4</f>
        <v/>
      </c>
      <c r="U29" s="20">
        <f>IF(T29&gt;0, R29/T29, 0)</f>
        <v/>
      </c>
      <c r="V29" s="37" t="n">
        <v>50</v>
      </c>
      <c r="W29" s="37" t="n">
        <v>168</v>
      </c>
      <c r="X29" s="16">
        <f>W29*$E$4</f>
        <v/>
      </c>
      <c r="Y29" s="20">
        <f>IF(X29&gt;0, V29/X29, 0)</f>
        <v/>
      </c>
      <c r="Z29" s="37" t="n">
        <v>0</v>
      </c>
      <c r="AA29" s="37" t="n">
        <v>128</v>
      </c>
      <c r="AB29" s="16">
        <f>AA29*$E$4</f>
        <v/>
      </c>
      <c r="AC29" s="20">
        <f>IF(AB29&gt;0, Z29/AB29, 0)</f>
        <v/>
      </c>
      <c r="AD29" s="37">
        <f>F29+J29+N29+R29+V29+Z29</f>
        <v/>
      </c>
      <c r="AE29" s="37">
        <f>G29+K29+O29+S29+W29+AA29</f>
        <v/>
      </c>
      <c r="AF29" s="16">
        <f>H29+L29+P29+T29+X29+AB29</f>
        <v/>
      </c>
      <c r="AG29" s="20">
        <f>IF(AF29&gt;0, AD29/AF29, 0)</f>
        <v/>
      </c>
    </row>
    <row r="30" ht="18.75" customHeight="1" s="46">
      <c r="A30" s="12" t="n">
        <v>4</v>
      </c>
      <c r="B30" s="12" t="inlineStr">
        <is>
          <t>DR-02</t>
        </is>
      </c>
      <c r="C30" s="13" t="inlineStr">
        <is>
          <t>COMPACTADOR TÁNDEM HAMM-HD140</t>
        </is>
      </c>
      <c r="D30" s="13" t="inlineStr">
        <is>
          <t>ALEXIS RENDON DOMINGUEZ</t>
        </is>
      </c>
      <c r="E30" s="13" t="inlineStr">
        <is>
          <t>Compactación Tándem Pesada</t>
        </is>
      </c>
      <c r="F30" s="37" t="n">
        <v>23</v>
      </c>
      <c r="G30" s="37" t="n">
        <v>60</v>
      </c>
      <c r="H30" s="16">
        <f>G30*$E$4</f>
        <v/>
      </c>
      <c r="I30" s="20">
        <f>IF(H30&gt;0, F30/H30, 0)</f>
        <v/>
      </c>
      <c r="J30" s="37" t="n">
        <v>40</v>
      </c>
      <c r="K30" s="37" t="n">
        <v>158</v>
      </c>
      <c r="L30" s="16">
        <f>K30*$E$4</f>
        <v/>
      </c>
      <c r="M30" s="20">
        <f>IF(L30&gt;0, J30/L30, 0)</f>
        <v/>
      </c>
      <c r="N30" s="37" t="n">
        <v>0</v>
      </c>
      <c r="O30" s="37" t="n">
        <v>133</v>
      </c>
      <c r="P30" s="16">
        <f>O30*$E$4</f>
        <v/>
      </c>
      <c r="Q30" s="20">
        <f>IF(P30&gt;0, N30/P30, 0)</f>
        <v/>
      </c>
      <c r="R30" s="37" t="n">
        <v>0</v>
      </c>
      <c r="S30" s="37" t="n">
        <v>210</v>
      </c>
      <c r="T30" s="16">
        <f>S30*$E$4</f>
        <v/>
      </c>
      <c r="U30" s="20">
        <f>IF(T30&gt;0, R30/T30, 0)</f>
        <v/>
      </c>
      <c r="V30" s="37" t="n">
        <v>50</v>
      </c>
      <c r="W30" s="37" t="n">
        <v>168</v>
      </c>
      <c r="X30" s="16">
        <f>W30*$E$4</f>
        <v/>
      </c>
      <c r="Y30" s="20">
        <f>IF(X30&gt;0, V30/X30, 0)</f>
        <v/>
      </c>
      <c r="Z30" s="37" t="n">
        <v>0</v>
      </c>
      <c r="AA30" s="37" t="n">
        <v>128</v>
      </c>
      <c r="AB30" s="16">
        <f>AA30*$E$4</f>
        <v/>
      </c>
      <c r="AC30" s="20">
        <f>IF(AB30&gt;0, Z30/AB30, 0)</f>
        <v/>
      </c>
      <c r="AD30" s="37">
        <f>F30+J30+N30+R30+V30+Z30</f>
        <v/>
      </c>
      <c r="AE30" s="37">
        <f>G30+K30+O30+S30+W30+AA30</f>
        <v/>
      </c>
      <c r="AF30" s="16">
        <f>H30+L30+P30+T30+X30+AB30</f>
        <v/>
      </c>
      <c r="AG30" s="20">
        <f>IF(AF30&gt;0, AD30/AF30, 0)</f>
        <v/>
      </c>
    </row>
    <row r="31" ht="18.75" customHeight="1" s="46">
      <c r="A31" s="12" t="n">
        <v>5</v>
      </c>
      <c r="B31" s="12" t="inlineStr">
        <is>
          <t>NM-01</t>
        </is>
      </c>
      <c r="C31" s="13" t="inlineStr">
        <is>
          <t>COMPACTADOR NEUMÁTICO DYNAPAC CP271</t>
        </is>
      </c>
      <c r="D31" s="13" t="inlineStr">
        <is>
          <t>JOSE CARLOS ROMERO TELLEZ</t>
        </is>
      </c>
      <c r="E31" s="13" t="inlineStr">
        <is>
          <t>Compactación Neumática / Sellado</t>
        </is>
      </c>
      <c r="F31" s="37" t="n">
        <v>0</v>
      </c>
      <c r="G31" s="37" t="n">
        <v>60</v>
      </c>
      <c r="H31" s="16">
        <f>G31*$E$4</f>
        <v/>
      </c>
      <c r="I31" s="20">
        <f>IF(H31&gt;0, F31/H31, 0)</f>
        <v/>
      </c>
      <c r="J31" s="37" t="n">
        <v>80</v>
      </c>
      <c r="K31" s="37" t="n">
        <v>158</v>
      </c>
      <c r="L31" s="16">
        <f>K31*$E$4</f>
        <v/>
      </c>
      <c r="M31" s="20">
        <f>IF(L31&gt;0, J31/L31, 0)</f>
        <v/>
      </c>
      <c r="N31" s="37" t="n">
        <v>0</v>
      </c>
      <c r="O31" s="37" t="n">
        <v>133</v>
      </c>
      <c r="P31" s="16">
        <f>O31*$E$4</f>
        <v/>
      </c>
      <c r="Q31" s="20">
        <f>IF(P31&gt;0, N31/P31, 0)</f>
        <v/>
      </c>
      <c r="R31" s="37" t="n">
        <v>59</v>
      </c>
      <c r="S31" s="37" t="n">
        <v>210</v>
      </c>
      <c r="T31" s="16">
        <f>S31*$E$4</f>
        <v/>
      </c>
      <c r="U31" s="20">
        <f>IF(T31&gt;0, R31/T31, 0)</f>
        <v/>
      </c>
      <c r="V31" s="37" t="n">
        <v>40</v>
      </c>
      <c r="W31" s="37" t="n">
        <v>168</v>
      </c>
      <c r="X31" s="16">
        <f>W31*$E$4</f>
        <v/>
      </c>
      <c r="Y31" s="20">
        <f>IF(X31&gt;0, V31/X31, 0)</f>
        <v/>
      </c>
      <c r="Z31" s="37" t="n">
        <v>81</v>
      </c>
      <c r="AA31" s="37" t="n">
        <v>128</v>
      </c>
      <c r="AB31" s="16">
        <f>AA31*$E$4</f>
        <v/>
      </c>
      <c r="AC31" s="20">
        <f>IF(AB31&gt;0, Z31/AB31, 0)</f>
        <v/>
      </c>
      <c r="AD31" s="37">
        <f>F31+J31+N31+R31+V31+Z31</f>
        <v/>
      </c>
      <c r="AE31" s="37">
        <f>G31+K31+O31+S31+W31+AA31</f>
        <v/>
      </c>
      <c r="AF31" s="16">
        <f>H31+L31+P31+T31+X31+AB31</f>
        <v/>
      </c>
      <c r="AG31" s="20">
        <f>IF(AF31&gt;0, AD31/AF31, 0)</f>
        <v/>
      </c>
    </row>
    <row r="32" ht="18.75" customHeight="1" s="46">
      <c r="A32" s="12" t="n">
        <v>6</v>
      </c>
      <c r="B32" s="12" t="inlineStr">
        <is>
          <t>NM-09</t>
        </is>
      </c>
      <c r="C32" s="13" t="inlineStr">
        <is>
          <t>COMPACTADOR NEUMÁTICO HAMM 208</t>
        </is>
      </c>
      <c r="D32" s="13" t="inlineStr">
        <is>
          <t>NOLVIN DE JESUS PEREZ GOMEZ</t>
        </is>
      </c>
      <c r="E32" s="13" t="inlineStr">
        <is>
          <t>Compactación Neumática / Acabado</t>
        </is>
      </c>
      <c r="F32" s="37" t="n">
        <v>0</v>
      </c>
      <c r="G32" s="37" t="n">
        <v>60</v>
      </c>
      <c r="H32" s="16">
        <f>G32*$E$4</f>
        <v/>
      </c>
      <c r="I32" s="20">
        <f>IF(H32&gt;0, F32/H32, 0)</f>
        <v/>
      </c>
      <c r="J32" s="37" t="n">
        <v>0</v>
      </c>
      <c r="K32" s="37" t="n">
        <v>158</v>
      </c>
      <c r="L32" s="16">
        <f>K32*$E$4</f>
        <v/>
      </c>
      <c r="M32" s="20">
        <f>IF(L32&gt;0, J32/L32, 0)</f>
        <v/>
      </c>
      <c r="N32" s="37" t="n">
        <v>0</v>
      </c>
      <c r="O32" s="37" t="n">
        <v>133</v>
      </c>
      <c r="P32" s="16">
        <f>O32*$E$4</f>
        <v/>
      </c>
      <c r="Q32" s="20">
        <f>IF(P32&gt;0, N32/P32, 0)</f>
        <v/>
      </c>
      <c r="R32" s="37" t="n">
        <v>0</v>
      </c>
      <c r="S32" s="37" t="n">
        <v>210</v>
      </c>
      <c r="T32" s="16">
        <f>S32*$E$4</f>
        <v/>
      </c>
      <c r="U32" s="20">
        <f>IF(T32&gt;0, R32/T32, 0)</f>
        <v/>
      </c>
      <c r="V32" s="37" t="n">
        <v>0</v>
      </c>
      <c r="W32" s="37" t="n">
        <v>168</v>
      </c>
      <c r="X32" s="16">
        <f>W32*$E$4</f>
        <v/>
      </c>
      <c r="Y32" s="20">
        <f>IF(X32&gt;0, V32/X32, 0)</f>
        <v/>
      </c>
      <c r="Z32" s="37" t="n">
        <v>0</v>
      </c>
      <c r="AA32" s="37" t="n">
        <v>128</v>
      </c>
      <c r="AB32" s="16">
        <f>AA32*$E$4</f>
        <v/>
      </c>
      <c r="AC32" s="20">
        <f>IF(AB32&gt;0, Z32/AB32, 0)</f>
        <v/>
      </c>
      <c r="AD32" s="37">
        <f>F32+J32+N32+R32+V32+Z32</f>
        <v/>
      </c>
      <c r="AE32" s="37">
        <f>G32+K32+O32+S32+W32+AA32</f>
        <v/>
      </c>
      <c r="AF32" s="16">
        <f>H32+L32+P32+T32+X32+AB32</f>
        <v/>
      </c>
      <c r="AG32" s="20">
        <f>IF(AF32&gt;0, AD32/AF32, 0)</f>
        <v/>
      </c>
    </row>
    <row r="33" ht="18.75" customHeight="1" s="46">
      <c r="A33" s="12" t="n">
        <v>7</v>
      </c>
      <c r="B33" s="12" t="inlineStr">
        <is>
          <t>BR-01</t>
        </is>
      </c>
      <c r="C33" s="13" t="inlineStr">
        <is>
          <t>BARREDORA INDUSTRIAL BROCE BROOM-350</t>
        </is>
      </c>
      <c r="D33" s="13" t="inlineStr">
        <is>
          <t>EDGAR ROSALES MARTINEZ</t>
        </is>
      </c>
      <c r="E33" s="13" t="inlineStr">
        <is>
          <t>Limpieza y Barrido Previo</t>
        </is>
      </c>
      <c r="F33" s="37" t="n">
        <v>0</v>
      </c>
      <c r="G33" s="37" t="n">
        <v>60</v>
      </c>
      <c r="H33" s="16">
        <f>G33*$E$4</f>
        <v/>
      </c>
      <c r="I33" s="20">
        <f>IF(H33&gt;0, F33/H33, 0)</f>
        <v/>
      </c>
      <c r="J33" s="37" t="n">
        <v>30</v>
      </c>
      <c r="K33" s="37" t="n">
        <v>158</v>
      </c>
      <c r="L33" s="16">
        <f>K33*$E$4</f>
        <v/>
      </c>
      <c r="M33" s="20">
        <f>IF(L33&gt;0, J33/L33, 0)</f>
        <v/>
      </c>
      <c r="N33" s="37" t="n">
        <v>0</v>
      </c>
      <c r="O33" s="37" t="n">
        <v>133</v>
      </c>
      <c r="P33" s="16">
        <f>O33*$E$4</f>
        <v/>
      </c>
      <c r="Q33" s="20">
        <f>IF(P33&gt;0, N33/P33, 0)</f>
        <v/>
      </c>
      <c r="R33" s="37" t="n">
        <v>0</v>
      </c>
      <c r="S33" s="37" t="n">
        <v>210</v>
      </c>
      <c r="T33" s="16">
        <f>S33*$E$4</f>
        <v/>
      </c>
      <c r="U33" s="20">
        <f>IF(T33&gt;0, R33/T33, 0)</f>
        <v/>
      </c>
      <c r="V33" s="37" t="n">
        <v>28</v>
      </c>
      <c r="W33" s="37" t="n">
        <v>168</v>
      </c>
      <c r="X33" s="16">
        <f>W33*$E$4</f>
        <v/>
      </c>
      <c r="Y33" s="20">
        <f>IF(X33&gt;0, V33/X33, 0)</f>
        <v/>
      </c>
      <c r="Z33" s="37" t="n">
        <v>0</v>
      </c>
      <c r="AA33" s="37" t="n">
        <v>128</v>
      </c>
      <c r="AB33" s="16">
        <f>AA33*$E$4</f>
        <v/>
      </c>
      <c r="AC33" s="20">
        <f>IF(AB33&gt;0, Z33/AB33, 0)</f>
        <v/>
      </c>
      <c r="AD33" s="37">
        <f>F33+J33+N33+R33+V33+Z33</f>
        <v/>
      </c>
      <c r="AE33" s="37">
        <f>G33+K33+O33+S33+W33+AA33</f>
        <v/>
      </c>
      <c r="AF33" s="16">
        <f>H33+L33+P33+T33+X33+AB33</f>
        <v/>
      </c>
      <c r="AG33" s="20">
        <f>IF(AF33&gt;0, AD33/AF33, 0)</f>
        <v/>
      </c>
    </row>
    <row r="34" ht="18.75" customHeight="1" s="46">
      <c r="A34" s="12" t="n">
        <v>8</v>
      </c>
      <c r="B34" s="12" t="inlineStr">
        <is>
          <t>RT-05</t>
        </is>
      </c>
      <c r="C34" s="13" t="inlineStr">
        <is>
          <t>RETROEXCAVADORA JOHN DEERE 310SK</t>
        </is>
      </c>
      <c r="D34" s="13" t="inlineStr">
        <is>
          <t>ADOLFO NAVA LOPEZ</t>
        </is>
      </c>
      <c r="E34" s="13" t="inlineStr">
        <is>
          <t>Carga Fresado y Derrumbes</t>
        </is>
      </c>
      <c r="F34" s="37" t="n">
        <v>105</v>
      </c>
      <c r="G34" s="37" t="n">
        <v>154</v>
      </c>
      <c r="H34" s="16">
        <f>G34*$E$4</f>
        <v/>
      </c>
      <c r="I34" s="20">
        <f>IF(G34&gt;0, F34/G34, 0)</f>
        <v/>
      </c>
      <c r="J34" s="37" t="n">
        <v>50</v>
      </c>
      <c r="K34" s="37" t="n">
        <v>329</v>
      </c>
      <c r="L34" s="16">
        <f>K34*$E$4</f>
        <v/>
      </c>
      <c r="M34" s="20">
        <f>IF(K34&gt;0, J34/K34, 0)</f>
        <v/>
      </c>
      <c r="N34" s="37" t="n">
        <v>50</v>
      </c>
      <c r="O34" s="37" t="n">
        <v>301</v>
      </c>
      <c r="P34" s="16">
        <f>O34*$E$4</f>
        <v/>
      </c>
      <c r="Q34" s="20">
        <f>IF(O34&gt;0, N34/O34, 0)</f>
        <v/>
      </c>
      <c r="R34" s="37" t="n">
        <v>128</v>
      </c>
      <c r="S34" s="37" t="n">
        <v>294</v>
      </c>
      <c r="T34" s="16">
        <f>S34*$E$4</f>
        <v/>
      </c>
      <c r="U34" s="20">
        <f>IF(S34&gt;0, R34/S34, 0)</f>
        <v/>
      </c>
      <c r="V34" s="37" t="n">
        <v>0</v>
      </c>
      <c r="W34" s="37" t="n">
        <v>203</v>
      </c>
      <c r="X34" s="16">
        <f>W34*$E$4</f>
        <v/>
      </c>
      <c r="Y34" s="20">
        <f>IF(W34&gt;0, V34/W34, 0)</f>
        <v/>
      </c>
      <c r="Z34" s="37" t="n">
        <v>130</v>
      </c>
      <c r="AA34" s="37" t="n">
        <v>189</v>
      </c>
      <c r="AB34" s="16">
        <f>AA34*$E$4</f>
        <v/>
      </c>
      <c r="AC34" s="20">
        <f>IF(AA34&gt;0, Z34/AA34, 0)</f>
        <v/>
      </c>
      <c r="AD34" s="37">
        <f>F34+J34+N34+R34+V34+Z34</f>
        <v/>
      </c>
      <c r="AE34" s="37">
        <f>G34+K34+O34+S34+W34+AA34</f>
        <v/>
      </c>
      <c r="AF34" s="16">
        <f>H34+L34+P34+T34+X34+AB34</f>
        <v/>
      </c>
      <c r="AG34" s="20">
        <f>IF(AE34&gt;0, AD34/AE34, 0)</f>
        <v/>
      </c>
    </row>
    <row r="35" ht="18.75" customHeight="1" s="46">
      <c r="A35" s="12" t="n">
        <v>9</v>
      </c>
      <c r="B35" s="12" t="inlineStr">
        <is>
          <t>PT-01</t>
        </is>
      </c>
      <c r="C35" s="13" t="inlineStr">
        <is>
          <t>PETROLIZADORA INTERNATIONAL / FORD F800</t>
        </is>
      </c>
      <c r="D35" s="13" t="inlineStr">
        <is>
          <t>ELTHON EDUARDO MARTINEZ GOMORA</t>
        </is>
      </c>
      <c r="E35" s="13" t="inlineStr">
        <is>
          <t>Riego de Liga / Emulsión</t>
        </is>
      </c>
      <c r="F35" s="37" t="n">
        <v>50</v>
      </c>
      <c r="G35" s="37" t="n">
        <v>60</v>
      </c>
      <c r="H35" s="16">
        <f>G35*$E$4</f>
        <v/>
      </c>
      <c r="I35" s="20">
        <f>IF(H35&gt;0, F35/H35, 0)</f>
        <v/>
      </c>
      <c r="J35" s="37" t="n">
        <v>0</v>
      </c>
      <c r="K35" s="37" t="n">
        <v>158</v>
      </c>
      <c r="L35" s="16">
        <f>K35*$E$4</f>
        <v/>
      </c>
      <c r="M35" s="20">
        <f>IF(L35&gt;0, J35/L35, 0)</f>
        <v/>
      </c>
      <c r="N35" s="37" t="n">
        <v>50</v>
      </c>
      <c r="O35" s="37" t="n">
        <v>133</v>
      </c>
      <c r="P35" s="16">
        <f>O35*$E$4</f>
        <v/>
      </c>
      <c r="Q35" s="20">
        <f>IF(P35&gt;0, N35/P35, 0)</f>
        <v/>
      </c>
      <c r="R35" s="37" t="n">
        <v>0</v>
      </c>
      <c r="S35" s="37" t="n">
        <v>210</v>
      </c>
      <c r="T35" s="16">
        <f>S35*$E$4</f>
        <v/>
      </c>
      <c r="U35" s="20">
        <f>IF(T35&gt;0, R35/T35, 0)</f>
        <v/>
      </c>
      <c r="V35" s="37" t="n">
        <v>50</v>
      </c>
      <c r="W35" s="37" t="n">
        <v>168</v>
      </c>
      <c r="X35" s="16">
        <f>W35*$E$4</f>
        <v/>
      </c>
      <c r="Y35" s="20">
        <f>IF(X35&gt;0, V35/X35, 0)</f>
        <v/>
      </c>
      <c r="Z35" s="37" t="n">
        <v>156</v>
      </c>
      <c r="AA35" s="37" t="n">
        <v>128</v>
      </c>
      <c r="AB35" s="16">
        <f>AA35*$E$4</f>
        <v/>
      </c>
      <c r="AC35" s="20">
        <f>IF(AB35&gt;0, Z35/AB35, 0)</f>
        <v/>
      </c>
      <c r="AD35" s="37">
        <f>F35+J35+N35+R35+V35+Z35</f>
        <v/>
      </c>
      <c r="AE35" s="37">
        <f>G35+K35+O35+S35+W35+AA35</f>
        <v/>
      </c>
      <c r="AF35" s="16">
        <f>H35+L35+P35+T35+X35+AB35</f>
        <v/>
      </c>
      <c r="AG35" s="20">
        <f>IF(AF35&gt;0, AD35/AF35, 0)</f>
        <v/>
      </c>
    </row>
    <row r="36" ht="18.75" customHeight="1" s="46">
      <c r="A36" s="12" t="n">
        <v>10</v>
      </c>
      <c r="B36" s="12" t="inlineStr">
        <is>
          <t>CPR-01</t>
        </is>
      </c>
      <c r="C36" s="13" t="inlineStr">
        <is>
          <t>COMPRESOR DE AIRE INGERSOLL RAND IR185</t>
        </is>
      </c>
      <c r="D36" s="13" t="inlineStr">
        <is>
          <t>CUADRILLA DE LIMPIEZA</t>
        </is>
      </c>
      <c r="E36" s="13" t="inlineStr">
        <is>
          <t>Sopleteado de Juntas</t>
        </is>
      </c>
      <c r="F36" s="37" t="n">
        <v>0</v>
      </c>
      <c r="G36" s="37" t="n">
        <v>0</v>
      </c>
      <c r="H36" s="16">
        <f>G36*$E$4</f>
        <v/>
      </c>
      <c r="I36" s="20" t="n">
        <v>0</v>
      </c>
      <c r="J36" s="37" t="n">
        <v>0</v>
      </c>
      <c r="K36" s="37" t="n">
        <v>0</v>
      </c>
      <c r="L36" s="16">
        <f>K36*$E$4</f>
        <v/>
      </c>
      <c r="M36" s="20" t="n">
        <v>0</v>
      </c>
      <c r="N36" s="37" t="n">
        <v>0</v>
      </c>
      <c r="O36" s="37" t="n">
        <v>0</v>
      </c>
      <c r="P36" s="16">
        <f>O36*$E$4</f>
        <v/>
      </c>
      <c r="Q36" s="20" t="n">
        <v>0</v>
      </c>
      <c r="R36" s="37" t="n">
        <v>0</v>
      </c>
      <c r="S36" s="37" t="n">
        <v>0</v>
      </c>
      <c r="T36" s="16">
        <f>S36*$E$4</f>
        <v/>
      </c>
      <c r="U36" s="20" t="n">
        <v>0</v>
      </c>
      <c r="V36" s="37" t="n">
        <v>0</v>
      </c>
      <c r="W36" s="37" t="n">
        <v>0</v>
      </c>
      <c r="X36" s="16">
        <f>W36*$E$4</f>
        <v/>
      </c>
      <c r="Y36" s="20" t="n">
        <v>0</v>
      </c>
      <c r="Z36" s="37" t="n">
        <v>0</v>
      </c>
      <c r="AA36" s="37" t="n">
        <v>0</v>
      </c>
      <c r="AB36" s="16">
        <f>AA36*$E$4</f>
        <v/>
      </c>
      <c r="AC36" s="20" t="n">
        <v>0</v>
      </c>
      <c r="AD36" s="37">
        <f>F36+J36+N36+R36+V36+Z36</f>
        <v/>
      </c>
      <c r="AE36" s="37">
        <f>G36+K36+O36+S36+W36+AA36</f>
        <v/>
      </c>
      <c r="AF36" s="16">
        <f>H36+L36+P36+T36+X36+AB36</f>
        <v/>
      </c>
      <c r="AG36" s="20" t="n">
        <v>0</v>
      </c>
    </row>
    <row r="37" ht="18.75" customHeight="1" s="46">
      <c r="A37" s="12" t="n">
        <v>11</v>
      </c>
      <c r="B37" s="12" t="inlineStr">
        <is>
          <t>PP-01</t>
        </is>
      </c>
      <c r="C37" s="13" t="inlineStr">
        <is>
          <t>CAMIÓN IMPACTO / PIPA DE AGUA FORD</t>
        </is>
      </c>
      <c r="D37" s="13" t="inlineStr">
        <is>
          <t>CUADRILLA DE AGUA</t>
        </is>
      </c>
      <c r="E37" s="13" t="inlineStr">
        <is>
          <t>Enfriamiento Rodillos / Riego</t>
        </is>
      </c>
      <c r="F37" s="37" t="n">
        <v>0</v>
      </c>
      <c r="G37" s="37" t="n">
        <v>0</v>
      </c>
      <c r="H37" s="16">
        <f>G37*$E$4</f>
        <v/>
      </c>
      <c r="I37" s="20" t="n">
        <v>0</v>
      </c>
      <c r="J37" s="37" t="n">
        <v>0</v>
      </c>
      <c r="K37" s="37" t="n">
        <v>0</v>
      </c>
      <c r="L37" s="16">
        <f>K37*$E$4</f>
        <v/>
      </c>
      <c r="M37" s="20" t="n">
        <v>0</v>
      </c>
      <c r="N37" s="37" t="n">
        <v>0</v>
      </c>
      <c r="O37" s="37" t="n">
        <v>0</v>
      </c>
      <c r="P37" s="16">
        <f>O37*$E$4</f>
        <v/>
      </c>
      <c r="Q37" s="20" t="n">
        <v>0</v>
      </c>
      <c r="R37" s="37" t="n">
        <v>0</v>
      </c>
      <c r="S37" s="37" t="n">
        <v>0</v>
      </c>
      <c r="T37" s="16">
        <f>S37*$E$4</f>
        <v/>
      </c>
      <c r="U37" s="20" t="n">
        <v>0</v>
      </c>
      <c r="V37" s="37" t="n">
        <v>0</v>
      </c>
      <c r="W37" s="37" t="n">
        <v>0</v>
      </c>
      <c r="X37" s="16">
        <f>W37*$E$4</f>
        <v/>
      </c>
      <c r="Y37" s="20" t="n">
        <v>0</v>
      </c>
      <c r="Z37" s="37" t="n">
        <v>0</v>
      </c>
      <c r="AA37" s="37" t="n">
        <v>0</v>
      </c>
      <c r="AB37" s="16">
        <f>AA37*$E$4</f>
        <v/>
      </c>
      <c r="AC37" s="20" t="n">
        <v>0</v>
      </c>
      <c r="AD37" s="37">
        <f>F37+J37+N37+R37+V37+Z37</f>
        <v/>
      </c>
      <c r="AE37" s="37">
        <f>G37+K37+O37+S37+W37+AA37</f>
        <v/>
      </c>
      <c r="AF37" s="16">
        <f>H37+L37+P37+T37+X37+AB37</f>
        <v/>
      </c>
      <c r="AG37" s="20" t="n">
        <v>0</v>
      </c>
    </row>
    <row r="38" ht="18.75" customHeight="1" s="46">
      <c r="A38" s="12" t="n">
        <v>12</v>
      </c>
      <c r="B38" s="12" t="inlineStr">
        <is>
          <t>TL-01</t>
        </is>
      </c>
      <c r="C38" s="13" t="inlineStr">
        <is>
          <t>TORRE DE LUZ MAXILIGHT 4X1000W</t>
        </is>
      </c>
      <c r="D38" s="13" t="inlineStr">
        <is>
          <t>CUADRILLA NOCTURNA</t>
        </is>
      </c>
      <c r="E38" s="13" t="inlineStr">
        <is>
          <t>Iluminación Nocturna</t>
        </is>
      </c>
      <c r="F38" s="37" t="n">
        <v>0</v>
      </c>
      <c r="G38" s="37" t="n">
        <v>0</v>
      </c>
      <c r="H38" s="16">
        <f>G38*$E$4</f>
        <v/>
      </c>
      <c r="I38" s="20" t="n">
        <v>0</v>
      </c>
      <c r="J38" s="37" t="n">
        <v>0</v>
      </c>
      <c r="K38" s="37" t="n">
        <v>0</v>
      </c>
      <c r="L38" s="16">
        <f>K38*$E$4</f>
        <v/>
      </c>
      <c r="M38" s="20" t="n">
        <v>0</v>
      </c>
      <c r="N38" s="37" t="n">
        <v>0</v>
      </c>
      <c r="O38" s="37" t="n">
        <v>0</v>
      </c>
      <c r="P38" s="16">
        <f>O38*$E$4</f>
        <v/>
      </c>
      <c r="Q38" s="20" t="n">
        <v>0</v>
      </c>
      <c r="R38" s="37" t="n">
        <v>0</v>
      </c>
      <c r="S38" s="37" t="n">
        <v>0</v>
      </c>
      <c r="T38" s="16">
        <f>S38*$E$4</f>
        <v/>
      </c>
      <c r="U38" s="20" t="n">
        <v>0</v>
      </c>
      <c r="V38" s="37" t="n">
        <v>0</v>
      </c>
      <c r="W38" s="37" t="n">
        <v>0</v>
      </c>
      <c r="X38" s="16">
        <f>W38*$E$4</f>
        <v/>
      </c>
      <c r="Y38" s="20" t="n">
        <v>0</v>
      </c>
      <c r="Z38" s="37" t="n">
        <v>0</v>
      </c>
      <c r="AA38" s="37" t="n">
        <v>0</v>
      </c>
      <c r="AB38" s="16">
        <f>AA38*$E$4</f>
        <v/>
      </c>
      <c r="AC38" s="20" t="n">
        <v>0</v>
      </c>
      <c r="AD38" s="37">
        <f>F38+J38+N38+R38+V38+Z38</f>
        <v/>
      </c>
      <c r="AE38" s="37">
        <f>G38+K38+O38+S38+W38+AA38</f>
        <v/>
      </c>
      <c r="AF38" s="16">
        <f>H38+L38+P38+T38+X38+AB38</f>
        <v/>
      </c>
      <c r="AG38" s="20" t="n">
        <v>0</v>
      </c>
    </row>
    <row r="39" ht="21.75" customHeight="1" s="46">
      <c r="A39" s="30" t="inlineStr">
        <is>
          <t>TOTAL DIARIO CONSOLIDADO (OBRA MÉXICO-TOLUCA)</t>
        </is>
      </c>
      <c r="B39" s="50" t="n"/>
      <c r="C39" s="50" t="n"/>
      <c r="D39" s="50" t="n"/>
      <c r="E39" s="51" t="n"/>
      <c r="F39" s="27">
        <f>SUM(F27:F38)</f>
        <v/>
      </c>
      <c r="G39" s="27">
        <f>MAX(G27:G38)</f>
        <v/>
      </c>
      <c r="H39" s="28">
        <f>G39*$E$4</f>
        <v/>
      </c>
      <c r="I39" s="29">
        <f>IF(H39&gt;0, F39/H39, 0)</f>
        <v/>
      </c>
      <c r="J39" s="27">
        <f>SUM(J27:J38)</f>
        <v/>
      </c>
      <c r="K39" s="27">
        <f>MAX(K27:K38)</f>
        <v/>
      </c>
      <c r="L39" s="28">
        <f>K39*$E$4</f>
        <v/>
      </c>
      <c r="M39" s="29">
        <f>IF(L39&gt;0, J39/L39, 0)</f>
        <v/>
      </c>
      <c r="N39" s="27">
        <f>SUM(N27:N38)</f>
        <v/>
      </c>
      <c r="O39" s="27">
        <f>MAX(O27:O38)</f>
        <v/>
      </c>
      <c r="P39" s="28">
        <f>O39*$E$4</f>
        <v/>
      </c>
      <c r="Q39" s="29">
        <f>IF(P39&gt;0, N39/P39, 0)</f>
        <v/>
      </c>
      <c r="R39" s="27">
        <f>SUM(R27:R38)</f>
        <v/>
      </c>
      <c r="S39" s="27">
        <f>MAX(S27:S38)</f>
        <v/>
      </c>
      <c r="T39" s="28">
        <f>S39*$E$4</f>
        <v/>
      </c>
      <c r="U39" s="29">
        <f>IF(T39&gt;0, R39/T39, 0)</f>
        <v/>
      </c>
      <c r="V39" s="27">
        <f>SUM(V27:V38)</f>
        <v/>
      </c>
      <c r="W39" s="27">
        <f>MAX(W27:W38)</f>
        <v/>
      </c>
      <c r="X39" s="28">
        <f>W39*$E$4</f>
        <v/>
      </c>
      <c r="Y39" s="29">
        <f>IF(X39&gt;0, V39/X39, 0)</f>
        <v/>
      </c>
      <c r="Z39" s="27">
        <f>SUM(Z27:Z38)</f>
        <v/>
      </c>
      <c r="AA39" s="27">
        <f>MAX(AA27:AA38)</f>
        <v/>
      </c>
      <c r="AB39" s="28">
        <f>AA39*$E$4</f>
        <v/>
      </c>
      <c r="AC39" s="29">
        <f>IF(AB39&gt;0, Z39/AB39, 0)</f>
        <v/>
      </c>
      <c r="AD39" s="27">
        <f>SUM(AD27:AD38)</f>
        <v/>
      </c>
      <c r="AE39" s="27">
        <f>SUM(AE27:AE38)</f>
        <v/>
      </c>
      <c r="AF39" s="28">
        <f>SUM(AF27:AF38)</f>
        <v/>
      </c>
      <c r="AG39" s="29">
        <f>IF(AF39&gt;0, AD39/AF39, 0)</f>
        <v/>
      </c>
    </row>
    <row r="40" ht="15.75" customHeight="1" s="46"/>
    <row r="41" ht="15.75" customHeight="1" s="46">
      <c r="A41" s="40" t="inlineStr">
        <is>
          <t>NOTA TÉCNICA Y CRITERIOS DE CONTROL DE RENDIMIENTO — OBRA MÉXICO-TOLUCA:
1. Peso Volumétrico Oficial del Asfalto: 1.742 Ton/m³ (Toneladas = m³ Carpeta × 1.742).
2. Rendimiento Base (L/h): Consumo nominal de fabricante ajustado con 1.2% anual de desgaste por antigüedad al 2026.
3. Rendimiento Real: Diésel Surtido / Toneladas Tendidas (L/Ton) o Diésel Surtido / Volumen Fresado (L/m³).
4. Estatus Operativo: DENTRO DE RENDIMIENTO BASE (Verde) / EXCEDE RENDIMIENTO BASE (Rojo) / SIN CONSUMO (Gris).</t>
        </is>
      </c>
    </row>
    <row r="42" ht="15.75" customHeight="1" s="46"/>
    <row r="43" ht="15.75" customHeight="1" s="46"/>
    <row r="44" ht="15.75" customHeight="1" s="46"/>
    <row r="45" ht="15.75" customHeight="1" s="46"/>
    <row r="46" ht="15.75" customHeight="1" s="46"/>
    <row r="47" ht="15.75" customHeight="1" s="46"/>
    <row r="48" ht="15.75" customHeight="1" s="46"/>
    <row r="49" ht="15.75" customHeight="1" s="46"/>
    <row r="50" ht="15.75" customHeight="1" s="46"/>
    <row r="51" ht="15.75" customHeight="1" s="46"/>
    <row r="52" ht="15.75" customHeight="1" s="46"/>
    <row r="53" ht="15.75" customHeight="1" s="46"/>
    <row r="54" ht="15.75" customHeight="1" s="46"/>
    <row r="55" ht="15.75" customHeight="1" s="46"/>
    <row r="56" ht="15.75" customHeight="1" s="46"/>
    <row r="57" ht="15.75" customHeight="1" s="46"/>
    <row r="58" ht="15.75" customHeight="1" s="46"/>
    <row r="59" ht="15.75" customHeight="1" s="46"/>
    <row r="60" ht="15.75" customHeight="1" s="46"/>
    <row r="61" ht="15.75" customHeight="1" s="46"/>
    <row r="62" ht="15.75" customHeight="1" s="46"/>
    <row r="63" ht="15.75" customHeight="1" s="46"/>
    <row r="64" ht="15.75" customHeight="1" s="46"/>
    <row r="65" ht="15.75" customHeight="1" s="46"/>
    <row r="66" ht="15.75" customHeight="1" s="46"/>
    <row r="67" ht="15.75" customHeight="1" s="46"/>
    <row r="68" ht="15.75" customHeight="1" s="46"/>
    <row r="69" ht="15.75" customHeight="1" s="46"/>
    <row r="70" ht="15.75" customHeight="1" s="46"/>
    <row r="71" ht="15.75" customHeight="1" s="46"/>
    <row r="72" ht="15.75" customHeight="1" s="46"/>
    <row r="73" ht="15.75" customHeight="1" s="46"/>
    <row r="74" ht="15.75" customHeight="1" s="46"/>
    <row r="75" ht="15.75" customHeight="1" s="46"/>
    <row r="76" ht="15.75" customHeight="1" s="46"/>
    <row r="77" ht="15.75" customHeight="1" s="46"/>
    <row r="78" ht="15.75" customHeight="1" s="46"/>
    <row r="79" ht="15.75" customHeight="1" s="46"/>
    <row r="80" ht="15.75" customHeight="1" s="46"/>
    <row r="81" ht="15.75" customHeight="1" s="46"/>
    <row r="82" ht="15.75" customHeight="1" s="46"/>
    <row r="83" ht="15.75" customHeight="1" s="46"/>
    <row r="84" ht="15.75" customHeight="1" s="46"/>
    <row r="85" ht="15.75" customHeight="1" s="46"/>
    <row r="86" ht="15.75" customHeight="1" s="46"/>
    <row r="87" ht="15.75" customHeight="1" s="46"/>
    <row r="88" ht="15.75" customHeight="1" s="46"/>
    <row r="89" ht="15.75" customHeight="1" s="46"/>
    <row r="90" ht="15.75" customHeight="1" s="46"/>
    <row r="91" ht="15.75" customHeight="1" s="46"/>
    <row r="92" ht="15.75" customHeight="1" s="46"/>
    <row r="93" ht="15.75" customHeight="1" s="46"/>
    <row r="94" ht="15.75" customHeight="1" s="46"/>
    <row r="95" ht="15.75" customHeight="1" s="46"/>
    <row r="96" ht="15.75" customHeight="1" s="46"/>
    <row r="97" ht="15.75" customHeight="1" s="46"/>
    <row r="98" ht="15.75" customHeight="1" s="46"/>
    <row r="99" ht="15.75" customHeight="1" s="46"/>
    <row r="100" ht="15.75" customHeight="1" s="46"/>
    <row r="101" ht="15.75" customHeight="1" s="46"/>
    <row r="102" ht="15.75" customHeight="1" s="46"/>
    <row r="103" ht="15.75" customHeight="1" s="46"/>
    <row r="104" ht="15.75" customHeight="1" s="46"/>
    <row r="105" ht="15.75" customHeight="1" s="46"/>
    <row r="106" ht="15.75" customHeight="1" s="46"/>
    <row r="107" ht="15.75" customHeight="1" s="46"/>
    <row r="108" ht="15.75" customHeight="1" s="46"/>
    <row r="109" ht="15.75" customHeight="1" s="46"/>
    <row r="110" ht="15.75" customHeight="1" s="46"/>
    <row r="111" ht="15.75" customHeight="1" s="46"/>
    <row r="112" ht="15.75" customHeight="1" s="46"/>
    <row r="113" ht="15.75" customHeight="1" s="46"/>
    <row r="114" ht="15.75" customHeight="1" s="46"/>
    <row r="115" ht="15.75" customHeight="1" s="46"/>
    <row r="116" ht="15.75" customHeight="1" s="46"/>
    <row r="117" ht="15.75" customHeight="1" s="46"/>
    <row r="118" ht="15.75" customHeight="1" s="46"/>
    <row r="119" ht="15.75" customHeight="1" s="46"/>
    <row r="120" ht="15.75" customHeight="1" s="46"/>
    <row r="121" ht="15.75" customHeight="1" s="46"/>
    <row r="122" ht="15.75" customHeight="1" s="46"/>
    <row r="123" ht="15.75" customHeight="1" s="46"/>
    <row r="124" ht="15.75" customHeight="1" s="46"/>
    <row r="125" ht="15.75" customHeight="1" s="46"/>
    <row r="126" ht="15.75" customHeight="1" s="46"/>
    <row r="127" ht="15.75" customHeight="1" s="46"/>
    <row r="128" ht="15.75" customHeight="1" s="46"/>
    <row r="129" ht="15.75" customHeight="1" s="46"/>
    <row r="130" ht="15.75" customHeight="1" s="46"/>
    <row r="131" ht="15.75" customHeight="1" s="46"/>
    <row r="132" ht="15.75" customHeight="1" s="46"/>
    <row r="133" ht="15.75" customHeight="1" s="46"/>
    <row r="134" ht="15.75" customHeight="1" s="46"/>
    <row r="135" ht="15.75" customHeight="1" s="46"/>
    <row r="136" ht="15.75" customHeight="1" s="46"/>
    <row r="137" ht="15.75" customHeight="1" s="46"/>
    <row r="138" ht="15.75" customHeight="1" s="46"/>
    <row r="139" ht="15.75" customHeight="1" s="46"/>
    <row r="140" ht="15.75" customHeight="1" s="46"/>
    <row r="141" ht="15.75" customHeight="1" s="46"/>
    <row r="142" ht="15.75" customHeight="1" s="46"/>
    <row r="143" ht="15.75" customHeight="1" s="46"/>
    <row r="144" ht="15.75" customHeight="1" s="46"/>
    <row r="145" ht="15.75" customHeight="1" s="46"/>
    <row r="146" ht="15.75" customHeight="1" s="46"/>
    <row r="147" ht="15.75" customHeight="1" s="46"/>
    <row r="148" ht="15.75" customHeight="1" s="46"/>
    <row r="149" ht="15.75" customHeight="1" s="46"/>
    <row r="150" ht="15.75" customHeight="1" s="46"/>
    <row r="151" ht="15.75" customHeight="1" s="46"/>
    <row r="152" ht="15.75" customHeight="1" s="46"/>
    <row r="153" ht="15.75" customHeight="1" s="46"/>
    <row r="154" ht="15.75" customHeight="1" s="46"/>
    <row r="155" ht="15.75" customHeight="1" s="46"/>
    <row r="156" ht="15.75" customHeight="1" s="46"/>
    <row r="157" ht="15.75" customHeight="1" s="46"/>
    <row r="158" ht="15.75" customHeight="1" s="46"/>
    <row r="159" ht="15.75" customHeight="1" s="46"/>
    <row r="160" ht="15.75" customHeight="1" s="46"/>
    <row r="161" ht="15.75" customHeight="1" s="46"/>
    <row r="162" ht="15.75" customHeight="1" s="46"/>
    <row r="163" ht="15.75" customHeight="1" s="46"/>
    <row r="164" ht="15.75" customHeight="1" s="46"/>
    <row r="165" ht="15.75" customHeight="1" s="46"/>
    <row r="166" ht="15.75" customHeight="1" s="46"/>
    <row r="167" ht="15.75" customHeight="1" s="46"/>
    <row r="168" ht="15.75" customHeight="1" s="46"/>
    <row r="169" ht="15.75" customHeight="1" s="46"/>
    <row r="170" ht="15.75" customHeight="1" s="46"/>
    <row r="171" ht="15.75" customHeight="1" s="46"/>
    <row r="172" ht="15.75" customHeight="1" s="46"/>
    <row r="173" ht="15.75" customHeight="1" s="46"/>
    <row r="174" ht="15.75" customHeight="1" s="46"/>
    <row r="175" ht="15.75" customHeight="1" s="46"/>
    <row r="176" ht="15.75" customHeight="1" s="46"/>
    <row r="177" ht="15.75" customHeight="1" s="46"/>
    <row r="178" ht="15.75" customHeight="1" s="46"/>
    <row r="179" ht="15.75" customHeight="1" s="46"/>
    <row r="180" ht="15.75" customHeight="1" s="46"/>
    <row r="181" ht="15.75" customHeight="1" s="46"/>
    <row r="182" ht="15.75" customHeight="1" s="46"/>
    <row r="183" ht="15.75" customHeight="1" s="46"/>
    <row r="184" ht="15.75" customHeight="1" s="46"/>
    <row r="185" ht="15.75" customHeight="1" s="46"/>
    <row r="186" ht="15.75" customHeight="1" s="46"/>
    <row r="187" ht="15.75" customHeight="1" s="46"/>
    <row r="188" ht="15.75" customHeight="1" s="46"/>
    <row r="189" ht="15.75" customHeight="1" s="46"/>
    <row r="190" ht="15.75" customHeight="1" s="46"/>
    <row r="191" ht="15.75" customHeight="1" s="46"/>
    <row r="192" ht="15.75" customHeight="1" s="46"/>
    <row r="193" ht="15.75" customHeight="1" s="46"/>
    <row r="194" ht="15.75" customHeight="1" s="46"/>
    <row r="195" ht="15.75" customHeight="1" s="46"/>
    <row r="196" ht="15.75" customHeight="1" s="46"/>
    <row r="197" ht="15.75" customHeight="1" s="46"/>
    <row r="198" ht="15.75" customHeight="1" s="46"/>
    <row r="199" ht="15.75" customHeight="1" s="46"/>
    <row r="200" ht="15.75" customHeight="1" s="46"/>
    <row r="201" ht="15.75" customHeight="1" s="46"/>
    <row r="202" ht="15.75" customHeight="1" s="46"/>
    <row r="203" ht="15.75" customHeight="1" s="46"/>
    <row r="204" ht="15.75" customHeight="1" s="46"/>
    <row r="205" ht="15.75" customHeight="1" s="46"/>
    <row r="206" ht="15.75" customHeight="1" s="46"/>
    <row r="207" ht="15.75" customHeight="1" s="46"/>
    <row r="208" ht="15.75" customHeight="1" s="46"/>
    <row r="209" ht="15.75" customHeight="1" s="46"/>
    <row r="210" ht="15.75" customHeight="1" s="46"/>
    <row r="211" ht="15.75" customHeight="1" s="46"/>
    <row r="212" ht="15.75" customHeight="1" s="46"/>
    <row r="213" ht="15.75" customHeight="1" s="46"/>
    <row r="214" ht="15.75" customHeight="1" s="46"/>
    <row r="215" ht="15.75" customHeight="1" s="46"/>
    <row r="216" ht="15.75" customHeight="1" s="46"/>
    <row r="217" ht="15.75" customHeight="1" s="46"/>
    <row r="218" ht="15.75" customHeight="1" s="46"/>
    <row r="219" ht="15.75" customHeight="1" s="46"/>
    <row r="220" ht="15.75" customHeight="1" s="46"/>
    <row r="221" ht="15.75" customHeight="1" s="46"/>
    <row r="222" ht="15.75" customHeight="1" s="46"/>
    <row r="223" ht="15.75" customHeight="1" s="46"/>
    <row r="224" ht="15.75" customHeight="1" s="46"/>
    <row r="225" ht="15.75" customHeight="1" s="46"/>
    <row r="226" ht="15.75" customHeight="1" s="46"/>
    <row r="227" ht="15.75" customHeight="1" s="46"/>
    <row r="228" ht="15.75" customHeight="1" s="46"/>
    <row r="229" ht="15.75" customHeight="1" s="46"/>
    <row r="230" ht="15.75" customHeight="1" s="46"/>
    <row r="231" ht="15.75" customHeight="1" s="46"/>
    <row r="232" ht="15.75" customHeight="1" s="46"/>
    <row r="233" ht="15.75" customHeight="1" s="46"/>
    <row r="234" ht="15.75" customHeight="1" s="46"/>
    <row r="235" ht="15.75" customHeight="1" s="46"/>
    <row r="236" ht="15.75" customHeight="1" s="46"/>
    <row r="237" ht="15.75" customHeight="1" s="46"/>
    <row r="238" ht="15.75" customHeight="1" s="46"/>
    <row r="239" ht="15.75" customHeight="1" s="46"/>
    <row r="240" ht="15.75" customHeight="1" s="46"/>
    <row r="241" ht="15.75" customHeight="1" s="46"/>
    <row r="242" ht="15.75" customHeight="1" s="46"/>
    <row r="243" ht="15.75" customHeight="1" s="46"/>
    <row r="244" ht="15.75" customHeight="1" s="46"/>
    <row r="245" ht="15.75" customHeight="1" s="46"/>
    <row r="246" ht="15.75" customHeight="1" s="46"/>
    <row r="247" ht="15.75" customHeight="1" s="46"/>
    <row r="248" ht="15.75" customHeight="1" s="46"/>
    <row r="249" ht="15.75" customHeight="1" s="46"/>
    <row r="250" ht="15.75" customHeight="1" s="46"/>
    <row r="251" ht="15.75" customHeight="1" s="46"/>
    <row r="252" ht="15.75" customHeight="1" s="46"/>
    <row r="253" ht="15.75" customHeight="1" s="46"/>
    <row r="254" ht="15.75" customHeight="1" s="46"/>
    <row r="255" ht="15.75" customHeight="1" s="46"/>
    <row r="256" ht="15.75" customHeight="1" s="46"/>
    <row r="257" ht="15.75" customHeight="1" s="46"/>
    <row r="258" ht="15.75" customHeight="1" s="46"/>
    <row r="259" ht="15.75" customHeight="1" s="46"/>
    <row r="260" ht="15.75" customHeight="1" s="46"/>
    <row r="261" ht="15.75" customHeight="1" s="46"/>
    <row r="262" ht="15.75" customHeight="1" s="46"/>
    <row r="263" ht="15.75" customHeight="1" s="46"/>
    <row r="264" ht="15.75" customHeight="1" s="46"/>
    <row r="265" ht="15.75" customHeight="1" s="46"/>
    <row r="266" ht="15.75" customHeight="1" s="46"/>
    <row r="267" ht="15.75" customHeight="1" s="46"/>
    <row r="268" ht="15.75" customHeight="1" s="46"/>
    <row r="269" ht="15.75" customHeight="1" s="46"/>
    <row r="270" ht="15.75" customHeight="1" s="46"/>
    <row r="271" ht="15.75" customHeight="1" s="46"/>
    <row r="272" ht="15.75" customHeight="1" s="46"/>
    <row r="273" ht="15.75" customHeight="1" s="46"/>
    <row r="274" ht="15.75" customHeight="1" s="46"/>
    <row r="275" ht="15.75" customHeight="1" s="46"/>
    <row r="276" ht="15.75" customHeight="1" s="46"/>
    <row r="277" ht="15.75" customHeight="1" s="46"/>
    <row r="278" ht="15.75" customHeight="1" s="46"/>
    <row r="279" ht="15.75" customHeight="1" s="46"/>
    <row r="280" ht="15.75" customHeight="1" s="46"/>
    <row r="281" ht="15.75" customHeight="1" s="46"/>
    <row r="282" ht="15.75" customHeight="1" s="46"/>
    <row r="283" ht="15.75" customHeight="1" s="46"/>
    <row r="284" ht="15.75" customHeight="1" s="46"/>
    <row r="285" ht="15.75" customHeight="1" s="46"/>
    <row r="286" ht="15.75" customHeight="1" s="46"/>
    <row r="287" ht="15.75" customHeight="1" s="46"/>
    <row r="288" ht="15.75" customHeight="1" s="46"/>
    <row r="289" ht="15.75" customHeight="1" s="46"/>
    <row r="290" ht="15.75" customHeight="1" s="46"/>
    <row r="291" ht="15.75" customHeight="1" s="46"/>
    <row r="292" ht="15.75" customHeight="1" s="46"/>
    <row r="293" ht="15.75" customHeight="1" s="46"/>
    <row r="294" ht="15.75" customHeight="1" s="46"/>
    <row r="295" ht="15.75" customHeight="1" s="46"/>
    <row r="296" ht="15.75" customHeight="1" s="46"/>
    <row r="297" ht="15.75" customHeight="1" s="46"/>
    <row r="298" ht="15.75" customHeight="1" s="46"/>
    <row r="299" ht="15.75" customHeight="1" s="46"/>
    <row r="300" ht="15.75" customHeight="1" s="46"/>
    <row r="301" ht="15.75" customHeight="1" s="46"/>
    <row r="302" ht="15.75" customHeight="1" s="46"/>
    <row r="303" ht="15.75" customHeight="1" s="46"/>
    <row r="304" ht="15.75" customHeight="1" s="46"/>
    <row r="305" ht="15.75" customHeight="1" s="46"/>
    <row r="306" ht="15.75" customHeight="1" s="46"/>
    <row r="307" ht="15.75" customHeight="1" s="46"/>
    <row r="308" ht="15.75" customHeight="1" s="46"/>
    <row r="309" ht="15.75" customHeight="1" s="46"/>
    <row r="310" ht="15.75" customHeight="1" s="46"/>
    <row r="311" ht="15.75" customHeight="1" s="46"/>
    <row r="312" ht="15.75" customHeight="1" s="46"/>
    <row r="313" ht="15.75" customHeight="1" s="46"/>
    <row r="314" ht="15.75" customHeight="1" s="46"/>
    <row r="315" ht="15.75" customHeight="1" s="46"/>
    <row r="316" ht="15.75" customHeight="1" s="46"/>
    <row r="317" ht="15.75" customHeight="1" s="46"/>
    <row r="318" ht="15.75" customHeight="1" s="46"/>
    <row r="319" ht="15.75" customHeight="1" s="46"/>
    <row r="320" ht="15.75" customHeight="1" s="46"/>
    <row r="321" ht="15.75" customHeight="1" s="46"/>
    <row r="322" ht="15.75" customHeight="1" s="46"/>
    <row r="323" ht="15.75" customHeight="1" s="46"/>
    <row r="324" ht="15.75" customHeight="1" s="46"/>
    <row r="325" ht="15.75" customHeight="1" s="46"/>
    <row r="326" ht="15.75" customHeight="1" s="46"/>
    <row r="327" ht="15.75" customHeight="1" s="46"/>
    <row r="328" ht="15.75" customHeight="1" s="46"/>
    <row r="329" ht="15.75" customHeight="1" s="46"/>
    <row r="330" ht="15.75" customHeight="1" s="46"/>
    <row r="331" ht="15.75" customHeight="1" s="46"/>
    <row r="332" ht="15.75" customHeight="1" s="46"/>
    <row r="333" ht="15.75" customHeight="1" s="46"/>
    <row r="334" ht="15.75" customHeight="1" s="46"/>
    <row r="335" ht="15.75" customHeight="1" s="46"/>
    <row r="336" ht="15.75" customHeight="1" s="46"/>
    <row r="337" ht="15.75" customHeight="1" s="46"/>
    <row r="338" ht="15.75" customHeight="1" s="46"/>
    <row r="339" ht="15.75" customHeight="1" s="46"/>
    <row r="340" ht="15.75" customHeight="1" s="46"/>
    <row r="341" ht="15.75" customHeight="1" s="46"/>
    <row r="342" ht="15.75" customHeight="1" s="46"/>
    <row r="343" ht="15.75" customHeight="1" s="46"/>
    <row r="344" ht="15.75" customHeight="1" s="46"/>
    <row r="345" ht="15.75" customHeight="1" s="46"/>
    <row r="346" ht="15.75" customHeight="1" s="46"/>
    <row r="347" ht="15.75" customHeight="1" s="46"/>
    <row r="348" ht="15.75" customHeight="1" s="46"/>
    <row r="349" ht="15.75" customHeight="1" s="46"/>
    <row r="350" ht="15.75" customHeight="1" s="46"/>
    <row r="351" ht="15.75" customHeight="1" s="46"/>
    <row r="352" ht="15.75" customHeight="1" s="46"/>
    <row r="353" ht="15.75" customHeight="1" s="46"/>
    <row r="354" ht="15.75" customHeight="1" s="46"/>
    <row r="355" ht="15.75" customHeight="1" s="46"/>
    <row r="356" ht="15.75" customHeight="1" s="46"/>
    <row r="357" ht="15.75" customHeight="1" s="46"/>
    <row r="358" ht="15.75" customHeight="1" s="46"/>
    <row r="359" ht="15.75" customHeight="1" s="46"/>
    <row r="360" ht="15.75" customHeight="1" s="46"/>
    <row r="361" ht="15.75" customHeight="1" s="46"/>
    <row r="362" ht="15.75" customHeight="1" s="46"/>
    <row r="363" ht="15.75" customHeight="1" s="46"/>
    <row r="364" ht="15.75" customHeight="1" s="46"/>
    <row r="365" ht="15.75" customHeight="1" s="46"/>
    <row r="366" ht="15.75" customHeight="1" s="46"/>
    <row r="367" ht="15.75" customHeight="1" s="46"/>
    <row r="368" ht="15.75" customHeight="1" s="46"/>
    <row r="369" ht="15.75" customHeight="1" s="46"/>
    <row r="370" ht="15.75" customHeight="1" s="46"/>
    <row r="371" ht="15.75" customHeight="1" s="46"/>
    <row r="372" ht="15.75" customHeight="1" s="46"/>
    <row r="373" ht="15.75" customHeight="1" s="46"/>
    <row r="374" ht="15.75" customHeight="1" s="46"/>
    <row r="375" ht="15.75" customHeight="1" s="46"/>
    <row r="376" ht="15.75" customHeight="1" s="46"/>
    <row r="377" ht="15.75" customHeight="1" s="46"/>
    <row r="378" ht="15.75" customHeight="1" s="46"/>
    <row r="379" ht="15.75" customHeight="1" s="46"/>
    <row r="380" ht="15.75" customHeight="1" s="46"/>
    <row r="381" ht="15.75" customHeight="1" s="46"/>
    <row r="382" ht="15.75" customHeight="1" s="46"/>
    <row r="383" ht="15.75" customHeight="1" s="46"/>
    <row r="384" ht="15.75" customHeight="1" s="46"/>
    <row r="385" ht="15.75" customHeight="1" s="46"/>
    <row r="386" ht="15.75" customHeight="1" s="46"/>
    <row r="387" ht="15.75" customHeight="1" s="46"/>
    <row r="388" ht="15.75" customHeight="1" s="46"/>
    <row r="389" ht="15.75" customHeight="1" s="46"/>
    <row r="390" ht="15.75" customHeight="1" s="46"/>
    <row r="391" ht="15.75" customHeight="1" s="46"/>
    <row r="392" ht="15.75" customHeight="1" s="46"/>
    <row r="393" ht="15.75" customHeight="1" s="46"/>
    <row r="394" ht="15.75" customHeight="1" s="46"/>
    <row r="395" ht="15.75" customHeight="1" s="46"/>
    <row r="396" ht="15.75" customHeight="1" s="46"/>
    <row r="397" ht="15.75" customHeight="1" s="46"/>
    <row r="398" ht="15.75" customHeight="1" s="46"/>
    <row r="399" ht="15.75" customHeight="1" s="46"/>
    <row r="400" ht="15.75" customHeight="1" s="46"/>
    <row r="401" ht="15.75" customHeight="1" s="46"/>
    <row r="402" ht="15.75" customHeight="1" s="46"/>
    <row r="403" ht="15.75" customHeight="1" s="46"/>
    <row r="404" ht="15.75" customHeight="1" s="46"/>
    <row r="405" ht="15.75" customHeight="1" s="46"/>
    <row r="406" ht="15.75" customHeight="1" s="46"/>
    <row r="407" ht="15.75" customHeight="1" s="46"/>
    <row r="408" ht="15.75" customHeight="1" s="46"/>
    <row r="409" ht="15.75" customHeight="1" s="46"/>
    <row r="410" ht="15.75" customHeight="1" s="46"/>
    <row r="411" ht="15.75" customHeight="1" s="46"/>
    <row r="412" ht="15.75" customHeight="1" s="46"/>
    <row r="413" ht="15.75" customHeight="1" s="46"/>
    <row r="414" ht="15.75" customHeight="1" s="46"/>
    <row r="415" ht="15.75" customHeight="1" s="46"/>
    <row r="416" ht="15.75" customHeight="1" s="46"/>
    <row r="417" ht="15.75" customHeight="1" s="46"/>
    <row r="418" ht="15.75" customHeight="1" s="46"/>
    <row r="419" ht="15.75" customHeight="1" s="46"/>
    <row r="420" ht="15.75" customHeight="1" s="46"/>
    <row r="421" ht="15.75" customHeight="1" s="46"/>
    <row r="422" ht="15.75" customHeight="1" s="46"/>
    <row r="423" ht="15.75" customHeight="1" s="46"/>
    <row r="424" ht="15.75" customHeight="1" s="46"/>
    <row r="425" ht="15.75" customHeight="1" s="46"/>
    <row r="426" ht="15.75" customHeight="1" s="46"/>
    <row r="427" ht="15.75" customHeight="1" s="46"/>
    <row r="428" ht="15.75" customHeight="1" s="46"/>
    <row r="429" ht="15.75" customHeight="1" s="46"/>
    <row r="430" ht="15.75" customHeight="1" s="46"/>
    <row r="431" ht="15.75" customHeight="1" s="46"/>
    <row r="432" ht="15.75" customHeight="1" s="46"/>
    <row r="433" ht="15.75" customHeight="1" s="46"/>
    <row r="434" ht="15.75" customHeight="1" s="46"/>
    <row r="435" ht="15.75" customHeight="1" s="46"/>
    <row r="436" ht="15.75" customHeight="1" s="46"/>
    <row r="437" ht="15.75" customHeight="1" s="46"/>
    <row r="438" ht="15.75" customHeight="1" s="46"/>
    <row r="439" ht="15.75" customHeight="1" s="46"/>
    <row r="440" ht="15.75" customHeight="1" s="46"/>
    <row r="441" ht="15.75" customHeight="1" s="46"/>
    <row r="442" ht="15.75" customHeight="1" s="46"/>
    <row r="443" ht="15.75" customHeight="1" s="46"/>
    <row r="444" ht="15.75" customHeight="1" s="46"/>
    <row r="445" ht="15.75" customHeight="1" s="46"/>
    <row r="446" ht="15.75" customHeight="1" s="46"/>
    <row r="447" ht="15.75" customHeight="1" s="46"/>
    <row r="448" ht="15.75" customHeight="1" s="46"/>
    <row r="449" ht="15.75" customHeight="1" s="46"/>
    <row r="450" ht="15.75" customHeight="1" s="46"/>
    <row r="451" ht="15.75" customHeight="1" s="46"/>
    <row r="452" ht="15.75" customHeight="1" s="46"/>
    <row r="453" ht="15.75" customHeight="1" s="46"/>
    <row r="454" ht="15.75" customHeight="1" s="46"/>
    <row r="455" ht="15.75" customHeight="1" s="46"/>
    <row r="456" ht="15.75" customHeight="1" s="46"/>
    <row r="457" ht="15.75" customHeight="1" s="46"/>
    <row r="458" ht="15.75" customHeight="1" s="46"/>
    <row r="459" ht="15.75" customHeight="1" s="46"/>
    <row r="460" ht="15.75" customHeight="1" s="46"/>
    <row r="461" ht="15.75" customHeight="1" s="46"/>
    <row r="462" ht="15.75" customHeight="1" s="46"/>
    <row r="463" ht="15.75" customHeight="1" s="46"/>
    <row r="464" ht="15.75" customHeight="1" s="46"/>
    <row r="465" ht="15.75" customHeight="1" s="46"/>
    <row r="466" ht="15.75" customHeight="1" s="46"/>
    <row r="467" ht="15.75" customHeight="1" s="46"/>
    <row r="468" ht="15.75" customHeight="1" s="46"/>
    <row r="469" ht="15.75" customHeight="1" s="46"/>
    <row r="470" ht="15.75" customHeight="1" s="46"/>
    <row r="471" ht="15.75" customHeight="1" s="46"/>
    <row r="472" ht="15.75" customHeight="1" s="46"/>
    <row r="473" ht="15.75" customHeight="1" s="46"/>
    <row r="474" ht="15.75" customHeight="1" s="46"/>
    <row r="475" ht="15.75" customHeight="1" s="46"/>
    <row r="476" ht="15.75" customHeight="1" s="46"/>
    <row r="477" ht="15.75" customHeight="1" s="46"/>
    <row r="478" ht="15.75" customHeight="1" s="46"/>
    <row r="479" ht="15.75" customHeight="1" s="46"/>
    <row r="480" ht="15.75" customHeight="1" s="46"/>
    <row r="481" ht="15.75" customHeight="1" s="46"/>
    <row r="482" ht="15.75" customHeight="1" s="46"/>
    <row r="483" ht="15.75" customHeight="1" s="46"/>
    <row r="484" ht="15.75" customHeight="1" s="46"/>
    <row r="485" ht="15.75" customHeight="1" s="46"/>
    <row r="486" ht="15.75" customHeight="1" s="46"/>
    <row r="487" ht="15.75" customHeight="1" s="46"/>
    <row r="488" ht="15.75" customHeight="1" s="46"/>
    <row r="489" ht="15.75" customHeight="1" s="46"/>
    <row r="490" ht="15.75" customHeight="1" s="46"/>
    <row r="491" ht="15.75" customHeight="1" s="46"/>
    <row r="492" ht="15.75" customHeight="1" s="46"/>
    <row r="493" ht="15.75" customHeight="1" s="46"/>
    <row r="494" ht="15.75" customHeight="1" s="46"/>
    <row r="495" ht="15.75" customHeight="1" s="46"/>
    <row r="496" ht="15.75" customHeight="1" s="46"/>
    <row r="497" ht="15.75" customHeight="1" s="46"/>
    <row r="498" ht="15.75" customHeight="1" s="46"/>
    <row r="499" ht="15.75" customHeight="1" s="46"/>
    <row r="500" ht="15.75" customHeight="1" s="46"/>
    <row r="501" ht="15.75" customHeight="1" s="46"/>
    <row r="502" ht="15.75" customHeight="1" s="46"/>
    <row r="503" ht="15.75" customHeight="1" s="46"/>
    <row r="504" ht="15.75" customHeight="1" s="46"/>
    <row r="505" ht="15.75" customHeight="1" s="46"/>
    <row r="506" ht="15.75" customHeight="1" s="46"/>
    <row r="507" ht="15.75" customHeight="1" s="46"/>
    <row r="508" ht="15.75" customHeight="1" s="46"/>
    <row r="509" ht="15.75" customHeight="1" s="46"/>
    <row r="510" ht="15.75" customHeight="1" s="46"/>
    <row r="511" ht="15.75" customHeight="1" s="46"/>
    <row r="512" ht="15.75" customHeight="1" s="46"/>
    <row r="513" ht="15.75" customHeight="1" s="46"/>
    <row r="514" ht="15.75" customHeight="1" s="46"/>
    <row r="515" ht="15.75" customHeight="1" s="46"/>
    <row r="516" ht="15.75" customHeight="1" s="46"/>
    <row r="517" ht="15.75" customHeight="1" s="46"/>
    <row r="518" ht="15.75" customHeight="1" s="46"/>
    <row r="519" ht="15.75" customHeight="1" s="46"/>
    <row r="520" ht="15.75" customHeight="1" s="46"/>
    <row r="521" ht="15.75" customHeight="1" s="46"/>
    <row r="522" ht="15.75" customHeight="1" s="46"/>
    <row r="523" ht="15.75" customHeight="1" s="46"/>
    <row r="524" ht="15.75" customHeight="1" s="46"/>
    <row r="525" ht="15.75" customHeight="1" s="46"/>
    <row r="526" ht="15.75" customHeight="1" s="46"/>
    <row r="527" ht="15.75" customHeight="1" s="46"/>
    <row r="528" ht="15.75" customHeight="1" s="46"/>
    <row r="529" ht="15.75" customHeight="1" s="46"/>
    <row r="530" ht="15.75" customHeight="1" s="46"/>
    <row r="531" ht="15.75" customHeight="1" s="46"/>
    <row r="532" ht="15.75" customHeight="1" s="46"/>
    <row r="533" ht="15.75" customHeight="1" s="46"/>
    <row r="534" ht="15.75" customHeight="1" s="46"/>
    <row r="535" ht="15.75" customHeight="1" s="46"/>
    <row r="536" ht="15.75" customHeight="1" s="46"/>
    <row r="537" ht="15.75" customHeight="1" s="46"/>
    <row r="538" ht="15.75" customHeight="1" s="46"/>
    <row r="539" ht="15.75" customHeight="1" s="46"/>
    <row r="540" ht="15.75" customHeight="1" s="46"/>
    <row r="541" ht="15.75" customHeight="1" s="46"/>
    <row r="542" ht="15.75" customHeight="1" s="46"/>
    <row r="543" ht="15.75" customHeight="1" s="46"/>
    <row r="544" ht="15.75" customHeight="1" s="46"/>
    <row r="545" ht="15.75" customHeight="1" s="46"/>
    <row r="546" ht="15.75" customHeight="1" s="46"/>
    <row r="547" ht="15.75" customHeight="1" s="46"/>
    <row r="548" ht="15.75" customHeight="1" s="46"/>
    <row r="549" ht="15.75" customHeight="1" s="46"/>
    <row r="550" ht="15.75" customHeight="1" s="46"/>
    <row r="551" ht="15.75" customHeight="1" s="46"/>
    <row r="552" ht="15.75" customHeight="1" s="46"/>
    <row r="553" ht="15.75" customHeight="1" s="46"/>
    <row r="554" ht="15.75" customHeight="1" s="46"/>
    <row r="555" ht="15.75" customHeight="1" s="46"/>
    <row r="556" ht="15.75" customHeight="1" s="46"/>
    <row r="557" ht="15.75" customHeight="1" s="46"/>
    <row r="558" ht="15.75" customHeight="1" s="46"/>
    <row r="559" ht="15.75" customHeight="1" s="46"/>
    <row r="560" ht="15.75" customHeight="1" s="46"/>
    <row r="561" ht="15.75" customHeight="1" s="46"/>
    <row r="562" ht="15.75" customHeight="1" s="46"/>
    <row r="563" ht="15.75" customHeight="1" s="46"/>
    <row r="564" ht="15.75" customHeight="1" s="46"/>
    <row r="565" ht="15.75" customHeight="1" s="46"/>
    <row r="566" ht="15.75" customHeight="1" s="46"/>
    <row r="567" ht="15.75" customHeight="1" s="46"/>
    <row r="568" ht="15.75" customHeight="1" s="46"/>
    <row r="569" ht="15.75" customHeight="1" s="46"/>
    <row r="570" ht="15.75" customHeight="1" s="46"/>
    <row r="571" ht="15.75" customHeight="1" s="46"/>
    <row r="572" ht="15.75" customHeight="1" s="46"/>
    <row r="573" ht="15.75" customHeight="1" s="46"/>
    <row r="574" ht="15.75" customHeight="1" s="46"/>
    <row r="575" ht="15.75" customHeight="1" s="46"/>
    <row r="576" ht="15.75" customHeight="1" s="46"/>
    <row r="577" ht="15.75" customHeight="1" s="46"/>
    <row r="578" ht="15.75" customHeight="1" s="46"/>
    <row r="579" ht="15.75" customHeight="1" s="46"/>
    <row r="580" ht="15.75" customHeight="1" s="46"/>
    <row r="581" ht="15.75" customHeight="1" s="46"/>
    <row r="582" ht="15.75" customHeight="1" s="46"/>
    <row r="583" ht="15.75" customHeight="1" s="46"/>
    <row r="584" ht="15.75" customHeight="1" s="46"/>
    <row r="585" ht="15.75" customHeight="1" s="46"/>
    <row r="586" ht="15.75" customHeight="1" s="46"/>
    <row r="587" ht="15.75" customHeight="1" s="46"/>
    <row r="588" ht="15.75" customHeight="1" s="46"/>
    <row r="589" ht="15.75" customHeight="1" s="46"/>
    <row r="590" ht="15.75" customHeight="1" s="46"/>
    <row r="591" ht="15.75" customHeight="1" s="46"/>
    <row r="592" ht="15.75" customHeight="1" s="46"/>
    <row r="593" ht="15.75" customHeight="1" s="46"/>
    <row r="594" ht="15.75" customHeight="1" s="46"/>
    <row r="595" ht="15.75" customHeight="1" s="46"/>
    <row r="596" ht="15.75" customHeight="1" s="46"/>
    <row r="597" ht="15.75" customHeight="1" s="46"/>
    <row r="598" ht="15.75" customHeight="1" s="46"/>
    <row r="599" ht="15.75" customHeight="1" s="46"/>
    <row r="600" ht="15.75" customHeight="1" s="46"/>
    <row r="601" ht="15.75" customHeight="1" s="46"/>
    <row r="602" ht="15.75" customHeight="1" s="46"/>
    <row r="603" ht="15.75" customHeight="1" s="46"/>
    <row r="604" ht="15.75" customHeight="1" s="46"/>
    <row r="605" ht="15.75" customHeight="1" s="46"/>
    <row r="606" ht="15.75" customHeight="1" s="46"/>
    <row r="607" ht="15.75" customHeight="1" s="46"/>
    <row r="608" ht="15.75" customHeight="1" s="46"/>
    <row r="609" ht="15.75" customHeight="1" s="46"/>
    <row r="610" ht="15.75" customHeight="1" s="46"/>
    <row r="611" ht="15.75" customHeight="1" s="46"/>
    <row r="612" ht="15.75" customHeight="1" s="46"/>
    <row r="613" ht="15.75" customHeight="1" s="46"/>
    <row r="614" ht="15.75" customHeight="1" s="46"/>
    <row r="615" ht="15.75" customHeight="1" s="46"/>
    <row r="616" ht="15.75" customHeight="1" s="46"/>
    <row r="617" ht="15.75" customHeight="1" s="46"/>
    <row r="618" ht="15.75" customHeight="1" s="46"/>
    <row r="619" ht="15.75" customHeight="1" s="46"/>
    <row r="620" ht="15.75" customHeight="1" s="46"/>
    <row r="621" ht="15.75" customHeight="1" s="46"/>
    <row r="622" ht="15.75" customHeight="1" s="46"/>
    <row r="623" ht="15.75" customHeight="1" s="46"/>
    <row r="624" ht="15.75" customHeight="1" s="46"/>
    <row r="625" ht="15.75" customHeight="1" s="46"/>
    <row r="626" ht="15.75" customHeight="1" s="46"/>
    <row r="627" ht="15.75" customHeight="1" s="46"/>
    <row r="628" ht="15.75" customHeight="1" s="46"/>
    <row r="629" ht="15.75" customHeight="1" s="46"/>
    <row r="630" ht="15.75" customHeight="1" s="46"/>
    <row r="631" ht="15.75" customHeight="1" s="46"/>
    <row r="632" ht="15.75" customHeight="1" s="46"/>
    <row r="633" ht="15.75" customHeight="1" s="46"/>
    <row r="634" ht="15.75" customHeight="1" s="46"/>
    <row r="635" ht="15.75" customHeight="1" s="46"/>
    <row r="636" ht="15.75" customHeight="1" s="46"/>
    <row r="637" ht="15.75" customHeight="1" s="46"/>
    <row r="638" ht="15.75" customHeight="1" s="46"/>
    <row r="639" ht="15.75" customHeight="1" s="46"/>
    <row r="640" ht="15.75" customHeight="1" s="46"/>
    <row r="641" ht="15.75" customHeight="1" s="46"/>
    <row r="642" ht="15.75" customHeight="1" s="46"/>
    <row r="643" ht="15.75" customHeight="1" s="46"/>
    <row r="644" ht="15.75" customHeight="1" s="46"/>
    <row r="645" ht="15.75" customHeight="1" s="46"/>
    <row r="646" ht="15.75" customHeight="1" s="46"/>
    <row r="647" ht="15.75" customHeight="1" s="46"/>
    <row r="648" ht="15.75" customHeight="1" s="46"/>
    <row r="649" ht="15.75" customHeight="1" s="46"/>
    <row r="650" ht="15.75" customHeight="1" s="46"/>
    <row r="651" ht="15.75" customHeight="1" s="46"/>
    <row r="652" ht="15.75" customHeight="1" s="46"/>
    <row r="653" ht="15.75" customHeight="1" s="46"/>
    <row r="654" ht="15.75" customHeight="1" s="46"/>
    <row r="655" ht="15.75" customHeight="1" s="46"/>
    <row r="656" ht="15.75" customHeight="1" s="46"/>
    <row r="657" ht="15.75" customHeight="1" s="46"/>
    <row r="658" ht="15.75" customHeight="1" s="46"/>
    <row r="659" ht="15.75" customHeight="1" s="46"/>
    <row r="660" ht="15.75" customHeight="1" s="46"/>
    <row r="661" ht="15.75" customHeight="1" s="46"/>
    <row r="662" ht="15.75" customHeight="1" s="46"/>
    <row r="663" ht="15.75" customHeight="1" s="46"/>
    <row r="664" ht="15.75" customHeight="1" s="46"/>
    <row r="665" ht="15.75" customHeight="1" s="46"/>
    <row r="666" ht="15.75" customHeight="1" s="46"/>
    <row r="667" ht="15.75" customHeight="1" s="46"/>
    <row r="668" ht="15.75" customHeight="1" s="46"/>
    <row r="669" ht="15.75" customHeight="1" s="46"/>
    <row r="670" ht="15.75" customHeight="1" s="46"/>
    <row r="671" ht="15.75" customHeight="1" s="46"/>
    <row r="672" ht="15.75" customHeight="1" s="46"/>
    <row r="673" ht="15.75" customHeight="1" s="46"/>
    <row r="674" ht="15.75" customHeight="1" s="46"/>
    <row r="675" ht="15.75" customHeight="1" s="46"/>
    <row r="676" ht="15.75" customHeight="1" s="46"/>
    <row r="677" ht="15.75" customHeight="1" s="46"/>
    <row r="678" ht="15.75" customHeight="1" s="46"/>
    <row r="679" ht="15.75" customHeight="1" s="46"/>
    <row r="680" ht="15.75" customHeight="1" s="46"/>
    <row r="681" ht="15.75" customHeight="1" s="46"/>
    <row r="682" ht="15.75" customHeight="1" s="46"/>
    <row r="683" ht="15.75" customHeight="1" s="46"/>
    <row r="684" ht="15.75" customHeight="1" s="46"/>
    <row r="685" ht="15.75" customHeight="1" s="46"/>
    <row r="686" ht="15.75" customHeight="1" s="46"/>
    <row r="687" ht="15.75" customHeight="1" s="46"/>
    <row r="688" ht="15.75" customHeight="1" s="46"/>
    <row r="689" ht="15.75" customHeight="1" s="46"/>
    <row r="690" ht="15.75" customHeight="1" s="46"/>
    <row r="691" ht="15.75" customHeight="1" s="46"/>
    <row r="692" ht="15.75" customHeight="1" s="46"/>
    <row r="693" ht="15.75" customHeight="1" s="46"/>
    <row r="694" ht="15.75" customHeight="1" s="46"/>
    <row r="695" ht="15.75" customHeight="1" s="46"/>
    <row r="696" ht="15.75" customHeight="1" s="46"/>
    <row r="697" ht="15.75" customHeight="1" s="46"/>
    <row r="698" ht="15.75" customHeight="1" s="46"/>
    <row r="699" ht="15.75" customHeight="1" s="46"/>
    <row r="700" ht="15.75" customHeight="1" s="46"/>
    <row r="701" ht="15.75" customHeight="1" s="46"/>
    <row r="702" ht="15.75" customHeight="1" s="46"/>
    <row r="703" ht="15.75" customHeight="1" s="46"/>
    <row r="704" ht="15.75" customHeight="1" s="46"/>
    <row r="705" ht="15.75" customHeight="1" s="46"/>
    <row r="706" ht="15.75" customHeight="1" s="46"/>
    <row r="707" ht="15.75" customHeight="1" s="46"/>
    <row r="708" ht="15.75" customHeight="1" s="46"/>
    <row r="709" ht="15.75" customHeight="1" s="46"/>
    <row r="710" ht="15.75" customHeight="1" s="46"/>
    <row r="711" ht="15.75" customHeight="1" s="46"/>
    <row r="712" ht="15.75" customHeight="1" s="46"/>
    <row r="713" ht="15.75" customHeight="1" s="46"/>
    <row r="714" ht="15.75" customHeight="1" s="46"/>
    <row r="715" ht="15.75" customHeight="1" s="46"/>
    <row r="716" ht="15.75" customHeight="1" s="46"/>
    <row r="717" ht="15.75" customHeight="1" s="46"/>
    <row r="718" ht="15.75" customHeight="1" s="46"/>
    <row r="719" ht="15.75" customHeight="1" s="46"/>
    <row r="720" ht="15.75" customHeight="1" s="46"/>
    <row r="721" ht="15.75" customHeight="1" s="46"/>
    <row r="722" ht="15.75" customHeight="1" s="46"/>
    <row r="723" ht="15.75" customHeight="1" s="46"/>
    <row r="724" ht="15.75" customHeight="1" s="46"/>
    <row r="725" ht="15.75" customHeight="1" s="46"/>
    <row r="726" ht="15.75" customHeight="1" s="46"/>
    <row r="727" ht="15.75" customHeight="1" s="46"/>
    <row r="728" ht="15.75" customHeight="1" s="46"/>
    <row r="729" ht="15.75" customHeight="1" s="46"/>
    <row r="730" ht="15.75" customHeight="1" s="46"/>
    <row r="731" ht="15.75" customHeight="1" s="46"/>
    <row r="732" ht="15.75" customHeight="1" s="46"/>
    <row r="733" ht="15.75" customHeight="1" s="46"/>
    <row r="734" ht="15.75" customHeight="1" s="46"/>
    <row r="735" ht="15.75" customHeight="1" s="46"/>
    <row r="736" ht="15.75" customHeight="1" s="46"/>
    <row r="737" ht="15.75" customHeight="1" s="46"/>
    <row r="738" ht="15.75" customHeight="1" s="46"/>
    <row r="739" ht="15.75" customHeight="1" s="46"/>
    <row r="740" ht="15.75" customHeight="1" s="46"/>
    <row r="741" ht="15.75" customHeight="1" s="46"/>
    <row r="742" ht="15.75" customHeight="1" s="46"/>
    <row r="743" ht="15.75" customHeight="1" s="46"/>
    <row r="744" ht="15.75" customHeight="1" s="46"/>
    <row r="745" ht="15.75" customHeight="1" s="46"/>
    <row r="746" ht="15.75" customHeight="1" s="46"/>
    <row r="747" ht="15.75" customHeight="1" s="46"/>
    <row r="748" ht="15.75" customHeight="1" s="46"/>
    <row r="749" ht="15.75" customHeight="1" s="46"/>
    <row r="750" ht="15.75" customHeight="1" s="46"/>
    <row r="751" ht="15.75" customHeight="1" s="46"/>
    <row r="752" ht="15.75" customHeight="1" s="46"/>
    <row r="753" ht="15.75" customHeight="1" s="46"/>
    <row r="754" ht="15.75" customHeight="1" s="46"/>
    <row r="755" ht="15.75" customHeight="1" s="46"/>
    <row r="756" ht="15.75" customHeight="1" s="46"/>
    <row r="757" ht="15.75" customHeight="1" s="46"/>
    <row r="758" ht="15.75" customHeight="1" s="46"/>
    <row r="759" ht="15.75" customHeight="1" s="46"/>
    <row r="760" ht="15.75" customHeight="1" s="46"/>
    <row r="761" ht="15.75" customHeight="1" s="46"/>
    <row r="762" ht="15.75" customHeight="1" s="46"/>
    <row r="763" ht="15.75" customHeight="1" s="46"/>
    <row r="764" ht="15.75" customHeight="1" s="46"/>
    <row r="765" ht="15.75" customHeight="1" s="46"/>
    <row r="766" ht="15.75" customHeight="1" s="46"/>
    <row r="767" ht="15.75" customHeight="1" s="46"/>
    <row r="768" ht="15.75" customHeight="1" s="46"/>
    <row r="769" ht="15.75" customHeight="1" s="46"/>
    <row r="770" ht="15.75" customHeight="1" s="46"/>
    <row r="771" ht="15.75" customHeight="1" s="46"/>
    <row r="772" ht="15.75" customHeight="1" s="46"/>
    <row r="773" ht="15.75" customHeight="1" s="46"/>
    <row r="774" ht="15.75" customHeight="1" s="46"/>
    <row r="775" ht="15.75" customHeight="1" s="46"/>
    <row r="776" ht="15.75" customHeight="1" s="46"/>
    <row r="777" ht="15.75" customHeight="1" s="46"/>
    <row r="778" ht="15.75" customHeight="1" s="46"/>
    <row r="779" ht="15.75" customHeight="1" s="46"/>
    <row r="780" ht="15.75" customHeight="1" s="46"/>
    <row r="781" ht="15.75" customHeight="1" s="46"/>
    <row r="782" ht="15.75" customHeight="1" s="46"/>
    <row r="783" ht="15.75" customHeight="1" s="46"/>
    <row r="784" ht="15.75" customHeight="1" s="46"/>
    <row r="785" ht="15.75" customHeight="1" s="46"/>
    <row r="786" ht="15.75" customHeight="1" s="46"/>
    <row r="787" ht="15.75" customHeight="1" s="46"/>
    <row r="788" ht="15.75" customHeight="1" s="46"/>
    <row r="789" ht="15.75" customHeight="1" s="46"/>
    <row r="790" ht="15.75" customHeight="1" s="46"/>
    <row r="791" ht="15.75" customHeight="1" s="46"/>
    <row r="792" ht="15.75" customHeight="1" s="46"/>
    <row r="793" ht="15.75" customHeight="1" s="46"/>
    <row r="794" ht="15.75" customHeight="1" s="46"/>
    <row r="795" ht="15.75" customHeight="1" s="46"/>
    <row r="796" ht="15.75" customHeight="1" s="46"/>
    <row r="797" ht="15.75" customHeight="1" s="46"/>
    <row r="798" ht="15.75" customHeight="1" s="46"/>
    <row r="799" ht="15.75" customHeight="1" s="46"/>
    <row r="800" ht="15.75" customHeight="1" s="46"/>
    <row r="801" ht="15.75" customHeight="1" s="46"/>
    <row r="802" ht="15.75" customHeight="1" s="46"/>
    <row r="803" ht="15.75" customHeight="1" s="46"/>
    <row r="804" ht="15.75" customHeight="1" s="46"/>
    <row r="805" ht="15.75" customHeight="1" s="46"/>
    <row r="806" ht="15.75" customHeight="1" s="46"/>
    <row r="807" ht="15.75" customHeight="1" s="46"/>
    <row r="808" ht="15.75" customHeight="1" s="46"/>
    <row r="809" ht="15.75" customHeight="1" s="46"/>
    <row r="810" ht="15.75" customHeight="1" s="46"/>
    <row r="811" ht="15.75" customHeight="1" s="46"/>
    <row r="812" ht="15.75" customHeight="1" s="46"/>
    <row r="813" ht="15.75" customHeight="1" s="46"/>
    <row r="814" ht="15.75" customHeight="1" s="46"/>
    <row r="815" ht="15.75" customHeight="1" s="46"/>
    <row r="816" ht="15.75" customHeight="1" s="46"/>
    <row r="817" ht="15.75" customHeight="1" s="46"/>
    <row r="818" ht="15.75" customHeight="1" s="46"/>
    <row r="819" ht="15.75" customHeight="1" s="46"/>
    <row r="820" ht="15.75" customHeight="1" s="46"/>
    <row r="821" ht="15.75" customHeight="1" s="46"/>
    <row r="822" ht="15.75" customHeight="1" s="46"/>
    <row r="823" ht="15.75" customHeight="1" s="46"/>
    <row r="824" ht="15.75" customHeight="1" s="46"/>
    <row r="825" ht="15.75" customHeight="1" s="46"/>
    <row r="826" ht="15.75" customHeight="1" s="46"/>
    <row r="827" ht="15.75" customHeight="1" s="46"/>
    <row r="828" ht="15.75" customHeight="1" s="46"/>
    <row r="829" ht="15.75" customHeight="1" s="46"/>
    <row r="830" ht="15.75" customHeight="1" s="46"/>
    <row r="831" ht="15.75" customHeight="1" s="46"/>
    <row r="832" ht="15.75" customHeight="1" s="46"/>
    <row r="833" ht="15.75" customHeight="1" s="46"/>
    <row r="834" ht="15.75" customHeight="1" s="46"/>
    <row r="835" ht="15.75" customHeight="1" s="46"/>
    <row r="836" ht="15.75" customHeight="1" s="46"/>
    <row r="837" ht="15.75" customHeight="1" s="46"/>
    <row r="838" ht="15.75" customHeight="1" s="46"/>
    <row r="839" ht="15.75" customHeight="1" s="46"/>
    <row r="840" ht="15.75" customHeight="1" s="46"/>
    <row r="841" ht="15.75" customHeight="1" s="46"/>
    <row r="842" ht="15.75" customHeight="1" s="46"/>
    <row r="843" ht="15.75" customHeight="1" s="46"/>
    <row r="844" ht="15.75" customHeight="1" s="46"/>
    <row r="845" ht="15.75" customHeight="1" s="46"/>
    <row r="846" ht="15.75" customHeight="1" s="46"/>
    <row r="847" ht="15.75" customHeight="1" s="46"/>
    <row r="848" ht="15.75" customHeight="1" s="46"/>
    <row r="849" ht="15.75" customHeight="1" s="46"/>
    <row r="850" ht="15.75" customHeight="1" s="46"/>
    <row r="851" ht="15.75" customHeight="1" s="46"/>
    <row r="852" ht="15.75" customHeight="1" s="46"/>
    <row r="853" ht="15.75" customHeight="1" s="46"/>
    <row r="854" ht="15.75" customHeight="1" s="46"/>
    <row r="855" ht="15.75" customHeight="1" s="46"/>
    <row r="856" ht="15.75" customHeight="1" s="46"/>
    <row r="857" ht="15.75" customHeight="1" s="46"/>
    <row r="858" ht="15.75" customHeight="1" s="46"/>
    <row r="859" ht="15.75" customHeight="1" s="46"/>
    <row r="860" ht="15.75" customHeight="1" s="46"/>
    <row r="861" ht="15.75" customHeight="1" s="46"/>
    <row r="862" ht="15.75" customHeight="1" s="46"/>
    <row r="863" ht="15.75" customHeight="1" s="46"/>
    <row r="864" ht="15.75" customHeight="1" s="46"/>
    <row r="865" ht="15.75" customHeight="1" s="46"/>
    <row r="866" ht="15.75" customHeight="1" s="46"/>
    <row r="867" ht="15.75" customHeight="1" s="46"/>
    <row r="868" ht="15.75" customHeight="1" s="46"/>
    <row r="869" ht="15.75" customHeight="1" s="46"/>
    <row r="870" ht="15.75" customHeight="1" s="46"/>
    <row r="871" ht="15.75" customHeight="1" s="46"/>
    <row r="872" ht="15.75" customHeight="1" s="46"/>
    <row r="873" ht="15.75" customHeight="1" s="46"/>
    <row r="874" ht="15.75" customHeight="1" s="46"/>
    <row r="875" ht="15.75" customHeight="1" s="46"/>
    <row r="876" ht="15.75" customHeight="1" s="46"/>
    <row r="877" ht="15.75" customHeight="1" s="46"/>
    <row r="878" ht="15.75" customHeight="1" s="46"/>
    <row r="879" ht="15.75" customHeight="1" s="46"/>
    <row r="880" ht="15.75" customHeight="1" s="46"/>
    <row r="881" ht="15.75" customHeight="1" s="46"/>
    <row r="882" ht="15.75" customHeight="1" s="46"/>
    <row r="883" ht="15.75" customHeight="1" s="46"/>
    <row r="884" ht="15.75" customHeight="1" s="46"/>
    <row r="885" ht="15.75" customHeight="1" s="46"/>
    <row r="886" ht="15.75" customHeight="1" s="46"/>
    <row r="887" ht="15.75" customHeight="1" s="46"/>
    <row r="888" ht="15.75" customHeight="1" s="46"/>
    <row r="889" ht="15.75" customHeight="1" s="46"/>
    <row r="890" ht="15.75" customHeight="1" s="46"/>
    <row r="891" ht="15.75" customHeight="1" s="46"/>
    <row r="892" ht="15.75" customHeight="1" s="46"/>
    <row r="893" ht="15.75" customHeight="1" s="46"/>
    <row r="894" ht="15.75" customHeight="1" s="46"/>
    <row r="895" ht="15.75" customHeight="1" s="46"/>
    <row r="896" ht="15.75" customHeight="1" s="46"/>
    <row r="897" ht="15.75" customHeight="1" s="46"/>
    <row r="898" ht="15.75" customHeight="1" s="46"/>
    <row r="899" ht="15.75" customHeight="1" s="46"/>
    <row r="900" ht="15.75" customHeight="1" s="46"/>
    <row r="901" ht="15.75" customHeight="1" s="46"/>
    <row r="902" ht="15.75" customHeight="1" s="46"/>
    <row r="903" ht="15.75" customHeight="1" s="46"/>
    <row r="904" ht="15.75" customHeight="1" s="46"/>
    <row r="905" ht="15.75" customHeight="1" s="46"/>
    <row r="906" ht="15.75" customHeight="1" s="46"/>
    <row r="907" ht="15.75" customHeight="1" s="46"/>
    <row r="908" ht="15.75" customHeight="1" s="46"/>
    <row r="909" ht="15.75" customHeight="1" s="46"/>
    <row r="910" ht="15.75" customHeight="1" s="46"/>
    <row r="911" ht="15.75" customHeight="1" s="46"/>
    <row r="912" ht="15.75" customHeight="1" s="46"/>
    <row r="913" ht="15.75" customHeight="1" s="46"/>
    <row r="914" ht="15.75" customHeight="1" s="46"/>
    <row r="915" ht="15.75" customHeight="1" s="46"/>
    <row r="916" ht="15.75" customHeight="1" s="46"/>
    <row r="917" ht="15.75" customHeight="1" s="46"/>
    <row r="918" ht="15.75" customHeight="1" s="46"/>
    <row r="919" ht="15.75" customHeight="1" s="46"/>
    <row r="920" ht="15.75" customHeight="1" s="46"/>
    <row r="921" ht="15.75" customHeight="1" s="46"/>
    <row r="922" ht="15.75" customHeight="1" s="46"/>
    <row r="923" ht="15.75" customHeight="1" s="46"/>
    <row r="924" ht="15.75" customHeight="1" s="46"/>
    <row r="925" ht="15.75" customHeight="1" s="46"/>
    <row r="926" ht="15.75" customHeight="1" s="46"/>
    <row r="927" ht="15.75" customHeight="1" s="46"/>
    <row r="928" ht="15.75" customHeight="1" s="46"/>
    <row r="929" ht="15.75" customHeight="1" s="46"/>
    <row r="930" ht="15.75" customHeight="1" s="46"/>
    <row r="931" ht="15.75" customHeight="1" s="46"/>
    <row r="932" ht="15.75" customHeight="1" s="46"/>
    <row r="933" ht="15.75" customHeight="1" s="46"/>
    <row r="934" ht="15.75" customHeight="1" s="46"/>
    <row r="935" ht="15.75" customHeight="1" s="46"/>
    <row r="936" ht="15.75" customHeight="1" s="46"/>
    <row r="937" ht="15.75" customHeight="1" s="46"/>
    <row r="938" ht="15.75" customHeight="1" s="46"/>
    <row r="939" ht="15.75" customHeight="1" s="46"/>
    <row r="940" ht="15.75" customHeight="1" s="46"/>
    <row r="941" ht="15.75" customHeight="1" s="46"/>
    <row r="942" ht="15.75" customHeight="1" s="46"/>
    <row r="943" ht="15.75" customHeight="1" s="46"/>
    <row r="944" ht="15.75" customHeight="1" s="46"/>
    <row r="945" ht="15.75" customHeight="1" s="46"/>
    <row r="946" ht="15.75" customHeight="1" s="46"/>
    <row r="947" ht="15.75" customHeight="1" s="46"/>
    <row r="948" ht="15.75" customHeight="1" s="46"/>
    <row r="949" ht="15.75" customHeight="1" s="46"/>
    <row r="950" ht="15.75" customHeight="1" s="46"/>
    <row r="951" ht="15.75" customHeight="1" s="46"/>
    <row r="952" ht="15.75" customHeight="1" s="46"/>
    <row r="953" ht="15.75" customHeight="1" s="46"/>
    <row r="954" ht="15.75" customHeight="1" s="46"/>
    <row r="955" ht="15.75" customHeight="1" s="46"/>
    <row r="956" ht="15.75" customHeight="1" s="46"/>
    <row r="957" ht="15.75" customHeight="1" s="46"/>
    <row r="958" ht="15.75" customHeight="1" s="46"/>
    <row r="959" ht="15.75" customHeight="1" s="46"/>
    <row r="960" ht="15.75" customHeight="1" s="46"/>
    <row r="961" ht="15.75" customHeight="1" s="46"/>
    <row r="962" ht="15.75" customHeight="1" s="46"/>
    <row r="963" ht="15.75" customHeight="1" s="46"/>
    <row r="964" ht="15.75" customHeight="1" s="46"/>
    <row r="965" ht="15.75" customHeight="1" s="46"/>
    <row r="966" ht="15.75" customHeight="1" s="46"/>
    <row r="967" ht="15.75" customHeight="1" s="46"/>
    <row r="968" ht="15.75" customHeight="1" s="46"/>
    <row r="969" ht="15.75" customHeight="1" s="46"/>
    <row r="970" ht="15.75" customHeight="1" s="46"/>
    <row r="971" ht="15.75" customHeight="1" s="46"/>
    <row r="972" ht="15.75" customHeight="1" s="46"/>
    <row r="973" ht="15.75" customHeight="1" s="46"/>
    <row r="974" ht="15.75" customHeight="1" s="46"/>
    <row r="975" ht="15.75" customHeight="1" s="46"/>
    <row r="976" ht="15.75" customHeight="1" s="46"/>
    <row r="977" ht="15.75" customHeight="1" s="46"/>
    <row r="978" ht="15.75" customHeight="1" s="46"/>
    <row r="979" ht="15.75" customHeight="1" s="46"/>
    <row r="980" ht="15.75" customHeight="1" s="46"/>
    <row r="981" ht="15.75" customHeight="1" s="46"/>
    <row r="982" ht="15.75" customHeight="1" s="46"/>
    <row r="983" ht="15.75" customHeight="1" s="46"/>
    <row r="984" ht="15.75" customHeight="1" s="46"/>
    <row r="985" ht="15.75" customHeight="1" s="46"/>
    <row r="986" ht="15.75" customHeight="1" s="46"/>
    <row r="987" ht="15.75" customHeight="1" s="46"/>
    <row r="988" ht="15.75" customHeight="1" s="46"/>
    <row r="989" ht="15.75" customHeight="1" s="46"/>
    <row r="990" ht="15.75" customHeight="1" s="46"/>
    <row r="991" ht="15.75" customHeight="1" s="46"/>
    <row r="992" ht="15.75" customHeight="1" s="46"/>
    <row r="993" ht="15.75" customHeight="1" s="46"/>
    <row r="994" ht="15.75" customHeight="1" s="46"/>
    <row r="995" ht="15.75" customHeight="1" s="46"/>
    <row r="996" ht="15.75" customHeight="1" s="46"/>
    <row r="997" ht="15.75" customHeight="1" s="46"/>
    <row r="998" ht="15.75" customHeight="1" s="46"/>
    <row r="999" ht="15.75" customHeight="1" s="46"/>
    <row r="1000" ht="15.75" customHeight="1" s="46"/>
  </sheetData>
  <mergeCells count="14">
    <mergeCell ref="A21:E21"/>
    <mergeCell ref="A39:E39"/>
    <mergeCell ref="N25:Q25"/>
    <mergeCell ref="A25:E25"/>
    <mergeCell ref="A2:N2"/>
    <mergeCell ref="A41:N45"/>
    <mergeCell ref="A24:AG24"/>
    <mergeCell ref="R25:U25"/>
    <mergeCell ref="V25:Y25"/>
    <mergeCell ref="Z25:AC25"/>
    <mergeCell ref="F25:I25"/>
    <mergeCell ref="J25:M25"/>
    <mergeCell ref="AD25:AG25"/>
    <mergeCell ref="A1:N1"/>
  </mergeCells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G45"/>
  <sheetViews>
    <sheetView workbookViewId="0">
      <selection activeCell="A1" sqref="A1"/>
    </sheetView>
  </sheetViews>
  <sheetFormatPr baseColWidth="8" defaultColWidth="14.43" defaultRowHeight="15" customHeight="1"/>
  <cols>
    <col width="4" customWidth="1" style="46" min="1" max="1"/>
    <col width="10" customWidth="1" style="46" min="2" max="2"/>
    <col width="32" customWidth="1" style="46" min="3" max="3"/>
    <col width="26" customWidth="1" style="46" min="4" max="4"/>
    <col width="28" customWidth="1" style="46" min="5" max="5"/>
    <col width="14" customWidth="1" style="46" min="6" max="7"/>
    <col width="15" customWidth="1" style="46" min="8" max="9"/>
    <col width="16" customWidth="1" style="46" min="10" max="11"/>
    <col width="14" customWidth="1" style="46" min="12" max="12"/>
    <col width="15" customWidth="1" style="46" min="13" max="13"/>
    <col width="24" customWidth="1" style="46" min="14" max="14"/>
    <col width="14" customWidth="1" style="46" min="15" max="33"/>
  </cols>
  <sheetData>
    <row r="1" ht="24.75" customHeight="1" s="46">
      <c r="A1" s="47" t="inlineStr">
        <is>
          <t>CONTROL SEMANAL DE RENDIMIENTO DE MAQUINARIA (SEMANA 28)</t>
        </is>
      </c>
    </row>
    <row r="2" ht="18" customHeight="1" s="46">
      <c r="A2" s="48" t="inlineStr">
        <is>
          <t>OBRA: CARRETERA LIBRE MÉXICO-TOLUCA | PERIODO: 06/Jul/2026 - 11/Jul/2026</t>
        </is>
      </c>
    </row>
    <row r="4">
      <c r="A4" s="5" t="inlineStr">
        <is>
          <t>1. PARÁMETROS:</t>
        </is>
      </c>
      <c r="B4" s="5" t="inlineStr">
        <is>
          <t>PESO VOLUMÉTRICO ASFALTO (Ton/m³):</t>
        </is>
      </c>
      <c r="E4" s="7" t="n">
        <v>1.742</v>
      </c>
    </row>
    <row r="5">
      <c r="A5" s="5" t="inlineStr">
        <is>
          <t>2. FRESADO SEMANAL:</t>
        </is>
      </c>
      <c r="B5" s="8" t="inlineStr">
        <is>
          <t>Viajes de Fresado:</t>
        </is>
      </c>
      <c r="C5" s="41" t="n">
        <v>90</v>
      </c>
      <c r="D5" s="8" t="inlineStr">
        <is>
          <t>Volumen Fresado (m³):</t>
        </is>
      </c>
      <c r="E5" s="42" t="n">
        <v>1239</v>
      </c>
    </row>
    <row r="6">
      <c r="A6" s="5" t="inlineStr">
        <is>
          <t>3. CARPETA SEMANAL:</t>
        </is>
      </c>
      <c r="B6" s="8" t="inlineStr">
        <is>
          <t>Viajes de Mezcla:</t>
        </is>
      </c>
      <c r="C6" s="41" t="n">
        <v>35</v>
      </c>
      <c r="D6" s="8" t="inlineStr">
        <is>
          <t>Volumen Carpeta (m³):</t>
        </is>
      </c>
      <c r="E6" s="42" t="n">
        <v>490</v>
      </c>
      <c r="F6" s="8" t="inlineStr">
        <is>
          <t>Toneladas Carpeta (Ton):</t>
        </is>
      </c>
      <c r="G6" s="17">
        <f>E6*$E$4</f>
        <v/>
      </c>
    </row>
    <row r="8" ht="27.75" customHeight="1" s="46">
      <c r="A8" s="10" t="inlineStr">
        <is>
          <t>No.</t>
        </is>
      </c>
      <c r="B8" s="10" t="inlineStr">
        <is>
          <t>Económico</t>
        </is>
      </c>
      <c r="C8" s="10" t="inlineStr">
        <is>
          <t>Equipo / Maquinaria</t>
        </is>
      </c>
      <c r="D8" s="10" t="inlineStr">
        <is>
          <t>Operador Asignado</t>
        </is>
      </c>
      <c r="E8" s="10" t="inlineStr">
        <is>
          <t>Concepto de Trabajo</t>
        </is>
      </c>
      <c r="F8" s="10" t="inlineStr">
        <is>
          <t>Viajes Asignados</t>
        </is>
      </c>
      <c r="G8" s="10" t="inlineStr">
        <is>
          <t>Volumen (m³)</t>
        </is>
      </c>
      <c r="H8" s="10" t="inlineStr">
        <is>
          <t>Toneladas (Ton)</t>
        </is>
      </c>
      <c r="I8" s="10" t="inlineStr">
        <is>
          <t>Diésel Surtido (L)</t>
        </is>
      </c>
      <c r="J8" s="10" t="inlineStr">
        <is>
          <t>Rendimiento Real (L/Ton)</t>
        </is>
      </c>
      <c r="K8" s="10" t="inlineStr">
        <is>
          <t>Rendimiento Real (L/m³)</t>
        </is>
      </c>
      <c r="L8" s="10" t="inlineStr">
        <is>
          <t>Rend. Base (L/h)</t>
        </is>
      </c>
      <c r="M8" s="10" t="inlineStr">
        <is>
          <t>Horas Est. Operación</t>
        </is>
      </c>
      <c r="N8" s="10" t="inlineStr">
        <is>
          <t>Estatus Operativo</t>
        </is>
      </c>
    </row>
    <row r="9" ht="19.5" customHeight="1" s="46">
      <c r="A9" s="12" t="n">
        <v>1</v>
      </c>
      <c r="B9" s="12" t="inlineStr">
        <is>
          <t>PRR-01</t>
        </is>
      </c>
      <c r="C9" s="13" t="inlineStr">
        <is>
          <t>PERFILADORA WIRTGEN W200i</t>
        </is>
      </c>
      <c r="D9" s="13" t="inlineStr">
        <is>
          <t>JAVIER PAREDES CORTE</t>
        </is>
      </c>
      <c r="E9" s="13" t="inlineStr">
        <is>
          <t>Fresado de Pavimento</t>
        </is>
      </c>
      <c r="F9" s="14">
        <f>$C$5</f>
        <v/>
      </c>
      <c r="G9" s="37">
        <f>$E$5</f>
        <v/>
      </c>
      <c r="H9" s="18" t="inlineStr">
        <is>
          <t>-</t>
        </is>
      </c>
      <c r="I9" s="37" t="n">
        <v>150</v>
      </c>
      <c r="J9" s="19" t="inlineStr">
        <is>
          <t>-</t>
        </is>
      </c>
      <c r="K9" s="20">
        <f>IF(G9&gt;0, I9/G9, 0)</f>
        <v/>
      </c>
      <c r="L9" s="21" t="n">
        <v>67.2</v>
      </c>
      <c r="M9" s="22">
        <f>IF(L9&gt;0, I9/L9, 0)</f>
        <v/>
      </c>
      <c r="N9" s="12">
        <f>IF(I9=0, "SIN CONSUMO (Inactiva)", IF(A9=1, IF(K9&lt;=0.85, "DENTRO DE RENDIMIENTO BASE", "EXCEDE RENDIMIENTO BASE"), IF(A9=2, IF(J9&lt;=0.38, "DENTRO DE RENDIMIENTO BASE", "EXCEDE RENDIMIENTO BASE"), IF(OR(A9=3,A9=4,A9=5,A9=6), IF(J9&lt;=0.08, "DENTRO DE RENDIMIENTO BASE", "EXCEDE RENDIMIENTO BASE"), IF(A9=7, IF(J9&lt;=0.07, "DENTRO DE RENDIMIENTO BASE", "EXCEDE RENDIMIENTO BASE"), IF(A9=8, IF(K9&lt;=0.22, "DENTRO DE RENDIMIENTO BASE", "EXCEDE RENDIMIENTO BASE"), IF(A9=9, IF(J9&lt;=0.075, "DENTRO DE RENDIMIENTO BASE", "EXCEDE RENDIMIENTO BASE"), "APOYO PUNTUAL")))))))</f>
        <v/>
      </c>
    </row>
    <row r="10" ht="19.5" customHeight="1" s="46">
      <c r="A10" s="12" t="n">
        <v>2</v>
      </c>
      <c r="B10" s="12" t="inlineStr">
        <is>
          <t>VG-01</t>
        </is>
      </c>
      <c r="C10" s="13" t="inlineStr">
        <is>
          <t>PAVIMENTADORA VÖGELE SUPER 1800-3i</t>
        </is>
      </c>
      <c r="D10" s="13" t="inlineStr">
        <is>
          <t>ERWIN CUTEÑO HERNANDEZ</t>
        </is>
      </c>
      <c r="E10" s="13" t="inlineStr">
        <is>
          <t>Tendido de Mezcla Asfáltica</t>
        </is>
      </c>
      <c r="F10" s="14">
        <f>$C$6</f>
        <v/>
      </c>
      <c r="G10" s="37">
        <f>$E$6</f>
        <v/>
      </c>
      <c r="H10" s="16">
        <f>G10*$E$4</f>
        <v/>
      </c>
      <c r="I10" s="37" t="n">
        <v>160</v>
      </c>
      <c r="J10" s="20">
        <f>IF(H10&gt;0, I10/H10, 0)</f>
        <v/>
      </c>
      <c r="K10" s="20">
        <f>IF(G10&gt;0, I10/G10, 0)</f>
        <v/>
      </c>
      <c r="L10" s="21" t="n">
        <v>16.24</v>
      </c>
      <c r="M10" s="22">
        <f>IF(L10&gt;0, I10/L10, 0)</f>
        <v/>
      </c>
      <c r="N10" s="12">
        <f>IF(I10=0, "SIN CONSUMO (Inactiva)", IF(A10=1, IF(K10&lt;=0.85, "DENTRO DE RENDIMIENTO BASE", "EXCEDE RENDIMIENTO BASE"), IF(A10=2, IF(J10&lt;=0.38, "DENTRO DE RENDIMIENTO BASE", "EXCEDE RENDIMIENTO BASE"), IF(OR(A10=3,A10=4,A10=5,A10=6), IF(J10&lt;=0.08, "DENTRO DE RENDIMIENTO BASE", "EXCEDE RENDIMIENTO BASE"), IF(A10=7, IF(J10&lt;=0.07, "DENTRO DE RENDIMIENTO BASE", "EXCEDE RENDIMIENTO BASE"), IF(A10=8, IF(K10&lt;=0.22, "DENTRO DE RENDIMIENTO BASE", "EXCEDE RENDIMIENTO BASE"), IF(A10=9, IF(J10&lt;=0.075, "DENTRO DE RENDIMIENTO BASE", "EXCEDE RENDIMIENTO BASE"), "APOYO PUNTUAL")))))))</f>
        <v/>
      </c>
    </row>
    <row r="11" ht="19.5" customHeight="1" s="46">
      <c r="A11" s="12" t="n">
        <v>3</v>
      </c>
      <c r="B11" s="12" t="inlineStr">
        <is>
          <t>DR-01</t>
        </is>
      </c>
      <c r="C11" s="13" t="inlineStr">
        <is>
          <t>COMPACTADOR TÁNDEM HAMM-HD120 VV</t>
        </is>
      </c>
      <c r="D11" s="13" t="inlineStr">
        <is>
          <t>JOEL ALBERTO RIVERA RIVAS</t>
        </is>
      </c>
      <c r="E11" s="13" t="inlineStr">
        <is>
          <t>Compactación Tándem Primaria</t>
        </is>
      </c>
      <c r="F11" s="14">
        <f>$C$6</f>
        <v/>
      </c>
      <c r="G11" s="37">
        <f>$E$6</f>
        <v/>
      </c>
      <c r="H11" s="16">
        <f>G11*$E$4</f>
        <v/>
      </c>
      <c r="I11" s="37" t="n">
        <v>38</v>
      </c>
      <c r="J11" s="20">
        <f>IF(H11&gt;0, I11/H11, 0)</f>
        <v/>
      </c>
      <c r="K11" s="20">
        <f>IF(G11&gt;0, I11/G11, 0)</f>
        <v/>
      </c>
      <c r="L11" s="21" t="n">
        <v>14.3</v>
      </c>
      <c r="M11" s="22">
        <f>IF(L11&gt;0, I11/L11, 0)</f>
        <v/>
      </c>
      <c r="N11" s="12">
        <f>IF(I11=0, "SIN CONSUMO (Inactiva)", IF(A11=1, IF(K11&lt;=0.85, "DENTRO DE RENDIMIENTO BASE", "EXCEDE RENDIMIENTO BASE"), IF(A11=2, IF(J11&lt;=0.38, "DENTRO DE RENDIMIENTO BASE", "EXCEDE RENDIMIENTO BASE"), IF(OR(A11=3,A11=4,A11=5,A11=6), IF(J11&lt;=0.08, "DENTRO DE RENDIMIENTO BASE", "EXCEDE RENDIMIENTO BASE"), IF(A11=7, IF(J11&lt;=0.07, "DENTRO DE RENDIMIENTO BASE", "EXCEDE RENDIMIENTO BASE"), IF(A11=8, IF(K11&lt;=0.22, "DENTRO DE RENDIMIENTO BASE", "EXCEDE RENDIMIENTO BASE"), IF(A11=9, IF(J11&lt;=0.075, "DENTRO DE RENDIMIENTO BASE", "EXCEDE RENDIMIENTO BASE"), "APOYO PUNTUAL")))))))</f>
        <v/>
      </c>
    </row>
    <row r="12" ht="19.5" customHeight="1" s="46">
      <c r="A12" s="12" t="n">
        <v>4</v>
      </c>
      <c r="B12" s="12" t="inlineStr">
        <is>
          <t>DR-02</t>
        </is>
      </c>
      <c r="C12" s="13" t="inlineStr">
        <is>
          <t>COMPACTADOR TÁNDEM HAMM-HD140</t>
        </is>
      </c>
      <c r="D12" s="13" t="inlineStr">
        <is>
          <t>ALEXIS RENDON DOMINGUEZ</t>
        </is>
      </c>
      <c r="E12" s="13" t="inlineStr">
        <is>
          <t>Compactación Tándem Pesada</t>
        </is>
      </c>
      <c r="F12" s="14">
        <f>$C$6</f>
        <v/>
      </c>
      <c r="G12" s="37">
        <f>$E$6</f>
        <v/>
      </c>
      <c r="H12" s="16">
        <f>G12*$E$4</f>
        <v/>
      </c>
      <c r="I12" s="37" t="n">
        <v>70</v>
      </c>
      <c r="J12" s="20">
        <f>IF(H12&gt;0, I12/H12, 0)</f>
        <v/>
      </c>
      <c r="K12" s="20">
        <f>IF(G12&gt;0, I12/G12, 0)</f>
        <v/>
      </c>
      <c r="L12" s="21" t="n">
        <v>14.3</v>
      </c>
      <c r="M12" s="22">
        <f>IF(L12&gt;0, I12/L12, 0)</f>
        <v/>
      </c>
      <c r="N12" s="12">
        <f>IF(I12=0, "SIN CONSUMO (Inactiva)", IF(A12=1, IF(K12&lt;=0.85, "DENTRO DE RENDIMIENTO BASE", "EXCEDE RENDIMIENTO BASE"), IF(A12=2, IF(J12&lt;=0.38, "DENTRO DE RENDIMIENTO BASE", "EXCEDE RENDIMIENTO BASE"), IF(OR(A12=3,A12=4,A12=5,A12=6), IF(J12&lt;=0.08, "DENTRO DE RENDIMIENTO BASE", "EXCEDE RENDIMIENTO BASE"), IF(A12=7, IF(J12&lt;=0.07, "DENTRO DE RENDIMIENTO BASE", "EXCEDE RENDIMIENTO BASE"), IF(A12=8, IF(K12&lt;=0.22, "DENTRO DE RENDIMIENTO BASE", "EXCEDE RENDIMIENTO BASE"), IF(A12=9, IF(J12&lt;=0.075, "DENTRO DE RENDIMIENTO BASE", "EXCEDE RENDIMIENTO BASE"), "APOYO PUNTUAL")))))))</f>
        <v/>
      </c>
    </row>
    <row r="13" ht="19.5" customHeight="1" s="46">
      <c r="A13" s="12" t="n">
        <v>5</v>
      </c>
      <c r="B13" s="12" t="inlineStr">
        <is>
          <t>NM-01</t>
        </is>
      </c>
      <c r="C13" s="13" t="inlineStr">
        <is>
          <t>COMPACTADOR NEUMÁTICO DYNAPAC CP271</t>
        </is>
      </c>
      <c r="D13" s="13" t="inlineStr">
        <is>
          <t>JOSE CARLOS ROMERO TELLEZ</t>
        </is>
      </c>
      <c r="E13" s="13" t="inlineStr">
        <is>
          <t>Compactación Neumática / Sellado</t>
        </is>
      </c>
      <c r="F13" s="14">
        <f>$C$6</f>
        <v/>
      </c>
      <c r="G13" s="37">
        <f>$E$6</f>
        <v/>
      </c>
      <c r="H13" s="16">
        <f>G13*$E$4</f>
        <v/>
      </c>
      <c r="I13" s="37" t="n">
        <v>90</v>
      </c>
      <c r="J13" s="20">
        <f>IF(H13&gt;0, I13/H13, 0)</f>
        <v/>
      </c>
      <c r="K13" s="20">
        <f>IF(G13&gt;0, I13/G13, 0)</f>
        <v/>
      </c>
      <c r="L13" s="21" t="n">
        <v>11.44</v>
      </c>
      <c r="M13" s="22">
        <f>IF(L13&gt;0, I13/L13, 0)</f>
        <v/>
      </c>
      <c r="N13" s="12">
        <f>IF(I13=0, "SIN CONSUMO (Inactiva)", IF(A13=1, IF(K13&lt;=0.85, "DENTRO DE RENDIMIENTO BASE", "EXCEDE RENDIMIENTO BASE"), IF(A13=2, IF(J13&lt;=0.38, "DENTRO DE RENDIMIENTO BASE", "EXCEDE RENDIMIENTO BASE"), IF(OR(A13=3,A13=4,A13=5,A13=6), IF(J13&lt;=0.08, "DENTRO DE RENDIMIENTO BASE", "EXCEDE RENDIMIENTO BASE"), IF(A13=7, IF(J13&lt;=0.07, "DENTRO DE RENDIMIENTO BASE", "EXCEDE RENDIMIENTO BASE"), IF(A13=8, IF(K13&lt;=0.22, "DENTRO DE RENDIMIENTO BASE", "EXCEDE RENDIMIENTO BASE"), IF(A13=9, IF(J13&lt;=0.075, "DENTRO DE RENDIMIENTO BASE", "EXCEDE RENDIMIENTO BASE"), "APOYO PUNTUAL")))))))</f>
        <v/>
      </c>
    </row>
    <row r="14" ht="19.5" customHeight="1" s="46">
      <c r="A14" s="12" t="n">
        <v>6</v>
      </c>
      <c r="B14" s="12" t="inlineStr">
        <is>
          <t>NM-09</t>
        </is>
      </c>
      <c r="C14" s="13" t="inlineStr">
        <is>
          <t>COMPACTADOR NEUMÁTICO HAMM 208</t>
        </is>
      </c>
      <c r="D14" s="13" t="inlineStr">
        <is>
          <t>NOLVIN DE JESUS PEREZ GOMEZ</t>
        </is>
      </c>
      <c r="E14" s="13" t="inlineStr">
        <is>
          <t>Compactación Neumática / Acabado</t>
        </is>
      </c>
      <c r="F14" s="14">
        <f>$C$6</f>
        <v/>
      </c>
      <c r="G14" s="37">
        <f>$E$6</f>
        <v/>
      </c>
      <c r="H14" s="16">
        <f>G14*$E$4</f>
        <v/>
      </c>
      <c r="I14" s="37" t="n">
        <v>0</v>
      </c>
      <c r="J14" s="20">
        <f>IF(H14&gt;0, I14/H14, 0)</f>
        <v/>
      </c>
      <c r="K14" s="20">
        <f>IF(G14&gt;0, I14/G14, 0)</f>
        <v/>
      </c>
      <c r="L14" s="21" t="n">
        <v>10.96</v>
      </c>
      <c r="M14" s="22">
        <f>IF(L14&gt;0, I14/L14, 0)</f>
        <v/>
      </c>
      <c r="N14" s="12">
        <f>IF(I14=0, "SIN CONSUMO (Inactiva)", IF(A14=1, IF(K14&lt;=0.85, "DENTRO DE RENDIMIENTO BASE", "EXCEDE RENDIMIENTO BASE"), IF(A14=2, IF(J14&lt;=0.38, "DENTRO DE RENDIMIENTO BASE", "EXCEDE RENDIMIENTO BASE"), IF(OR(A14=3,A14=4,A14=5,A14=6), IF(J14&lt;=0.08, "DENTRO DE RENDIMIENTO BASE", "EXCEDE RENDIMIENTO BASE"), IF(A14=7, IF(J14&lt;=0.07, "DENTRO DE RENDIMIENTO BASE", "EXCEDE RENDIMIENTO BASE"), IF(A14=8, IF(K14&lt;=0.22, "DENTRO DE RENDIMIENTO BASE", "EXCEDE RENDIMIENTO BASE"), IF(A14=9, IF(J14&lt;=0.075, "DENTRO DE RENDIMIENTO BASE", "EXCEDE RENDIMIENTO BASE"), "APOYO PUNTUAL")))))))</f>
        <v/>
      </c>
    </row>
    <row r="15" ht="19.5" customHeight="1" s="46">
      <c r="A15" s="12" t="n">
        <v>7</v>
      </c>
      <c r="B15" s="12" t="inlineStr">
        <is>
          <t>BR-01</t>
        </is>
      </c>
      <c r="C15" s="13" t="inlineStr">
        <is>
          <t>BARREDORA INDUSTRIAL BROCE BROOM-350</t>
        </is>
      </c>
      <c r="D15" s="13" t="inlineStr">
        <is>
          <t>EDGAR ROSALES MARTINEZ</t>
        </is>
      </c>
      <c r="E15" s="13" t="inlineStr">
        <is>
          <t>Limpieza y Barrido Previo</t>
        </is>
      </c>
      <c r="F15" s="14">
        <f>$C$6</f>
        <v/>
      </c>
      <c r="G15" s="37">
        <f>$E$6</f>
        <v/>
      </c>
      <c r="H15" s="16">
        <f>G15*$E$4</f>
        <v/>
      </c>
      <c r="I15" s="37" t="n">
        <v>25</v>
      </c>
      <c r="J15" s="20">
        <f>IF(H15&gt;0, I15/H15, 0)</f>
        <v/>
      </c>
      <c r="K15" s="20">
        <f>IF(G15&gt;0, I15/G15, 0)</f>
        <v/>
      </c>
      <c r="L15" s="21" t="n">
        <v>8.94</v>
      </c>
      <c r="M15" s="22">
        <f>IF(L15&gt;0, I15/L15, 0)</f>
        <v/>
      </c>
      <c r="N15" s="12">
        <f>IF(I15=0, "SIN CONSUMO (Inactiva)", IF(A15=1, IF(K15&lt;=0.85, "DENTRO DE RENDIMIENTO BASE", "EXCEDE RENDIMIENTO BASE"), IF(A15=2, IF(J15&lt;=0.38, "DENTRO DE RENDIMIENTO BASE", "EXCEDE RENDIMIENTO BASE"), IF(OR(A15=3,A15=4,A15=5,A15=6), IF(J15&lt;=0.08, "DENTRO DE RENDIMIENTO BASE", "EXCEDE RENDIMIENTO BASE"), IF(A15=7, IF(J15&lt;=0.07, "DENTRO DE RENDIMIENTO BASE", "EXCEDE RENDIMIENTO BASE"), IF(A15=8, IF(K15&lt;=0.22, "DENTRO DE RENDIMIENTO BASE", "EXCEDE RENDIMIENTO BASE"), IF(A15=9, IF(J15&lt;=0.075, "DENTRO DE RENDIMIENTO BASE", "EXCEDE RENDIMIENTO BASE"), "APOYO PUNTUAL")))))))</f>
        <v/>
      </c>
    </row>
    <row r="16" ht="19.5" customHeight="1" s="46">
      <c r="A16" s="12" t="n">
        <v>8</v>
      </c>
      <c r="B16" s="12" t="inlineStr">
        <is>
          <t>RT-05</t>
        </is>
      </c>
      <c r="C16" s="13" t="inlineStr">
        <is>
          <t>RETROEXCAVADORA JOHN DEERE 310SK</t>
        </is>
      </c>
      <c r="D16" s="13" t="inlineStr">
        <is>
          <t>ADOLFO NAVA LOPEZ</t>
        </is>
      </c>
      <c r="E16" s="13" t="inlineStr">
        <is>
          <t>Carga Fresado y Derrumbes</t>
        </is>
      </c>
      <c r="F16" s="14">
        <f>$C$5</f>
        <v/>
      </c>
      <c r="G16" s="37">
        <f>$E$5</f>
        <v/>
      </c>
      <c r="H16" s="18" t="inlineStr">
        <is>
          <t>-</t>
        </is>
      </c>
      <c r="I16" s="37" t="n">
        <v>160</v>
      </c>
      <c r="J16" s="19" t="inlineStr">
        <is>
          <t>-</t>
        </is>
      </c>
      <c r="K16" s="20">
        <f>IF(G16&gt;0, I16/G16, 0)</f>
        <v/>
      </c>
      <c r="L16" s="21" t="n">
        <v>7.44</v>
      </c>
      <c r="M16" s="22">
        <f>IF(L16&gt;0, I16/L16, 0)</f>
        <v/>
      </c>
      <c r="N16" s="12">
        <f>IF(I16=0, "SIN CONSUMO (Inactiva)", IF(A16=1, IF(K16&lt;=0.85, "DENTRO DE RENDIMIENTO BASE", "EXCEDE RENDIMIENTO BASE"), IF(A16=2, IF(J16&lt;=0.38, "DENTRO DE RENDIMIENTO BASE", "EXCEDE RENDIMIENTO BASE"), IF(OR(A16=3,A16=4,A16=5,A16=6), IF(J16&lt;=0.08, "DENTRO DE RENDIMIENTO BASE", "EXCEDE RENDIMIENTO BASE"), IF(A16=7, IF(J16&lt;=0.07, "DENTRO DE RENDIMIENTO BASE", "EXCEDE RENDIMIENTO BASE"), IF(A16=8, IF(K16&lt;=0.22, "DENTRO DE RENDIMIENTO BASE", "EXCEDE RENDIMIENTO BASE"), IF(A16=9, IF(J16&lt;=0.075, "DENTRO DE RENDIMIENTO BASE", "EXCEDE RENDIMIENTO BASE"), "APOYO PUNTUAL")))))))</f>
        <v/>
      </c>
    </row>
    <row r="17" ht="19.5" customHeight="1" s="46">
      <c r="A17" s="12" t="n">
        <v>9</v>
      </c>
      <c r="B17" s="12" t="inlineStr">
        <is>
          <t>PT-01</t>
        </is>
      </c>
      <c r="C17" s="13" t="inlineStr">
        <is>
          <t>PETROLIZADORA INTERNATIONAL / FORD F800</t>
        </is>
      </c>
      <c r="D17" s="13" t="inlineStr">
        <is>
          <t>ELTHON EDUARDO MARTINEZ GOMORA</t>
        </is>
      </c>
      <c r="E17" s="13" t="inlineStr">
        <is>
          <t>Riego de Liga / Emulsión</t>
        </is>
      </c>
      <c r="F17" s="14">
        <f>$C$6</f>
        <v/>
      </c>
      <c r="G17" s="37">
        <f>$E$6</f>
        <v/>
      </c>
      <c r="H17" s="16">
        <f>G17*$E$4</f>
        <v/>
      </c>
      <c r="I17" s="37" t="n">
        <v>0</v>
      </c>
      <c r="J17" s="20">
        <f>IF(H17&gt;0, I17/H17, 0)</f>
        <v/>
      </c>
      <c r="K17" s="20">
        <f>IF(G17&gt;0, I17/G17, 0)</f>
        <v/>
      </c>
      <c r="L17" s="21" t="n">
        <v>12.76</v>
      </c>
      <c r="M17" s="22">
        <f>IF(L17&gt;0, I17/L17, 0)</f>
        <v/>
      </c>
      <c r="N17" s="12">
        <f>IF(I17=0, "SIN CONSUMO (Inactiva)", IF(A17=1, IF(K17&lt;=0.85, "DENTRO DE RENDIMIENTO BASE", "EXCEDE RENDIMIENTO BASE"), IF(A17=2, IF(J17&lt;=0.38, "DENTRO DE RENDIMIENTO BASE", "EXCEDE RENDIMIENTO BASE"), IF(OR(A17=3,A17=4,A17=5,A17=6), IF(J17&lt;=0.08, "DENTRO DE RENDIMIENTO BASE", "EXCEDE RENDIMIENTO BASE"), IF(A17=7, IF(J17&lt;=0.07, "DENTRO DE RENDIMIENTO BASE", "EXCEDE RENDIMIENTO BASE"), IF(A17=8, IF(K17&lt;=0.22, "DENTRO DE RENDIMIENTO BASE", "EXCEDE RENDIMIENTO BASE"), IF(A17=9, IF(J17&lt;=0.075, "DENTRO DE RENDIMIENTO BASE", "EXCEDE RENDIMIENTO BASE"), "APOYO PUNTUAL")))))))</f>
        <v/>
      </c>
    </row>
    <row r="18" ht="19.5" customHeight="1" s="46">
      <c r="A18" s="12" t="n">
        <v>10</v>
      </c>
      <c r="B18" s="12" t="inlineStr">
        <is>
          <t>CPR-01</t>
        </is>
      </c>
      <c r="C18" s="13" t="inlineStr">
        <is>
          <t>COMPRESOR DE AIRE INGERSOLL RAND IR185</t>
        </is>
      </c>
      <c r="D18" s="13" t="inlineStr">
        <is>
          <t>CUADRILLA DE LIMPIEZA</t>
        </is>
      </c>
      <c r="E18" s="13" t="inlineStr">
        <is>
          <t>Sopleteado de Juntas</t>
        </is>
      </c>
      <c r="F18" s="14" t="n">
        <v>0</v>
      </c>
      <c r="G18" s="37" t="n">
        <v>0</v>
      </c>
      <c r="H18" s="16" t="n">
        <v>0</v>
      </c>
      <c r="I18" s="37" t="n">
        <v>0</v>
      </c>
      <c r="J18" s="20" t="n">
        <v>0</v>
      </c>
      <c r="K18" s="20" t="n">
        <v>0</v>
      </c>
      <c r="L18" s="21" t="n">
        <v>9.970000000000001</v>
      </c>
      <c r="M18" s="22">
        <f>IF(L18&gt;0, I18/L18, 0)</f>
        <v/>
      </c>
      <c r="N18" s="12">
        <f>IF(I18=0, "SIN CONSUMO (Inactiva)", IF(A18=1, IF(K18&lt;=0.85, "DENTRO DE RENDIMIENTO BASE", "EXCEDE RENDIMIENTO BASE"), IF(A18=2, IF(J18&lt;=0.38, "DENTRO DE RENDIMIENTO BASE", "EXCEDE RENDIMIENTO BASE"), IF(OR(A18=3,A18=4,A18=5,A18=6), IF(J18&lt;=0.08, "DENTRO DE RENDIMIENTO BASE", "EXCEDE RENDIMIENTO BASE"), IF(A18=7, IF(J18&lt;=0.07, "DENTRO DE RENDIMIENTO BASE", "EXCEDE RENDIMIENTO BASE"), IF(A18=8, IF(K18&lt;=0.22, "DENTRO DE RENDIMIENTO BASE", "EXCEDE RENDIMIENTO BASE"), IF(A18=9, IF(J18&lt;=0.075, "DENTRO DE RENDIMIENTO BASE", "EXCEDE RENDIMIENTO BASE"), "APOYO PUNTUAL")))))))</f>
        <v/>
      </c>
    </row>
    <row r="19" ht="19.5" customHeight="1" s="46">
      <c r="A19" s="12" t="n">
        <v>11</v>
      </c>
      <c r="B19" s="12" t="inlineStr">
        <is>
          <t>PP-01</t>
        </is>
      </c>
      <c r="C19" s="13" t="inlineStr">
        <is>
          <t>CAMIÓN IMPACTO / PIPA DE AGUA FORD</t>
        </is>
      </c>
      <c r="D19" s="13" t="inlineStr">
        <is>
          <t>CUADRILLA DE AGUA</t>
        </is>
      </c>
      <c r="E19" s="13" t="inlineStr">
        <is>
          <t>Enfriamiento Rodillos / Riego</t>
        </is>
      </c>
      <c r="F19" s="14" t="n">
        <v>0</v>
      </c>
      <c r="G19" s="37" t="n">
        <v>0</v>
      </c>
      <c r="H19" s="16" t="n">
        <v>0</v>
      </c>
      <c r="I19" s="37" t="n">
        <v>0</v>
      </c>
      <c r="J19" s="20" t="n">
        <v>0</v>
      </c>
      <c r="K19" s="20" t="n">
        <v>0</v>
      </c>
      <c r="L19" s="21" t="n">
        <v>3.03</v>
      </c>
      <c r="M19" s="22">
        <f>IF(L19&gt;0, I19/L19, 0)</f>
        <v/>
      </c>
      <c r="N19" s="12">
        <f>IF(I19=0, "SIN CONSUMO (Inactiva)", IF(A19=1, IF(K19&lt;=0.85, "DENTRO DE RENDIMIENTO BASE", "EXCEDE RENDIMIENTO BASE"), IF(A19=2, IF(J19&lt;=0.38, "DENTRO DE RENDIMIENTO BASE", "EXCEDE RENDIMIENTO BASE"), IF(OR(A19=3,A19=4,A19=5,A19=6), IF(J19&lt;=0.08, "DENTRO DE RENDIMIENTO BASE", "EXCEDE RENDIMIENTO BASE"), IF(A19=7, IF(J19&lt;=0.07, "DENTRO DE RENDIMIENTO BASE", "EXCEDE RENDIMIENTO BASE"), IF(A19=8, IF(K19&lt;=0.22, "DENTRO DE RENDIMIENTO BASE", "EXCEDE RENDIMIENTO BASE"), IF(A19=9, IF(J19&lt;=0.075, "DENTRO DE RENDIMIENTO BASE", "EXCEDE RENDIMIENTO BASE"), "APOYO PUNTUAL")))))))</f>
        <v/>
      </c>
    </row>
    <row r="20" ht="19.5" customHeight="1" s="46">
      <c r="A20" s="12" t="n">
        <v>12</v>
      </c>
      <c r="B20" s="12" t="inlineStr">
        <is>
          <t>TL-01</t>
        </is>
      </c>
      <c r="C20" s="13" t="inlineStr">
        <is>
          <t>TORRE DE LUZ MAXILIGHT 4X1000W</t>
        </is>
      </c>
      <c r="D20" s="13" t="inlineStr">
        <is>
          <t>CUADRILLA NOCTURNA</t>
        </is>
      </c>
      <c r="E20" s="13" t="inlineStr">
        <is>
          <t>Iluminación Nocturna</t>
        </is>
      </c>
      <c r="F20" s="14" t="n">
        <v>0</v>
      </c>
      <c r="G20" s="37" t="n">
        <v>0</v>
      </c>
      <c r="H20" s="16" t="n">
        <v>0</v>
      </c>
      <c r="I20" s="37" t="n">
        <v>0</v>
      </c>
      <c r="J20" s="20" t="n">
        <v>0</v>
      </c>
      <c r="K20" s="20" t="n">
        <v>0</v>
      </c>
      <c r="L20" s="21" t="n">
        <v>2.41</v>
      </c>
      <c r="M20" s="22">
        <f>IF(L20&gt;0, I20/L20, 0)</f>
        <v/>
      </c>
      <c r="N20" s="12">
        <f>IF(I20=0, "SIN CONSUMO (Inactiva)", IF(A20=1, IF(K20&lt;=0.85, "DENTRO DE RENDIMIENTO BASE", "EXCEDE RENDIMIENTO BASE"), IF(A20=2, IF(J20&lt;=0.38, "DENTRO DE RENDIMIENTO BASE", "EXCEDE RENDIMIENTO BASE"), IF(OR(A20=3,A20=4,A20=5,A20=6), IF(J20&lt;=0.08, "DENTRO DE RENDIMIENTO BASE", "EXCEDE RENDIMIENTO BASE"), IF(A20=7, IF(J20&lt;=0.07, "DENTRO DE RENDIMIENTO BASE", "EXCEDE RENDIMIENTO BASE"), IF(A20=8, IF(K20&lt;=0.22, "DENTRO DE RENDIMIENTO BASE", "EXCEDE RENDIMIENTO BASE"), IF(A20=9, IF(J20&lt;=0.075, "DENTRO DE RENDIMIENTO BASE", "EXCEDE RENDIMIENTO BASE"), "APOYO PUNTUAL")))))))</f>
        <v/>
      </c>
    </row>
    <row r="21" ht="21.75" customHeight="1" s="46">
      <c r="A21" s="30" t="inlineStr">
        <is>
          <t>TOTAL SEMANA 28 (OBRA CARRETERA MÉXICO-TOLUCA)</t>
        </is>
      </c>
      <c r="B21" s="50" t="n"/>
      <c r="C21" s="50" t="n"/>
      <c r="D21" s="50" t="n"/>
      <c r="E21" s="51" t="n"/>
      <c r="F21" s="26">
        <f>C5+C6</f>
        <v/>
      </c>
      <c r="G21" s="27">
        <f>E5+E6</f>
        <v/>
      </c>
      <c r="H21" s="28">
        <f>G6</f>
        <v/>
      </c>
      <c r="I21" s="27">
        <f>SUM(I9:I20)</f>
        <v/>
      </c>
      <c r="J21" s="29">
        <f>IF(H21&gt;0, I21/H21, 0)</f>
        <v/>
      </c>
      <c r="K21" s="29">
        <f>IF(G21&gt;0, I21/G21, 0)</f>
        <v/>
      </c>
      <c r="L21" s="30" t="inlineStr">
        <is>
          <t>—</t>
        </is>
      </c>
      <c r="M21" s="31">
        <f>SUM(M9:M20)</f>
        <v/>
      </c>
      <c r="N21" s="30" t="inlineStr">
        <is>
          <t>SEMANA REGISTRADA</t>
        </is>
      </c>
    </row>
    <row r="22" ht="15.75" customHeight="1" s="46"/>
    <row r="23" ht="15.75" customHeight="1" s="46"/>
    <row r="24" ht="24" customHeight="1" s="46">
      <c r="A24" s="96" t="inlineStr">
        <is>
          <t>DESGLOSE DIARIO DE COMBUSTIBLE, VOLUMEN, TONELAJE Y RENDIMIENTO — SEMANA 28</t>
        </is>
      </c>
    </row>
    <row r="25" ht="19.5" customHeight="1" s="46">
      <c r="A25" s="48" t="inlineStr">
        <is>
          <t>DATOS DEL EQUIPO</t>
        </is>
      </c>
      <c r="F25" s="48" t="inlineStr">
        <is>
          <t>LUNES</t>
        </is>
      </c>
      <c r="J25" s="48" t="inlineStr">
        <is>
          <t>MARTES</t>
        </is>
      </c>
      <c r="N25" s="48" t="inlineStr">
        <is>
          <t>MIÉRCOLES</t>
        </is>
      </c>
      <c r="R25" s="48" t="inlineStr">
        <is>
          <t>JUEVES</t>
        </is>
      </c>
      <c r="V25" s="48" t="inlineStr">
        <is>
          <t>VIERNES</t>
        </is>
      </c>
      <c r="Z25" s="48" t="inlineStr">
        <is>
          <t>SÁBADO</t>
        </is>
      </c>
      <c r="AD25" s="97" t="inlineStr">
        <is>
          <t>TOTAL SEMANAL</t>
        </is>
      </c>
    </row>
    <row r="26" ht="25.5" customHeight="1" s="46">
      <c r="A26" s="34" t="inlineStr">
        <is>
          <t>No.</t>
        </is>
      </c>
      <c r="B26" s="34" t="inlineStr">
        <is>
          <t>Económico</t>
        </is>
      </c>
      <c r="C26" s="34" t="inlineStr">
        <is>
          <t>Equipo / Maquinaria</t>
        </is>
      </c>
      <c r="D26" s="34" t="inlineStr">
        <is>
          <t>Operador Asignado</t>
        </is>
      </c>
      <c r="E26" s="34" t="inlineStr">
        <is>
          <t>Concepto de Trabajo</t>
        </is>
      </c>
      <c r="F26" s="34" t="inlineStr">
        <is>
          <t>Diésel (L)</t>
        </is>
      </c>
      <c r="G26" s="34" t="inlineStr">
        <is>
          <t>Volumen (m³)</t>
        </is>
      </c>
      <c r="H26" s="34" t="inlineStr">
        <is>
          <t>Toneladas (Ton)</t>
        </is>
      </c>
      <c r="I26" s="34" t="inlineStr">
        <is>
          <t>Rendimiento Real</t>
        </is>
      </c>
      <c r="J26" s="34" t="inlineStr">
        <is>
          <t>Diésel (L)</t>
        </is>
      </c>
      <c r="K26" s="34" t="inlineStr">
        <is>
          <t>Volumen (m³)</t>
        </is>
      </c>
      <c r="L26" s="34" t="inlineStr">
        <is>
          <t>Toneladas (Ton)</t>
        </is>
      </c>
      <c r="M26" s="34" t="inlineStr">
        <is>
          <t>Rendimiento Real</t>
        </is>
      </c>
      <c r="N26" s="34" t="inlineStr">
        <is>
          <t>Diésel (L)</t>
        </is>
      </c>
      <c r="O26" s="34" t="inlineStr">
        <is>
          <t>Volumen (m³)</t>
        </is>
      </c>
      <c r="P26" s="34" t="inlineStr">
        <is>
          <t>Toneladas (Ton)</t>
        </is>
      </c>
      <c r="Q26" s="34" t="inlineStr">
        <is>
          <t>Rendimiento Real</t>
        </is>
      </c>
      <c r="R26" s="34" t="inlineStr">
        <is>
          <t>Diésel (L)</t>
        </is>
      </c>
      <c r="S26" s="34" t="inlineStr">
        <is>
          <t>Volumen (m³)</t>
        </is>
      </c>
      <c r="T26" s="34" t="inlineStr">
        <is>
          <t>Toneladas (Ton)</t>
        </is>
      </c>
      <c r="U26" s="34" t="inlineStr">
        <is>
          <t>Rendimiento Real</t>
        </is>
      </c>
      <c r="V26" s="34" t="inlineStr">
        <is>
          <t>Diésel (L)</t>
        </is>
      </c>
      <c r="W26" s="34" t="inlineStr">
        <is>
          <t>Volumen (m³)</t>
        </is>
      </c>
      <c r="X26" s="34" t="inlineStr">
        <is>
          <t>Toneladas (Ton)</t>
        </is>
      </c>
      <c r="Y26" s="34" t="inlineStr">
        <is>
          <t>Rendimiento Real</t>
        </is>
      </c>
      <c r="Z26" s="34" t="inlineStr">
        <is>
          <t>Diésel (L)</t>
        </is>
      </c>
      <c r="AA26" s="34" t="inlineStr">
        <is>
          <t>Volumen (m³)</t>
        </is>
      </c>
      <c r="AB26" s="34" t="inlineStr">
        <is>
          <t>Toneladas (Ton)</t>
        </is>
      </c>
      <c r="AC26" s="34" t="inlineStr">
        <is>
          <t>Rendimiento Real</t>
        </is>
      </c>
      <c r="AD26" s="35" t="inlineStr">
        <is>
          <t>Total Diésel (L)</t>
        </is>
      </c>
      <c r="AE26" s="35" t="inlineStr">
        <is>
          <t>Total Vol (m³)</t>
        </is>
      </c>
      <c r="AF26" s="35" t="inlineStr">
        <is>
          <t>Total Ton (Ton)</t>
        </is>
      </c>
      <c r="AG26" s="35" t="inlineStr">
        <is>
          <t>Rend. Promedio</t>
        </is>
      </c>
    </row>
    <row r="27" ht="18.75" customHeight="1" s="46">
      <c r="A27" s="12" t="n">
        <v>1</v>
      </c>
      <c r="B27" s="12" t="inlineStr">
        <is>
          <t>PRR-01</t>
        </is>
      </c>
      <c r="C27" s="13" t="inlineStr">
        <is>
          <t>PERFILADORA WIRTGEN W200i</t>
        </is>
      </c>
      <c r="D27" s="13" t="inlineStr">
        <is>
          <t>JAVIER PAREDES CORTE</t>
        </is>
      </c>
      <c r="E27" s="13" t="inlineStr">
        <is>
          <t>Fresado de Pavimento</t>
        </is>
      </c>
      <c r="F27" s="37" t="n">
        <v>150</v>
      </c>
      <c r="G27" s="37" t="n">
        <v>413</v>
      </c>
      <c r="H27" s="16">
        <f>G27*$E$4</f>
        <v/>
      </c>
      <c r="I27" s="20">
        <f>IF(G27&gt;0, F27/G27, 0)</f>
        <v/>
      </c>
      <c r="J27" s="37" t="n">
        <v>0</v>
      </c>
      <c r="K27" s="37" t="n">
        <v>280</v>
      </c>
      <c r="L27" s="16">
        <f>K27*$E$4</f>
        <v/>
      </c>
      <c r="M27" s="20">
        <f>IF(K27&gt;0, J27/K27, 0)</f>
        <v/>
      </c>
      <c r="N27" s="37" t="n">
        <v>0</v>
      </c>
      <c r="O27" s="37" t="n">
        <v>539</v>
      </c>
      <c r="P27" s="16">
        <f>O27*$E$4</f>
        <v/>
      </c>
      <c r="Q27" s="20">
        <f>IF(O27&gt;0, N27/O27, 0)</f>
        <v/>
      </c>
      <c r="R27" s="37" t="n">
        <v>0</v>
      </c>
      <c r="S27" s="37" t="n">
        <v>7</v>
      </c>
      <c r="T27" s="16">
        <f>S27*$E$4</f>
        <v/>
      </c>
      <c r="U27" s="20">
        <f>IF(S27&gt;0, R27/S27, 0)</f>
        <v/>
      </c>
      <c r="V27" s="37" t="n">
        <v>0</v>
      </c>
      <c r="W27" s="37" t="n">
        <v>0</v>
      </c>
      <c r="X27" s="16">
        <f>W27*$E$4</f>
        <v/>
      </c>
      <c r="Y27" s="20">
        <f>IF(W27&gt;0, V27/W27, 0)</f>
        <v/>
      </c>
      <c r="Z27" s="37" t="n">
        <v>0</v>
      </c>
      <c r="AA27" s="37" t="n">
        <v>0</v>
      </c>
      <c r="AB27" s="16">
        <f>AA27*$E$4</f>
        <v/>
      </c>
      <c r="AC27" s="20">
        <f>IF(AA27&gt;0, Z27/AA27, 0)</f>
        <v/>
      </c>
      <c r="AD27" s="37">
        <f>F27+J27+N27+R27+V27+Z27</f>
        <v/>
      </c>
      <c r="AE27" s="37">
        <f>G27+K27+O27+S27+W27+AA27</f>
        <v/>
      </c>
      <c r="AF27" s="16">
        <f>H27+L27+P27+T27+X27+AB27</f>
        <v/>
      </c>
      <c r="AG27" s="20">
        <f>IF(AE27&gt;0, AD27/AE27, 0)</f>
        <v/>
      </c>
    </row>
    <row r="28" ht="18.75" customHeight="1" s="46">
      <c r="A28" s="12" t="n">
        <v>2</v>
      </c>
      <c r="B28" s="12" t="inlineStr">
        <is>
          <t>VG-01</t>
        </is>
      </c>
      <c r="C28" s="13" t="inlineStr">
        <is>
          <t>PAVIMENTADORA VÖGELE SUPER 1800-3i</t>
        </is>
      </c>
      <c r="D28" s="13" t="inlineStr">
        <is>
          <t>ERWIN CUTEÑO HERNANDEZ</t>
        </is>
      </c>
      <c r="E28" s="13" t="inlineStr">
        <is>
          <t>Tendido de Mezcla Asfáltica</t>
        </is>
      </c>
      <c r="F28" s="37" t="n">
        <v>160</v>
      </c>
      <c r="G28" s="37" t="n">
        <v>140</v>
      </c>
      <c r="H28" s="16">
        <f>G28*$E$4</f>
        <v/>
      </c>
      <c r="I28" s="20">
        <f>IF(H28&gt;0, F28/H28, 0)</f>
        <v/>
      </c>
      <c r="J28" s="37" t="n">
        <v>0</v>
      </c>
      <c r="K28" s="37" t="n">
        <v>210</v>
      </c>
      <c r="L28" s="16">
        <f>K28*$E$4</f>
        <v/>
      </c>
      <c r="M28" s="20">
        <f>IF(L28&gt;0, J28/L28, 0)</f>
        <v/>
      </c>
      <c r="N28" s="37" t="n">
        <v>0</v>
      </c>
      <c r="O28" s="37" t="n">
        <v>140</v>
      </c>
      <c r="P28" s="16">
        <f>O28*$E$4</f>
        <v/>
      </c>
      <c r="Q28" s="20">
        <f>IF(P28&gt;0, N28/P28, 0)</f>
        <v/>
      </c>
      <c r="R28" s="37" t="n">
        <v>0</v>
      </c>
      <c r="S28" s="37" t="n">
        <v>0</v>
      </c>
      <c r="T28" s="16">
        <f>S28*$E$4</f>
        <v/>
      </c>
      <c r="U28" s="20">
        <f>IF(T28&gt;0, R28/T28, 0)</f>
        <v/>
      </c>
      <c r="V28" s="37" t="n">
        <v>0</v>
      </c>
      <c r="W28" s="37" t="n">
        <v>0</v>
      </c>
      <c r="X28" s="16">
        <f>W28*$E$4</f>
        <v/>
      </c>
      <c r="Y28" s="20">
        <f>IF(X28&gt;0, V28/X28, 0)</f>
        <v/>
      </c>
      <c r="Z28" s="37" t="n">
        <v>0</v>
      </c>
      <c r="AA28" s="37" t="n">
        <v>0</v>
      </c>
      <c r="AB28" s="16">
        <f>AA28*$E$4</f>
        <v/>
      </c>
      <c r="AC28" s="20">
        <f>IF(AB28&gt;0, Z28/AB28, 0)</f>
        <v/>
      </c>
      <c r="AD28" s="37">
        <f>F28+J28+N28+R28+V28+Z28</f>
        <v/>
      </c>
      <c r="AE28" s="37">
        <f>G28+K28+O28+S28+W28+AA28</f>
        <v/>
      </c>
      <c r="AF28" s="16">
        <f>H28+L28+P28+T28+X28+AB28</f>
        <v/>
      </c>
      <c r="AG28" s="20">
        <f>IF(AF28&gt;0, AD28/AF28, 0)</f>
        <v/>
      </c>
    </row>
    <row r="29" ht="18.75" customHeight="1" s="46">
      <c r="A29" s="12" t="n">
        <v>3</v>
      </c>
      <c r="B29" s="12" t="inlineStr">
        <is>
          <t>DR-01</t>
        </is>
      </c>
      <c r="C29" s="13" t="inlineStr">
        <is>
          <t>COMPACTADOR TÁNDEM HAMM-HD120 VV</t>
        </is>
      </c>
      <c r="D29" s="13" t="inlineStr">
        <is>
          <t>JOEL ALBERTO RIVERA RIVAS</t>
        </is>
      </c>
      <c r="E29" s="13" t="inlineStr">
        <is>
          <t>Compactación Tándem Primaria</t>
        </is>
      </c>
      <c r="F29" s="37" t="n">
        <v>98</v>
      </c>
      <c r="G29" s="37" t="n">
        <v>140</v>
      </c>
      <c r="H29" s="16">
        <f>G29*$E$4</f>
        <v/>
      </c>
      <c r="I29" s="20">
        <f>IF(H29&gt;0, F29/H29, 0)</f>
        <v/>
      </c>
      <c r="J29" s="37" t="n">
        <v>0</v>
      </c>
      <c r="K29" s="37" t="n">
        <v>210</v>
      </c>
      <c r="L29" s="16">
        <f>K29*$E$4</f>
        <v/>
      </c>
      <c r="M29" s="20">
        <f>IF(L29&gt;0, J29/L29, 0)</f>
        <v/>
      </c>
      <c r="N29" s="37" t="n">
        <v>0</v>
      </c>
      <c r="O29" s="37" t="n">
        <v>140</v>
      </c>
      <c r="P29" s="16">
        <f>O29*$E$4</f>
        <v/>
      </c>
      <c r="Q29" s="20">
        <f>IF(P29&gt;0, N29/P29, 0)</f>
        <v/>
      </c>
      <c r="R29" s="37" t="n">
        <v>0</v>
      </c>
      <c r="S29" s="37" t="n">
        <v>0</v>
      </c>
      <c r="T29" s="16">
        <f>S29*$E$4</f>
        <v/>
      </c>
      <c r="U29" s="20">
        <f>IF(T29&gt;0, R29/T29, 0)</f>
        <v/>
      </c>
      <c r="V29" s="37" t="n">
        <v>0</v>
      </c>
      <c r="W29" s="37" t="n">
        <v>0</v>
      </c>
      <c r="X29" s="16">
        <f>W29*$E$4</f>
        <v/>
      </c>
      <c r="Y29" s="20">
        <f>IF(X29&gt;0, V29/X29, 0)</f>
        <v/>
      </c>
      <c r="Z29" s="37" t="n">
        <v>0</v>
      </c>
      <c r="AA29" s="37" t="n">
        <v>0</v>
      </c>
      <c r="AB29" s="16">
        <f>AA29*$E$4</f>
        <v/>
      </c>
      <c r="AC29" s="20">
        <f>IF(AB29&gt;0, Z29/AB29, 0)</f>
        <v/>
      </c>
      <c r="AD29" s="37">
        <f>F29+J29+N29+R29+V29+Z29</f>
        <v/>
      </c>
      <c r="AE29" s="37">
        <f>G29+K29+O29+S29+W29+AA29</f>
        <v/>
      </c>
      <c r="AF29" s="16">
        <f>H29+L29+P29+T29+X29+AB29</f>
        <v/>
      </c>
      <c r="AG29" s="20">
        <f>IF(AF29&gt;0, AD29/AF29, 0)</f>
        <v/>
      </c>
    </row>
    <row r="30" ht="18.75" customHeight="1" s="46">
      <c r="A30" s="12" t="n">
        <v>4</v>
      </c>
      <c r="B30" s="12" t="inlineStr">
        <is>
          <t>DR-02</t>
        </is>
      </c>
      <c r="C30" s="13" t="inlineStr">
        <is>
          <t>COMPACTADOR TÁNDEM HAMM-HD140</t>
        </is>
      </c>
      <c r="D30" s="13" t="inlineStr">
        <is>
          <t>ALEXIS RENDON DOMINGUEZ</t>
        </is>
      </c>
      <c r="E30" s="13" t="inlineStr">
        <is>
          <t>Compactación Tándem Pesada</t>
        </is>
      </c>
      <c r="F30" s="37" t="n">
        <v>70</v>
      </c>
      <c r="G30" s="37" t="n">
        <v>140</v>
      </c>
      <c r="H30" s="16">
        <f>G30*$E$4</f>
        <v/>
      </c>
      <c r="I30" s="20">
        <f>IF(H30&gt;0, F30/H30, 0)</f>
        <v/>
      </c>
      <c r="J30" s="37" t="n">
        <v>0</v>
      </c>
      <c r="K30" s="37" t="n">
        <v>210</v>
      </c>
      <c r="L30" s="16">
        <f>K30*$E$4</f>
        <v/>
      </c>
      <c r="M30" s="20">
        <f>IF(L30&gt;0, J30/L30, 0)</f>
        <v/>
      </c>
      <c r="N30" s="37" t="n">
        <v>0</v>
      </c>
      <c r="O30" s="37" t="n">
        <v>140</v>
      </c>
      <c r="P30" s="16">
        <f>O30*$E$4</f>
        <v/>
      </c>
      <c r="Q30" s="20">
        <f>IF(P30&gt;0, N30/P30, 0)</f>
        <v/>
      </c>
      <c r="R30" s="37" t="n">
        <v>0</v>
      </c>
      <c r="S30" s="37" t="n">
        <v>0</v>
      </c>
      <c r="T30" s="16">
        <f>S30*$E$4</f>
        <v/>
      </c>
      <c r="U30" s="20">
        <f>IF(T30&gt;0, R30/T30, 0)</f>
        <v/>
      </c>
      <c r="V30" s="37" t="n">
        <v>0</v>
      </c>
      <c r="W30" s="37" t="n">
        <v>0</v>
      </c>
      <c r="X30" s="16">
        <f>W30*$E$4</f>
        <v/>
      </c>
      <c r="Y30" s="20">
        <f>IF(X30&gt;0, V30/X30, 0)</f>
        <v/>
      </c>
      <c r="Z30" s="37" t="n">
        <v>0</v>
      </c>
      <c r="AA30" s="37" t="n">
        <v>0</v>
      </c>
      <c r="AB30" s="16">
        <f>AA30*$E$4</f>
        <v/>
      </c>
      <c r="AC30" s="20">
        <f>IF(AB30&gt;0, Z30/AB30, 0)</f>
        <v/>
      </c>
      <c r="AD30" s="37">
        <f>F30+J30+N30+R30+V30+Z30</f>
        <v/>
      </c>
      <c r="AE30" s="37">
        <f>G30+K30+O30+S30+W30+AA30</f>
        <v/>
      </c>
      <c r="AF30" s="16">
        <f>H30+L30+P30+T30+X30+AB30</f>
        <v/>
      </c>
      <c r="AG30" s="20">
        <f>IF(AF30&gt;0, AD30/AF30, 0)</f>
        <v/>
      </c>
    </row>
    <row r="31" ht="18.75" customHeight="1" s="46">
      <c r="A31" s="12" t="n">
        <v>5</v>
      </c>
      <c r="B31" s="12" t="inlineStr">
        <is>
          <t>NM-01</t>
        </is>
      </c>
      <c r="C31" s="13" t="inlineStr">
        <is>
          <t>COMPACTADOR NEUMÁTICO DYNAPAC CP271</t>
        </is>
      </c>
      <c r="D31" s="13" t="inlineStr">
        <is>
          <t>JOSE CARLOS ROMERO TELLEZ</t>
        </is>
      </c>
      <c r="E31" s="13" t="inlineStr">
        <is>
          <t>Compactación Neumática / Sellado</t>
        </is>
      </c>
      <c r="F31" s="37" t="n">
        <v>90</v>
      </c>
      <c r="G31" s="37" t="n">
        <v>140</v>
      </c>
      <c r="H31" s="16">
        <f>G31*$E$4</f>
        <v/>
      </c>
      <c r="I31" s="20">
        <f>IF(H31&gt;0, F31/H31, 0)</f>
        <v/>
      </c>
      <c r="J31" s="37" t="n">
        <v>0</v>
      </c>
      <c r="K31" s="37" t="n">
        <v>210</v>
      </c>
      <c r="L31" s="16">
        <f>K31*$E$4</f>
        <v/>
      </c>
      <c r="M31" s="20">
        <f>IF(L31&gt;0, J31/L31, 0)</f>
        <v/>
      </c>
      <c r="N31" s="37" t="n">
        <v>0</v>
      </c>
      <c r="O31" s="37" t="n">
        <v>140</v>
      </c>
      <c r="P31" s="16">
        <f>O31*$E$4</f>
        <v/>
      </c>
      <c r="Q31" s="20">
        <f>IF(P31&gt;0, N31/P31, 0)</f>
        <v/>
      </c>
      <c r="R31" s="37" t="n">
        <v>0</v>
      </c>
      <c r="S31" s="37" t="n">
        <v>0</v>
      </c>
      <c r="T31" s="16">
        <f>S31*$E$4</f>
        <v/>
      </c>
      <c r="U31" s="20">
        <f>IF(T31&gt;0, R31/T31, 0)</f>
        <v/>
      </c>
      <c r="V31" s="37" t="n">
        <v>0</v>
      </c>
      <c r="W31" s="37" t="n">
        <v>0</v>
      </c>
      <c r="X31" s="16">
        <f>W31*$E$4</f>
        <v/>
      </c>
      <c r="Y31" s="20">
        <f>IF(X31&gt;0, V31/X31, 0)</f>
        <v/>
      </c>
      <c r="Z31" s="37" t="n">
        <v>0</v>
      </c>
      <c r="AA31" s="37" t="n">
        <v>0</v>
      </c>
      <c r="AB31" s="16">
        <f>AA31*$E$4</f>
        <v/>
      </c>
      <c r="AC31" s="20">
        <f>IF(AB31&gt;0, Z31/AB31, 0)</f>
        <v/>
      </c>
      <c r="AD31" s="37">
        <f>F31+J31+N31+R31+V31+Z31</f>
        <v/>
      </c>
      <c r="AE31" s="37">
        <f>G31+K31+O31+S31+W31+AA31</f>
        <v/>
      </c>
      <c r="AF31" s="16">
        <f>H31+L31+P31+T31+X31+AB31</f>
        <v/>
      </c>
      <c r="AG31" s="20">
        <f>IF(AF31&gt;0, AD31/AF31, 0)</f>
        <v/>
      </c>
    </row>
    <row r="32" ht="18.75" customHeight="1" s="46">
      <c r="A32" s="12" t="n">
        <v>6</v>
      </c>
      <c r="B32" s="12" t="inlineStr">
        <is>
          <t>NM-09</t>
        </is>
      </c>
      <c r="C32" s="13" t="inlineStr">
        <is>
          <t>COMPACTADOR NEUMÁTICO HAMM 208</t>
        </is>
      </c>
      <c r="D32" s="13" t="inlineStr">
        <is>
          <t>NOLVIN DE JESUS PEREZ GOMEZ</t>
        </is>
      </c>
      <c r="E32" s="13" t="inlineStr">
        <is>
          <t>Compactación Neumática / Acabado</t>
        </is>
      </c>
      <c r="F32" s="37" t="n">
        <v>0</v>
      </c>
      <c r="G32" s="37" t="n">
        <v>140</v>
      </c>
      <c r="H32" s="16">
        <f>G32*$E$4</f>
        <v/>
      </c>
      <c r="I32" s="20">
        <f>IF(H32&gt;0, F32/H32, 0)</f>
        <v/>
      </c>
      <c r="J32" s="37" t="n">
        <v>0</v>
      </c>
      <c r="K32" s="37" t="n">
        <v>210</v>
      </c>
      <c r="L32" s="16">
        <f>K32*$E$4</f>
        <v/>
      </c>
      <c r="M32" s="20">
        <f>IF(L32&gt;0, J32/L32, 0)</f>
        <v/>
      </c>
      <c r="N32" s="37" t="n">
        <v>0</v>
      </c>
      <c r="O32" s="37" t="n">
        <v>140</v>
      </c>
      <c r="P32" s="16">
        <f>O32*$E$4</f>
        <v/>
      </c>
      <c r="Q32" s="20">
        <f>IF(P32&gt;0, N32/P32, 0)</f>
        <v/>
      </c>
      <c r="R32" s="37" t="n">
        <v>0</v>
      </c>
      <c r="S32" s="37" t="n">
        <v>0</v>
      </c>
      <c r="T32" s="16">
        <f>S32*$E$4</f>
        <v/>
      </c>
      <c r="U32" s="20">
        <f>IF(T32&gt;0, R32/T32, 0)</f>
        <v/>
      </c>
      <c r="V32" s="37" t="n">
        <v>0</v>
      </c>
      <c r="W32" s="37" t="n">
        <v>0</v>
      </c>
      <c r="X32" s="16">
        <f>W32*$E$4</f>
        <v/>
      </c>
      <c r="Y32" s="20">
        <f>IF(X32&gt;0, V32/X32, 0)</f>
        <v/>
      </c>
      <c r="Z32" s="37" t="n">
        <v>0</v>
      </c>
      <c r="AA32" s="37" t="n">
        <v>0</v>
      </c>
      <c r="AB32" s="16">
        <f>AA32*$E$4</f>
        <v/>
      </c>
      <c r="AC32" s="20">
        <f>IF(AB32&gt;0, Z32/AB32, 0)</f>
        <v/>
      </c>
      <c r="AD32" s="37">
        <f>F32+J32+N32+R32+V32+Z32</f>
        <v/>
      </c>
      <c r="AE32" s="37">
        <f>G32+K32+O32+S32+W32+AA32</f>
        <v/>
      </c>
      <c r="AF32" s="16">
        <f>H32+L32+P32+T32+X32+AB32</f>
        <v/>
      </c>
      <c r="AG32" s="20">
        <f>IF(AF32&gt;0, AD32/AF32, 0)</f>
        <v/>
      </c>
    </row>
    <row r="33" ht="18.75" customHeight="1" s="46">
      <c r="A33" s="12" t="n">
        <v>7</v>
      </c>
      <c r="B33" s="12" t="inlineStr">
        <is>
          <t>BR-01</t>
        </is>
      </c>
      <c r="C33" s="13" t="inlineStr">
        <is>
          <t>BARREDORA INDUSTRIAL BROCE BROOM-350</t>
        </is>
      </c>
      <c r="D33" s="13" t="inlineStr">
        <is>
          <t>EDGAR ROSALES MARTINEZ</t>
        </is>
      </c>
      <c r="E33" s="13" t="inlineStr">
        <is>
          <t>Limpieza y Barrido Previo</t>
        </is>
      </c>
      <c r="F33" s="37" t="n">
        <v>25</v>
      </c>
      <c r="G33" s="37" t="n">
        <v>140</v>
      </c>
      <c r="H33" s="16">
        <f>G33*$E$4</f>
        <v/>
      </c>
      <c r="I33" s="20">
        <f>IF(H33&gt;0, F33/H33, 0)</f>
        <v/>
      </c>
      <c r="J33" s="37" t="n">
        <v>0</v>
      </c>
      <c r="K33" s="37" t="n">
        <v>210</v>
      </c>
      <c r="L33" s="16">
        <f>K33*$E$4</f>
        <v/>
      </c>
      <c r="M33" s="20">
        <f>IF(L33&gt;0, J33/L33, 0)</f>
        <v/>
      </c>
      <c r="N33" s="37" t="n">
        <v>0</v>
      </c>
      <c r="O33" s="37" t="n">
        <v>140</v>
      </c>
      <c r="P33" s="16">
        <f>O33*$E$4</f>
        <v/>
      </c>
      <c r="Q33" s="20">
        <f>IF(P33&gt;0, N33/P33, 0)</f>
        <v/>
      </c>
      <c r="R33" s="37" t="n">
        <v>0</v>
      </c>
      <c r="S33" s="37" t="n">
        <v>0</v>
      </c>
      <c r="T33" s="16">
        <f>S33*$E$4</f>
        <v/>
      </c>
      <c r="U33" s="20">
        <f>IF(T33&gt;0, R33/T33, 0)</f>
        <v/>
      </c>
      <c r="V33" s="37" t="n">
        <v>0</v>
      </c>
      <c r="W33" s="37" t="n">
        <v>0</v>
      </c>
      <c r="X33" s="16">
        <f>W33*$E$4</f>
        <v/>
      </c>
      <c r="Y33" s="20">
        <f>IF(X33&gt;0, V33/X33, 0)</f>
        <v/>
      </c>
      <c r="Z33" s="37" t="n">
        <v>0</v>
      </c>
      <c r="AA33" s="37" t="n">
        <v>0</v>
      </c>
      <c r="AB33" s="16">
        <f>AA33*$E$4</f>
        <v/>
      </c>
      <c r="AC33" s="20">
        <f>IF(AB33&gt;0, Z33/AB33, 0)</f>
        <v/>
      </c>
      <c r="AD33" s="37">
        <f>F33+J33+N33+R33+V33+Z33</f>
        <v/>
      </c>
      <c r="AE33" s="37">
        <f>G33+K33+O33+S33+W33+AA33</f>
        <v/>
      </c>
      <c r="AF33" s="16">
        <f>H33+L33+P33+T33+X33+AB33</f>
        <v/>
      </c>
      <c r="AG33" s="20">
        <f>IF(AF33&gt;0, AD33/AF33, 0)</f>
        <v/>
      </c>
    </row>
    <row r="34" ht="18.75" customHeight="1" s="46">
      <c r="A34" s="12" t="n">
        <v>8</v>
      </c>
      <c r="B34" s="12" t="inlineStr">
        <is>
          <t>RT-05</t>
        </is>
      </c>
      <c r="C34" s="13" t="inlineStr">
        <is>
          <t>RETROEXCAVADORA JOHN DEERE 310SK</t>
        </is>
      </c>
      <c r="D34" s="13" t="inlineStr">
        <is>
          <t>ADOLFO NAVA LOPEZ</t>
        </is>
      </c>
      <c r="E34" s="13" t="inlineStr">
        <is>
          <t>Carga Fresado y Derrumbes</t>
        </is>
      </c>
      <c r="F34" s="37" t="n">
        <v>50</v>
      </c>
      <c r="G34" s="37" t="n">
        <v>413</v>
      </c>
      <c r="H34" s="16">
        <f>G34*$E$4</f>
        <v/>
      </c>
      <c r="I34" s="20">
        <f>IF(G34&gt;0, F34/G34, 0)</f>
        <v/>
      </c>
      <c r="J34" s="37" t="n">
        <v>110</v>
      </c>
      <c r="K34" s="37" t="n">
        <v>280</v>
      </c>
      <c r="L34" s="16">
        <f>K34*$E$4</f>
        <v/>
      </c>
      <c r="M34" s="20">
        <f>IF(K34&gt;0, J34/K34, 0)</f>
        <v/>
      </c>
      <c r="N34" s="37" t="n">
        <v>0</v>
      </c>
      <c r="O34" s="37" t="n">
        <v>539</v>
      </c>
      <c r="P34" s="16">
        <f>O34*$E$4</f>
        <v/>
      </c>
      <c r="Q34" s="20">
        <f>IF(O34&gt;0, N34/O34, 0)</f>
        <v/>
      </c>
      <c r="R34" s="37" t="n">
        <v>0</v>
      </c>
      <c r="S34" s="37" t="n">
        <v>7</v>
      </c>
      <c r="T34" s="16">
        <f>S34*$E$4</f>
        <v/>
      </c>
      <c r="U34" s="20">
        <f>IF(S34&gt;0, R34/S34, 0)</f>
        <v/>
      </c>
      <c r="V34" s="37" t="n">
        <v>0</v>
      </c>
      <c r="W34" s="37" t="n">
        <v>0</v>
      </c>
      <c r="X34" s="16">
        <f>W34*$E$4</f>
        <v/>
      </c>
      <c r="Y34" s="20">
        <f>IF(W34&gt;0, V34/W34, 0)</f>
        <v/>
      </c>
      <c r="Z34" s="37" t="n">
        <v>0</v>
      </c>
      <c r="AA34" s="37" t="n">
        <v>0</v>
      </c>
      <c r="AB34" s="16">
        <f>AA34*$E$4</f>
        <v/>
      </c>
      <c r="AC34" s="20">
        <f>IF(AA34&gt;0, Z34/AA34, 0)</f>
        <v/>
      </c>
      <c r="AD34" s="37">
        <f>F34+J34+N34+R34+V34+Z34</f>
        <v/>
      </c>
      <c r="AE34" s="37">
        <f>G34+K34+O34+S34+W34+AA34</f>
        <v/>
      </c>
      <c r="AF34" s="16">
        <f>H34+L34+P34+T34+X34+AB34</f>
        <v/>
      </c>
      <c r="AG34" s="20">
        <f>IF(AE34&gt;0, AD34/AE34, 0)</f>
        <v/>
      </c>
    </row>
    <row r="35" ht="18.75" customHeight="1" s="46">
      <c r="A35" s="12" t="n">
        <v>9</v>
      </c>
      <c r="B35" s="12" t="inlineStr">
        <is>
          <t>PT-01</t>
        </is>
      </c>
      <c r="C35" s="13" t="inlineStr">
        <is>
          <t>PETROLIZADORA INTERNATIONAL / FORD F800</t>
        </is>
      </c>
      <c r="D35" s="13" t="inlineStr">
        <is>
          <t>ELTHON EDUARDO MARTINEZ GOMORA</t>
        </is>
      </c>
      <c r="E35" s="13" t="inlineStr">
        <is>
          <t>Riego de Liga / Emulsión</t>
        </is>
      </c>
      <c r="F35" s="37" t="n">
        <v>0</v>
      </c>
      <c r="G35" s="37" t="n">
        <v>140</v>
      </c>
      <c r="H35" s="16">
        <f>G35*$E$4</f>
        <v/>
      </c>
      <c r="I35" s="20">
        <f>IF(H35&gt;0, F35/H35, 0)</f>
        <v/>
      </c>
      <c r="J35" s="37" t="n">
        <v>0</v>
      </c>
      <c r="K35" s="37" t="n">
        <v>210</v>
      </c>
      <c r="L35" s="16">
        <f>K35*$E$4</f>
        <v/>
      </c>
      <c r="M35" s="20">
        <f>IF(L35&gt;0, J35/L35, 0)</f>
        <v/>
      </c>
      <c r="N35" s="37" t="n">
        <v>0</v>
      </c>
      <c r="O35" s="37" t="n">
        <v>140</v>
      </c>
      <c r="P35" s="16">
        <f>O35*$E$4</f>
        <v/>
      </c>
      <c r="Q35" s="20">
        <f>IF(P35&gt;0, N35/P35, 0)</f>
        <v/>
      </c>
      <c r="R35" s="37" t="n">
        <v>0</v>
      </c>
      <c r="S35" s="37" t="n">
        <v>0</v>
      </c>
      <c r="T35" s="16">
        <f>S35*$E$4</f>
        <v/>
      </c>
      <c r="U35" s="20">
        <f>IF(T35&gt;0, R35/T35, 0)</f>
        <v/>
      </c>
      <c r="V35" s="37" t="n">
        <v>0</v>
      </c>
      <c r="W35" s="37" t="n">
        <v>0</v>
      </c>
      <c r="X35" s="16">
        <f>W35*$E$4</f>
        <v/>
      </c>
      <c r="Y35" s="20">
        <f>IF(X35&gt;0, V35/X35, 0)</f>
        <v/>
      </c>
      <c r="Z35" s="37" t="n">
        <v>0</v>
      </c>
      <c r="AA35" s="37" t="n">
        <v>0</v>
      </c>
      <c r="AB35" s="16">
        <f>AA35*$E$4</f>
        <v/>
      </c>
      <c r="AC35" s="20">
        <f>IF(AB35&gt;0, Z35/AB35, 0)</f>
        <v/>
      </c>
      <c r="AD35" s="37">
        <f>F35+J35+N35+R35+V35+Z35</f>
        <v/>
      </c>
      <c r="AE35" s="37">
        <f>G35+K35+O35+S35+W35+AA35</f>
        <v/>
      </c>
      <c r="AF35" s="16">
        <f>H35+L35+P35+T35+X35+AB35</f>
        <v/>
      </c>
      <c r="AG35" s="20">
        <f>IF(AF35&gt;0, AD35/AF35, 0)</f>
        <v/>
      </c>
    </row>
    <row r="36" ht="18.75" customHeight="1" s="46">
      <c r="A36" s="12" t="n">
        <v>10</v>
      </c>
      <c r="B36" s="12" t="inlineStr">
        <is>
          <t>CPR-01</t>
        </is>
      </c>
      <c r="C36" s="13" t="inlineStr">
        <is>
          <t>COMPRESOR DE AIRE INGERSOLL RAND IR185</t>
        </is>
      </c>
      <c r="D36" s="13" t="inlineStr">
        <is>
          <t>CUADRILLA DE LIMPIEZA</t>
        </is>
      </c>
      <c r="E36" s="13" t="inlineStr">
        <is>
          <t>Sopleteado de Juntas</t>
        </is>
      </c>
      <c r="F36" s="37" t="n">
        <v>0</v>
      </c>
      <c r="G36" s="37" t="n">
        <v>0</v>
      </c>
      <c r="H36" s="16">
        <f>G36*$E$4</f>
        <v/>
      </c>
      <c r="I36" s="20" t="n">
        <v>0</v>
      </c>
      <c r="J36" s="37" t="n">
        <v>0</v>
      </c>
      <c r="K36" s="37" t="n">
        <v>0</v>
      </c>
      <c r="L36" s="16">
        <f>K36*$E$4</f>
        <v/>
      </c>
      <c r="M36" s="20" t="n">
        <v>0</v>
      </c>
      <c r="N36" s="37" t="n">
        <v>0</v>
      </c>
      <c r="O36" s="37" t="n">
        <v>0</v>
      </c>
      <c r="P36" s="16">
        <f>O36*$E$4</f>
        <v/>
      </c>
      <c r="Q36" s="20" t="n">
        <v>0</v>
      </c>
      <c r="R36" s="37" t="n">
        <v>0</v>
      </c>
      <c r="S36" s="37" t="n">
        <v>0</v>
      </c>
      <c r="T36" s="16">
        <f>S36*$E$4</f>
        <v/>
      </c>
      <c r="U36" s="20" t="n">
        <v>0</v>
      </c>
      <c r="V36" s="37" t="n">
        <v>0</v>
      </c>
      <c r="W36" s="37" t="n">
        <v>0</v>
      </c>
      <c r="X36" s="16">
        <f>W36*$E$4</f>
        <v/>
      </c>
      <c r="Y36" s="20" t="n">
        <v>0</v>
      </c>
      <c r="Z36" s="37" t="n">
        <v>0</v>
      </c>
      <c r="AA36" s="37" t="n">
        <v>0</v>
      </c>
      <c r="AB36" s="16">
        <f>AA36*$E$4</f>
        <v/>
      </c>
      <c r="AC36" s="20" t="n">
        <v>0</v>
      </c>
      <c r="AD36" s="37">
        <f>F36+J36+N36+R36+V36+Z36</f>
        <v/>
      </c>
      <c r="AE36" s="37">
        <f>G36+K36+O36+S36+W36+AA36</f>
        <v/>
      </c>
      <c r="AF36" s="16">
        <f>H36+L36+P36+T36+X36+AB36</f>
        <v/>
      </c>
      <c r="AG36" s="20" t="n">
        <v>0</v>
      </c>
    </row>
    <row r="37" ht="18.75" customHeight="1" s="46">
      <c r="A37" s="12" t="n">
        <v>11</v>
      </c>
      <c r="B37" s="12" t="inlineStr">
        <is>
          <t>PP-01</t>
        </is>
      </c>
      <c r="C37" s="13" t="inlineStr">
        <is>
          <t>CAMIÓN IMPACTO / PIPA DE AGUA FORD</t>
        </is>
      </c>
      <c r="D37" s="13" t="inlineStr">
        <is>
          <t>CUADRILLA DE AGUA</t>
        </is>
      </c>
      <c r="E37" s="13" t="inlineStr">
        <is>
          <t>Enfriamiento Rodillos / Riego</t>
        </is>
      </c>
      <c r="F37" s="37" t="n">
        <v>0</v>
      </c>
      <c r="G37" s="37" t="n">
        <v>0</v>
      </c>
      <c r="H37" s="16">
        <f>G37*$E$4</f>
        <v/>
      </c>
      <c r="I37" s="20" t="n">
        <v>0</v>
      </c>
      <c r="J37" s="37" t="n">
        <v>0</v>
      </c>
      <c r="K37" s="37" t="n">
        <v>0</v>
      </c>
      <c r="L37" s="16">
        <f>K37*$E$4</f>
        <v/>
      </c>
      <c r="M37" s="20" t="n">
        <v>0</v>
      </c>
      <c r="N37" s="37" t="n">
        <v>0</v>
      </c>
      <c r="O37" s="37" t="n">
        <v>0</v>
      </c>
      <c r="P37" s="16">
        <f>O37*$E$4</f>
        <v/>
      </c>
      <c r="Q37" s="20" t="n">
        <v>0</v>
      </c>
      <c r="R37" s="37" t="n">
        <v>0</v>
      </c>
      <c r="S37" s="37" t="n">
        <v>0</v>
      </c>
      <c r="T37" s="16">
        <f>S37*$E$4</f>
        <v/>
      </c>
      <c r="U37" s="20" t="n">
        <v>0</v>
      </c>
      <c r="V37" s="37" t="n">
        <v>0</v>
      </c>
      <c r="W37" s="37" t="n">
        <v>0</v>
      </c>
      <c r="X37" s="16">
        <f>W37*$E$4</f>
        <v/>
      </c>
      <c r="Y37" s="20" t="n">
        <v>0</v>
      </c>
      <c r="Z37" s="37" t="n">
        <v>0</v>
      </c>
      <c r="AA37" s="37" t="n">
        <v>0</v>
      </c>
      <c r="AB37" s="16">
        <f>AA37*$E$4</f>
        <v/>
      </c>
      <c r="AC37" s="20" t="n">
        <v>0</v>
      </c>
      <c r="AD37" s="37">
        <f>F37+J37+N37+R37+V37+Z37</f>
        <v/>
      </c>
      <c r="AE37" s="37">
        <f>G37+K37+O37+S37+W37+AA37</f>
        <v/>
      </c>
      <c r="AF37" s="16">
        <f>H37+L37+P37+T37+X37+AB37</f>
        <v/>
      </c>
      <c r="AG37" s="20" t="n">
        <v>0</v>
      </c>
    </row>
    <row r="38" ht="18.75" customHeight="1" s="46">
      <c r="A38" s="12" t="n">
        <v>12</v>
      </c>
      <c r="B38" s="12" t="inlineStr">
        <is>
          <t>TL-01</t>
        </is>
      </c>
      <c r="C38" s="13" t="inlineStr">
        <is>
          <t>TORRE DE LUZ MAXILIGHT 4X1000W</t>
        </is>
      </c>
      <c r="D38" s="13" t="inlineStr">
        <is>
          <t>CUADRILLA NOCTURNA</t>
        </is>
      </c>
      <c r="E38" s="13" t="inlineStr">
        <is>
          <t>Iluminación Nocturna</t>
        </is>
      </c>
      <c r="F38" s="37" t="n">
        <v>0</v>
      </c>
      <c r="G38" s="37" t="n">
        <v>0</v>
      </c>
      <c r="H38" s="16">
        <f>G38*$E$4</f>
        <v/>
      </c>
      <c r="I38" s="20" t="n">
        <v>0</v>
      </c>
      <c r="J38" s="37" t="n">
        <v>0</v>
      </c>
      <c r="K38" s="37" t="n">
        <v>0</v>
      </c>
      <c r="L38" s="16">
        <f>K38*$E$4</f>
        <v/>
      </c>
      <c r="M38" s="20" t="n">
        <v>0</v>
      </c>
      <c r="N38" s="37" t="n">
        <v>0</v>
      </c>
      <c r="O38" s="37" t="n">
        <v>0</v>
      </c>
      <c r="P38" s="16">
        <f>O38*$E$4</f>
        <v/>
      </c>
      <c r="Q38" s="20" t="n">
        <v>0</v>
      </c>
      <c r="R38" s="37" t="n">
        <v>0</v>
      </c>
      <c r="S38" s="37" t="n">
        <v>0</v>
      </c>
      <c r="T38" s="16">
        <f>S38*$E$4</f>
        <v/>
      </c>
      <c r="U38" s="20" t="n">
        <v>0</v>
      </c>
      <c r="V38" s="37" t="n">
        <v>0</v>
      </c>
      <c r="W38" s="37" t="n">
        <v>0</v>
      </c>
      <c r="X38" s="16">
        <f>W38*$E$4</f>
        <v/>
      </c>
      <c r="Y38" s="20" t="n">
        <v>0</v>
      </c>
      <c r="Z38" s="37" t="n">
        <v>0</v>
      </c>
      <c r="AA38" s="37" t="n">
        <v>0</v>
      </c>
      <c r="AB38" s="16">
        <f>AA38*$E$4</f>
        <v/>
      </c>
      <c r="AC38" s="20" t="n">
        <v>0</v>
      </c>
      <c r="AD38" s="37">
        <f>F38+J38+N38+R38+V38+Z38</f>
        <v/>
      </c>
      <c r="AE38" s="37">
        <f>G38+K38+O38+S38+W38+AA38</f>
        <v/>
      </c>
      <c r="AF38" s="16">
        <f>H38+L38+P38+T38+X38+AB38</f>
        <v/>
      </c>
      <c r="AG38" s="20" t="n">
        <v>0</v>
      </c>
    </row>
    <row r="39" ht="21.75" customHeight="1" s="46">
      <c r="A39" s="30" t="inlineStr">
        <is>
          <t>TOTAL DIARIO CONSOLIDADO (OBRA MÉXICO-TOLUCA)</t>
        </is>
      </c>
      <c r="B39" s="50" t="n"/>
      <c r="C39" s="50" t="n"/>
      <c r="D39" s="50" t="n"/>
      <c r="E39" s="51" t="n"/>
      <c r="F39" s="27">
        <f>SUM(F27:F38)</f>
        <v/>
      </c>
      <c r="G39" s="27">
        <f>MAX(G27:G38)</f>
        <v/>
      </c>
      <c r="H39" s="28">
        <f>G39*$E$4</f>
        <v/>
      </c>
      <c r="I39" s="29">
        <f>IF(H39&gt;0, F39/H39, 0)</f>
        <v/>
      </c>
      <c r="J39" s="27">
        <f>SUM(J27:J38)</f>
        <v/>
      </c>
      <c r="K39" s="27">
        <f>MAX(K27:K38)</f>
        <v/>
      </c>
      <c r="L39" s="28">
        <f>K39*$E$4</f>
        <v/>
      </c>
      <c r="M39" s="29">
        <f>IF(L39&gt;0, J39/L39, 0)</f>
        <v/>
      </c>
      <c r="N39" s="27">
        <f>SUM(N27:N38)</f>
        <v/>
      </c>
      <c r="O39" s="27">
        <f>MAX(O27:O38)</f>
        <v/>
      </c>
      <c r="P39" s="28">
        <f>O39*$E$4</f>
        <v/>
      </c>
      <c r="Q39" s="29">
        <f>IF(P39&gt;0, N39/P39, 0)</f>
        <v/>
      </c>
      <c r="R39" s="27">
        <f>SUM(R27:R38)</f>
        <v/>
      </c>
      <c r="S39" s="27">
        <f>MAX(S27:S38)</f>
        <v/>
      </c>
      <c r="T39" s="28">
        <f>S39*$E$4</f>
        <v/>
      </c>
      <c r="U39" s="29">
        <f>IF(T39&gt;0, R39/T39, 0)</f>
        <v/>
      </c>
      <c r="V39" s="27">
        <f>SUM(V27:V38)</f>
        <v/>
      </c>
      <c r="W39" s="27">
        <f>MAX(W27:W38)</f>
        <v/>
      </c>
      <c r="X39" s="28">
        <f>W39*$E$4</f>
        <v/>
      </c>
      <c r="Y39" s="29">
        <f>IF(X39&gt;0, V39/X39, 0)</f>
        <v/>
      </c>
      <c r="Z39" s="27">
        <f>SUM(Z27:Z38)</f>
        <v/>
      </c>
      <c r="AA39" s="27">
        <f>MAX(AA27:AA38)</f>
        <v/>
      </c>
      <c r="AB39" s="28">
        <f>AA39*$E$4</f>
        <v/>
      </c>
      <c r="AC39" s="29">
        <f>IF(AB39&gt;0, Z39/AB39, 0)</f>
        <v/>
      </c>
      <c r="AD39" s="27">
        <f>SUM(AD27:AD38)</f>
        <v/>
      </c>
      <c r="AE39" s="27">
        <f>SUM(AE27:AE38)</f>
        <v/>
      </c>
      <c r="AF39" s="28">
        <f>SUM(AF27:AF38)</f>
        <v/>
      </c>
      <c r="AG39" s="29">
        <f>IF(AF39&gt;0, AD39/AF39, 0)</f>
        <v/>
      </c>
    </row>
    <row r="40" ht="15.75" customHeight="1" s="46"/>
    <row r="41" ht="15.75" customHeight="1" s="46">
      <c r="A41" s="40" t="inlineStr">
        <is>
          <t>NOTA TÉCNICA Y CRITERIOS DE CONTROL DE RENDIMIENTO — OBRA MÉXICO-TOLUCA:
1. Peso Volumétrico Oficial del Asfalto: 1.742 Ton/m³ (Toneladas = m³ Carpeta × 1.742).
2. Rendimiento Base (L/h): Consumo nominal de fabricante ajustado con 1.2% anual de desgaste por antigüedad al 2026.
3. Rendimiento Real: Diésel Surtido / Toneladas Tendidas (L/Ton) o Diésel Surtido / Volumen Fresado (L/m³).
4. Estatus Operativo: DENTRO DE RENDIMIENTO BASE (Verde) / EXCEDE RENDIMIENTO BASE (Rojo) / SIN CONSUMO (Gris).</t>
        </is>
      </c>
    </row>
    <row r="42" ht="15.75" customHeight="1" s="46"/>
    <row r="43" ht="15.75" customHeight="1" s="46"/>
    <row r="44" ht="15.75" customHeight="1" s="46"/>
    <row r="45" ht="15.75" customHeight="1" s="46"/>
    <row r="46" ht="15.75" customHeight="1" s="46"/>
    <row r="47" ht="15.75" customHeight="1" s="46"/>
    <row r="48" ht="15.75" customHeight="1" s="46"/>
    <row r="49" ht="15.75" customHeight="1" s="46"/>
    <row r="50" ht="15.75" customHeight="1" s="46"/>
    <row r="51" ht="15.75" customHeight="1" s="46"/>
    <row r="52" ht="15.75" customHeight="1" s="46"/>
    <row r="53" ht="15.75" customHeight="1" s="46"/>
    <row r="54" ht="15.75" customHeight="1" s="46"/>
    <row r="55" ht="15.75" customHeight="1" s="46"/>
    <row r="56" ht="15.75" customHeight="1" s="46"/>
    <row r="57" ht="15.75" customHeight="1" s="46"/>
    <row r="58" ht="15.75" customHeight="1" s="46"/>
    <row r="59" ht="15.75" customHeight="1" s="46"/>
    <row r="60" ht="15.75" customHeight="1" s="46"/>
    <row r="61" ht="15.75" customHeight="1" s="46"/>
    <row r="62" ht="15.75" customHeight="1" s="46"/>
    <row r="63" ht="15.75" customHeight="1" s="46"/>
    <row r="64" ht="15.75" customHeight="1" s="46"/>
    <row r="65" ht="15.75" customHeight="1" s="46"/>
    <row r="66" ht="15.75" customHeight="1" s="46"/>
    <row r="67" ht="15.75" customHeight="1" s="46"/>
    <row r="68" ht="15.75" customHeight="1" s="46"/>
    <row r="69" ht="15.75" customHeight="1" s="46"/>
    <row r="70" ht="15.75" customHeight="1" s="46"/>
    <row r="71" ht="15.75" customHeight="1" s="46"/>
    <row r="72" ht="15.75" customHeight="1" s="46"/>
    <row r="73" ht="15.75" customHeight="1" s="46"/>
    <row r="74" ht="15.75" customHeight="1" s="46"/>
    <row r="75" ht="15.75" customHeight="1" s="46"/>
    <row r="76" ht="15.75" customHeight="1" s="46"/>
    <row r="77" ht="15.75" customHeight="1" s="46"/>
    <row r="78" ht="15.75" customHeight="1" s="46"/>
    <row r="79" ht="15.75" customHeight="1" s="46"/>
    <row r="80" ht="15.75" customHeight="1" s="46"/>
    <row r="81" ht="15.75" customHeight="1" s="46"/>
    <row r="82" ht="15.75" customHeight="1" s="46"/>
    <row r="83" ht="15.75" customHeight="1" s="46"/>
    <row r="84" ht="15.75" customHeight="1" s="46"/>
    <row r="85" ht="15.75" customHeight="1" s="46"/>
    <row r="86" ht="15.75" customHeight="1" s="46"/>
    <row r="87" ht="15.75" customHeight="1" s="46"/>
    <row r="88" ht="15.75" customHeight="1" s="46"/>
    <row r="89" ht="15.75" customHeight="1" s="46"/>
    <row r="90" ht="15.75" customHeight="1" s="46"/>
    <row r="91" ht="15.75" customHeight="1" s="46"/>
    <row r="92" ht="15.75" customHeight="1" s="46"/>
    <row r="93" ht="15.75" customHeight="1" s="46"/>
    <row r="94" ht="15.75" customHeight="1" s="46"/>
    <row r="95" ht="15.75" customHeight="1" s="46"/>
    <row r="96" ht="15.75" customHeight="1" s="46"/>
    <row r="97" ht="15.75" customHeight="1" s="46"/>
    <row r="98" ht="15.75" customHeight="1" s="46"/>
    <row r="99" ht="15.75" customHeight="1" s="46"/>
    <row r="100" ht="15.75" customHeight="1" s="46"/>
    <row r="101" ht="15.75" customHeight="1" s="46"/>
    <row r="102" ht="15.75" customHeight="1" s="46"/>
    <row r="103" ht="15.75" customHeight="1" s="46"/>
    <row r="104" ht="15.75" customHeight="1" s="46"/>
    <row r="105" ht="15.75" customHeight="1" s="46"/>
    <row r="106" ht="15.75" customHeight="1" s="46"/>
    <row r="107" ht="15.75" customHeight="1" s="46"/>
    <row r="108" ht="15.75" customHeight="1" s="46"/>
    <row r="109" ht="15.75" customHeight="1" s="46"/>
    <row r="110" ht="15.75" customHeight="1" s="46"/>
    <row r="111" ht="15.75" customHeight="1" s="46"/>
    <row r="112" ht="15.75" customHeight="1" s="46"/>
    <row r="113" ht="15.75" customHeight="1" s="46"/>
    <row r="114" ht="15.75" customHeight="1" s="46"/>
    <row r="115" ht="15.75" customHeight="1" s="46"/>
    <row r="116" ht="15.75" customHeight="1" s="46"/>
    <row r="117" ht="15.75" customHeight="1" s="46"/>
    <row r="118" ht="15.75" customHeight="1" s="46"/>
    <row r="119" ht="15.75" customHeight="1" s="46"/>
    <row r="120" ht="15.75" customHeight="1" s="46"/>
    <row r="121" ht="15.75" customHeight="1" s="46"/>
    <row r="122" ht="15.75" customHeight="1" s="46"/>
    <row r="123" ht="15.75" customHeight="1" s="46"/>
    <row r="124" ht="15.75" customHeight="1" s="46"/>
    <row r="125" ht="15.75" customHeight="1" s="46"/>
    <row r="126" ht="15.75" customHeight="1" s="46"/>
    <row r="127" ht="15.75" customHeight="1" s="46"/>
    <row r="128" ht="15.75" customHeight="1" s="46"/>
    <row r="129" ht="15.75" customHeight="1" s="46"/>
    <row r="130" ht="15.75" customHeight="1" s="46"/>
    <row r="131" ht="15.75" customHeight="1" s="46"/>
    <row r="132" ht="15.75" customHeight="1" s="46"/>
    <row r="133" ht="15.75" customHeight="1" s="46"/>
    <row r="134" ht="15.75" customHeight="1" s="46"/>
    <row r="135" ht="15.75" customHeight="1" s="46"/>
    <row r="136" ht="15.75" customHeight="1" s="46"/>
    <row r="137" ht="15.75" customHeight="1" s="46"/>
    <row r="138" ht="15.75" customHeight="1" s="46"/>
    <row r="139" ht="15.75" customHeight="1" s="46"/>
    <row r="140" ht="15.75" customHeight="1" s="46"/>
    <row r="141" ht="15.75" customHeight="1" s="46"/>
    <row r="142" ht="15.75" customHeight="1" s="46"/>
    <row r="143" ht="15.75" customHeight="1" s="46"/>
    <row r="144" ht="15.75" customHeight="1" s="46"/>
    <row r="145" ht="15.75" customHeight="1" s="46"/>
    <row r="146" ht="15.75" customHeight="1" s="46"/>
    <row r="147" ht="15.75" customHeight="1" s="46"/>
    <row r="148" ht="15.75" customHeight="1" s="46"/>
    <row r="149" ht="15.75" customHeight="1" s="46"/>
    <row r="150" ht="15.75" customHeight="1" s="46"/>
    <row r="151" ht="15.75" customHeight="1" s="46"/>
    <row r="152" ht="15.75" customHeight="1" s="46"/>
    <row r="153" ht="15.75" customHeight="1" s="46"/>
    <row r="154" ht="15.75" customHeight="1" s="46"/>
    <row r="155" ht="15.75" customHeight="1" s="46"/>
    <row r="156" ht="15.75" customHeight="1" s="46"/>
    <row r="157" ht="15.75" customHeight="1" s="46"/>
    <row r="158" ht="15.75" customHeight="1" s="46"/>
    <row r="159" ht="15.75" customHeight="1" s="46"/>
    <row r="160" ht="15.75" customHeight="1" s="46"/>
    <row r="161" ht="15.75" customHeight="1" s="46"/>
    <row r="162" ht="15.75" customHeight="1" s="46"/>
    <row r="163" ht="15.75" customHeight="1" s="46"/>
    <row r="164" ht="15.75" customHeight="1" s="46"/>
    <row r="165" ht="15.75" customHeight="1" s="46"/>
    <row r="166" ht="15.75" customHeight="1" s="46"/>
    <row r="167" ht="15.75" customHeight="1" s="46"/>
    <row r="168" ht="15.75" customHeight="1" s="46"/>
    <row r="169" ht="15.75" customHeight="1" s="46"/>
    <row r="170" ht="15.75" customHeight="1" s="46"/>
    <row r="171" ht="15.75" customHeight="1" s="46"/>
    <row r="172" ht="15.75" customHeight="1" s="46"/>
    <row r="173" ht="15.75" customHeight="1" s="46"/>
    <row r="174" ht="15.75" customHeight="1" s="46"/>
    <row r="175" ht="15.75" customHeight="1" s="46"/>
    <row r="176" ht="15.75" customHeight="1" s="46"/>
    <row r="177" ht="15.75" customHeight="1" s="46"/>
    <row r="178" ht="15.75" customHeight="1" s="46"/>
    <row r="179" ht="15.75" customHeight="1" s="46"/>
    <row r="180" ht="15.75" customHeight="1" s="46"/>
    <row r="181" ht="15.75" customHeight="1" s="46"/>
    <row r="182" ht="15.75" customHeight="1" s="46"/>
    <row r="183" ht="15.75" customHeight="1" s="46"/>
    <row r="184" ht="15.75" customHeight="1" s="46"/>
    <row r="185" ht="15.75" customHeight="1" s="46"/>
    <row r="186" ht="15.75" customHeight="1" s="46"/>
    <row r="187" ht="15.75" customHeight="1" s="46"/>
    <row r="188" ht="15.75" customHeight="1" s="46"/>
    <row r="189" ht="15.75" customHeight="1" s="46"/>
    <row r="190" ht="15.75" customHeight="1" s="46"/>
    <row r="191" ht="15.75" customHeight="1" s="46"/>
    <row r="192" ht="15.75" customHeight="1" s="46"/>
    <row r="193" ht="15.75" customHeight="1" s="46"/>
    <row r="194" ht="15.75" customHeight="1" s="46"/>
    <row r="195" ht="15.75" customHeight="1" s="46"/>
    <row r="196" ht="15.75" customHeight="1" s="46"/>
    <row r="197" ht="15.75" customHeight="1" s="46"/>
    <row r="198" ht="15.75" customHeight="1" s="46"/>
    <row r="199" ht="15.75" customHeight="1" s="46"/>
    <row r="200" ht="15.75" customHeight="1" s="46"/>
    <row r="201" ht="15.75" customHeight="1" s="46"/>
    <row r="202" ht="15.75" customHeight="1" s="46"/>
    <row r="203" ht="15.75" customHeight="1" s="46"/>
    <row r="204" ht="15.75" customHeight="1" s="46"/>
    <row r="205" ht="15.75" customHeight="1" s="46"/>
    <row r="206" ht="15.75" customHeight="1" s="46"/>
    <row r="207" ht="15.75" customHeight="1" s="46"/>
    <row r="208" ht="15.75" customHeight="1" s="46"/>
    <row r="209" ht="15.75" customHeight="1" s="46"/>
    <row r="210" ht="15.75" customHeight="1" s="46"/>
    <row r="211" ht="15.75" customHeight="1" s="46"/>
    <row r="212" ht="15.75" customHeight="1" s="46"/>
    <row r="213" ht="15.75" customHeight="1" s="46"/>
    <row r="214" ht="15.75" customHeight="1" s="46"/>
    <row r="215" ht="15.75" customHeight="1" s="46"/>
    <row r="216" ht="15.75" customHeight="1" s="46"/>
    <row r="217" ht="15.75" customHeight="1" s="46"/>
    <row r="218" ht="15.75" customHeight="1" s="46"/>
    <row r="219" ht="15.75" customHeight="1" s="46"/>
    <row r="220" ht="15.75" customHeight="1" s="46"/>
    <row r="221" ht="15.75" customHeight="1" s="46"/>
    <row r="222" ht="15.75" customHeight="1" s="46"/>
    <row r="223" ht="15.75" customHeight="1" s="46"/>
    <row r="224" ht="15.75" customHeight="1" s="46"/>
    <row r="225" ht="15.75" customHeight="1" s="46"/>
    <row r="226" ht="15.75" customHeight="1" s="46"/>
    <row r="227" ht="15.75" customHeight="1" s="46"/>
    <row r="228" ht="15.75" customHeight="1" s="46"/>
    <row r="229" ht="15.75" customHeight="1" s="46"/>
    <row r="230" ht="15.75" customHeight="1" s="46"/>
    <row r="231" ht="15.75" customHeight="1" s="46"/>
    <row r="232" ht="15.75" customHeight="1" s="46"/>
    <row r="233" ht="15.75" customHeight="1" s="46"/>
    <row r="234" ht="15.75" customHeight="1" s="46"/>
    <row r="235" ht="15.75" customHeight="1" s="46"/>
    <row r="236" ht="15.75" customHeight="1" s="46"/>
    <row r="237" ht="15.75" customHeight="1" s="46"/>
    <row r="238" ht="15.75" customHeight="1" s="46"/>
    <row r="239" ht="15.75" customHeight="1" s="46"/>
    <row r="240" ht="15.75" customHeight="1" s="46"/>
    <row r="241" ht="15.75" customHeight="1" s="46"/>
    <row r="242" ht="15.75" customHeight="1" s="46"/>
    <row r="243" ht="15.75" customHeight="1" s="46"/>
    <row r="244" ht="15.75" customHeight="1" s="46"/>
    <row r="245" ht="15.75" customHeight="1" s="46"/>
    <row r="246" ht="15.75" customHeight="1" s="46"/>
    <row r="247" ht="15.75" customHeight="1" s="46"/>
    <row r="248" ht="15.75" customHeight="1" s="46"/>
    <row r="249" ht="15.75" customHeight="1" s="46"/>
    <row r="250" ht="15.75" customHeight="1" s="46"/>
    <row r="251" ht="15.75" customHeight="1" s="46"/>
    <row r="252" ht="15.75" customHeight="1" s="46"/>
    <row r="253" ht="15.75" customHeight="1" s="46"/>
    <row r="254" ht="15.75" customHeight="1" s="46"/>
    <row r="255" ht="15.75" customHeight="1" s="46"/>
    <row r="256" ht="15.75" customHeight="1" s="46"/>
    <row r="257" ht="15.75" customHeight="1" s="46"/>
    <row r="258" ht="15.75" customHeight="1" s="46"/>
    <row r="259" ht="15.75" customHeight="1" s="46"/>
    <row r="260" ht="15.75" customHeight="1" s="46"/>
    <row r="261" ht="15.75" customHeight="1" s="46"/>
    <row r="262" ht="15.75" customHeight="1" s="46"/>
    <row r="263" ht="15.75" customHeight="1" s="46"/>
    <row r="264" ht="15.75" customHeight="1" s="46"/>
    <row r="265" ht="15.75" customHeight="1" s="46"/>
    <row r="266" ht="15.75" customHeight="1" s="46"/>
    <row r="267" ht="15.75" customHeight="1" s="46"/>
    <row r="268" ht="15.75" customHeight="1" s="46"/>
    <row r="269" ht="15.75" customHeight="1" s="46"/>
    <row r="270" ht="15.75" customHeight="1" s="46"/>
    <row r="271" ht="15.75" customHeight="1" s="46"/>
    <row r="272" ht="15.75" customHeight="1" s="46"/>
    <row r="273" ht="15.75" customHeight="1" s="46"/>
    <row r="274" ht="15.75" customHeight="1" s="46"/>
    <row r="275" ht="15.75" customHeight="1" s="46"/>
    <row r="276" ht="15.75" customHeight="1" s="46"/>
    <row r="277" ht="15.75" customHeight="1" s="46"/>
    <row r="278" ht="15.75" customHeight="1" s="46"/>
    <row r="279" ht="15.75" customHeight="1" s="46"/>
    <row r="280" ht="15.75" customHeight="1" s="46"/>
    <row r="281" ht="15.75" customHeight="1" s="46"/>
    <row r="282" ht="15.75" customHeight="1" s="46"/>
    <row r="283" ht="15.75" customHeight="1" s="46"/>
    <row r="284" ht="15.75" customHeight="1" s="46"/>
    <row r="285" ht="15.75" customHeight="1" s="46"/>
    <row r="286" ht="15.75" customHeight="1" s="46"/>
    <row r="287" ht="15.75" customHeight="1" s="46"/>
    <row r="288" ht="15.75" customHeight="1" s="46"/>
    <row r="289" ht="15.75" customHeight="1" s="46"/>
    <row r="290" ht="15.75" customHeight="1" s="46"/>
    <row r="291" ht="15.75" customHeight="1" s="46"/>
    <row r="292" ht="15.75" customHeight="1" s="46"/>
    <row r="293" ht="15.75" customHeight="1" s="46"/>
    <row r="294" ht="15.75" customHeight="1" s="46"/>
    <row r="295" ht="15.75" customHeight="1" s="46"/>
    <row r="296" ht="15.75" customHeight="1" s="46"/>
    <row r="297" ht="15.75" customHeight="1" s="46"/>
    <row r="298" ht="15.75" customHeight="1" s="46"/>
    <row r="299" ht="15.75" customHeight="1" s="46"/>
    <row r="300" ht="15.75" customHeight="1" s="46"/>
    <row r="301" ht="15.75" customHeight="1" s="46"/>
    <row r="302" ht="15.75" customHeight="1" s="46"/>
    <row r="303" ht="15.75" customHeight="1" s="46"/>
    <row r="304" ht="15.75" customHeight="1" s="46"/>
    <row r="305" ht="15.75" customHeight="1" s="46"/>
    <row r="306" ht="15.75" customHeight="1" s="46"/>
    <row r="307" ht="15.75" customHeight="1" s="46"/>
    <row r="308" ht="15.75" customHeight="1" s="46"/>
    <row r="309" ht="15.75" customHeight="1" s="46"/>
    <row r="310" ht="15.75" customHeight="1" s="46"/>
    <row r="311" ht="15.75" customHeight="1" s="46"/>
    <row r="312" ht="15.75" customHeight="1" s="46"/>
    <row r="313" ht="15.75" customHeight="1" s="46"/>
    <row r="314" ht="15.75" customHeight="1" s="46"/>
    <row r="315" ht="15.75" customHeight="1" s="46"/>
    <row r="316" ht="15.75" customHeight="1" s="46"/>
    <row r="317" ht="15.75" customHeight="1" s="46"/>
    <row r="318" ht="15.75" customHeight="1" s="46"/>
    <row r="319" ht="15.75" customHeight="1" s="46"/>
    <row r="320" ht="15.75" customHeight="1" s="46"/>
    <row r="321" ht="15.75" customHeight="1" s="46"/>
    <row r="322" ht="15.75" customHeight="1" s="46"/>
    <row r="323" ht="15.75" customHeight="1" s="46"/>
    <row r="324" ht="15.75" customHeight="1" s="46"/>
    <row r="325" ht="15.75" customHeight="1" s="46"/>
    <row r="326" ht="15.75" customHeight="1" s="46"/>
    <row r="327" ht="15.75" customHeight="1" s="46"/>
    <row r="328" ht="15.75" customHeight="1" s="46"/>
    <row r="329" ht="15.75" customHeight="1" s="46"/>
    <row r="330" ht="15.75" customHeight="1" s="46"/>
    <row r="331" ht="15.75" customHeight="1" s="46"/>
    <row r="332" ht="15.75" customHeight="1" s="46"/>
    <row r="333" ht="15.75" customHeight="1" s="46"/>
    <row r="334" ht="15.75" customHeight="1" s="46"/>
    <row r="335" ht="15.75" customHeight="1" s="46"/>
    <row r="336" ht="15.75" customHeight="1" s="46"/>
    <row r="337" ht="15.75" customHeight="1" s="46"/>
    <row r="338" ht="15.75" customHeight="1" s="46"/>
    <row r="339" ht="15.75" customHeight="1" s="46"/>
    <row r="340" ht="15.75" customHeight="1" s="46"/>
    <row r="341" ht="15.75" customHeight="1" s="46"/>
    <row r="342" ht="15.75" customHeight="1" s="46"/>
    <row r="343" ht="15.75" customHeight="1" s="46"/>
    <row r="344" ht="15.75" customHeight="1" s="46"/>
    <row r="345" ht="15.75" customHeight="1" s="46"/>
    <row r="346" ht="15.75" customHeight="1" s="46"/>
    <row r="347" ht="15.75" customHeight="1" s="46"/>
    <row r="348" ht="15.75" customHeight="1" s="46"/>
    <row r="349" ht="15.75" customHeight="1" s="46"/>
    <row r="350" ht="15.75" customHeight="1" s="46"/>
    <row r="351" ht="15.75" customHeight="1" s="46"/>
    <row r="352" ht="15.75" customHeight="1" s="46"/>
    <row r="353" ht="15.75" customHeight="1" s="46"/>
    <row r="354" ht="15.75" customHeight="1" s="46"/>
    <row r="355" ht="15.75" customHeight="1" s="46"/>
    <row r="356" ht="15.75" customHeight="1" s="46"/>
    <row r="357" ht="15.75" customHeight="1" s="46"/>
    <row r="358" ht="15.75" customHeight="1" s="46"/>
    <row r="359" ht="15.75" customHeight="1" s="46"/>
    <row r="360" ht="15.75" customHeight="1" s="46"/>
    <row r="361" ht="15.75" customHeight="1" s="46"/>
    <row r="362" ht="15.75" customHeight="1" s="46"/>
    <row r="363" ht="15.75" customHeight="1" s="46"/>
    <row r="364" ht="15.75" customHeight="1" s="46"/>
    <row r="365" ht="15.75" customHeight="1" s="46"/>
    <row r="366" ht="15.75" customHeight="1" s="46"/>
    <row r="367" ht="15.75" customHeight="1" s="46"/>
    <row r="368" ht="15.75" customHeight="1" s="46"/>
    <row r="369" ht="15.75" customHeight="1" s="46"/>
    <row r="370" ht="15.75" customHeight="1" s="46"/>
    <row r="371" ht="15.75" customHeight="1" s="46"/>
    <row r="372" ht="15.75" customHeight="1" s="46"/>
    <row r="373" ht="15.75" customHeight="1" s="46"/>
    <row r="374" ht="15.75" customHeight="1" s="46"/>
    <row r="375" ht="15.75" customHeight="1" s="46"/>
    <row r="376" ht="15.75" customHeight="1" s="46"/>
    <row r="377" ht="15.75" customHeight="1" s="46"/>
    <row r="378" ht="15.75" customHeight="1" s="46"/>
    <row r="379" ht="15.75" customHeight="1" s="46"/>
    <row r="380" ht="15.75" customHeight="1" s="46"/>
    <row r="381" ht="15.75" customHeight="1" s="46"/>
    <row r="382" ht="15.75" customHeight="1" s="46"/>
    <row r="383" ht="15.75" customHeight="1" s="46"/>
    <row r="384" ht="15.75" customHeight="1" s="46"/>
    <row r="385" ht="15.75" customHeight="1" s="46"/>
    <row r="386" ht="15.75" customHeight="1" s="46"/>
    <row r="387" ht="15.75" customHeight="1" s="46"/>
    <row r="388" ht="15.75" customHeight="1" s="46"/>
    <row r="389" ht="15.75" customHeight="1" s="46"/>
    <row r="390" ht="15.75" customHeight="1" s="46"/>
    <row r="391" ht="15.75" customHeight="1" s="46"/>
    <row r="392" ht="15.75" customHeight="1" s="46"/>
    <row r="393" ht="15.75" customHeight="1" s="46"/>
    <row r="394" ht="15.75" customHeight="1" s="46"/>
    <row r="395" ht="15.75" customHeight="1" s="46"/>
    <row r="396" ht="15.75" customHeight="1" s="46"/>
    <row r="397" ht="15.75" customHeight="1" s="46"/>
    <row r="398" ht="15.75" customHeight="1" s="46"/>
    <row r="399" ht="15.75" customHeight="1" s="46"/>
    <row r="400" ht="15.75" customHeight="1" s="46"/>
    <row r="401" ht="15.75" customHeight="1" s="46"/>
    <row r="402" ht="15.75" customHeight="1" s="46"/>
    <row r="403" ht="15.75" customHeight="1" s="46"/>
    <row r="404" ht="15.75" customHeight="1" s="46"/>
    <row r="405" ht="15.75" customHeight="1" s="46"/>
    <row r="406" ht="15.75" customHeight="1" s="46"/>
    <row r="407" ht="15.75" customHeight="1" s="46"/>
    <row r="408" ht="15.75" customHeight="1" s="46"/>
    <row r="409" ht="15.75" customHeight="1" s="46"/>
    <row r="410" ht="15.75" customHeight="1" s="46"/>
    <row r="411" ht="15.75" customHeight="1" s="46"/>
    <row r="412" ht="15.75" customHeight="1" s="46"/>
    <row r="413" ht="15.75" customHeight="1" s="46"/>
    <row r="414" ht="15.75" customHeight="1" s="46"/>
    <row r="415" ht="15.75" customHeight="1" s="46"/>
    <row r="416" ht="15.75" customHeight="1" s="46"/>
    <row r="417" ht="15.75" customHeight="1" s="46"/>
    <row r="418" ht="15.75" customHeight="1" s="46"/>
    <row r="419" ht="15.75" customHeight="1" s="46"/>
    <row r="420" ht="15.75" customHeight="1" s="46"/>
    <row r="421" ht="15.75" customHeight="1" s="46"/>
    <row r="422" ht="15.75" customHeight="1" s="46"/>
    <row r="423" ht="15.75" customHeight="1" s="46"/>
    <row r="424" ht="15.75" customHeight="1" s="46"/>
    <row r="425" ht="15.75" customHeight="1" s="46"/>
    <row r="426" ht="15.75" customHeight="1" s="46"/>
    <row r="427" ht="15.75" customHeight="1" s="46"/>
    <row r="428" ht="15.75" customHeight="1" s="46"/>
    <row r="429" ht="15.75" customHeight="1" s="46"/>
    <row r="430" ht="15.75" customHeight="1" s="46"/>
    <row r="431" ht="15.75" customHeight="1" s="46"/>
    <row r="432" ht="15.75" customHeight="1" s="46"/>
    <row r="433" ht="15.75" customHeight="1" s="46"/>
    <row r="434" ht="15.75" customHeight="1" s="46"/>
    <row r="435" ht="15.75" customHeight="1" s="46"/>
    <row r="436" ht="15.75" customHeight="1" s="46"/>
    <row r="437" ht="15.75" customHeight="1" s="46"/>
    <row r="438" ht="15.75" customHeight="1" s="46"/>
    <row r="439" ht="15.75" customHeight="1" s="46"/>
    <row r="440" ht="15.75" customHeight="1" s="46"/>
    <row r="441" ht="15.75" customHeight="1" s="46"/>
    <row r="442" ht="15.75" customHeight="1" s="46"/>
    <row r="443" ht="15.75" customHeight="1" s="46"/>
    <row r="444" ht="15.75" customHeight="1" s="46"/>
    <row r="445" ht="15.75" customHeight="1" s="46"/>
    <row r="446" ht="15.75" customHeight="1" s="46"/>
    <row r="447" ht="15.75" customHeight="1" s="46"/>
    <row r="448" ht="15.75" customHeight="1" s="46"/>
    <row r="449" ht="15.75" customHeight="1" s="46"/>
    <row r="450" ht="15.75" customHeight="1" s="46"/>
    <row r="451" ht="15.75" customHeight="1" s="46"/>
    <row r="452" ht="15.75" customHeight="1" s="46"/>
    <row r="453" ht="15.75" customHeight="1" s="46"/>
    <row r="454" ht="15.75" customHeight="1" s="46"/>
    <row r="455" ht="15.75" customHeight="1" s="46"/>
    <row r="456" ht="15.75" customHeight="1" s="46"/>
    <row r="457" ht="15.75" customHeight="1" s="46"/>
    <row r="458" ht="15.75" customHeight="1" s="46"/>
    <row r="459" ht="15.75" customHeight="1" s="46"/>
    <row r="460" ht="15.75" customHeight="1" s="46"/>
    <row r="461" ht="15.75" customHeight="1" s="46"/>
    <row r="462" ht="15.75" customHeight="1" s="46"/>
    <row r="463" ht="15.75" customHeight="1" s="46"/>
    <row r="464" ht="15.75" customHeight="1" s="46"/>
    <row r="465" ht="15.75" customHeight="1" s="46"/>
    <row r="466" ht="15.75" customHeight="1" s="46"/>
    <row r="467" ht="15.75" customHeight="1" s="46"/>
    <row r="468" ht="15.75" customHeight="1" s="46"/>
    <row r="469" ht="15.75" customHeight="1" s="46"/>
    <row r="470" ht="15.75" customHeight="1" s="46"/>
    <row r="471" ht="15.75" customHeight="1" s="46"/>
    <row r="472" ht="15.75" customHeight="1" s="46"/>
    <row r="473" ht="15.75" customHeight="1" s="46"/>
    <row r="474" ht="15.75" customHeight="1" s="46"/>
    <row r="475" ht="15.75" customHeight="1" s="46"/>
    <row r="476" ht="15.75" customHeight="1" s="46"/>
    <row r="477" ht="15.75" customHeight="1" s="46"/>
    <row r="478" ht="15.75" customHeight="1" s="46"/>
    <row r="479" ht="15.75" customHeight="1" s="46"/>
    <row r="480" ht="15.75" customHeight="1" s="46"/>
    <row r="481" ht="15.75" customHeight="1" s="46"/>
    <row r="482" ht="15.75" customHeight="1" s="46"/>
    <row r="483" ht="15.75" customHeight="1" s="46"/>
    <row r="484" ht="15.75" customHeight="1" s="46"/>
    <row r="485" ht="15.75" customHeight="1" s="46"/>
    <row r="486" ht="15.75" customHeight="1" s="46"/>
    <row r="487" ht="15.75" customHeight="1" s="46"/>
    <row r="488" ht="15.75" customHeight="1" s="46"/>
    <row r="489" ht="15.75" customHeight="1" s="46"/>
    <row r="490" ht="15.75" customHeight="1" s="46"/>
    <row r="491" ht="15.75" customHeight="1" s="46"/>
    <row r="492" ht="15.75" customHeight="1" s="46"/>
    <row r="493" ht="15.75" customHeight="1" s="46"/>
    <row r="494" ht="15.75" customHeight="1" s="46"/>
    <row r="495" ht="15.75" customHeight="1" s="46"/>
    <row r="496" ht="15.75" customHeight="1" s="46"/>
    <row r="497" ht="15.75" customHeight="1" s="46"/>
    <row r="498" ht="15.75" customHeight="1" s="46"/>
    <row r="499" ht="15.75" customHeight="1" s="46"/>
    <row r="500" ht="15.75" customHeight="1" s="46"/>
    <row r="501" ht="15.75" customHeight="1" s="46"/>
    <row r="502" ht="15.75" customHeight="1" s="46"/>
    <row r="503" ht="15.75" customHeight="1" s="46"/>
    <row r="504" ht="15.75" customHeight="1" s="46"/>
    <row r="505" ht="15.75" customHeight="1" s="46"/>
    <row r="506" ht="15.75" customHeight="1" s="46"/>
    <row r="507" ht="15.75" customHeight="1" s="46"/>
    <row r="508" ht="15.75" customHeight="1" s="46"/>
    <row r="509" ht="15.75" customHeight="1" s="46"/>
    <row r="510" ht="15.75" customHeight="1" s="46"/>
    <row r="511" ht="15.75" customHeight="1" s="46"/>
    <row r="512" ht="15.75" customHeight="1" s="46"/>
    <row r="513" ht="15.75" customHeight="1" s="46"/>
    <row r="514" ht="15.75" customHeight="1" s="46"/>
    <row r="515" ht="15.75" customHeight="1" s="46"/>
    <row r="516" ht="15.75" customHeight="1" s="46"/>
    <row r="517" ht="15.75" customHeight="1" s="46"/>
    <row r="518" ht="15.75" customHeight="1" s="46"/>
    <row r="519" ht="15.75" customHeight="1" s="46"/>
    <row r="520" ht="15.75" customHeight="1" s="46"/>
    <row r="521" ht="15.75" customHeight="1" s="46"/>
    <row r="522" ht="15.75" customHeight="1" s="46"/>
    <row r="523" ht="15.75" customHeight="1" s="46"/>
    <row r="524" ht="15.75" customHeight="1" s="46"/>
    <row r="525" ht="15.75" customHeight="1" s="46"/>
    <row r="526" ht="15.75" customHeight="1" s="46"/>
    <row r="527" ht="15.75" customHeight="1" s="46"/>
    <row r="528" ht="15.75" customHeight="1" s="46"/>
    <row r="529" ht="15.75" customHeight="1" s="46"/>
    <row r="530" ht="15.75" customHeight="1" s="46"/>
    <row r="531" ht="15.75" customHeight="1" s="46"/>
    <row r="532" ht="15.75" customHeight="1" s="46"/>
    <row r="533" ht="15.75" customHeight="1" s="46"/>
    <row r="534" ht="15.75" customHeight="1" s="46"/>
    <row r="535" ht="15.75" customHeight="1" s="46"/>
    <row r="536" ht="15.75" customHeight="1" s="46"/>
    <row r="537" ht="15.75" customHeight="1" s="46"/>
    <row r="538" ht="15.75" customHeight="1" s="46"/>
    <row r="539" ht="15.75" customHeight="1" s="46"/>
    <row r="540" ht="15.75" customHeight="1" s="46"/>
    <row r="541" ht="15.75" customHeight="1" s="46"/>
    <row r="542" ht="15.75" customHeight="1" s="46"/>
    <row r="543" ht="15.75" customHeight="1" s="46"/>
    <row r="544" ht="15.75" customHeight="1" s="46"/>
    <row r="545" ht="15.75" customHeight="1" s="46"/>
    <row r="546" ht="15.75" customHeight="1" s="46"/>
    <row r="547" ht="15.75" customHeight="1" s="46"/>
    <row r="548" ht="15.75" customHeight="1" s="46"/>
    <row r="549" ht="15.75" customHeight="1" s="46"/>
    <row r="550" ht="15.75" customHeight="1" s="46"/>
    <row r="551" ht="15.75" customHeight="1" s="46"/>
    <row r="552" ht="15.75" customHeight="1" s="46"/>
    <row r="553" ht="15.75" customHeight="1" s="46"/>
    <row r="554" ht="15.75" customHeight="1" s="46"/>
    <row r="555" ht="15.75" customHeight="1" s="46"/>
    <row r="556" ht="15.75" customHeight="1" s="46"/>
    <row r="557" ht="15.75" customHeight="1" s="46"/>
    <row r="558" ht="15.75" customHeight="1" s="46"/>
    <row r="559" ht="15.75" customHeight="1" s="46"/>
    <row r="560" ht="15.75" customHeight="1" s="46"/>
    <row r="561" ht="15.75" customHeight="1" s="46"/>
    <row r="562" ht="15.75" customHeight="1" s="46"/>
    <row r="563" ht="15.75" customHeight="1" s="46"/>
    <row r="564" ht="15.75" customHeight="1" s="46"/>
    <row r="565" ht="15.75" customHeight="1" s="46"/>
    <row r="566" ht="15.75" customHeight="1" s="46"/>
    <row r="567" ht="15.75" customHeight="1" s="46"/>
    <row r="568" ht="15.75" customHeight="1" s="46"/>
    <row r="569" ht="15.75" customHeight="1" s="46"/>
    <row r="570" ht="15.75" customHeight="1" s="46"/>
    <row r="571" ht="15.75" customHeight="1" s="46"/>
    <row r="572" ht="15.75" customHeight="1" s="46"/>
    <row r="573" ht="15.75" customHeight="1" s="46"/>
    <row r="574" ht="15.75" customHeight="1" s="46"/>
    <row r="575" ht="15.75" customHeight="1" s="46"/>
    <row r="576" ht="15.75" customHeight="1" s="46"/>
    <row r="577" ht="15.75" customHeight="1" s="46"/>
    <row r="578" ht="15.75" customHeight="1" s="46"/>
    <row r="579" ht="15.75" customHeight="1" s="46"/>
    <row r="580" ht="15.75" customHeight="1" s="46"/>
    <row r="581" ht="15.75" customHeight="1" s="46"/>
    <row r="582" ht="15.75" customHeight="1" s="46"/>
    <row r="583" ht="15.75" customHeight="1" s="46"/>
    <row r="584" ht="15.75" customHeight="1" s="46"/>
    <row r="585" ht="15.75" customHeight="1" s="46"/>
    <row r="586" ht="15.75" customHeight="1" s="46"/>
    <row r="587" ht="15.75" customHeight="1" s="46"/>
    <row r="588" ht="15.75" customHeight="1" s="46"/>
    <row r="589" ht="15.75" customHeight="1" s="46"/>
    <row r="590" ht="15.75" customHeight="1" s="46"/>
    <row r="591" ht="15.75" customHeight="1" s="46"/>
    <row r="592" ht="15.75" customHeight="1" s="46"/>
    <row r="593" ht="15.75" customHeight="1" s="46"/>
    <row r="594" ht="15.75" customHeight="1" s="46"/>
    <row r="595" ht="15.75" customHeight="1" s="46"/>
    <row r="596" ht="15.75" customHeight="1" s="46"/>
    <row r="597" ht="15.75" customHeight="1" s="46"/>
    <row r="598" ht="15.75" customHeight="1" s="46"/>
    <row r="599" ht="15.75" customHeight="1" s="46"/>
    <row r="600" ht="15.75" customHeight="1" s="46"/>
    <row r="601" ht="15.75" customHeight="1" s="46"/>
    <row r="602" ht="15.75" customHeight="1" s="46"/>
    <row r="603" ht="15.75" customHeight="1" s="46"/>
    <row r="604" ht="15.75" customHeight="1" s="46"/>
    <row r="605" ht="15.75" customHeight="1" s="46"/>
    <row r="606" ht="15.75" customHeight="1" s="46"/>
    <row r="607" ht="15.75" customHeight="1" s="46"/>
    <row r="608" ht="15.75" customHeight="1" s="46"/>
    <row r="609" ht="15.75" customHeight="1" s="46"/>
    <row r="610" ht="15.75" customHeight="1" s="46"/>
    <row r="611" ht="15.75" customHeight="1" s="46"/>
    <row r="612" ht="15.75" customHeight="1" s="46"/>
    <row r="613" ht="15.75" customHeight="1" s="46"/>
    <row r="614" ht="15.75" customHeight="1" s="46"/>
    <row r="615" ht="15.75" customHeight="1" s="46"/>
    <row r="616" ht="15.75" customHeight="1" s="46"/>
    <row r="617" ht="15.75" customHeight="1" s="46"/>
    <row r="618" ht="15.75" customHeight="1" s="46"/>
    <row r="619" ht="15.75" customHeight="1" s="46"/>
    <row r="620" ht="15.75" customHeight="1" s="46"/>
    <row r="621" ht="15.75" customHeight="1" s="46"/>
    <row r="622" ht="15.75" customHeight="1" s="46"/>
    <row r="623" ht="15.75" customHeight="1" s="46"/>
    <row r="624" ht="15.75" customHeight="1" s="46"/>
    <row r="625" ht="15.75" customHeight="1" s="46"/>
    <row r="626" ht="15.75" customHeight="1" s="46"/>
    <row r="627" ht="15.75" customHeight="1" s="46"/>
    <row r="628" ht="15.75" customHeight="1" s="46"/>
    <row r="629" ht="15.75" customHeight="1" s="46"/>
    <row r="630" ht="15.75" customHeight="1" s="46"/>
    <row r="631" ht="15.75" customHeight="1" s="46"/>
    <row r="632" ht="15.75" customHeight="1" s="46"/>
    <row r="633" ht="15.75" customHeight="1" s="46"/>
    <row r="634" ht="15.75" customHeight="1" s="46"/>
    <row r="635" ht="15.75" customHeight="1" s="46"/>
    <row r="636" ht="15.75" customHeight="1" s="46"/>
    <row r="637" ht="15.75" customHeight="1" s="46"/>
    <row r="638" ht="15.75" customHeight="1" s="46"/>
    <row r="639" ht="15.75" customHeight="1" s="46"/>
    <row r="640" ht="15.75" customHeight="1" s="46"/>
    <row r="641" ht="15.75" customHeight="1" s="46"/>
    <row r="642" ht="15.75" customHeight="1" s="46"/>
    <row r="643" ht="15.75" customHeight="1" s="46"/>
    <row r="644" ht="15.75" customHeight="1" s="46"/>
    <row r="645" ht="15.75" customHeight="1" s="46"/>
    <row r="646" ht="15.75" customHeight="1" s="46"/>
    <row r="647" ht="15.75" customHeight="1" s="46"/>
    <row r="648" ht="15.75" customHeight="1" s="46"/>
    <row r="649" ht="15.75" customHeight="1" s="46"/>
    <row r="650" ht="15.75" customHeight="1" s="46"/>
    <row r="651" ht="15.75" customHeight="1" s="46"/>
    <row r="652" ht="15.75" customHeight="1" s="46"/>
    <row r="653" ht="15.75" customHeight="1" s="46"/>
    <row r="654" ht="15.75" customHeight="1" s="46"/>
    <row r="655" ht="15.75" customHeight="1" s="46"/>
    <row r="656" ht="15.75" customHeight="1" s="46"/>
    <row r="657" ht="15.75" customHeight="1" s="46"/>
    <row r="658" ht="15.75" customHeight="1" s="46"/>
    <row r="659" ht="15.75" customHeight="1" s="46"/>
    <row r="660" ht="15.75" customHeight="1" s="46"/>
    <row r="661" ht="15.75" customHeight="1" s="46"/>
    <row r="662" ht="15.75" customHeight="1" s="46"/>
    <row r="663" ht="15.75" customHeight="1" s="46"/>
    <row r="664" ht="15.75" customHeight="1" s="46"/>
    <row r="665" ht="15.75" customHeight="1" s="46"/>
    <row r="666" ht="15.75" customHeight="1" s="46"/>
    <row r="667" ht="15.75" customHeight="1" s="46"/>
    <row r="668" ht="15.75" customHeight="1" s="46"/>
    <row r="669" ht="15.75" customHeight="1" s="46"/>
    <row r="670" ht="15.75" customHeight="1" s="46"/>
    <row r="671" ht="15.75" customHeight="1" s="46"/>
    <row r="672" ht="15.75" customHeight="1" s="46"/>
    <row r="673" ht="15.75" customHeight="1" s="46"/>
    <row r="674" ht="15.75" customHeight="1" s="46"/>
    <row r="675" ht="15.75" customHeight="1" s="46"/>
    <row r="676" ht="15.75" customHeight="1" s="46"/>
    <row r="677" ht="15.75" customHeight="1" s="46"/>
    <row r="678" ht="15.75" customHeight="1" s="46"/>
    <row r="679" ht="15.75" customHeight="1" s="46"/>
    <row r="680" ht="15.75" customHeight="1" s="46"/>
    <row r="681" ht="15.75" customHeight="1" s="46"/>
    <row r="682" ht="15.75" customHeight="1" s="46"/>
    <row r="683" ht="15.75" customHeight="1" s="46"/>
    <row r="684" ht="15.75" customHeight="1" s="46"/>
    <row r="685" ht="15.75" customHeight="1" s="46"/>
    <row r="686" ht="15.75" customHeight="1" s="46"/>
    <row r="687" ht="15.75" customHeight="1" s="46"/>
    <row r="688" ht="15.75" customHeight="1" s="46"/>
    <row r="689" ht="15.75" customHeight="1" s="46"/>
    <row r="690" ht="15.75" customHeight="1" s="46"/>
    <row r="691" ht="15.75" customHeight="1" s="46"/>
    <row r="692" ht="15.75" customHeight="1" s="46"/>
    <row r="693" ht="15.75" customHeight="1" s="46"/>
    <row r="694" ht="15.75" customHeight="1" s="46"/>
    <row r="695" ht="15.75" customHeight="1" s="46"/>
    <row r="696" ht="15.75" customHeight="1" s="46"/>
    <row r="697" ht="15.75" customHeight="1" s="46"/>
    <row r="698" ht="15.75" customHeight="1" s="46"/>
    <row r="699" ht="15.75" customHeight="1" s="46"/>
    <row r="700" ht="15.75" customHeight="1" s="46"/>
    <row r="701" ht="15.75" customHeight="1" s="46"/>
    <row r="702" ht="15.75" customHeight="1" s="46"/>
    <row r="703" ht="15.75" customHeight="1" s="46"/>
    <row r="704" ht="15.75" customHeight="1" s="46"/>
    <row r="705" ht="15.75" customHeight="1" s="46"/>
    <row r="706" ht="15.75" customHeight="1" s="46"/>
    <row r="707" ht="15.75" customHeight="1" s="46"/>
    <row r="708" ht="15.75" customHeight="1" s="46"/>
    <row r="709" ht="15.75" customHeight="1" s="46"/>
    <row r="710" ht="15.75" customHeight="1" s="46"/>
    <row r="711" ht="15.75" customHeight="1" s="46"/>
    <row r="712" ht="15.75" customHeight="1" s="46"/>
    <row r="713" ht="15.75" customHeight="1" s="46"/>
    <row r="714" ht="15.75" customHeight="1" s="46"/>
    <row r="715" ht="15.75" customHeight="1" s="46"/>
    <row r="716" ht="15.75" customHeight="1" s="46"/>
    <row r="717" ht="15.75" customHeight="1" s="46"/>
    <row r="718" ht="15.75" customHeight="1" s="46"/>
    <row r="719" ht="15.75" customHeight="1" s="46"/>
    <row r="720" ht="15.75" customHeight="1" s="46"/>
    <row r="721" ht="15.75" customHeight="1" s="46"/>
    <row r="722" ht="15.75" customHeight="1" s="46"/>
    <row r="723" ht="15.75" customHeight="1" s="46"/>
    <row r="724" ht="15.75" customHeight="1" s="46"/>
    <row r="725" ht="15.75" customHeight="1" s="46"/>
    <row r="726" ht="15.75" customHeight="1" s="46"/>
    <row r="727" ht="15.75" customHeight="1" s="46"/>
    <row r="728" ht="15.75" customHeight="1" s="46"/>
    <row r="729" ht="15.75" customHeight="1" s="46"/>
    <row r="730" ht="15.75" customHeight="1" s="46"/>
    <row r="731" ht="15.75" customHeight="1" s="46"/>
    <row r="732" ht="15.75" customHeight="1" s="46"/>
    <row r="733" ht="15.75" customHeight="1" s="46"/>
    <row r="734" ht="15.75" customHeight="1" s="46"/>
    <row r="735" ht="15.75" customHeight="1" s="46"/>
    <row r="736" ht="15.75" customHeight="1" s="46"/>
    <row r="737" ht="15.75" customHeight="1" s="46"/>
    <row r="738" ht="15.75" customHeight="1" s="46"/>
    <row r="739" ht="15.75" customHeight="1" s="46"/>
    <row r="740" ht="15.75" customHeight="1" s="46"/>
    <row r="741" ht="15.75" customHeight="1" s="46"/>
    <row r="742" ht="15.75" customHeight="1" s="46"/>
    <row r="743" ht="15.75" customHeight="1" s="46"/>
    <row r="744" ht="15.75" customHeight="1" s="46"/>
    <row r="745" ht="15.75" customHeight="1" s="46"/>
    <row r="746" ht="15.75" customHeight="1" s="46"/>
    <row r="747" ht="15.75" customHeight="1" s="46"/>
    <row r="748" ht="15.75" customHeight="1" s="46"/>
    <row r="749" ht="15.75" customHeight="1" s="46"/>
    <row r="750" ht="15.75" customHeight="1" s="46"/>
    <row r="751" ht="15.75" customHeight="1" s="46"/>
    <row r="752" ht="15.75" customHeight="1" s="46"/>
    <row r="753" ht="15.75" customHeight="1" s="46"/>
    <row r="754" ht="15.75" customHeight="1" s="46"/>
    <row r="755" ht="15.75" customHeight="1" s="46"/>
    <row r="756" ht="15.75" customHeight="1" s="46"/>
    <row r="757" ht="15.75" customHeight="1" s="46"/>
    <row r="758" ht="15.75" customHeight="1" s="46"/>
    <row r="759" ht="15.75" customHeight="1" s="46"/>
    <row r="760" ht="15.75" customHeight="1" s="46"/>
    <row r="761" ht="15.75" customHeight="1" s="46"/>
    <row r="762" ht="15.75" customHeight="1" s="46"/>
    <row r="763" ht="15.75" customHeight="1" s="46"/>
    <row r="764" ht="15.75" customHeight="1" s="46"/>
    <row r="765" ht="15.75" customHeight="1" s="46"/>
    <row r="766" ht="15.75" customHeight="1" s="46"/>
    <row r="767" ht="15.75" customHeight="1" s="46"/>
    <row r="768" ht="15.75" customHeight="1" s="46"/>
    <row r="769" ht="15.75" customHeight="1" s="46"/>
    <row r="770" ht="15.75" customHeight="1" s="46"/>
    <row r="771" ht="15.75" customHeight="1" s="46"/>
    <row r="772" ht="15.75" customHeight="1" s="46"/>
    <row r="773" ht="15.75" customHeight="1" s="46"/>
    <row r="774" ht="15.75" customHeight="1" s="46"/>
    <row r="775" ht="15.75" customHeight="1" s="46"/>
    <row r="776" ht="15.75" customHeight="1" s="46"/>
    <row r="777" ht="15.75" customHeight="1" s="46"/>
    <row r="778" ht="15.75" customHeight="1" s="46"/>
    <row r="779" ht="15.75" customHeight="1" s="46"/>
    <row r="780" ht="15.75" customHeight="1" s="46"/>
    <row r="781" ht="15.75" customHeight="1" s="46"/>
    <row r="782" ht="15.75" customHeight="1" s="46"/>
    <row r="783" ht="15.75" customHeight="1" s="46"/>
    <row r="784" ht="15.75" customHeight="1" s="46"/>
    <row r="785" ht="15.75" customHeight="1" s="46"/>
    <row r="786" ht="15.75" customHeight="1" s="46"/>
    <row r="787" ht="15.75" customHeight="1" s="46"/>
    <row r="788" ht="15.75" customHeight="1" s="46"/>
    <row r="789" ht="15.75" customHeight="1" s="46"/>
    <row r="790" ht="15.75" customHeight="1" s="46"/>
    <row r="791" ht="15.75" customHeight="1" s="46"/>
    <row r="792" ht="15.75" customHeight="1" s="46"/>
    <row r="793" ht="15.75" customHeight="1" s="46"/>
    <row r="794" ht="15.75" customHeight="1" s="46"/>
    <row r="795" ht="15.75" customHeight="1" s="46"/>
    <row r="796" ht="15.75" customHeight="1" s="46"/>
    <row r="797" ht="15.75" customHeight="1" s="46"/>
    <row r="798" ht="15.75" customHeight="1" s="46"/>
    <row r="799" ht="15.75" customHeight="1" s="46"/>
    <row r="800" ht="15.75" customHeight="1" s="46"/>
    <row r="801" ht="15.75" customHeight="1" s="46"/>
    <row r="802" ht="15.75" customHeight="1" s="46"/>
    <row r="803" ht="15.75" customHeight="1" s="46"/>
    <row r="804" ht="15.75" customHeight="1" s="46"/>
    <row r="805" ht="15.75" customHeight="1" s="46"/>
    <row r="806" ht="15.75" customHeight="1" s="46"/>
    <row r="807" ht="15.75" customHeight="1" s="46"/>
    <row r="808" ht="15.75" customHeight="1" s="46"/>
    <row r="809" ht="15.75" customHeight="1" s="46"/>
    <row r="810" ht="15.75" customHeight="1" s="46"/>
    <row r="811" ht="15.75" customHeight="1" s="46"/>
    <row r="812" ht="15.75" customHeight="1" s="46"/>
    <row r="813" ht="15.75" customHeight="1" s="46"/>
    <row r="814" ht="15.75" customHeight="1" s="46"/>
    <row r="815" ht="15.75" customHeight="1" s="46"/>
    <row r="816" ht="15.75" customHeight="1" s="46"/>
    <row r="817" ht="15.75" customHeight="1" s="46"/>
    <row r="818" ht="15.75" customHeight="1" s="46"/>
    <row r="819" ht="15.75" customHeight="1" s="46"/>
    <row r="820" ht="15.75" customHeight="1" s="46"/>
    <row r="821" ht="15.75" customHeight="1" s="46"/>
    <row r="822" ht="15.75" customHeight="1" s="46"/>
    <row r="823" ht="15.75" customHeight="1" s="46"/>
    <row r="824" ht="15.75" customHeight="1" s="46"/>
    <row r="825" ht="15.75" customHeight="1" s="46"/>
    <row r="826" ht="15.75" customHeight="1" s="46"/>
    <row r="827" ht="15.75" customHeight="1" s="46"/>
    <row r="828" ht="15.75" customHeight="1" s="46"/>
    <row r="829" ht="15.75" customHeight="1" s="46"/>
    <row r="830" ht="15.75" customHeight="1" s="46"/>
    <row r="831" ht="15.75" customHeight="1" s="46"/>
    <row r="832" ht="15.75" customHeight="1" s="46"/>
    <row r="833" ht="15.75" customHeight="1" s="46"/>
    <row r="834" ht="15.75" customHeight="1" s="46"/>
    <row r="835" ht="15.75" customHeight="1" s="46"/>
    <row r="836" ht="15.75" customHeight="1" s="46"/>
    <row r="837" ht="15.75" customHeight="1" s="46"/>
    <row r="838" ht="15.75" customHeight="1" s="46"/>
    <row r="839" ht="15.75" customHeight="1" s="46"/>
    <row r="840" ht="15.75" customHeight="1" s="46"/>
    <row r="841" ht="15.75" customHeight="1" s="46"/>
    <row r="842" ht="15.75" customHeight="1" s="46"/>
    <row r="843" ht="15.75" customHeight="1" s="46"/>
    <row r="844" ht="15.75" customHeight="1" s="46"/>
    <row r="845" ht="15.75" customHeight="1" s="46"/>
    <row r="846" ht="15.75" customHeight="1" s="46"/>
    <row r="847" ht="15.75" customHeight="1" s="46"/>
    <row r="848" ht="15.75" customHeight="1" s="46"/>
    <row r="849" ht="15.75" customHeight="1" s="46"/>
    <row r="850" ht="15.75" customHeight="1" s="46"/>
    <row r="851" ht="15.75" customHeight="1" s="46"/>
    <row r="852" ht="15.75" customHeight="1" s="46"/>
    <row r="853" ht="15.75" customHeight="1" s="46"/>
    <row r="854" ht="15.75" customHeight="1" s="46"/>
    <row r="855" ht="15.75" customHeight="1" s="46"/>
    <row r="856" ht="15.75" customHeight="1" s="46"/>
    <row r="857" ht="15.75" customHeight="1" s="46"/>
    <row r="858" ht="15.75" customHeight="1" s="46"/>
    <row r="859" ht="15.75" customHeight="1" s="46"/>
    <row r="860" ht="15.75" customHeight="1" s="46"/>
    <row r="861" ht="15.75" customHeight="1" s="46"/>
    <row r="862" ht="15.75" customHeight="1" s="46"/>
    <row r="863" ht="15.75" customHeight="1" s="46"/>
    <row r="864" ht="15.75" customHeight="1" s="46"/>
    <row r="865" ht="15.75" customHeight="1" s="46"/>
    <row r="866" ht="15.75" customHeight="1" s="46"/>
    <row r="867" ht="15.75" customHeight="1" s="46"/>
    <row r="868" ht="15.75" customHeight="1" s="46"/>
    <row r="869" ht="15.75" customHeight="1" s="46"/>
    <row r="870" ht="15.75" customHeight="1" s="46"/>
    <row r="871" ht="15.75" customHeight="1" s="46"/>
    <row r="872" ht="15.75" customHeight="1" s="46"/>
    <row r="873" ht="15.75" customHeight="1" s="46"/>
    <row r="874" ht="15.75" customHeight="1" s="46"/>
    <row r="875" ht="15.75" customHeight="1" s="46"/>
    <row r="876" ht="15.75" customHeight="1" s="46"/>
    <row r="877" ht="15.75" customHeight="1" s="46"/>
    <row r="878" ht="15.75" customHeight="1" s="46"/>
    <row r="879" ht="15.75" customHeight="1" s="46"/>
    <row r="880" ht="15.75" customHeight="1" s="46"/>
    <row r="881" ht="15.75" customHeight="1" s="46"/>
    <row r="882" ht="15.75" customHeight="1" s="46"/>
    <row r="883" ht="15.75" customHeight="1" s="46"/>
    <row r="884" ht="15.75" customHeight="1" s="46"/>
    <row r="885" ht="15.75" customHeight="1" s="46"/>
    <row r="886" ht="15.75" customHeight="1" s="46"/>
    <row r="887" ht="15.75" customHeight="1" s="46"/>
    <row r="888" ht="15.75" customHeight="1" s="46"/>
    <row r="889" ht="15.75" customHeight="1" s="46"/>
    <row r="890" ht="15.75" customHeight="1" s="46"/>
    <row r="891" ht="15.75" customHeight="1" s="46"/>
    <row r="892" ht="15.75" customHeight="1" s="46"/>
    <row r="893" ht="15.75" customHeight="1" s="46"/>
    <row r="894" ht="15.75" customHeight="1" s="46"/>
    <row r="895" ht="15.75" customHeight="1" s="46"/>
    <row r="896" ht="15.75" customHeight="1" s="46"/>
    <row r="897" ht="15.75" customHeight="1" s="46"/>
    <row r="898" ht="15.75" customHeight="1" s="46"/>
    <row r="899" ht="15.75" customHeight="1" s="46"/>
    <row r="900" ht="15.75" customHeight="1" s="46"/>
    <row r="901" ht="15.75" customHeight="1" s="46"/>
    <row r="902" ht="15.75" customHeight="1" s="46"/>
    <row r="903" ht="15.75" customHeight="1" s="46"/>
    <row r="904" ht="15.75" customHeight="1" s="46"/>
    <row r="905" ht="15.75" customHeight="1" s="46"/>
    <row r="906" ht="15.75" customHeight="1" s="46"/>
    <row r="907" ht="15.75" customHeight="1" s="46"/>
    <row r="908" ht="15.75" customHeight="1" s="46"/>
    <row r="909" ht="15.75" customHeight="1" s="46"/>
    <row r="910" ht="15.75" customHeight="1" s="46"/>
    <row r="911" ht="15.75" customHeight="1" s="46"/>
    <row r="912" ht="15.75" customHeight="1" s="46"/>
    <row r="913" ht="15.75" customHeight="1" s="46"/>
    <row r="914" ht="15.75" customHeight="1" s="46"/>
    <row r="915" ht="15.75" customHeight="1" s="46"/>
    <row r="916" ht="15.75" customHeight="1" s="46"/>
    <row r="917" ht="15.75" customHeight="1" s="46"/>
    <row r="918" ht="15.75" customHeight="1" s="46"/>
    <row r="919" ht="15.75" customHeight="1" s="46"/>
    <row r="920" ht="15.75" customHeight="1" s="46"/>
    <row r="921" ht="15.75" customHeight="1" s="46"/>
    <row r="922" ht="15.75" customHeight="1" s="46"/>
    <row r="923" ht="15.75" customHeight="1" s="46"/>
    <row r="924" ht="15.75" customHeight="1" s="46"/>
    <row r="925" ht="15.75" customHeight="1" s="46"/>
    <row r="926" ht="15.75" customHeight="1" s="46"/>
    <row r="927" ht="15.75" customHeight="1" s="46"/>
    <row r="928" ht="15.75" customHeight="1" s="46"/>
    <row r="929" ht="15.75" customHeight="1" s="46"/>
    <row r="930" ht="15.75" customHeight="1" s="46"/>
    <row r="931" ht="15.75" customHeight="1" s="46"/>
    <row r="932" ht="15.75" customHeight="1" s="46"/>
    <row r="933" ht="15.75" customHeight="1" s="46"/>
    <row r="934" ht="15.75" customHeight="1" s="46"/>
    <row r="935" ht="15.75" customHeight="1" s="46"/>
    <row r="936" ht="15.75" customHeight="1" s="46"/>
    <row r="937" ht="15.75" customHeight="1" s="46"/>
    <row r="938" ht="15.75" customHeight="1" s="46"/>
    <row r="939" ht="15.75" customHeight="1" s="46"/>
    <row r="940" ht="15.75" customHeight="1" s="46"/>
    <row r="941" ht="15.75" customHeight="1" s="46"/>
    <row r="942" ht="15.75" customHeight="1" s="46"/>
    <row r="943" ht="15.75" customHeight="1" s="46"/>
    <row r="944" ht="15.75" customHeight="1" s="46"/>
    <row r="945" ht="15.75" customHeight="1" s="46"/>
    <row r="946" ht="15.75" customHeight="1" s="46"/>
    <row r="947" ht="15.75" customHeight="1" s="46"/>
    <row r="948" ht="15.75" customHeight="1" s="46"/>
    <row r="949" ht="15.75" customHeight="1" s="46"/>
    <row r="950" ht="15.75" customHeight="1" s="46"/>
    <row r="951" ht="15.75" customHeight="1" s="46"/>
    <row r="952" ht="15.75" customHeight="1" s="46"/>
    <row r="953" ht="15.75" customHeight="1" s="46"/>
    <row r="954" ht="15.75" customHeight="1" s="46"/>
    <row r="955" ht="15.75" customHeight="1" s="46"/>
    <row r="956" ht="15.75" customHeight="1" s="46"/>
    <row r="957" ht="15.75" customHeight="1" s="46"/>
    <row r="958" ht="15.75" customHeight="1" s="46"/>
    <row r="959" ht="15.75" customHeight="1" s="46"/>
    <row r="960" ht="15.75" customHeight="1" s="46"/>
    <row r="961" ht="15.75" customHeight="1" s="46"/>
    <row r="962" ht="15.75" customHeight="1" s="46"/>
    <row r="963" ht="15.75" customHeight="1" s="46"/>
    <row r="964" ht="15.75" customHeight="1" s="46"/>
    <row r="965" ht="15.75" customHeight="1" s="46"/>
    <row r="966" ht="15.75" customHeight="1" s="46"/>
    <row r="967" ht="15.75" customHeight="1" s="46"/>
    <row r="968" ht="15.75" customHeight="1" s="46"/>
    <row r="969" ht="15.75" customHeight="1" s="46"/>
    <row r="970" ht="15.75" customHeight="1" s="46"/>
    <row r="971" ht="15.75" customHeight="1" s="46"/>
    <row r="972" ht="15.75" customHeight="1" s="46"/>
    <row r="973" ht="15.75" customHeight="1" s="46"/>
    <row r="974" ht="15.75" customHeight="1" s="46"/>
    <row r="975" ht="15.75" customHeight="1" s="46"/>
    <row r="976" ht="15.75" customHeight="1" s="46"/>
    <row r="977" ht="15.75" customHeight="1" s="46"/>
    <row r="978" ht="15.75" customHeight="1" s="46"/>
    <row r="979" ht="15.75" customHeight="1" s="46"/>
    <row r="980" ht="15.75" customHeight="1" s="46"/>
    <row r="981" ht="15.75" customHeight="1" s="46"/>
    <row r="982" ht="15.75" customHeight="1" s="46"/>
    <row r="983" ht="15.75" customHeight="1" s="46"/>
    <row r="984" ht="15.75" customHeight="1" s="46"/>
    <row r="985" ht="15.75" customHeight="1" s="46"/>
    <row r="986" ht="15.75" customHeight="1" s="46"/>
    <row r="987" ht="15.75" customHeight="1" s="46"/>
    <row r="988" ht="15.75" customHeight="1" s="46"/>
    <row r="989" ht="15.75" customHeight="1" s="46"/>
    <row r="990" ht="15.75" customHeight="1" s="46"/>
    <row r="991" ht="15.75" customHeight="1" s="46"/>
    <row r="992" ht="15.75" customHeight="1" s="46"/>
    <row r="993" ht="15.75" customHeight="1" s="46"/>
    <row r="994" ht="15.75" customHeight="1" s="46"/>
    <row r="995" ht="15.75" customHeight="1" s="46"/>
    <row r="996" ht="15.75" customHeight="1" s="46"/>
    <row r="997" ht="15.75" customHeight="1" s="46"/>
    <row r="998" ht="15.75" customHeight="1" s="46"/>
    <row r="999" ht="15.75" customHeight="1" s="46"/>
    <row r="1000" ht="15.75" customHeight="1" s="46"/>
  </sheetData>
  <mergeCells count="14">
    <mergeCell ref="A21:E21"/>
    <mergeCell ref="A39:E39"/>
    <mergeCell ref="N25:Q25"/>
    <mergeCell ref="A25:E25"/>
    <mergeCell ref="A2:N2"/>
    <mergeCell ref="A41:N45"/>
    <mergeCell ref="A24:AG24"/>
    <mergeCell ref="R25:U25"/>
    <mergeCell ref="V25:Y25"/>
    <mergeCell ref="Z25:AC25"/>
    <mergeCell ref="F25:I25"/>
    <mergeCell ref="J25:M25"/>
    <mergeCell ref="AD25:AG25"/>
    <mergeCell ref="A1:N1"/>
  </mergeCells>
  <pageMargins left="0.75" right="0.75" top="1" bottom="1" header="0" footer="0"/>
  <pageSetup orientation="landscape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G45"/>
  <sheetViews>
    <sheetView workbookViewId="0">
      <selection activeCell="A1" sqref="A1"/>
    </sheetView>
  </sheetViews>
  <sheetFormatPr baseColWidth="8" defaultColWidth="14.43" defaultRowHeight="15" customHeight="1"/>
  <cols>
    <col width="4" customWidth="1" style="46" min="1" max="1"/>
    <col width="10" customWidth="1" style="46" min="2" max="2"/>
    <col width="32" customWidth="1" style="46" min="3" max="3"/>
    <col width="26" customWidth="1" style="46" min="4" max="4"/>
    <col width="28" customWidth="1" style="46" min="5" max="5"/>
    <col width="14" customWidth="1" style="46" min="6" max="7"/>
    <col width="15" customWidth="1" style="46" min="8" max="9"/>
    <col width="16" customWidth="1" style="46" min="10" max="11"/>
    <col width="14" customWidth="1" style="46" min="12" max="12"/>
    <col width="15" customWidth="1" style="46" min="13" max="13"/>
    <col width="24" customWidth="1" style="46" min="14" max="14"/>
    <col width="14" customWidth="1" style="46" min="15" max="33"/>
  </cols>
  <sheetData>
    <row r="1" ht="24.75" customHeight="1" s="46">
      <c r="A1" s="47" t="inlineStr">
        <is>
          <t>CONTROL SEMANAL DE RENDIMIENTO DE MAQUINARIA (SEMANA 29)</t>
        </is>
      </c>
    </row>
    <row r="2" ht="18" customHeight="1" s="46">
      <c r="A2" s="48" t="inlineStr">
        <is>
          <t>OBRA: CARRETERA LIBRE MÉXICO-TOLUCA | PERIODO: 13/Jul/2026 - 18/Jul/2026</t>
        </is>
      </c>
    </row>
    <row r="4">
      <c r="A4" s="5" t="inlineStr">
        <is>
          <t>1. PARÁMETROS:</t>
        </is>
      </c>
      <c r="B4" s="5" t="inlineStr">
        <is>
          <t>PESO VOLUMÉTRICO ASFALTO (Ton/m³):</t>
        </is>
      </c>
      <c r="E4" s="7" t="n">
        <v>1.742</v>
      </c>
    </row>
    <row r="5">
      <c r="A5" s="5" t="inlineStr">
        <is>
          <t>2. FRESADO SEMANAL:</t>
        </is>
      </c>
      <c r="B5" s="8" t="inlineStr">
        <is>
          <t>Viajes de Fresado:</t>
        </is>
      </c>
      <c r="C5" s="41" t="n">
        <v>99</v>
      </c>
      <c r="D5" s="8" t="inlineStr">
        <is>
          <t>Volumen Fresado (m³):</t>
        </is>
      </c>
      <c r="E5" s="42" t="n">
        <v>1351</v>
      </c>
    </row>
    <row r="6">
      <c r="A6" s="5" t="inlineStr">
        <is>
          <t>3. CARPETA SEMANAL:</t>
        </is>
      </c>
      <c r="B6" s="8" t="inlineStr">
        <is>
          <t>Viajes de Mezcla:</t>
        </is>
      </c>
      <c r="C6" s="41" t="n">
        <v>58</v>
      </c>
      <c r="D6" s="8" t="inlineStr">
        <is>
          <t>Volumen Carpeta (m³):</t>
        </is>
      </c>
      <c r="E6" s="42" t="n">
        <v>812</v>
      </c>
      <c r="F6" s="8" t="inlineStr">
        <is>
          <t>Toneladas Carpeta (Ton):</t>
        </is>
      </c>
      <c r="G6" s="17">
        <f>E6*$E$4</f>
        <v/>
      </c>
    </row>
    <row r="8" ht="27.75" customHeight="1" s="46">
      <c r="A8" s="10" t="inlineStr">
        <is>
          <t>No.</t>
        </is>
      </c>
      <c r="B8" s="10" t="inlineStr">
        <is>
          <t>Económico</t>
        </is>
      </c>
      <c r="C8" s="10" t="inlineStr">
        <is>
          <t>Equipo / Maquinaria</t>
        </is>
      </c>
      <c r="D8" s="10" t="inlineStr">
        <is>
          <t>Operador Asignado</t>
        </is>
      </c>
      <c r="E8" s="10" t="inlineStr">
        <is>
          <t>Concepto de Trabajo</t>
        </is>
      </c>
      <c r="F8" s="10" t="inlineStr">
        <is>
          <t>Viajes Asignados</t>
        </is>
      </c>
      <c r="G8" s="10" t="inlineStr">
        <is>
          <t>Volumen (m³)</t>
        </is>
      </c>
      <c r="H8" s="10" t="inlineStr">
        <is>
          <t>Toneladas (Ton)</t>
        </is>
      </c>
      <c r="I8" s="10" t="inlineStr">
        <is>
          <t>Diésel Surtido (L)</t>
        </is>
      </c>
      <c r="J8" s="10" t="inlineStr">
        <is>
          <t>Rendimiento Real (L/Ton)</t>
        </is>
      </c>
      <c r="K8" s="10" t="inlineStr">
        <is>
          <t>Rendimiento Real (L/m³)</t>
        </is>
      </c>
      <c r="L8" s="10" t="inlineStr">
        <is>
          <t>Rend. Base (L/h)</t>
        </is>
      </c>
      <c r="M8" s="10" t="inlineStr">
        <is>
          <t>Horas Est. Operación</t>
        </is>
      </c>
      <c r="N8" s="10" t="inlineStr">
        <is>
          <t>Estatus Operativo</t>
        </is>
      </c>
    </row>
    <row r="9" ht="19.5" customHeight="1" s="46">
      <c r="A9" s="12" t="n">
        <v>1</v>
      </c>
      <c r="B9" s="12" t="inlineStr">
        <is>
          <t>PRR-01</t>
        </is>
      </c>
      <c r="C9" s="13" t="inlineStr">
        <is>
          <t>PERFILADORA WIRTGEN W200i</t>
        </is>
      </c>
      <c r="D9" s="13" t="inlineStr">
        <is>
          <t>JAVIER PAREDES CORTE</t>
        </is>
      </c>
      <c r="E9" s="13" t="inlineStr">
        <is>
          <t>Fresado de Pavimento</t>
        </is>
      </c>
      <c r="F9" s="14">
        <f>$C$5</f>
        <v/>
      </c>
      <c r="G9" s="37">
        <f>$E$5</f>
        <v/>
      </c>
      <c r="H9" s="18" t="inlineStr">
        <is>
          <t>-</t>
        </is>
      </c>
      <c r="I9" s="37" t="n">
        <v>1970</v>
      </c>
      <c r="J9" s="19" t="inlineStr">
        <is>
          <t>-</t>
        </is>
      </c>
      <c r="K9" s="20">
        <f>IF(G9&gt;0, I9/G9, 0)</f>
        <v/>
      </c>
      <c r="L9" s="21" t="n">
        <v>67.2</v>
      </c>
      <c r="M9" s="22">
        <f>IF(L9&gt;0, I9/L9, 0)</f>
        <v/>
      </c>
      <c r="N9" s="12">
        <f>IF(I9=0, "SIN CONSUMO (Inactiva)", IF(A9=1, IF(K9&lt;=0.85, "DENTRO DE RENDIMIENTO BASE", "EXCEDE RENDIMIENTO BASE"), IF(A9=2, IF(J9&lt;=0.38, "DENTRO DE RENDIMIENTO BASE", "EXCEDE RENDIMIENTO BASE"), IF(OR(A9=3,A9=4,A9=5,A9=6), IF(J9&lt;=0.08, "DENTRO DE RENDIMIENTO BASE", "EXCEDE RENDIMIENTO BASE"), IF(A9=7, IF(J9&lt;=0.07, "DENTRO DE RENDIMIENTO BASE", "EXCEDE RENDIMIENTO BASE"), IF(A9=8, IF(K9&lt;=0.22, "DENTRO DE RENDIMIENTO BASE", "EXCEDE RENDIMIENTO BASE"), IF(A9=9, IF(J9&lt;=0.075, "DENTRO DE RENDIMIENTO BASE", "EXCEDE RENDIMIENTO BASE"), "APOYO PUNTUAL")))))))</f>
        <v/>
      </c>
    </row>
    <row r="10" ht="19.5" customHeight="1" s="46">
      <c r="A10" s="12" t="n">
        <v>2</v>
      </c>
      <c r="B10" s="12" t="inlineStr">
        <is>
          <t>VG-01</t>
        </is>
      </c>
      <c r="C10" s="13" t="inlineStr">
        <is>
          <t>PAVIMENTADORA VÖGELE SUPER 1800-3i</t>
        </is>
      </c>
      <c r="D10" s="13" t="inlineStr">
        <is>
          <t>ERWIN CUTEÑO HERNANDEZ</t>
        </is>
      </c>
      <c r="E10" s="13" t="inlineStr">
        <is>
          <t>Tendido de Mezcla Asfáltica</t>
        </is>
      </c>
      <c r="F10" s="14">
        <f>$C$6</f>
        <v/>
      </c>
      <c r="G10" s="37">
        <f>$E$6</f>
        <v/>
      </c>
      <c r="H10" s="16">
        <f>G10*$E$4</f>
        <v/>
      </c>
      <c r="I10" s="37" t="n">
        <v>530</v>
      </c>
      <c r="J10" s="20">
        <f>IF(H10&gt;0, I10/H10, 0)</f>
        <v/>
      </c>
      <c r="K10" s="20">
        <f>IF(G10&gt;0, I10/G10, 0)</f>
        <v/>
      </c>
      <c r="L10" s="21" t="n">
        <v>16.24</v>
      </c>
      <c r="M10" s="22">
        <f>IF(L10&gt;0, I10/L10, 0)</f>
        <v/>
      </c>
      <c r="N10" s="12">
        <f>IF(I10=0, "SIN CONSUMO (Inactiva)", IF(A10=1, IF(K10&lt;=0.85, "DENTRO DE RENDIMIENTO BASE", "EXCEDE RENDIMIENTO BASE"), IF(A10=2, IF(J10&lt;=0.38, "DENTRO DE RENDIMIENTO BASE", "EXCEDE RENDIMIENTO BASE"), IF(OR(A10=3,A10=4,A10=5,A10=6), IF(J10&lt;=0.08, "DENTRO DE RENDIMIENTO BASE", "EXCEDE RENDIMIENTO BASE"), IF(A10=7, IF(J10&lt;=0.07, "DENTRO DE RENDIMIENTO BASE", "EXCEDE RENDIMIENTO BASE"), IF(A10=8, IF(K10&lt;=0.22, "DENTRO DE RENDIMIENTO BASE", "EXCEDE RENDIMIENTO BASE"), IF(A10=9, IF(J10&lt;=0.075, "DENTRO DE RENDIMIENTO BASE", "EXCEDE RENDIMIENTO BASE"), "APOYO PUNTUAL")))))))</f>
        <v/>
      </c>
    </row>
    <row r="11" ht="19.5" customHeight="1" s="46">
      <c r="A11" s="12" t="n">
        <v>3</v>
      </c>
      <c r="B11" s="12" t="inlineStr">
        <is>
          <t>DR-01</t>
        </is>
      </c>
      <c r="C11" s="13" t="inlineStr">
        <is>
          <t>COMPACTADOR TÁNDEM HAMM-HD120 VV</t>
        </is>
      </c>
      <c r="D11" s="13" t="inlineStr">
        <is>
          <t>JOEL ALBERTO RIVERA RIVAS</t>
        </is>
      </c>
      <c r="E11" s="13" t="inlineStr">
        <is>
          <t>Compactación Tándem Primaria</t>
        </is>
      </c>
      <c r="F11" s="14">
        <f>$C$6</f>
        <v/>
      </c>
      <c r="G11" s="37">
        <f>$E$6</f>
        <v/>
      </c>
      <c r="H11" s="16">
        <f>G11*$E$4</f>
        <v/>
      </c>
      <c r="I11" s="37" t="n">
        <v>0</v>
      </c>
      <c r="J11" s="20">
        <f>IF(H11&gt;0, I11/H11, 0)</f>
        <v/>
      </c>
      <c r="K11" s="20">
        <f>IF(G11&gt;0, I11/G11, 0)</f>
        <v/>
      </c>
      <c r="L11" s="21" t="n">
        <v>14.3</v>
      </c>
      <c r="M11" s="22">
        <f>IF(L11&gt;0, I11/L11, 0)</f>
        <v/>
      </c>
      <c r="N11" s="12">
        <f>IF(I11=0, "SIN CONSUMO (Inactiva)", IF(A11=1, IF(K11&lt;=0.85, "DENTRO DE RENDIMIENTO BASE", "EXCEDE RENDIMIENTO BASE"), IF(A11=2, IF(J11&lt;=0.38, "DENTRO DE RENDIMIENTO BASE", "EXCEDE RENDIMIENTO BASE"), IF(OR(A11=3,A11=4,A11=5,A11=6), IF(J11&lt;=0.08, "DENTRO DE RENDIMIENTO BASE", "EXCEDE RENDIMIENTO BASE"), IF(A11=7, IF(J11&lt;=0.07, "DENTRO DE RENDIMIENTO BASE", "EXCEDE RENDIMIENTO BASE"), IF(A11=8, IF(K11&lt;=0.22, "DENTRO DE RENDIMIENTO BASE", "EXCEDE RENDIMIENTO BASE"), IF(A11=9, IF(J11&lt;=0.075, "DENTRO DE RENDIMIENTO BASE", "EXCEDE RENDIMIENTO BASE"), "APOYO PUNTUAL")))))))</f>
        <v/>
      </c>
    </row>
    <row r="12" ht="19.5" customHeight="1" s="46">
      <c r="A12" s="12" t="n">
        <v>4</v>
      </c>
      <c r="B12" s="12" t="inlineStr">
        <is>
          <t>DR-02</t>
        </is>
      </c>
      <c r="C12" s="13" t="inlineStr">
        <is>
          <t>COMPACTADOR TÁNDEM HAMM-HD140</t>
        </is>
      </c>
      <c r="D12" s="13" t="inlineStr">
        <is>
          <t>ALEXIS RENDON DOMINGUEZ</t>
        </is>
      </c>
      <c r="E12" s="13" t="inlineStr">
        <is>
          <t>Compactación Tándem Pesada</t>
        </is>
      </c>
      <c r="F12" s="14">
        <f>$C$6</f>
        <v/>
      </c>
      <c r="G12" s="37">
        <f>$E$6</f>
        <v/>
      </c>
      <c r="H12" s="16">
        <f>G12*$E$4</f>
        <v/>
      </c>
      <c r="I12" s="37" t="n">
        <v>0</v>
      </c>
      <c r="J12" s="20">
        <f>IF(H12&gt;0, I12/H12, 0)</f>
        <v/>
      </c>
      <c r="K12" s="20">
        <f>IF(G12&gt;0, I12/G12, 0)</f>
        <v/>
      </c>
      <c r="L12" s="21" t="n">
        <v>14.3</v>
      </c>
      <c r="M12" s="22">
        <f>IF(L12&gt;0, I12/L12, 0)</f>
        <v/>
      </c>
      <c r="N12" s="12">
        <f>IF(I12=0, "SIN CONSUMO (Inactiva)", IF(A12=1, IF(K12&lt;=0.85, "DENTRO DE RENDIMIENTO BASE", "EXCEDE RENDIMIENTO BASE"), IF(A12=2, IF(J12&lt;=0.38, "DENTRO DE RENDIMIENTO BASE", "EXCEDE RENDIMIENTO BASE"), IF(OR(A12=3,A12=4,A12=5,A12=6), IF(J12&lt;=0.08, "DENTRO DE RENDIMIENTO BASE", "EXCEDE RENDIMIENTO BASE"), IF(A12=7, IF(J12&lt;=0.07, "DENTRO DE RENDIMIENTO BASE", "EXCEDE RENDIMIENTO BASE"), IF(A12=8, IF(K12&lt;=0.22, "DENTRO DE RENDIMIENTO BASE", "EXCEDE RENDIMIENTO BASE"), IF(A12=9, IF(J12&lt;=0.075, "DENTRO DE RENDIMIENTO BASE", "EXCEDE RENDIMIENTO BASE"), "APOYO PUNTUAL")))))))</f>
        <v/>
      </c>
    </row>
    <row r="13" ht="19.5" customHeight="1" s="46">
      <c r="A13" s="12" t="n">
        <v>5</v>
      </c>
      <c r="B13" s="12" t="inlineStr">
        <is>
          <t>NM-01</t>
        </is>
      </c>
      <c r="C13" s="13" t="inlineStr">
        <is>
          <t>COMPACTADOR NEUMÁTICO DYNAPAC CP271</t>
        </is>
      </c>
      <c r="D13" s="13" t="inlineStr">
        <is>
          <t>JOSE CARLOS ROMERO TELLEZ</t>
        </is>
      </c>
      <c r="E13" s="13" t="inlineStr">
        <is>
          <t>Compactación Neumática / Sellado</t>
        </is>
      </c>
      <c r="F13" s="14">
        <f>$C$6</f>
        <v/>
      </c>
      <c r="G13" s="37">
        <f>$E$6</f>
        <v/>
      </c>
      <c r="H13" s="16">
        <f>G13*$E$4</f>
        <v/>
      </c>
      <c r="I13" s="37" t="n">
        <v>40</v>
      </c>
      <c r="J13" s="20">
        <f>IF(H13&gt;0, I13/H13, 0)</f>
        <v/>
      </c>
      <c r="K13" s="20">
        <f>IF(G13&gt;0, I13/G13, 0)</f>
        <v/>
      </c>
      <c r="L13" s="21" t="n">
        <v>11.44</v>
      </c>
      <c r="M13" s="22">
        <f>IF(L13&gt;0, I13/L13, 0)</f>
        <v/>
      </c>
      <c r="N13" s="12">
        <f>IF(I13=0, "SIN CONSUMO (Inactiva)", IF(A13=1, IF(K13&lt;=0.85, "DENTRO DE RENDIMIENTO BASE", "EXCEDE RENDIMIENTO BASE"), IF(A13=2, IF(J13&lt;=0.38, "DENTRO DE RENDIMIENTO BASE", "EXCEDE RENDIMIENTO BASE"), IF(OR(A13=3,A13=4,A13=5,A13=6), IF(J13&lt;=0.08, "DENTRO DE RENDIMIENTO BASE", "EXCEDE RENDIMIENTO BASE"), IF(A13=7, IF(J13&lt;=0.07, "DENTRO DE RENDIMIENTO BASE", "EXCEDE RENDIMIENTO BASE"), IF(A13=8, IF(K13&lt;=0.22, "DENTRO DE RENDIMIENTO BASE", "EXCEDE RENDIMIENTO BASE"), IF(A13=9, IF(J13&lt;=0.075, "DENTRO DE RENDIMIENTO BASE", "EXCEDE RENDIMIENTO BASE"), "APOYO PUNTUAL")))))))</f>
        <v/>
      </c>
    </row>
    <row r="14" ht="19.5" customHeight="1" s="46">
      <c r="A14" s="12" t="n">
        <v>6</v>
      </c>
      <c r="B14" s="12" t="inlineStr">
        <is>
          <t>NM-09</t>
        </is>
      </c>
      <c r="C14" s="13" t="inlineStr">
        <is>
          <t>COMPACTADOR NEUMÁTICO HAMM 208</t>
        </is>
      </c>
      <c r="D14" s="13" t="inlineStr">
        <is>
          <t>NOLVIN DE JESUS PEREZ GOMEZ</t>
        </is>
      </c>
      <c r="E14" s="13" t="inlineStr">
        <is>
          <t>Compactación Neumática / Acabado</t>
        </is>
      </c>
      <c r="F14" s="14">
        <f>$C$6</f>
        <v/>
      </c>
      <c r="G14" s="37">
        <f>$E$6</f>
        <v/>
      </c>
      <c r="H14" s="16">
        <f>G14*$E$4</f>
        <v/>
      </c>
      <c r="I14" s="37" t="n">
        <v>0</v>
      </c>
      <c r="J14" s="20">
        <f>IF(H14&gt;0, I14/H14, 0)</f>
        <v/>
      </c>
      <c r="K14" s="20">
        <f>IF(G14&gt;0, I14/G14, 0)</f>
        <v/>
      </c>
      <c r="L14" s="21" t="n">
        <v>10.96</v>
      </c>
      <c r="M14" s="22">
        <f>IF(L14&gt;0, I14/L14, 0)</f>
        <v/>
      </c>
      <c r="N14" s="12">
        <f>IF(I14=0, "SIN CONSUMO (Inactiva)", IF(A14=1, IF(K14&lt;=0.85, "DENTRO DE RENDIMIENTO BASE", "EXCEDE RENDIMIENTO BASE"), IF(A14=2, IF(J14&lt;=0.38, "DENTRO DE RENDIMIENTO BASE", "EXCEDE RENDIMIENTO BASE"), IF(OR(A14=3,A14=4,A14=5,A14=6), IF(J14&lt;=0.08, "DENTRO DE RENDIMIENTO BASE", "EXCEDE RENDIMIENTO BASE"), IF(A14=7, IF(J14&lt;=0.07, "DENTRO DE RENDIMIENTO BASE", "EXCEDE RENDIMIENTO BASE"), IF(A14=8, IF(K14&lt;=0.22, "DENTRO DE RENDIMIENTO BASE", "EXCEDE RENDIMIENTO BASE"), IF(A14=9, IF(J14&lt;=0.075, "DENTRO DE RENDIMIENTO BASE", "EXCEDE RENDIMIENTO BASE"), "APOYO PUNTUAL")))))))</f>
        <v/>
      </c>
    </row>
    <row r="15" ht="19.5" customHeight="1" s="46">
      <c r="A15" s="12" t="n">
        <v>7</v>
      </c>
      <c r="B15" s="12" t="inlineStr">
        <is>
          <t>BR-01</t>
        </is>
      </c>
      <c r="C15" s="13" t="inlineStr">
        <is>
          <t>BARREDORA INDUSTRIAL BROCE BROOM-350</t>
        </is>
      </c>
      <c r="D15" s="13" t="inlineStr">
        <is>
          <t>EDGAR ROSALES MARTINEZ</t>
        </is>
      </c>
      <c r="E15" s="13" t="inlineStr">
        <is>
          <t>Limpieza y Barrido Previo</t>
        </is>
      </c>
      <c r="F15" s="14">
        <f>$C$6</f>
        <v/>
      </c>
      <c r="G15" s="37">
        <f>$E$6</f>
        <v/>
      </c>
      <c r="H15" s="16">
        <f>G15*$E$4</f>
        <v/>
      </c>
      <c r="I15" s="37" t="n">
        <v>110</v>
      </c>
      <c r="J15" s="20">
        <f>IF(H15&gt;0, I15/H15, 0)</f>
        <v/>
      </c>
      <c r="K15" s="20">
        <f>IF(G15&gt;0, I15/G15, 0)</f>
        <v/>
      </c>
      <c r="L15" s="21" t="n">
        <v>8.94</v>
      </c>
      <c r="M15" s="22">
        <f>IF(L15&gt;0, I15/L15, 0)</f>
        <v/>
      </c>
      <c r="N15" s="12">
        <f>IF(I15=0, "SIN CONSUMO (Inactiva)", IF(A15=1, IF(K15&lt;=0.85, "DENTRO DE RENDIMIENTO BASE", "EXCEDE RENDIMIENTO BASE"), IF(A15=2, IF(J15&lt;=0.38, "DENTRO DE RENDIMIENTO BASE", "EXCEDE RENDIMIENTO BASE"), IF(OR(A15=3,A15=4,A15=5,A15=6), IF(J15&lt;=0.08, "DENTRO DE RENDIMIENTO BASE", "EXCEDE RENDIMIENTO BASE"), IF(A15=7, IF(J15&lt;=0.07, "DENTRO DE RENDIMIENTO BASE", "EXCEDE RENDIMIENTO BASE"), IF(A15=8, IF(K15&lt;=0.22, "DENTRO DE RENDIMIENTO BASE", "EXCEDE RENDIMIENTO BASE"), IF(A15=9, IF(J15&lt;=0.075, "DENTRO DE RENDIMIENTO BASE", "EXCEDE RENDIMIENTO BASE"), "APOYO PUNTUAL")))))))</f>
        <v/>
      </c>
    </row>
    <row r="16" ht="19.5" customHeight="1" s="46">
      <c r="A16" s="12" t="n">
        <v>8</v>
      </c>
      <c r="B16" s="12" t="inlineStr">
        <is>
          <t>RT-05</t>
        </is>
      </c>
      <c r="C16" s="13" t="inlineStr">
        <is>
          <t>RETROEXCAVADORA JOHN DEERE 310SK</t>
        </is>
      </c>
      <c r="D16" s="13" t="inlineStr">
        <is>
          <t>ADOLFO NAVA LOPEZ</t>
        </is>
      </c>
      <c r="E16" s="13" t="inlineStr">
        <is>
          <t>Carga Fresado y Derrumbes</t>
        </is>
      </c>
      <c r="F16" s="14">
        <f>$C$5</f>
        <v/>
      </c>
      <c r="G16" s="37">
        <f>$E$5</f>
        <v/>
      </c>
      <c r="H16" s="18" t="inlineStr">
        <is>
          <t>-</t>
        </is>
      </c>
      <c r="I16" s="37" t="n">
        <v>550</v>
      </c>
      <c r="J16" s="19" t="inlineStr">
        <is>
          <t>-</t>
        </is>
      </c>
      <c r="K16" s="20">
        <f>IF(G16&gt;0, I16/G16, 0)</f>
        <v/>
      </c>
      <c r="L16" s="21" t="n">
        <v>7.44</v>
      </c>
      <c r="M16" s="22">
        <f>IF(L16&gt;0, I16/L16, 0)</f>
        <v/>
      </c>
      <c r="N16" s="12">
        <f>IF(I16=0, "SIN CONSUMO (Inactiva)", IF(A16=1, IF(K16&lt;=0.85, "DENTRO DE RENDIMIENTO BASE", "EXCEDE RENDIMIENTO BASE"), IF(A16=2, IF(J16&lt;=0.38, "DENTRO DE RENDIMIENTO BASE", "EXCEDE RENDIMIENTO BASE"), IF(OR(A16=3,A16=4,A16=5,A16=6), IF(J16&lt;=0.08, "DENTRO DE RENDIMIENTO BASE", "EXCEDE RENDIMIENTO BASE"), IF(A16=7, IF(J16&lt;=0.07, "DENTRO DE RENDIMIENTO BASE", "EXCEDE RENDIMIENTO BASE"), IF(A16=8, IF(K16&lt;=0.22, "DENTRO DE RENDIMIENTO BASE", "EXCEDE RENDIMIENTO BASE"), IF(A16=9, IF(J16&lt;=0.075, "DENTRO DE RENDIMIENTO BASE", "EXCEDE RENDIMIENTO BASE"), "APOYO PUNTUAL")))))))</f>
        <v/>
      </c>
    </row>
    <row r="17" ht="19.5" customHeight="1" s="46">
      <c r="A17" s="12" t="n">
        <v>9</v>
      </c>
      <c r="B17" s="12" t="inlineStr">
        <is>
          <t>PT-01</t>
        </is>
      </c>
      <c r="C17" s="13" t="inlineStr">
        <is>
          <t>PETROLIZADORA INTERNATIONAL / FORD F800</t>
        </is>
      </c>
      <c r="D17" s="13" t="inlineStr">
        <is>
          <t>ELTHON EDUARDO MARTINEZ GOMORA</t>
        </is>
      </c>
      <c r="E17" s="13" t="inlineStr">
        <is>
          <t>Riego de Liga / Emulsión</t>
        </is>
      </c>
      <c r="F17" s="14">
        <f>$C$6</f>
        <v/>
      </c>
      <c r="G17" s="37">
        <f>$E$6</f>
        <v/>
      </c>
      <c r="H17" s="16">
        <f>G17*$E$4</f>
        <v/>
      </c>
      <c r="I17" s="37" t="n">
        <v>180</v>
      </c>
      <c r="J17" s="20">
        <f>IF(H17&gt;0, I17/H17, 0)</f>
        <v/>
      </c>
      <c r="K17" s="20">
        <f>IF(G17&gt;0, I17/G17, 0)</f>
        <v/>
      </c>
      <c r="L17" s="21" t="n">
        <v>12.76</v>
      </c>
      <c r="M17" s="22">
        <f>IF(L17&gt;0, I17/L17, 0)</f>
        <v/>
      </c>
      <c r="N17" s="12">
        <f>IF(I17=0, "SIN CONSUMO (Inactiva)", IF(A17=1, IF(K17&lt;=0.85, "DENTRO DE RENDIMIENTO BASE", "EXCEDE RENDIMIENTO BASE"), IF(A17=2, IF(J17&lt;=0.38, "DENTRO DE RENDIMIENTO BASE", "EXCEDE RENDIMIENTO BASE"), IF(OR(A17=3,A17=4,A17=5,A17=6), IF(J17&lt;=0.08, "DENTRO DE RENDIMIENTO BASE", "EXCEDE RENDIMIENTO BASE"), IF(A17=7, IF(J17&lt;=0.07, "DENTRO DE RENDIMIENTO BASE", "EXCEDE RENDIMIENTO BASE"), IF(A17=8, IF(K17&lt;=0.22, "DENTRO DE RENDIMIENTO BASE", "EXCEDE RENDIMIENTO BASE"), IF(A17=9, IF(J17&lt;=0.075, "DENTRO DE RENDIMIENTO BASE", "EXCEDE RENDIMIENTO BASE"), "APOYO PUNTUAL")))))))</f>
        <v/>
      </c>
    </row>
    <row r="18" ht="19.5" customHeight="1" s="46">
      <c r="A18" s="12" t="n">
        <v>10</v>
      </c>
      <c r="B18" s="12" t="inlineStr">
        <is>
          <t>CPR-01</t>
        </is>
      </c>
      <c r="C18" s="13" t="inlineStr">
        <is>
          <t>COMPRESOR DE AIRE INGERSOLL RAND IR185</t>
        </is>
      </c>
      <c r="D18" s="13" t="inlineStr">
        <is>
          <t>CUADRILLA DE LIMPIEZA</t>
        </is>
      </c>
      <c r="E18" s="13" t="inlineStr">
        <is>
          <t>Sopleteado de Juntas</t>
        </is>
      </c>
      <c r="F18" s="14" t="n">
        <v>0</v>
      </c>
      <c r="G18" s="37" t="n">
        <v>0</v>
      </c>
      <c r="H18" s="16" t="n">
        <v>0</v>
      </c>
      <c r="I18" s="37" t="n">
        <v>0</v>
      </c>
      <c r="J18" s="20" t="n">
        <v>0</v>
      </c>
      <c r="K18" s="20" t="n">
        <v>0</v>
      </c>
      <c r="L18" s="21" t="n">
        <v>9.970000000000001</v>
      </c>
      <c r="M18" s="22">
        <f>IF(L18&gt;0, I18/L18, 0)</f>
        <v/>
      </c>
      <c r="N18" s="12">
        <f>IF(I18=0, "SIN CONSUMO (Inactiva)", IF(A18=1, IF(K18&lt;=0.85, "DENTRO DE RENDIMIENTO BASE", "EXCEDE RENDIMIENTO BASE"), IF(A18=2, IF(J18&lt;=0.38, "DENTRO DE RENDIMIENTO BASE", "EXCEDE RENDIMIENTO BASE"), IF(OR(A18=3,A18=4,A18=5,A18=6), IF(J18&lt;=0.08, "DENTRO DE RENDIMIENTO BASE", "EXCEDE RENDIMIENTO BASE"), IF(A18=7, IF(J18&lt;=0.07, "DENTRO DE RENDIMIENTO BASE", "EXCEDE RENDIMIENTO BASE"), IF(A18=8, IF(K18&lt;=0.22, "DENTRO DE RENDIMIENTO BASE", "EXCEDE RENDIMIENTO BASE"), IF(A18=9, IF(J18&lt;=0.075, "DENTRO DE RENDIMIENTO BASE", "EXCEDE RENDIMIENTO BASE"), "APOYO PUNTUAL")))))))</f>
        <v/>
      </c>
    </row>
    <row r="19" ht="19.5" customHeight="1" s="46">
      <c r="A19" s="12" t="n">
        <v>11</v>
      </c>
      <c r="B19" s="12" t="inlineStr">
        <is>
          <t>PP-01</t>
        </is>
      </c>
      <c r="C19" s="13" t="inlineStr">
        <is>
          <t>CAMIÓN IMPACTO / PIPA DE AGUA FORD</t>
        </is>
      </c>
      <c r="D19" s="13" t="inlineStr">
        <is>
          <t>CUADRILLA DE AGUA</t>
        </is>
      </c>
      <c r="E19" s="13" t="inlineStr">
        <is>
          <t>Enfriamiento Rodillos / Riego</t>
        </is>
      </c>
      <c r="F19" s="14" t="n">
        <v>0</v>
      </c>
      <c r="G19" s="37" t="n">
        <v>0</v>
      </c>
      <c r="H19" s="16" t="n">
        <v>0</v>
      </c>
      <c r="I19" s="37" t="n">
        <v>0</v>
      </c>
      <c r="J19" s="20" t="n">
        <v>0</v>
      </c>
      <c r="K19" s="20" t="n">
        <v>0</v>
      </c>
      <c r="L19" s="21" t="n">
        <v>3.03</v>
      </c>
      <c r="M19" s="22">
        <f>IF(L19&gt;0, I19/L19, 0)</f>
        <v/>
      </c>
      <c r="N19" s="12">
        <f>IF(I19=0, "SIN CONSUMO (Inactiva)", IF(A19=1, IF(K19&lt;=0.85, "DENTRO DE RENDIMIENTO BASE", "EXCEDE RENDIMIENTO BASE"), IF(A19=2, IF(J19&lt;=0.38, "DENTRO DE RENDIMIENTO BASE", "EXCEDE RENDIMIENTO BASE"), IF(OR(A19=3,A19=4,A19=5,A19=6), IF(J19&lt;=0.08, "DENTRO DE RENDIMIENTO BASE", "EXCEDE RENDIMIENTO BASE"), IF(A19=7, IF(J19&lt;=0.07, "DENTRO DE RENDIMIENTO BASE", "EXCEDE RENDIMIENTO BASE"), IF(A19=8, IF(K19&lt;=0.22, "DENTRO DE RENDIMIENTO BASE", "EXCEDE RENDIMIENTO BASE"), IF(A19=9, IF(J19&lt;=0.075, "DENTRO DE RENDIMIENTO BASE", "EXCEDE RENDIMIENTO BASE"), "APOYO PUNTUAL")))))))</f>
        <v/>
      </c>
    </row>
    <row r="20" ht="19.5" customHeight="1" s="46">
      <c r="A20" s="12" t="n">
        <v>12</v>
      </c>
      <c r="B20" s="12" t="inlineStr">
        <is>
          <t>TL-01</t>
        </is>
      </c>
      <c r="C20" s="13" t="inlineStr">
        <is>
          <t>TORRE DE LUZ MAXILIGHT 4X1000W</t>
        </is>
      </c>
      <c r="D20" s="13" t="inlineStr">
        <is>
          <t>CUADRILLA NOCTURNA</t>
        </is>
      </c>
      <c r="E20" s="13" t="inlineStr">
        <is>
          <t>Iluminación Nocturna</t>
        </is>
      </c>
      <c r="F20" s="14" t="n">
        <v>0</v>
      </c>
      <c r="G20" s="37" t="n">
        <v>0</v>
      </c>
      <c r="H20" s="16" t="n">
        <v>0</v>
      </c>
      <c r="I20" s="37" t="n">
        <v>0</v>
      </c>
      <c r="J20" s="20" t="n">
        <v>0</v>
      </c>
      <c r="K20" s="20" t="n">
        <v>0</v>
      </c>
      <c r="L20" s="21" t="n">
        <v>2.41</v>
      </c>
      <c r="M20" s="22">
        <f>IF(L20&gt;0, I20/L20, 0)</f>
        <v/>
      </c>
      <c r="N20" s="12">
        <f>IF(I20=0, "SIN CONSUMO (Inactiva)", IF(A20=1, IF(K20&lt;=0.85, "DENTRO DE RENDIMIENTO BASE", "EXCEDE RENDIMIENTO BASE"), IF(A20=2, IF(J20&lt;=0.38, "DENTRO DE RENDIMIENTO BASE", "EXCEDE RENDIMIENTO BASE"), IF(OR(A20=3,A20=4,A20=5,A20=6), IF(J20&lt;=0.08, "DENTRO DE RENDIMIENTO BASE", "EXCEDE RENDIMIENTO BASE"), IF(A20=7, IF(J20&lt;=0.07, "DENTRO DE RENDIMIENTO BASE", "EXCEDE RENDIMIENTO BASE"), IF(A20=8, IF(K20&lt;=0.22, "DENTRO DE RENDIMIENTO BASE", "EXCEDE RENDIMIENTO BASE"), IF(A20=9, IF(J20&lt;=0.075, "DENTRO DE RENDIMIENTO BASE", "EXCEDE RENDIMIENTO BASE"), "APOYO PUNTUAL")))))))</f>
        <v/>
      </c>
    </row>
    <row r="21" ht="21.75" customHeight="1" s="46">
      <c r="A21" s="30" t="inlineStr">
        <is>
          <t>TOTAL SEMANA 29 (OBRA CARRETERA MÉXICO-TOLUCA)</t>
        </is>
      </c>
      <c r="B21" s="50" t="n"/>
      <c r="C21" s="50" t="n"/>
      <c r="D21" s="50" t="n"/>
      <c r="E21" s="51" t="n"/>
      <c r="F21" s="26">
        <f>C5+C6</f>
        <v/>
      </c>
      <c r="G21" s="27">
        <f>E5+E6</f>
        <v/>
      </c>
      <c r="H21" s="28">
        <f>G6</f>
        <v/>
      </c>
      <c r="I21" s="27">
        <f>SUM(I9:I20)</f>
        <v/>
      </c>
      <c r="J21" s="29">
        <f>IF(H21&gt;0, I21/H21, 0)</f>
        <v/>
      </c>
      <c r="K21" s="29">
        <f>IF(G21&gt;0, I21/G21, 0)</f>
        <v/>
      </c>
      <c r="L21" s="30" t="inlineStr">
        <is>
          <t>—</t>
        </is>
      </c>
      <c r="M21" s="31">
        <f>SUM(M9:M20)</f>
        <v/>
      </c>
      <c r="N21" s="30" t="inlineStr">
        <is>
          <t>SEMANA REGISTRADA</t>
        </is>
      </c>
    </row>
    <row r="22" ht="15.75" customHeight="1" s="46"/>
    <row r="23" ht="15.75" customHeight="1" s="46"/>
    <row r="24" ht="24" customHeight="1" s="46">
      <c r="A24" s="96" t="inlineStr">
        <is>
          <t>DESGLOSE DIARIO DE COMBUSTIBLE, VOLUMEN, TONELAJE Y RENDIMIENTO — SEMANA 29</t>
        </is>
      </c>
    </row>
    <row r="25" ht="19.5" customHeight="1" s="46">
      <c r="A25" s="48" t="inlineStr">
        <is>
          <t>DATOS DEL EQUIPO</t>
        </is>
      </c>
      <c r="F25" s="48" t="inlineStr">
        <is>
          <t>LUNES</t>
        </is>
      </c>
      <c r="J25" s="48" t="inlineStr">
        <is>
          <t>MARTES</t>
        </is>
      </c>
      <c r="N25" s="48" t="inlineStr">
        <is>
          <t>MIÉRCOLES</t>
        </is>
      </c>
      <c r="R25" s="48" t="inlineStr">
        <is>
          <t>JUEVES</t>
        </is>
      </c>
      <c r="V25" s="48" t="inlineStr">
        <is>
          <t>VIERNES</t>
        </is>
      </c>
      <c r="Z25" s="48" t="inlineStr">
        <is>
          <t>SÁBADO</t>
        </is>
      </c>
      <c r="AD25" s="97" t="inlineStr">
        <is>
          <t>TOTAL SEMANAL</t>
        </is>
      </c>
    </row>
    <row r="26" ht="25.5" customHeight="1" s="46">
      <c r="A26" s="34" t="inlineStr">
        <is>
          <t>No.</t>
        </is>
      </c>
      <c r="B26" s="34" t="inlineStr">
        <is>
          <t>Económico</t>
        </is>
      </c>
      <c r="C26" s="34" t="inlineStr">
        <is>
          <t>Equipo / Maquinaria</t>
        </is>
      </c>
      <c r="D26" s="34" t="inlineStr">
        <is>
          <t>Operador Asignado</t>
        </is>
      </c>
      <c r="E26" s="34" t="inlineStr">
        <is>
          <t>Concepto de Trabajo</t>
        </is>
      </c>
      <c r="F26" s="34" t="inlineStr">
        <is>
          <t>Diésel (L)</t>
        </is>
      </c>
      <c r="G26" s="34" t="inlineStr">
        <is>
          <t>Volumen (m³)</t>
        </is>
      </c>
      <c r="H26" s="34" t="inlineStr">
        <is>
          <t>Toneladas (Ton)</t>
        </is>
      </c>
      <c r="I26" s="34" t="inlineStr">
        <is>
          <t>Rendimiento Real</t>
        </is>
      </c>
      <c r="J26" s="34" t="inlineStr">
        <is>
          <t>Diésel (L)</t>
        </is>
      </c>
      <c r="K26" s="34" t="inlineStr">
        <is>
          <t>Volumen (m³)</t>
        </is>
      </c>
      <c r="L26" s="34" t="inlineStr">
        <is>
          <t>Toneladas (Ton)</t>
        </is>
      </c>
      <c r="M26" s="34" t="inlineStr">
        <is>
          <t>Rendimiento Real</t>
        </is>
      </c>
      <c r="N26" s="34" t="inlineStr">
        <is>
          <t>Diésel (L)</t>
        </is>
      </c>
      <c r="O26" s="34" t="inlineStr">
        <is>
          <t>Volumen (m³)</t>
        </is>
      </c>
      <c r="P26" s="34" t="inlineStr">
        <is>
          <t>Toneladas (Ton)</t>
        </is>
      </c>
      <c r="Q26" s="34" t="inlineStr">
        <is>
          <t>Rendimiento Real</t>
        </is>
      </c>
      <c r="R26" s="34" t="inlineStr">
        <is>
          <t>Diésel (L)</t>
        </is>
      </c>
      <c r="S26" s="34" t="inlineStr">
        <is>
          <t>Volumen (m³)</t>
        </is>
      </c>
      <c r="T26" s="34" t="inlineStr">
        <is>
          <t>Toneladas (Ton)</t>
        </is>
      </c>
      <c r="U26" s="34" t="inlineStr">
        <is>
          <t>Rendimiento Real</t>
        </is>
      </c>
      <c r="V26" s="34" t="inlineStr">
        <is>
          <t>Diésel (L)</t>
        </is>
      </c>
      <c r="W26" s="34" t="inlineStr">
        <is>
          <t>Volumen (m³)</t>
        </is>
      </c>
      <c r="X26" s="34" t="inlineStr">
        <is>
          <t>Toneladas (Ton)</t>
        </is>
      </c>
      <c r="Y26" s="34" t="inlineStr">
        <is>
          <t>Rendimiento Real</t>
        </is>
      </c>
      <c r="Z26" s="34" t="inlineStr">
        <is>
          <t>Diésel (L)</t>
        </is>
      </c>
      <c r="AA26" s="34" t="inlineStr">
        <is>
          <t>Volumen (m³)</t>
        </is>
      </c>
      <c r="AB26" s="34" t="inlineStr">
        <is>
          <t>Toneladas (Ton)</t>
        </is>
      </c>
      <c r="AC26" s="34" t="inlineStr">
        <is>
          <t>Rendimiento Real</t>
        </is>
      </c>
      <c r="AD26" s="35" t="inlineStr">
        <is>
          <t>Total Diésel (L)</t>
        </is>
      </c>
      <c r="AE26" s="35" t="inlineStr">
        <is>
          <t>Total Vol (m³)</t>
        </is>
      </c>
      <c r="AF26" s="35" t="inlineStr">
        <is>
          <t>Total Ton (Ton)</t>
        </is>
      </c>
      <c r="AG26" s="35" t="inlineStr">
        <is>
          <t>Rend. Promedio</t>
        </is>
      </c>
    </row>
    <row r="27" ht="18.75" customHeight="1" s="46">
      <c r="A27" s="12" t="n">
        <v>1</v>
      </c>
      <c r="B27" s="12" t="inlineStr">
        <is>
          <t>PRR-01</t>
        </is>
      </c>
      <c r="C27" s="13" t="inlineStr">
        <is>
          <t>PERFILADORA WIRTGEN W200i</t>
        </is>
      </c>
      <c r="D27" s="13" t="inlineStr">
        <is>
          <t>JAVIER PAREDES CORTE</t>
        </is>
      </c>
      <c r="E27" s="13" t="inlineStr">
        <is>
          <t>Fresado de Pavimento</t>
        </is>
      </c>
      <c r="F27" s="37" t="n">
        <v>0</v>
      </c>
      <c r="G27" s="37" t="n">
        <v>0</v>
      </c>
      <c r="H27" s="16">
        <f>G27*$E$4</f>
        <v/>
      </c>
      <c r="I27" s="20">
        <f>IF(G27&gt;0, F27/G27, 0)</f>
        <v/>
      </c>
      <c r="J27" s="37" t="n">
        <v>600</v>
      </c>
      <c r="K27" s="37" t="n">
        <v>371</v>
      </c>
      <c r="L27" s="16">
        <f>K27*$E$4</f>
        <v/>
      </c>
      <c r="M27" s="20">
        <f>IF(K27&gt;0, J27/K27, 0)</f>
        <v/>
      </c>
      <c r="N27" s="37" t="n">
        <v>680</v>
      </c>
      <c r="O27" s="37" t="n">
        <v>189</v>
      </c>
      <c r="P27" s="16">
        <f>O27*$E$4</f>
        <v/>
      </c>
      <c r="Q27" s="20">
        <f>IF(O27&gt;0, N27/O27, 0)</f>
        <v/>
      </c>
      <c r="R27" s="37" t="n">
        <v>0</v>
      </c>
      <c r="S27" s="37" t="n">
        <v>315</v>
      </c>
      <c r="T27" s="16">
        <f>S27*$E$4</f>
        <v/>
      </c>
      <c r="U27" s="20">
        <f>IF(S27&gt;0, R27/S27, 0)</f>
        <v/>
      </c>
      <c r="V27" s="37" t="n">
        <v>690</v>
      </c>
      <c r="W27" s="37" t="n">
        <v>287</v>
      </c>
      <c r="X27" s="16">
        <f>W27*$E$4</f>
        <v/>
      </c>
      <c r="Y27" s="20">
        <f>IF(W27&gt;0, V27/W27, 0)</f>
        <v/>
      </c>
      <c r="Z27" s="37" t="n">
        <v>0</v>
      </c>
      <c r="AA27" s="37" t="n">
        <v>189</v>
      </c>
      <c r="AB27" s="16">
        <f>AA27*$E$4</f>
        <v/>
      </c>
      <c r="AC27" s="20">
        <f>IF(AA27&gt;0, Z27/AA27, 0)</f>
        <v/>
      </c>
      <c r="AD27" s="37">
        <f>F27+J27+N27+R27+V27+Z27</f>
        <v/>
      </c>
      <c r="AE27" s="37">
        <f>G27+K27+O27+S27+W27+AA27</f>
        <v/>
      </c>
      <c r="AF27" s="16">
        <f>H27+L27+P27+T27+X27+AB27</f>
        <v/>
      </c>
      <c r="AG27" s="20">
        <f>IF(AE27&gt;0, AD27/AE27, 0)</f>
        <v/>
      </c>
    </row>
    <row r="28" ht="18.75" customHeight="1" s="46">
      <c r="A28" s="12" t="n">
        <v>2</v>
      </c>
      <c r="B28" s="12" t="inlineStr">
        <is>
          <t>VG-01</t>
        </is>
      </c>
      <c r="C28" s="13" t="inlineStr">
        <is>
          <t>PAVIMENTADORA VÖGELE SUPER 1800-3i</t>
        </is>
      </c>
      <c r="D28" s="13" t="inlineStr">
        <is>
          <t>ERWIN CUTEÑO HERNANDEZ</t>
        </is>
      </c>
      <c r="E28" s="13" t="inlineStr">
        <is>
          <t>Tendido de Mezcla Asfáltica</t>
        </is>
      </c>
      <c r="F28" s="37" t="n">
        <v>0</v>
      </c>
      <c r="G28" s="37" t="n">
        <v>0</v>
      </c>
      <c r="H28" s="16">
        <f>G28*$E$4</f>
        <v/>
      </c>
      <c r="I28" s="20">
        <f>IF(H28&gt;0, F28/H28, 0)</f>
        <v/>
      </c>
      <c r="J28" s="37" t="n">
        <v>180</v>
      </c>
      <c r="K28" s="37" t="n">
        <v>70</v>
      </c>
      <c r="L28" s="16">
        <f>K28*$E$4</f>
        <v/>
      </c>
      <c r="M28" s="20">
        <f>IF(L28&gt;0, J28/L28, 0)</f>
        <v/>
      </c>
      <c r="N28" s="37" t="n">
        <v>180</v>
      </c>
      <c r="O28" s="37" t="n">
        <v>140</v>
      </c>
      <c r="P28" s="16">
        <f>O28*$E$4</f>
        <v/>
      </c>
      <c r="Q28" s="20">
        <f>IF(P28&gt;0, N28/P28, 0)</f>
        <v/>
      </c>
      <c r="R28" s="37" t="n">
        <v>0</v>
      </c>
      <c r="S28" s="37" t="n">
        <v>350</v>
      </c>
      <c r="T28" s="16">
        <f>S28*$E$4</f>
        <v/>
      </c>
      <c r="U28" s="20">
        <f>IF(T28&gt;0, R28/T28, 0)</f>
        <v/>
      </c>
      <c r="V28" s="37" t="n">
        <v>170</v>
      </c>
      <c r="W28" s="37" t="n">
        <v>238</v>
      </c>
      <c r="X28" s="16">
        <f>W28*$E$4</f>
        <v/>
      </c>
      <c r="Y28" s="20">
        <f>IF(X28&gt;0, V28/X28, 0)</f>
        <v/>
      </c>
      <c r="Z28" s="37" t="n">
        <v>0</v>
      </c>
      <c r="AA28" s="37" t="n">
        <v>0</v>
      </c>
      <c r="AB28" s="16">
        <f>AA28*$E$4</f>
        <v/>
      </c>
      <c r="AC28" s="20">
        <f>IF(AB28&gt;0, Z28/AB28, 0)</f>
        <v/>
      </c>
      <c r="AD28" s="37">
        <f>F28+J28+N28+R28+V28+Z28</f>
        <v/>
      </c>
      <c r="AE28" s="37">
        <f>G28+K28+O28+S28+W28+AA28</f>
        <v/>
      </c>
      <c r="AF28" s="16">
        <f>H28+L28+P28+T28+X28+AB28</f>
        <v/>
      </c>
      <c r="AG28" s="20">
        <f>IF(AF28&gt;0, AD28/AF28, 0)</f>
        <v/>
      </c>
    </row>
    <row r="29" ht="18.75" customHeight="1" s="46">
      <c r="A29" s="12" t="n">
        <v>3</v>
      </c>
      <c r="B29" s="12" t="inlineStr">
        <is>
          <t>DR-01</t>
        </is>
      </c>
      <c r="C29" s="13" t="inlineStr">
        <is>
          <t>COMPACTADOR TÁNDEM HAMM-HD120 VV</t>
        </is>
      </c>
      <c r="D29" s="13" t="inlineStr">
        <is>
          <t>JOEL ALBERTO RIVERA RIVAS</t>
        </is>
      </c>
      <c r="E29" s="13" t="inlineStr">
        <is>
          <t>Compactación Tándem Primaria</t>
        </is>
      </c>
      <c r="F29" s="37" t="n">
        <v>0</v>
      </c>
      <c r="G29" s="37" t="n">
        <v>0</v>
      </c>
      <c r="H29" s="16">
        <f>G29*$E$4</f>
        <v/>
      </c>
      <c r="I29" s="20">
        <f>IF(H29&gt;0, F29/H29, 0)</f>
        <v/>
      </c>
      <c r="J29" s="37" t="n">
        <v>0</v>
      </c>
      <c r="K29" s="37" t="n">
        <v>70</v>
      </c>
      <c r="L29" s="16">
        <f>K29*$E$4</f>
        <v/>
      </c>
      <c r="M29" s="20">
        <f>IF(L29&gt;0, J29/L29, 0)</f>
        <v/>
      </c>
      <c r="N29" s="37" t="n">
        <v>0</v>
      </c>
      <c r="O29" s="37" t="n">
        <v>140</v>
      </c>
      <c r="P29" s="16">
        <f>O29*$E$4</f>
        <v/>
      </c>
      <c r="Q29" s="20">
        <f>IF(P29&gt;0, N29/P29, 0)</f>
        <v/>
      </c>
      <c r="R29" s="37" t="n">
        <v>0</v>
      </c>
      <c r="S29" s="37" t="n">
        <v>350</v>
      </c>
      <c r="T29" s="16">
        <f>S29*$E$4</f>
        <v/>
      </c>
      <c r="U29" s="20">
        <f>IF(T29&gt;0, R29/T29, 0)</f>
        <v/>
      </c>
      <c r="V29" s="37" t="n">
        <v>60</v>
      </c>
      <c r="W29" s="37" t="n">
        <v>238</v>
      </c>
      <c r="X29" s="16">
        <f>W29*$E$4</f>
        <v/>
      </c>
      <c r="Y29" s="20">
        <f>IF(X29&gt;0, V29/X29, 0)</f>
        <v/>
      </c>
      <c r="Z29" s="37" t="n">
        <v>0</v>
      </c>
      <c r="AA29" s="37" t="n">
        <v>0</v>
      </c>
      <c r="AB29" s="16">
        <f>AA29*$E$4</f>
        <v/>
      </c>
      <c r="AC29" s="20">
        <f>IF(AB29&gt;0, Z29/AB29, 0)</f>
        <v/>
      </c>
      <c r="AD29" s="37">
        <f>F29+J29+N29+R29+V29+Z29</f>
        <v/>
      </c>
      <c r="AE29" s="37">
        <f>G29+K29+O29+S29+W29+AA29</f>
        <v/>
      </c>
      <c r="AF29" s="16">
        <f>H29+L29+P29+T29+X29+AB29</f>
        <v/>
      </c>
      <c r="AG29" s="20">
        <f>IF(AF29&gt;0, AD29/AF29, 0)</f>
        <v/>
      </c>
    </row>
    <row r="30" ht="18.75" customHeight="1" s="46">
      <c r="A30" s="12" t="n">
        <v>4</v>
      </c>
      <c r="B30" s="12" t="inlineStr">
        <is>
          <t>DR-02</t>
        </is>
      </c>
      <c r="C30" s="13" t="inlineStr">
        <is>
          <t>COMPACTADOR TÁNDEM HAMM-HD140</t>
        </is>
      </c>
      <c r="D30" s="13" t="inlineStr">
        <is>
          <t>ALEXIS RENDON DOMINGUEZ</t>
        </is>
      </c>
      <c r="E30" s="13" t="inlineStr">
        <is>
          <t>Compactación Tándem Pesada</t>
        </is>
      </c>
      <c r="F30" s="37" t="n">
        <v>0</v>
      </c>
      <c r="G30" s="37" t="n">
        <v>0</v>
      </c>
      <c r="H30" s="16">
        <f>G30*$E$4</f>
        <v/>
      </c>
      <c r="I30" s="20">
        <f>IF(H30&gt;0, F30/H30, 0)</f>
        <v/>
      </c>
      <c r="J30" s="37" t="n">
        <v>0</v>
      </c>
      <c r="K30" s="37" t="n">
        <v>70</v>
      </c>
      <c r="L30" s="16">
        <f>K30*$E$4</f>
        <v/>
      </c>
      <c r="M30" s="20">
        <f>IF(L30&gt;0, J30/L30, 0)</f>
        <v/>
      </c>
      <c r="N30" s="37" t="n">
        <v>0</v>
      </c>
      <c r="O30" s="37" t="n">
        <v>140</v>
      </c>
      <c r="P30" s="16">
        <f>O30*$E$4</f>
        <v/>
      </c>
      <c r="Q30" s="20">
        <f>IF(P30&gt;0, N30/P30, 0)</f>
        <v/>
      </c>
      <c r="R30" s="37" t="n">
        <v>0</v>
      </c>
      <c r="S30" s="37" t="n">
        <v>350</v>
      </c>
      <c r="T30" s="16">
        <f>S30*$E$4</f>
        <v/>
      </c>
      <c r="U30" s="20">
        <f>IF(T30&gt;0, R30/T30, 0)</f>
        <v/>
      </c>
      <c r="V30" s="37" t="n">
        <v>0</v>
      </c>
      <c r="W30" s="37" t="n">
        <v>238</v>
      </c>
      <c r="X30" s="16">
        <f>W30*$E$4</f>
        <v/>
      </c>
      <c r="Y30" s="20">
        <f>IF(X30&gt;0, V30/X30, 0)</f>
        <v/>
      </c>
      <c r="Z30" s="37" t="n">
        <v>0</v>
      </c>
      <c r="AA30" s="37" t="n">
        <v>0</v>
      </c>
      <c r="AB30" s="16">
        <f>AA30*$E$4</f>
        <v/>
      </c>
      <c r="AC30" s="20">
        <f>IF(AB30&gt;0, Z30/AB30, 0)</f>
        <v/>
      </c>
      <c r="AD30" s="37">
        <f>F30+J30+N30+R30+V30+Z30</f>
        <v/>
      </c>
      <c r="AE30" s="37">
        <f>G30+K30+O30+S30+W30+AA30</f>
        <v/>
      </c>
      <c r="AF30" s="16">
        <f>H30+L30+P30+T30+X30+AB30</f>
        <v/>
      </c>
      <c r="AG30" s="20">
        <f>IF(AF30&gt;0, AD30/AF30, 0)</f>
        <v/>
      </c>
    </row>
    <row r="31" ht="18.75" customHeight="1" s="46">
      <c r="A31" s="12" t="n">
        <v>5</v>
      </c>
      <c r="B31" s="12" t="inlineStr">
        <is>
          <t>NM-01</t>
        </is>
      </c>
      <c r="C31" s="13" t="inlineStr">
        <is>
          <t>COMPACTADOR NEUMÁTICO DYNAPAC CP271</t>
        </is>
      </c>
      <c r="D31" s="13" t="inlineStr">
        <is>
          <t>JOSE CARLOS ROMERO TELLEZ</t>
        </is>
      </c>
      <c r="E31" s="13" t="inlineStr">
        <is>
          <t>Compactación Neumática / Sellado</t>
        </is>
      </c>
      <c r="F31" s="37" t="n">
        <v>0</v>
      </c>
      <c r="G31" s="37" t="n">
        <v>0</v>
      </c>
      <c r="H31" s="16">
        <f>G31*$E$4</f>
        <v/>
      </c>
      <c r="I31" s="20">
        <f>IF(H31&gt;0, F31/H31, 0)</f>
        <v/>
      </c>
      <c r="J31" s="37" t="n">
        <v>20</v>
      </c>
      <c r="K31" s="37" t="n">
        <v>70</v>
      </c>
      <c r="L31" s="16">
        <f>K31*$E$4</f>
        <v/>
      </c>
      <c r="M31" s="20">
        <f>IF(L31&gt;0, J31/L31, 0)</f>
        <v/>
      </c>
      <c r="N31" s="37" t="n">
        <v>20</v>
      </c>
      <c r="O31" s="37" t="n">
        <v>140</v>
      </c>
      <c r="P31" s="16">
        <f>O31*$E$4</f>
        <v/>
      </c>
      <c r="Q31" s="20">
        <f>IF(P31&gt;0, N31/P31, 0)</f>
        <v/>
      </c>
      <c r="R31" s="37" t="n">
        <v>0</v>
      </c>
      <c r="S31" s="37" t="n">
        <v>350</v>
      </c>
      <c r="T31" s="16">
        <f>S31*$E$4</f>
        <v/>
      </c>
      <c r="U31" s="20">
        <f>IF(T31&gt;0, R31/T31, 0)</f>
        <v/>
      </c>
      <c r="V31" s="37" t="n">
        <v>40</v>
      </c>
      <c r="W31" s="37" t="n">
        <v>238</v>
      </c>
      <c r="X31" s="16">
        <f>W31*$E$4</f>
        <v/>
      </c>
      <c r="Y31" s="20">
        <f>IF(X31&gt;0, V31/X31, 0)</f>
        <v/>
      </c>
      <c r="Z31" s="37" t="n">
        <v>0</v>
      </c>
      <c r="AA31" s="37" t="n">
        <v>0</v>
      </c>
      <c r="AB31" s="16">
        <f>AA31*$E$4</f>
        <v/>
      </c>
      <c r="AC31" s="20">
        <f>IF(AB31&gt;0, Z31/AB31, 0)</f>
        <v/>
      </c>
      <c r="AD31" s="37">
        <f>F31+J31+N31+R31+V31+Z31</f>
        <v/>
      </c>
      <c r="AE31" s="37">
        <f>G31+K31+O31+S31+W31+AA31</f>
        <v/>
      </c>
      <c r="AF31" s="16">
        <f>H31+L31+P31+T31+X31+AB31</f>
        <v/>
      </c>
      <c r="AG31" s="20">
        <f>IF(AF31&gt;0, AD31/AF31, 0)</f>
        <v/>
      </c>
    </row>
    <row r="32" ht="18.75" customHeight="1" s="46">
      <c r="A32" s="12" t="n">
        <v>6</v>
      </c>
      <c r="B32" s="12" t="inlineStr">
        <is>
          <t>NM-09</t>
        </is>
      </c>
      <c r="C32" s="13" t="inlineStr">
        <is>
          <t>COMPACTADOR NEUMÁTICO HAMM 208</t>
        </is>
      </c>
      <c r="D32" s="13" t="inlineStr">
        <is>
          <t>NOLVIN DE JESUS PEREZ GOMEZ</t>
        </is>
      </c>
      <c r="E32" s="13" t="inlineStr">
        <is>
          <t>Compactación Neumática / Acabado</t>
        </is>
      </c>
      <c r="F32" s="37" t="n">
        <v>0</v>
      </c>
      <c r="G32" s="37" t="n">
        <v>0</v>
      </c>
      <c r="H32" s="16">
        <f>G32*$E$4</f>
        <v/>
      </c>
      <c r="I32" s="20">
        <f>IF(H32&gt;0, F32/H32, 0)</f>
        <v/>
      </c>
      <c r="J32" s="37" t="n">
        <v>0</v>
      </c>
      <c r="K32" s="37" t="n">
        <v>70</v>
      </c>
      <c r="L32" s="16">
        <f>K32*$E$4</f>
        <v/>
      </c>
      <c r="M32" s="20">
        <f>IF(L32&gt;0, J32/L32, 0)</f>
        <v/>
      </c>
      <c r="N32" s="37" t="n">
        <v>0</v>
      </c>
      <c r="O32" s="37" t="n">
        <v>140</v>
      </c>
      <c r="P32" s="16">
        <f>O32*$E$4</f>
        <v/>
      </c>
      <c r="Q32" s="20">
        <f>IF(P32&gt;0, N32/P32, 0)</f>
        <v/>
      </c>
      <c r="R32" s="37" t="n">
        <v>0</v>
      </c>
      <c r="S32" s="37" t="n">
        <v>350</v>
      </c>
      <c r="T32" s="16">
        <f>S32*$E$4</f>
        <v/>
      </c>
      <c r="U32" s="20">
        <f>IF(T32&gt;0, R32/T32, 0)</f>
        <v/>
      </c>
      <c r="V32" s="37" t="n">
        <v>0</v>
      </c>
      <c r="W32" s="37" t="n">
        <v>238</v>
      </c>
      <c r="X32" s="16">
        <f>W32*$E$4</f>
        <v/>
      </c>
      <c r="Y32" s="20">
        <f>IF(X32&gt;0, V32/X32, 0)</f>
        <v/>
      </c>
      <c r="Z32" s="37" t="n">
        <v>0</v>
      </c>
      <c r="AA32" s="37" t="n">
        <v>0</v>
      </c>
      <c r="AB32" s="16">
        <f>AA32*$E$4</f>
        <v/>
      </c>
      <c r="AC32" s="20">
        <f>IF(AB32&gt;0, Z32/AB32, 0)</f>
        <v/>
      </c>
      <c r="AD32" s="37">
        <f>F32+J32+N32+R32+V32+Z32</f>
        <v/>
      </c>
      <c r="AE32" s="37">
        <f>G32+K32+O32+S32+W32+AA32</f>
        <v/>
      </c>
      <c r="AF32" s="16">
        <f>H32+L32+P32+T32+X32+AB32</f>
        <v/>
      </c>
      <c r="AG32" s="20">
        <f>IF(AF32&gt;0, AD32/AF32, 0)</f>
        <v/>
      </c>
    </row>
    <row r="33" ht="18.75" customHeight="1" s="46">
      <c r="A33" s="12" t="n">
        <v>7</v>
      </c>
      <c r="B33" s="12" t="inlineStr">
        <is>
          <t>BR-01</t>
        </is>
      </c>
      <c r="C33" s="13" t="inlineStr">
        <is>
          <t>BARREDORA INDUSTRIAL BROCE BROOM-350</t>
        </is>
      </c>
      <c r="D33" s="13" t="inlineStr">
        <is>
          <t>EDGAR ROSALES MARTINEZ</t>
        </is>
      </c>
      <c r="E33" s="13" t="inlineStr">
        <is>
          <t>Limpieza y Barrido Previo</t>
        </is>
      </c>
      <c r="F33" s="37" t="n">
        <v>0</v>
      </c>
      <c r="G33" s="37" t="n">
        <v>0</v>
      </c>
      <c r="H33" s="16">
        <f>G33*$E$4</f>
        <v/>
      </c>
      <c r="I33" s="20">
        <f>IF(H33&gt;0, F33/H33, 0)</f>
        <v/>
      </c>
      <c r="J33" s="37" t="n">
        <v>40</v>
      </c>
      <c r="K33" s="37" t="n">
        <v>70</v>
      </c>
      <c r="L33" s="16">
        <f>K33*$E$4</f>
        <v/>
      </c>
      <c r="M33" s="20">
        <f>IF(L33&gt;0, J33/L33, 0)</f>
        <v/>
      </c>
      <c r="N33" s="37" t="n">
        <v>40</v>
      </c>
      <c r="O33" s="37" t="n">
        <v>140</v>
      </c>
      <c r="P33" s="16">
        <f>O33*$E$4</f>
        <v/>
      </c>
      <c r="Q33" s="20">
        <f>IF(P33&gt;0, N33/P33, 0)</f>
        <v/>
      </c>
      <c r="R33" s="37" t="n">
        <v>0</v>
      </c>
      <c r="S33" s="37" t="n">
        <v>350</v>
      </c>
      <c r="T33" s="16">
        <f>S33*$E$4</f>
        <v/>
      </c>
      <c r="U33" s="20">
        <f>IF(T33&gt;0, R33/T33, 0)</f>
        <v/>
      </c>
      <c r="V33" s="37" t="n">
        <v>30</v>
      </c>
      <c r="W33" s="37" t="n">
        <v>238</v>
      </c>
      <c r="X33" s="16">
        <f>W33*$E$4</f>
        <v/>
      </c>
      <c r="Y33" s="20">
        <f>IF(X33&gt;0, V33/X33, 0)</f>
        <v/>
      </c>
      <c r="Z33" s="37" t="n">
        <v>0</v>
      </c>
      <c r="AA33" s="37" t="n">
        <v>0</v>
      </c>
      <c r="AB33" s="16">
        <f>AA33*$E$4</f>
        <v/>
      </c>
      <c r="AC33" s="20">
        <f>IF(AB33&gt;0, Z33/AB33, 0)</f>
        <v/>
      </c>
      <c r="AD33" s="37">
        <f>F33+J33+N33+R33+V33+Z33</f>
        <v/>
      </c>
      <c r="AE33" s="37">
        <f>G33+K33+O33+S33+W33+AA33</f>
        <v/>
      </c>
      <c r="AF33" s="16">
        <f>H33+L33+P33+T33+X33+AB33</f>
        <v/>
      </c>
      <c r="AG33" s="20">
        <f>IF(AF33&gt;0, AD33/AF33, 0)</f>
        <v/>
      </c>
    </row>
    <row r="34" ht="18.75" customHeight="1" s="46">
      <c r="A34" s="12" t="n">
        <v>8</v>
      </c>
      <c r="B34" s="12" t="inlineStr">
        <is>
          <t>RT-05</t>
        </is>
      </c>
      <c r="C34" s="13" t="inlineStr">
        <is>
          <t>RETROEXCAVADORA JOHN DEERE 310SK</t>
        </is>
      </c>
      <c r="D34" s="13" t="inlineStr">
        <is>
          <t>ADOLFO NAVA LOPEZ</t>
        </is>
      </c>
      <c r="E34" s="13" t="inlineStr">
        <is>
          <t>Carga Fresado y Derrumbes</t>
        </is>
      </c>
      <c r="F34" s="37" t="n">
        <v>150</v>
      </c>
      <c r="G34" s="37" t="n">
        <v>0</v>
      </c>
      <c r="H34" s="16">
        <f>G34*$E$4</f>
        <v/>
      </c>
      <c r="I34" s="20">
        <f>IF(G34&gt;0, F34/G34, 0)</f>
        <v/>
      </c>
      <c r="J34" s="37" t="n">
        <v>180</v>
      </c>
      <c r="K34" s="37" t="n">
        <v>371</v>
      </c>
      <c r="L34" s="16">
        <f>K34*$E$4</f>
        <v/>
      </c>
      <c r="M34" s="20">
        <f>IF(K34&gt;0, J34/K34, 0)</f>
        <v/>
      </c>
      <c r="N34" s="37" t="n">
        <v>120</v>
      </c>
      <c r="O34" s="37" t="n">
        <v>189</v>
      </c>
      <c r="P34" s="16">
        <f>O34*$E$4</f>
        <v/>
      </c>
      <c r="Q34" s="20">
        <f>IF(O34&gt;0, N34/O34, 0)</f>
        <v/>
      </c>
      <c r="R34" s="37" t="n">
        <v>0</v>
      </c>
      <c r="S34" s="37" t="n">
        <v>315</v>
      </c>
      <c r="T34" s="16">
        <f>S34*$E$4</f>
        <v/>
      </c>
      <c r="U34" s="20">
        <f>IF(S34&gt;0, R34/S34, 0)</f>
        <v/>
      </c>
      <c r="V34" s="37" t="n">
        <v>100</v>
      </c>
      <c r="W34" s="37" t="n">
        <v>287</v>
      </c>
      <c r="X34" s="16">
        <f>W34*$E$4</f>
        <v/>
      </c>
      <c r="Y34" s="20">
        <f>IF(W34&gt;0, V34/W34, 0)</f>
        <v/>
      </c>
      <c r="Z34" s="37" t="n">
        <v>0</v>
      </c>
      <c r="AA34" s="37" t="n">
        <v>189</v>
      </c>
      <c r="AB34" s="16">
        <f>AA34*$E$4</f>
        <v/>
      </c>
      <c r="AC34" s="20">
        <f>IF(AA34&gt;0, Z34/AA34, 0)</f>
        <v/>
      </c>
      <c r="AD34" s="37">
        <f>F34+J34+N34+R34+V34+Z34</f>
        <v/>
      </c>
      <c r="AE34" s="37">
        <f>G34+K34+O34+S34+W34+AA34</f>
        <v/>
      </c>
      <c r="AF34" s="16">
        <f>H34+L34+P34+T34+X34+AB34</f>
        <v/>
      </c>
      <c r="AG34" s="20">
        <f>IF(AE34&gt;0, AD34/AE34, 0)</f>
        <v/>
      </c>
    </row>
    <row r="35" ht="18.75" customHeight="1" s="46">
      <c r="A35" s="12" t="n">
        <v>9</v>
      </c>
      <c r="B35" s="12" t="inlineStr">
        <is>
          <t>PT-01</t>
        </is>
      </c>
      <c r="C35" s="13" t="inlineStr">
        <is>
          <t>PETROLIZADORA INTERNATIONAL / FORD F800</t>
        </is>
      </c>
      <c r="D35" s="13" t="inlineStr">
        <is>
          <t>ELTHON EDUARDO MARTINEZ GOMORA</t>
        </is>
      </c>
      <c r="E35" s="13" t="inlineStr">
        <is>
          <t>Riego de Liga / Emulsión</t>
        </is>
      </c>
      <c r="F35" s="37" t="n">
        <v>0</v>
      </c>
      <c r="G35" s="37" t="n">
        <v>0</v>
      </c>
      <c r="H35" s="16">
        <f>G35*$E$4</f>
        <v/>
      </c>
      <c r="I35" s="20">
        <f>IF(H35&gt;0, F35/H35, 0)</f>
        <v/>
      </c>
      <c r="J35" s="37" t="n">
        <v>60</v>
      </c>
      <c r="K35" s="37" t="n">
        <v>70</v>
      </c>
      <c r="L35" s="16">
        <f>K35*$E$4</f>
        <v/>
      </c>
      <c r="M35" s="20">
        <f>IF(L35&gt;0, J35/L35, 0)</f>
        <v/>
      </c>
      <c r="N35" s="37" t="n">
        <v>60</v>
      </c>
      <c r="O35" s="37" t="n">
        <v>140</v>
      </c>
      <c r="P35" s="16">
        <f>O35*$E$4</f>
        <v/>
      </c>
      <c r="Q35" s="20">
        <f>IF(P35&gt;0, N35/P35, 0)</f>
        <v/>
      </c>
      <c r="R35" s="37" t="n">
        <v>0</v>
      </c>
      <c r="S35" s="37" t="n">
        <v>350</v>
      </c>
      <c r="T35" s="16">
        <f>S35*$E$4</f>
        <v/>
      </c>
      <c r="U35" s="20">
        <f>IF(T35&gt;0, R35/T35, 0)</f>
        <v/>
      </c>
      <c r="V35" s="37" t="n">
        <v>60</v>
      </c>
      <c r="W35" s="37" t="n">
        <v>238</v>
      </c>
      <c r="X35" s="16">
        <f>W35*$E$4</f>
        <v/>
      </c>
      <c r="Y35" s="20">
        <f>IF(X35&gt;0, V35/X35, 0)</f>
        <v/>
      </c>
      <c r="Z35" s="37" t="n">
        <v>0</v>
      </c>
      <c r="AA35" s="37" t="n">
        <v>0</v>
      </c>
      <c r="AB35" s="16">
        <f>AA35*$E$4</f>
        <v/>
      </c>
      <c r="AC35" s="20">
        <f>IF(AB35&gt;0, Z35/AB35, 0)</f>
        <v/>
      </c>
      <c r="AD35" s="37">
        <f>F35+J35+N35+R35+V35+Z35</f>
        <v/>
      </c>
      <c r="AE35" s="37">
        <f>G35+K35+O35+S35+W35+AA35</f>
        <v/>
      </c>
      <c r="AF35" s="16">
        <f>H35+L35+P35+T35+X35+AB35</f>
        <v/>
      </c>
      <c r="AG35" s="20">
        <f>IF(AF35&gt;0, AD35/AF35, 0)</f>
        <v/>
      </c>
    </row>
    <row r="36" ht="18.75" customHeight="1" s="46">
      <c r="A36" s="12" t="n">
        <v>10</v>
      </c>
      <c r="B36" s="12" t="inlineStr">
        <is>
          <t>CPR-01</t>
        </is>
      </c>
      <c r="C36" s="13" t="inlineStr">
        <is>
          <t>COMPRESOR DE AIRE INGERSOLL RAND IR185</t>
        </is>
      </c>
      <c r="D36" s="13" t="inlineStr">
        <is>
          <t>CUADRILLA DE LIMPIEZA</t>
        </is>
      </c>
      <c r="E36" s="13" t="inlineStr">
        <is>
          <t>Sopleteado de Juntas</t>
        </is>
      </c>
      <c r="F36" s="37" t="n">
        <v>0</v>
      </c>
      <c r="G36" s="37" t="n">
        <v>0</v>
      </c>
      <c r="H36" s="16">
        <f>G36*$E$4</f>
        <v/>
      </c>
      <c r="I36" s="20" t="n">
        <v>0</v>
      </c>
      <c r="J36" s="37" t="n">
        <v>0</v>
      </c>
      <c r="K36" s="37" t="n">
        <v>0</v>
      </c>
      <c r="L36" s="16">
        <f>K36*$E$4</f>
        <v/>
      </c>
      <c r="M36" s="20" t="n">
        <v>0</v>
      </c>
      <c r="N36" s="37" t="n">
        <v>0</v>
      </c>
      <c r="O36" s="37" t="n">
        <v>0</v>
      </c>
      <c r="P36" s="16">
        <f>O36*$E$4</f>
        <v/>
      </c>
      <c r="Q36" s="20" t="n">
        <v>0</v>
      </c>
      <c r="R36" s="37" t="n">
        <v>0</v>
      </c>
      <c r="S36" s="37" t="n">
        <v>0</v>
      </c>
      <c r="T36" s="16">
        <f>S36*$E$4</f>
        <v/>
      </c>
      <c r="U36" s="20" t="n">
        <v>0</v>
      </c>
      <c r="V36" s="37" t="n">
        <v>0</v>
      </c>
      <c r="W36" s="37" t="n">
        <v>0</v>
      </c>
      <c r="X36" s="16">
        <f>W36*$E$4</f>
        <v/>
      </c>
      <c r="Y36" s="20" t="n">
        <v>0</v>
      </c>
      <c r="Z36" s="37" t="n">
        <v>0</v>
      </c>
      <c r="AA36" s="37" t="n">
        <v>0</v>
      </c>
      <c r="AB36" s="16">
        <f>AA36*$E$4</f>
        <v/>
      </c>
      <c r="AC36" s="20" t="n">
        <v>0</v>
      </c>
      <c r="AD36" s="37">
        <f>F36+J36+N36+R36+V36+Z36</f>
        <v/>
      </c>
      <c r="AE36" s="37">
        <f>G36+K36+O36+S36+W36+AA36</f>
        <v/>
      </c>
      <c r="AF36" s="16">
        <f>H36+L36+P36+T36+X36+AB36</f>
        <v/>
      </c>
      <c r="AG36" s="20" t="n">
        <v>0</v>
      </c>
    </row>
    <row r="37" ht="18.75" customHeight="1" s="46">
      <c r="A37" s="12" t="n">
        <v>11</v>
      </c>
      <c r="B37" s="12" t="inlineStr">
        <is>
          <t>PP-01</t>
        </is>
      </c>
      <c r="C37" s="13" t="inlineStr">
        <is>
          <t>CAMIÓN IMPACTO / PIPA DE AGUA FORD</t>
        </is>
      </c>
      <c r="D37" s="13" t="inlineStr">
        <is>
          <t>CUADRILLA DE AGUA</t>
        </is>
      </c>
      <c r="E37" s="13" t="inlineStr">
        <is>
          <t>Enfriamiento Rodillos / Riego</t>
        </is>
      </c>
      <c r="F37" s="37" t="n">
        <v>0</v>
      </c>
      <c r="G37" s="37" t="n">
        <v>0</v>
      </c>
      <c r="H37" s="16">
        <f>G37*$E$4</f>
        <v/>
      </c>
      <c r="I37" s="20" t="n">
        <v>0</v>
      </c>
      <c r="J37" s="37" t="n">
        <v>0</v>
      </c>
      <c r="K37" s="37" t="n">
        <v>0</v>
      </c>
      <c r="L37" s="16">
        <f>K37*$E$4</f>
        <v/>
      </c>
      <c r="M37" s="20" t="n">
        <v>0</v>
      </c>
      <c r="N37" s="37" t="n">
        <v>0</v>
      </c>
      <c r="O37" s="37" t="n">
        <v>0</v>
      </c>
      <c r="P37" s="16">
        <f>O37*$E$4</f>
        <v/>
      </c>
      <c r="Q37" s="20" t="n">
        <v>0</v>
      </c>
      <c r="R37" s="37" t="n">
        <v>0</v>
      </c>
      <c r="S37" s="37" t="n">
        <v>0</v>
      </c>
      <c r="T37" s="16">
        <f>S37*$E$4</f>
        <v/>
      </c>
      <c r="U37" s="20" t="n">
        <v>0</v>
      </c>
      <c r="V37" s="37" t="n">
        <v>0</v>
      </c>
      <c r="W37" s="37" t="n">
        <v>0</v>
      </c>
      <c r="X37" s="16">
        <f>W37*$E$4</f>
        <v/>
      </c>
      <c r="Y37" s="20" t="n">
        <v>0</v>
      </c>
      <c r="Z37" s="37" t="n">
        <v>0</v>
      </c>
      <c r="AA37" s="37" t="n">
        <v>0</v>
      </c>
      <c r="AB37" s="16">
        <f>AA37*$E$4</f>
        <v/>
      </c>
      <c r="AC37" s="20" t="n">
        <v>0</v>
      </c>
      <c r="AD37" s="37">
        <f>F37+J37+N37+R37+V37+Z37</f>
        <v/>
      </c>
      <c r="AE37" s="37">
        <f>G37+K37+O37+S37+W37+AA37</f>
        <v/>
      </c>
      <c r="AF37" s="16">
        <f>H37+L37+P37+T37+X37+AB37</f>
        <v/>
      </c>
      <c r="AG37" s="20" t="n">
        <v>0</v>
      </c>
    </row>
    <row r="38" ht="18.75" customHeight="1" s="46">
      <c r="A38" s="12" t="n">
        <v>12</v>
      </c>
      <c r="B38" s="12" t="inlineStr">
        <is>
          <t>TL-01</t>
        </is>
      </c>
      <c r="C38" s="13" t="inlineStr">
        <is>
          <t>TORRE DE LUZ MAXILIGHT 4X1000W</t>
        </is>
      </c>
      <c r="D38" s="13" t="inlineStr">
        <is>
          <t>CUADRILLA NOCTURNA</t>
        </is>
      </c>
      <c r="E38" s="13" t="inlineStr">
        <is>
          <t>Iluminación Nocturna</t>
        </is>
      </c>
      <c r="F38" s="37" t="n">
        <v>0</v>
      </c>
      <c r="G38" s="37" t="n">
        <v>0</v>
      </c>
      <c r="H38" s="16">
        <f>G38*$E$4</f>
        <v/>
      </c>
      <c r="I38" s="20" t="n">
        <v>0</v>
      </c>
      <c r="J38" s="37" t="n">
        <v>0</v>
      </c>
      <c r="K38" s="37" t="n">
        <v>0</v>
      </c>
      <c r="L38" s="16">
        <f>K38*$E$4</f>
        <v/>
      </c>
      <c r="M38" s="20" t="n">
        <v>0</v>
      </c>
      <c r="N38" s="37" t="n">
        <v>0</v>
      </c>
      <c r="O38" s="37" t="n">
        <v>0</v>
      </c>
      <c r="P38" s="16">
        <f>O38*$E$4</f>
        <v/>
      </c>
      <c r="Q38" s="20" t="n">
        <v>0</v>
      </c>
      <c r="R38" s="37" t="n">
        <v>0</v>
      </c>
      <c r="S38" s="37" t="n">
        <v>0</v>
      </c>
      <c r="T38" s="16">
        <f>S38*$E$4</f>
        <v/>
      </c>
      <c r="U38" s="20" t="n">
        <v>0</v>
      </c>
      <c r="V38" s="37" t="n">
        <v>0</v>
      </c>
      <c r="W38" s="37" t="n">
        <v>0</v>
      </c>
      <c r="X38" s="16">
        <f>W38*$E$4</f>
        <v/>
      </c>
      <c r="Y38" s="20" t="n">
        <v>0</v>
      </c>
      <c r="Z38" s="37" t="n">
        <v>0</v>
      </c>
      <c r="AA38" s="37" t="n">
        <v>0</v>
      </c>
      <c r="AB38" s="16">
        <f>AA38*$E$4</f>
        <v/>
      </c>
      <c r="AC38" s="20" t="n">
        <v>0</v>
      </c>
      <c r="AD38" s="37">
        <f>F38+J38+N38+R38+V38+Z38</f>
        <v/>
      </c>
      <c r="AE38" s="37">
        <f>G38+K38+O38+S38+W38+AA38</f>
        <v/>
      </c>
      <c r="AF38" s="16">
        <f>H38+L38+P38+T38+X38+AB38</f>
        <v/>
      </c>
      <c r="AG38" s="20" t="n">
        <v>0</v>
      </c>
    </row>
    <row r="39" ht="21.75" customHeight="1" s="46">
      <c r="A39" s="30" t="inlineStr">
        <is>
          <t>TOTAL DIARIO CONSOLIDADO (OBRA MÉXICO-TOLUCA)</t>
        </is>
      </c>
      <c r="B39" s="50" t="n"/>
      <c r="C39" s="50" t="n"/>
      <c r="D39" s="50" t="n"/>
      <c r="E39" s="51" t="n"/>
      <c r="F39" s="27">
        <f>SUM(F27:F38)</f>
        <v/>
      </c>
      <c r="G39" s="27">
        <f>MAX(G27:G38)</f>
        <v/>
      </c>
      <c r="H39" s="28">
        <f>G39*$E$4</f>
        <v/>
      </c>
      <c r="I39" s="29">
        <f>IF(H39&gt;0, F39/H39, 0)</f>
        <v/>
      </c>
      <c r="J39" s="27">
        <f>SUM(J27:J38)</f>
        <v/>
      </c>
      <c r="K39" s="27">
        <f>MAX(K27:K38)</f>
        <v/>
      </c>
      <c r="L39" s="28">
        <f>K39*$E$4</f>
        <v/>
      </c>
      <c r="M39" s="29">
        <f>IF(L39&gt;0, J39/L39, 0)</f>
        <v/>
      </c>
      <c r="N39" s="27">
        <f>SUM(N27:N38)</f>
        <v/>
      </c>
      <c r="O39" s="27">
        <f>MAX(O27:O38)</f>
        <v/>
      </c>
      <c r="P39" s="28">
        <f>O39*$E$4</f>
        <v/>
      </c>
      <c r="Q39" s="29">
        <f>IF(P39&gt;0, N39/P39, 0)</f>
        <v/>
      </c>
      <c r="R39" s="27">
        <f>SUM(R27:R38)</f>
        <v/>
      </c>
      <c r="S39" s="27">
        <f>MAX(S27:S38)</f>
        <v/>
      </c>
      <c r="T39" s="28">
        <f>S39*$E$4</f>
        <v/>
      </c>
      <c r="U39" s="29">
        <f>IF(T39&gt;0, R39/T39, 0)</f>
        <v/>
      </c>
      <c r="V39" s="27">
        <f>SUM(V27:V38)</f>
        <v/>
      </c>
      <c r="W39" s="27">
        <f>MAX(W27:W38)</f>
        <v/>
      </c>
      <c r="X39" s="28">
        <f>W39*$E$4</f>
        <v/>
      </c>
      <c r="Y39" s="29">
        <f>IF(X39&gt;0, V39/X39, 0)</f>
        <v/>
      </c>
      <c r="Z39" s="27">
        <f>SUM(Z27:Z38)</f>
        <v/>
      </c>
      <c r="AA39" s="27">
        <f>MAX(AA27:AA38)</f>
        <v/>
      </c>
      <c r="AB39" s="28">
        <f>AA39*$E$4</f>
        <v/>
      </c>
      <c r="AC39" s="29">
        <f>IF(AB39&gt;0, Z39/AB39, 0)</f>
        <v/>
      </c>
      <c r="AD39" s="27">
        <f>SUM(AD27:AD38)</f>
        <v/>
      </c>
      <c r="AE39" s="27">
        <f>SUM(AE27:AE38)</f>
        <v/>
      </c>
      <c r="AF39" s="28">
        <f>SUM(AF27:AF38)</f>
        <v/>
      </c>
      <c r="AG39" s="29">
        <f>IF(AF39&gt;0, AD39/AF39, 0)</f>
        <v/>
      </c>
    </row>
    <row r="40" ht="15.75" customHeight="1" s="46"/>
    <row r="41" ht="15.75" customHeight="1" s="46">
      <c r="A41" s="40" t="inlineStr">
        <is>
          <t>NOTA TÉCNICA Y CRITERIOS DE CONTROL DE RENDIMIENTO — OBRA MÉXICO-TOLUCA:
1. Peso Volumétrico Oficial del Asfalto: 1.742 Ton/m³ (Toneladas = m³ Carpeta × 1.742).
2. Rendimiento Base (L/h): Consumo nominal de fabricante ajustado con 1.2% anual de desgaste por antigüedad al 2026.
3. Rendimiento Real: Diésel Surtido / Toneladas Tendidas (L/Ton) o Diésel Surtido / Volumen Fresado (L/m³).
4. Estatus Operativo: DENTRO DE RENDIMIENTO BASE (Verde) / EXCEDE RENDIMIENTO BASE (Rojo) / SIN CONSUMO (Gris).</t>
        </is>
      </c>
    </row>
    <row r="42" ht="15.75" customHeight="1" s="46"/>
    <row r="43" ht="15.75" customHeight="1" s="46"/>
    <row r="44" ht="15.75" customHeight="1" s="46"/>
    <row r="45" ht="15.75" customHeight="1" s="46"/>
    <row r="46" ht="15.75" customHeight="1" s="46"/>
    <row r="47" ht="15.75" customHeight="1" s="46"/>
    <row r="48" ht="15.75" customHeight="1" s="46"/>
    <row r="49" ht="15.75" customHeight="1" s="46"/>
    <row r="50" ht="15.75" customHeight="1" s="46"/>
    <row r="51" ht="15.75" customHeight="1" s="46"/>
    <row r="52" ht="15.75" customHeight="1" s="46"/>
    <row r="53" ht="15.75" customHeight="1" s="46"/>
    <row r="54" ht="15.75" customHeight="1" s="46"/>
    <row r="55" ht="15.75" customHeight="1" s="46"/>
    <row r="56" ht="15.75" customHeight="1" s="46"/>
    <row r="57" ht="15.75" customHeight="1" s="46"/>
    <row r="58" ht="15.75" customHeight="1" s="46"/>
    <row r="59" ht="15.75" customHeight="1" s="46"/>
    <row r="60" ht="15.75" customHeight="1" s="46"/>
    <row r="61" ht="15.75" customHeight="1" s="46"/>
    <row r="62" ht="15.75" customHeight="1" s="46"/>
    <row r="63" ht="15.75" customHeight="1" s="46"/>
    <row r="64" ht="15.75" customHeight="1" s="46"/>
    <row r="65" ht="15.75" customHeight="1" s="46"/>
    <row r="66" ht="15.75" customHeight="1" s="46"/>
    <row r="67" ht="15.75" customHeight="1" s="46"/>
    <row r="68" ht="15.75" customHeight="1" s="46"/>
    <row r="69" ht="15.75" customHeight="1" s="46"/>
    <row r="70" ht="15.75" customHeight="1" s="46"/>
    <row r="71" ht="15.75" customHeight="1" s="46"/>
    <row r="72" ht="15.75" customHeight="1" s="46"/>
    <row r="73" ht="15.75" customHeight="1" s="46"/>
    <row r="74" ht="15.75" customHeight="1" s="46"/>
    <row r="75" ht="15.75" customHeight="1" s="46"/>
    <row r="76" ht="15.75" customHeight="1" s="46"/>
    <row r="77" ht="15.75" customHeight="1" s="46"/>
    <row r="78" ht="15.75" customHeight="1" s="46"/>
    <row r="79" ht="15.75" customHeight="1" s="46"/>
    <row r="80" ht="15.75" customHeight="1" s="46"/>
    <row r="81" ht="15.75" customHeight="1" s="46"/>
    <row r="82" ht="15.75" customHeight="1" s="46"/>
    <row r="83" ht="15.75" customHeight="1" s="46"/>
    <row r="84" ht="15.75" customHeight="1" s="46"/>
    <row r="85" ht="15.75" customHeight="1" s="46"/>
    <row r="86" ht="15.75" customHeight="1" s="46"/>
    <row r="87" ht="15.75" customHeight="1" s="46"/>
    <row r="88" ht="15.75" customHeight="1" s="46"/>
    <row r="89" ht="15.75" customHeight="1" s="46"/>
    <row r="90" ht="15.75" customHeight="1" s="46"/>
    <row r="91" ht="15.75" customHeight="1" s="46"/>
    <row r="92" ht="15.75" customHeight="1" s="46"/>
    <row r="93" ht="15.75" customHeight="1" s="46"/>
    <row r="94" ht="15.75" customHeight="1" s="46"/>
    <row r="95" ht="15.75" customHeight="1" s="46"/>
    <row r="96" ht="15.75" customHeight="1" s="46"/>
    <row r="97" ht="15.75" customHeight="1" s="46"/>
    <row r="98" ht="15.75" customHeight="1" s="46"/>
    <row r="99" ht="15.75" customHeight="1" s="46"/>
    <row r="100" ht="15.75" customHeight="1" s="46"/>
    <row r="101" ht="15.75" customHeight="1" s="46"/>
    <row r="102" ht="15.75" customHeight="1" s="46"/>
    <row r="103" ht="15.75" customHeight="1" s="46"/>
    <row r="104" ht="15.75" customHeight="1" s="46"/>
    <row r="105" ht="15.75" customHeight="1" s="46"/>
    <row r="106" ht="15.75" customHeight="1" s="46"/>
    <row r="107" ht="15.75" customHeight="1" s="46"/>
    <row r="108" ht="15.75" customHeight="1" s="46"/>
    <row r="109" ht="15.75" customHeight="1" s="46"/>
    <row r="110" ht="15.75" customHeight="1" s="46"/>
    <row r="111" ht="15.75" customHeight="1" s="46"/>
    <row r="112" ht="15.75" customHeight="1" s="46"/>
    <row r="113" ht="15.75" customHeight="1" s="46"/>
    <row r="114" ht="15.75" customHeight="1" s="46"/>
    <row r="115" ht="15.75" customHeight="1" s="46"/>
    <row r="116" ht="15.75" customHeight="1" s="46"/>
    <row r="117" ht="15.75" customHeight="1" s="46"/>
    <row r="118" ht="15.75" customHeight="1" s="46"/>
    <row r="119" ht="15.75" customHeight="1" s="46"/>
    <row r="120" ht="15.75" customHeight="1" s="46"/>
    <row r="121" ht="15.75" customHeight="1" s="46"/>
    <row r="122" ht="15.75" customHeight="1" s="46"/>
    <row r="123" ht="15.75" customHeight="1" s="46"/>
    <row r="124" ht="15.75" customHeight="1" s="46"/>
    <row r="125" ht="15.75" customHeight="1" s="46"/>
    <row r="126" ht="15.75" customHeight="1" s="46"/>
    <row r="127" ht="15.75" customHeight="1" s="46"/>
    <row r="128" ht="15.75" customHeight="1" s="46"/>
    <row r="129" ht="15.75" customHeight="1" s="46"/>
    <row r="130" ht="15.75" customHeight="1" s="46"/>
    <row r="131" ht="15.75" customHeight="1" s="46"/>
    <row r="132" ht="15.75" customHeight="1" s="46"/>
    <row r="133" ht="15.75" customHeight="1" s="46"/>
    <row r="134" ht="15.75" customHeight="1" s="46"/>
    <row r="135" ht="15.75" customHeight="1" s="46"/>
    <row r="136" ht="15.75" customHeight="1" s="46"/>
    <row r="137" ht="15.75" customHeight="1" s="46"/>
    <row r="138" ht="15.75" customHeight="1" s="46"/>
    <row r="139" ht="15.75" customHeight="1" s="46"/>
    <row r="140" ht="15.75" customHeight="1" s="46"/>
    <row r="141" ht="15.75" customHeight="1" s="46"/>
    <row r="142" ht="15.75" customHeight="1" s="46"/>
    <row r="143" ht="15.75" customHeight="1" s="46"/>
    <row r="144" ht="15.75" customHeight="1" s="46"/>
    <row r="145" ht="15.75" customHeight="1" s="46"/>
    <row r="146" ht="15.75" customHeight="1" s="46"/>
    <row r="147" ht="15.75" customHeight="1" s="46"/>
    <row r="148" ht="15.75" customHeight="1" s="46"/>
    <row r="149" ht="15.75" customHeight="1" s="46"/>
    <row r="150" ht="15.75" customHeight="1" s="46"/>
    <row r="151" ht="15.75" customHeight="1" s="46"/>
    <row r="152" ht="15.75" customHeight="1" s="46"/>
    <row r="153" ht="15.75" customHeight="1" s="46"/>
    <row r="154" ht="15.75" customHeight="1" s="46"/>
    <row r="155" ht="15.75" customHeight="1" s="46"/>
    <row r="156" ht="15.75" customHeight="1" s="46"/>
    <row r="157" ht="15.75" customHeight="1" s="46"/>
    <row r="158" ht="15.75" customHeight="1" s="46"/>
    <row r="159" ht="15.75" customHeight="1" s="46"/>
    <row r="160" ht="15.75" customHeight="1" s="46"/>
    <row r="161" ht="15.75" customHeight="1" s="46"/>
    <row r="162" ht="15.75" customHeight="1" s="46"/>
    <row r="163" ht="15.75" customHeight="1" s="46"/>
    <row r="164" ht="15.75" customHeight="1" s="46"/>
    <row r="165" ht="15.75" customHeight="1" s="46"/>
    <row r="166" ht="15.75" customHeight="1" s="46"/>
    <row r="167" ht="15.75" customHeight="1" s="46"/>
    <row r="168" ht="15.75" customHeight="1" s="46"/>
    <row r="169" ht="15.75" customHeight="1" s="46"/>
    <row r="170" ht="15.75" customHeight="1" s="46"/>
    <row r="171" ht="15.75" customHeight="1" s="46"/>
    <row r="172" ht="15.75" customHeight="1" s="46"/>
    <row r="173" ht="15.75" customHeight="1" s="46"/>
    <row r="174" ht="15.75" customHeight="1" s="46"/>
    <row r="175" ht="15.75" customHeight="1" s="46"/>
    <row r="176" ht="15.75" customHeight="1" s="46"/>
    <row r="177" ht="15.75" customHeight="1" s="46"/>
    <row r="178" ht="15.75" customHeight="1" s="46"/>
    <row r="179" ht="15.75" customHeight="1" s="46"/>
    <row r="180" ht="15.75" customHeight="1" s="46"/>
    <row r="181" ht="15.75" customHeight="1" s="46"/>
    <row r="182" ht="15.75" customHeight="1" s="46"/>
    <row r="183" ht="15.75" customHeight="1" s="46"/>
    <row r="184" ht="15.75" customHeight="1" s="46"/>
    <row r="185" ht="15.75" customHeight="1" s="46"/>
    <row r="186" ht="15.75" customHeight="1" s="46"/>
    <row r="187" ht="15.75" customHeight="1" s="46"/>
    <row r="188" ht="15.75" customHeight="1" s="46"/>
    <row r="189" ht="15.75" customHeight="1" s="46"/>
    <row r="190" ht="15.75" customHeight="1" s="46"/>
    <row r="191" ht="15.75" customHeight="1" s="46"/>
    <row r="192" ht="15.75" customHeight="1" s="46"/>
    <row r="193" ht="15.75" customHeight="1" s="46"/>
    <row r="194" ht="15.75" customHeight="1" s="46"/>
    <row r="195" ht="15.75" customHeight="1" s="46"/>
    <row r="196" ht="15.75" customHeight="1" s="46"/>
    <row r="197" ht="15.75" customHeight="1" s="46"/>
    <row r="198" ht="15.75" customHeight="1" s="46"/>
    <row r="199" ht="15.75" customHeight="1" s="46"/>
    <row r="200" ht="15.75" customHeight="1" s="46"/>
    <row r="201" ht="15.75" customHeight="1" s="46"/>
    <row r="202" ht="15.75" customHeight="1" s="46"/>
    <row r="203" ht="15.75" customHeight="1" s="46"/>
    <row r="204" ht="15.75" customHeight="1" s="46"/>
    <row r="205" ht="15.75" customHeight="1" s="46"/>
    <row r="206" ht="15.75" customHeight="1" s="46"/>
    <row r="207" ht="15.75" customHeight="1" s="46"/>
    <row r="208" ht="15.75" customHeight="1" s="46"/>
    <row r="209" ht="15.75" customHeight="1" s="46"/>
    <row r="210" ht="15.75" customHeight="1" s="46"/>
    <row r="211" ht="15.75" customHeight="1" s="46"/>
    <row r="212" ht="15.75" customHeight="1" s="46"/>
    <row r="213" ht="15.75" customHeight="1" s="46"/>
    <row r="214" ht="15.75" customHeight="1" s="46"/>
    <row r="215" ht="15.75" customHeight="1" s="46"/>
    <row r="216" ht="15.75" customHeight="1" s="46"/>
    <row r="217" ht="15.75" customHeight="1" s="46"/>
    <row r="218" ht="15.75" customHeight="1" s="46"/>
    <row r="219" ht="15.75" customHeight="1" s="46"/>
    <row r="220" ht="15.75" customHeight="1" s="46"/>
    <row r="221" ht="15.75" customHeight="1" s="46"/>
    <row r="222" ht="15.75" customHeight="1" s="46"/>
    <row r="223" ht="15.75" customHeight="1" s="46"/>
    <row r="224" ht="15.75" customHeight="1" s="46"/>
    <row r="225" ht="15.75" customHeight="1" s="46"/>
    <row r="226" ht="15.75" customHeight="1" s="46"/>
    <row r="227" ht="15.75" customHeight="1" s="46"/>
    <row r="228" ht="15.75" customHeight="1" s="46"/>
    <row r="229" ht="15.75" customHeight="1" s="46"/>
    <row r="230" ht="15.75" customHeight="1" s="46"/>
    <row r="231" ht="15.75" customHeight="1" s="46"/>
    <row r="232" ht="15.75" customHeight="1" s="46"/>
    <row r="233" ht="15.75" customHeight="1" s="46"/>
    <row r="234" ht="15.75" customHeight="1" s="46"/>
    <row r="235" ht="15.75" customHeight="1" s="46"/>
    <row r="236" ht="15.75" customHeight="1" s="46"/>
    <row r="237" ht="15.75" customHeight="1" s="46"/>
    <row r="238" ht="15.75" customHeight="1" s="46"/>
    <row r="239" ht="15.75" customHeight="1" s="46"/>
    <row r="240" ht="15.75" customHeight="1" s="46"/>
    <row r="241" ht="15.75" customHeight="1" s="46"/>
    <row r="242" ht="15.75" customHeight="1" s="46"/>
    <row r="243" ht="15.75" customHeight="1" s="46"/>
    <row r="244" ht="15.75" customHeight="1" s="46"/>
    <row r="245" ht="15.75" customHeight="1" s="46"/>
    <row r="246" ht="15.75" customHeight="1" s="46"/>
    <row r="247" ht="15.75" customHeight="1" s="46"/>
    <row r="248" ht="15.75" customHeight="1" s="46"/>
    <row r="249" ht="15.75" customHeight="1" s="46"/>
    <row r="250" ht="15.75" customHeight="1" s="46"/>
    <row r="251" ht="15.75" customHeight="1" s="46"/>
    <row r="252" ht="15.75" customHeight="1" s="46"/>
    <row r="253" ht="15.75" customHeight="1" s="46"/>
    <row r="254" ht="15.75" customHeight="1" s="46"/>
    <row r="255" ht="15.75" customHeight="1" s="46"/>
    <row r="256" ht="15.75" customHeight="1" s="46"/>
    <row r="257" ht="15.75" customHeight="1" s="46"/>
    <row r="258" ht="15.75" customHeight="1" s="46"/>
    <row r="259" ht="15.75" customHeight="1" s="46"/>
    <row r="260" ht="15.75" customHeight="1" s="46"/>
    <row r="261" ht="15.75" customHeight="1" s="46"/>
    <row r="262" ht="15.75" customHeight="1" s="46"/>
    <row r="263" ht="15.75" customHeight="1" s="46"/>
    <row r="264" ht="15.75" customHeight="1" s="46"/>
    <row r="265" ht="15.75" customHeight="1" s="46"/>
    <row r="266" ht="15.75" customHeight="1" s="46"/>
    <row r="267" ht="15.75" customHeight="1" s="46"/>
    <row r="268" ht="15.75" customHeight="1" s="46"/>
    <row r="269" ht="15.75" customHeight="1" s="46"/>
    <row r="270" ht="15.75" customHeight="1" s="46"/>
    <row r="271" ht="15.75" customHeight="1" s="46"/>
    <row r="272" ht="15.75" customHeight="1" s="46"/>
    <row r="273" ht="15.75" customHeight="1" s="46"/>
    <row r="274" ht="15.75" customHeight="1" s="46"/>
    <row r="275" ht="15.75" customHeight="1" s="46"/>
    <row r="276" ht="15.75" customHeight="1" s="46"/>
    <row r="277" ht="15.75" customHeight="1" s="46"/>
    <row r="278" ht="15.75" customHeight="1" s="46"/>
    <row r="279" ht="15.75" customHeight="1" s="46"/>
    <row r="280" ht="15.75" customHeight="1" s="46"/>
    <row r="281" ht="15.75" customHeight="1" s="46"/>
    <row r="282" ht="15.75" customHeight="1" s="46"/>
    <row r="283" ht="15.75" customHeight="1" s="46"/>
    <row r="284" ht="15.75" customHeight="1" s="46"/>
    <row r="285" ht="15.75" customHeight="1" s="46"/>
    <row r="286" ht="15.75" customHeight="1" s="46"/>
    <row r="287" ht="15.75" customHeight="1" s="46"/>
    <row r="288" ht="15.75" customHeight="1" s="46"/>
    <row r="289" ht="15.75" customHeight="1" s="46"/>
    <row r="290" ht="15.75" customHeight="1" s="46"/>
    <row r="291" ht="15.75" customHeight="1" s="46"/>
    <row r="292" ht="15.75" customHeight="1" s="46"/>
    <row r="293" ht="15.75" customHeight="1" s="46"/>
    <row r="294" ht="15.75" customHeight="1" s="46"/>
    <row r="295" ht="15.75" customHeight="1" s="46"/>
    <row r="296" ht="15.75" customHeight="1" s="46"/>
    <row r="297" ht="15.75" customHeight="1" s="46"/>
    <row r="298" ht="15.75" customHeight="1" s="46"/>
    <row r="299" ht="15.75" customHeight="1" s="46"/>
    <row r="300" ht="15.75" customHeight="1" s="46"/>
    <row r="301" ht="15.75" customHeight="1" s="46"/>
    <row r="302" ht="15.75" customHeight="1" s="46"/>
    <row r="303" ht="15.75" customHeight="1" s="46"/>
    <row r="304" ht="15.75" customHeight="1" s="46"/>
    <row r="305" ht="15.75" customHeight="1" s="46"/>
    <row r="306" ht="15.75" customHeight="1" s="46"/>
    <row r="307" ht="15.75" customHeight="1" s="46"/>
    <row r="308" ht="15.75" customHeight="1" s="46"/>
    <row r="309" ht="15.75" customHeight="1" s="46"/>
    <row r="310" ht="15.75" customHeight="1" s="46"/>
    <row r="311" ht="15.75" customHeight="1" s="46"/>
    <row r="312" ht="15.75" customHeight="1" s="46"/>
    <row r="313" ht="15.75" customHeight="1" s="46"/>
    <row r="314" ht="15.75" customHeight="1" s="46"/>
    <row r="315" ht="15.75" customHeight="1" s="46"/>
    <row r="316" ht="15.75" customHeight="1" s="46"/>
    <row r="317" ht="15.75" customHeight="1" s="46"/>
    <row r="318" ht="15.75" customHeight="1" s="46"/>
    <row r="319" ht="15.75" customHeight="1" s="46"/>
    <row r="320" ht="15.75" customHeight="1" s="46"/>
    <row r="321" ht="15.75" customHeight="1" s="46"/>
    <row r="322" ht="15.75" customHeight="1" s="46"/>
    <row r="323" ht="15.75" customHeight="1" s="46"/>
    <row r="324" ht="15.75" customHeight="1" s="46"/>
    <row r="325" ht="15.75" customHeight="1" s="46"/>
    <row r="326" ht="15.75" customHeight="1" s="46"/>
    <row r="327" ht="15.75" customHeight="1" s="46"/>
    <row r="328" ht="15.75" customHeight="1" s="46"/>
    <row r="329" ht="15.75" customHeight="1" s="46"/>
    <row r="330" ht="15.75" customHeight="1" s="46"/>
    <row r="331" ht="15.75" customHeight="1" s="46"/>
    <row r="332" ht="15.75" customHeight="1" s="46"/>
    <row r="333" ht="15.75" customHeight="1" s="46"/>
    <row r="334" ht="15.75" customHeight="1" s="46"/>
    <row r="335" ht="15.75" customHeight="1" s="46"/>
    <row r="336" ht="15.75" customHeight="1" s="46"/>
    <row r="337" ht="15.75" customHeight="1" s="46"/>
    <row r="338" ht="15.75" customHeight="1" s="46"/>
    <row r="339" ht="15.75" customHeight="1" s="46"/>
    <row r="340" ht="15.75" customHeight="1" s="46"/>
    <row r="341" ht="15.75" customHeight="1" s="46"/>
    <row r="342" ht="15.75" customHeight="1" s="46"/>
    <row r="343" ht="15.75" customHeight="1" s="46"/>
    <row r="344" ht="15.75" customHeight="1" s="46"/>
    <row r="345" ht="15.75" customHeight="1" s="46"/>
    <row r="346" ht="15.75" customHeight="1" s="46"/>
    <row r="347" ht="15.75" customHeight="1" s="46"/>
    <row r="348" ht="15.75" customHeight="1" s="46"/>
    <row r="349" ht="15.75" customHeight="1" s="46"/>
    <row r="350" ht="15.75" customHeight="1" s="46"/>
    <row r="351" ht="15.75" customHeight="1" s="46"/>
    <row r="352" ht="15.75" customHeight="1" s="46"/>
    <row r="353" ht="15.75" customHeight="1" s="46"/>
    <row r="354" ht="15.75" customHeight="1" s="46"/>
    <row r="355" ht="15.75" customHeight="1" s="46"/>
    <row r="356" ht="15.75" customHeight="1" s="46"/>
    <row r="357" ht="15.75" customHeight="1" s="46"/>
    <row r="358" ht="15.75" customHeight="1" s="46"/>
    <row r="359" ht="15.75" customHeight="1" s="46"/>
    <row r="360" ht="15.75" customHeight="1" s="46"/>
    <row r="361" ht="15.75" customHeight="1" s="46"/>
    <row r="362" ht="15.75" customHeight="1" s="46"/>
    <row r="363" ht="15.75" customHeight="1" s="46"/>
    <row r="364" ht="15.75" customHeight="1" s="46"/>
    <row r="365" ht="15.75" customHeight="1" s="46"/>
    <row r="366" ht="15.75" customHeight="1" s="46"/>
    <row r="367" ht="15.75" customHeight="1" s="46"/>
    <row r="368" ht="15.75" customHeight="1" s="46"/>
    <row r="369" ht="15.75" customHeight="1" s="46"/>
    <row r="370" ht="15.75" customHeight="1" s="46"/>
    <row r="371" ht="15.75" customHeight="1" s="46"/>
    <row r="372" ht="15.75" customHeight="1" s="46"/>
    <row r="373" ht="15.75" customHeight="1" s="46"/>
    <row r="374" ht="15.75" customHeight="1" s="46"/>
    <row r="375" ht="15.75" customHeight="1" s="46"/>
    <row r="376" ht="15.75" customHeight="1" s="46"/>
    <row r="377" ht="15.75" customHeight="1" s="46"/>
    <row r="378" ht="15.75" customHeight="1" s="46"/>
    <row r="379" ht="15.75" customHeight="1" s="46"/>
    <row r="380" ht="15.75" customHeight="1" s="46"/>
    <row r="381" ht="15.75" customHeight="1" s="46"/>
    <row r="382" ht="15.75" customHeight="1" s="46"/>
    <row r="383" ht="15.75" customHeight="1" s="46"/>
    <row r="384" ht="15.75" customHeight="1" s="46"/>
    <row r="385" ht="15.75" customHeight="1" s="46"/>
    <row r="386" ht="15.75" customHeight="1" s="46"/>
    <row r="387" ht="15.75" customHeight="1" s="46"/>
    <row r="388" ht="15.75" customHeight="1" s="46"/>
    <row r="389" ht="15.75" customHeight="1" s="46"/>
    <row r="390" ht="15.75" customHeight="1" s="46"/>
    <row r="391" ht="15.75" customHeight="1" s="46"/>
    <row r="392" ht="15.75" customHeight="1" s="46"/>
    <row r="393" ht="15.75" customHeight="1" s="46"/>
    <row r="394" ht="15.75" customHeight="1" s="46"/>
    <row r="395" ht="15.75" customHeight="1" s="46"/>
    <row r="396" ht="15.75" customHeight="1" s="46"/>
    <row r="397" ht="15.75" customHeight="1" s="46"/>
    <row r="398" ht="15.75" customHeight="1" s="46"/>
    <row r="399" ht="15.75" customHeight="1" s="46"/>
    <row r="400" ht="15.75" customHeight="1" s="46"/>
    <row r="401" ht="15.75" customHeight="1" s="46"/>
    <row r="402" ht="15.75" customHeight="1" s="46"/>
    <row r="403" ht="15.75" customHeight="1" s="46"/>
    <row r="404" ht="15.75" customHeight="1" s="46"/>
    <row r="405" ht="15.75" customHeight="1" s="46"/>
    <row r="406" ht="15.75" customHeight="1" s="46"/>
    <row r="407" ht="15.75" customHeight="1" s="46"/>
    <row r="408" ht="15.75" customHeight="1" s="46"/>
    <row r="409" ht="15.75" customHeight="1" s="46"/>
    <row r="410" ht="15.75" customHeight="1" s="46"/>
    <row r="411" ht="15.75" customHeight="1" s="46"/>
    <row r="412" ht="15.75" customHeight="1" s="46"/>
    <row r="413" ht="15.75" customHeight="1" s="46"/>
    <row r="414" ht="15.75" customHeight="1" s="46"/>
    <row r="415" ht="15.75" customHeight="1" s="46"/>
    <row r="416" ht="15.75" customHeight="1" s="46"/>
    <row r="417" ht="15.75" customHeight="1" s="46"/>
    <row r="418" ht="15.75" customHeight="1" s="46"/>
    <row r="419" ht="15.75" customHeight="1" s="46"/>
    <row r="420" ht="15.75" customHeight="1" s="46"/>
    <row r="421" ht="15.75" customHeight="1" s="46"/>
    <row r="422" ht="15.75" customHeight="1" s="46"/>
    <row r="423" ht="15.75" customHeight="1" s="46"/>
    <row r="424" ht="15.75" customHeight="1" s="46"/>
    <row r="425" ht="15.75" customHeight="1" s="46"/>
    <row r="426" ht="15.75" customHeight="1" s="46"/>
    <row r="427" ht="15.75" customHeight="1" s="46"/>
    <row r="428" ht="15.75" customHeight="1" s="46"/>
    <row r="429" ht="15.75" customHeight="1" s="46"/>
    <row r="430" ht="15.75" customHeight="1" s="46"/>
    <row r="431" ht="15.75" customHeight="1" s="46"/>
    <row r="432" ht="15.75" customHeight="1" s="46"/>
    <row r="433" ht="15.75" customHeight="1" s="46"/>
    <row r="434" ht="15.75" customHeight="1" s="46"/>
    <row r="435" ht="15.75" customHeight="1" s="46"/>
    <row r="436" ht="15.75" customHeight="1" s="46"/>
    <row r="437" ht="15.75" customHeight="1" s="46"/>
    <row r="438" ht="15.75" customHeight="1" s="46"/>
    <row r="439" ht="15.75" customHeight="1" s="46"/>
    <row r="440" ht="15.75" customHeight="1" s="46"/>
    <row r="441" ht="15.75" customHeight="1" s="46"/>
    <row r="442" ht="15.75" customHeight="1" s="46"/>
    <row r="443" ht="15.75" customHeight="1" s="46"/>
    <row r="444" ht="15.75" customHeight="1" s="46"/>
    <row r="445" ht="15.75" customHeight="1" s="46"/>
    <row r="446" ht="15.75" customHeight="1" s="46"/>
    <row r="447" ht="15.75" customHeight="1" s="46"/>
    <row r="448" ht="15.75" customHeight="1" s="46"/>
    <row r="449" ht="15.75" customHeight="1" s="46"/>
    <row r="450" ht="15.75" customHeight="1" s="46"/>
    <row r="451" ht="15.75" customHeight="1" s="46"/>
    <row r="452" ht="15.75" customHeight="1" s="46"/>
    <row r="453" ht="15.75" customHeight="1" s="46"/>
    <row r="454" ht="15.75" customHeight="1" s="46"/>
    <row r="455" ht="15.75" customHeight="1" s="46"/>
    <row r="456" ht="15.75" customHeight="1" s="46"/>
    <row r="457" ht="15.75" customHeight="1" s="46"/>
    <row r="458" ht="15.75" customHeight="1" s="46"/>
    <row r="459" ht="15.75" customHeight="1" s="46"/>
    <row r="460" ht="15.75" customHeight="1" s="46"/>
    <row r="461" ht="15.75" customHeight="1" s="46"/>
    <row r="462" ht="15.75" customHeight="1" s="46"/>
    <row r="463" ht="15.75" customHeight="1" s="46"/>
    <row r="464" ht="15.75" customHeight="1" s="46"/>
    <row r="465" ht="15.75" customHeight="1" s="46"/>
    <row r="466" ht="15.75" customHeight="1" s="46"/>
    <row r="467" ht="15.75" customHeight="1" s="46"/>
    <row r="468" ht="15.75" customHeight="1" s="46"/>
    <row r="469" ht="15.75" customHeight="1" s="46"/>
    <row r="470" ht="15.75" customHeight="1" s="46"/>
    <row r="471" ht="15.75" customHeight="1" s="46"/>
    <row r="472" ht="15.75" customHeight="1" s="46"/>
    <row r="473" ht="15.75" customHeight="1" s="46"/>
    <row r="474" ht="15.75" customHeight="1" s="46"/>
    <row r="475" ht="15.75" customHeight="1" s="46"/>
    <row r="476" ht="15.75" customHeight="1" s="46"/>
    <row r="477" ht="15.75" customHeight="1" s="46"/>
    <row r="478" ht="15.75" customHeight="1" s="46"/>
    <row r="479" ht="15.75" customHeight="1" s="46"/>
    <row r="480" ht="15.75" customHeight="1" s="46"/>
    <row r="481" ht="15.75" customHeight="1" s="46"/>
    <row r="482" ht="15.75" customHeight="1" s="46"/>
    <row r="483" ht="15.75" customHeight="1" s="46"/>
    <row r="484" ht="15.75" customHeight="1" s="46"/>
    <row r="485" ht="15.75" customHeight="1" s="46"/>
    <row r="486" ht="15.75" customHeight="1" s="46"/>
    <row r="487" ht="15.75" customHeight="1" s="46"/>
    <row r="488" ht="15.75" customHeight="1" s="46"/>
    <row r="489" ht="15.75" customHeight="1" s="46"/>
    <row r="490" ht="15.75" customHeight="1" s="46"/>
    <row r="491" ht="15.75" customHeight="1" s="46"/>
    <row r="492" ht="15.75" customHeight="1" s="46"/>
    <row r="493" ht="15.75" customHeight="1" s="46"/>
    <row r="494" ht="15.75" customHeight="1" s="46"/>
    <row r="495" ht="15.75" customHeight="1" s="46"/>
    <row r="496" ht="15.75" customHeight="1" s="46"/>
    <row r="497" ht="15.75" customHeight="1" s="46"/>
    <row r="498" ht="15.75" customHeight="1" s="46"/>
    <row r="499" ht="15.75" customHeight="1" s="46"/>
    <row r="500" ht="15.75" customHeight="1" s="46"/>
    <row r="501" ht="15.75" customHeight="1" s="46"/>
    <row r="502" ht="15.75" customHeight="1" s="46"/>
    <row r="503" ht="15.75" customHeight="1" s="46"/>
    <row r="504" ht="15.75" customHeight="1" s="46"/>
    <row r="505" ht="15.75" customHeight="1" s="46"/>
    <row r="506" ht="15.75" customHeight="1" s="46"/>
    <row r="507" ht="15.75" customHeight="1" s="46"/>
    <row r="508" ht="15.75" customHeight="1" s="46"/>
    <row r="509" ht="15.75" customHeight="1" s="46"/>
    <row r="510" ht="15.75" customHeight="1" s="46"/>
    <row r="511" ht="15.75" customHeight="1" s="46"/>
    <row r="512" ht="15.75" customHeight="1" s="46"/>
    <row r="513" ht="15.75" customHeight="1" s="46"/>
    <row r="514" ht="15.75" customHeight="1" s="46"/>
    <row r="515" ht="15.75" customHeight="1" s="46"/>
    <row r="516" ht="15.75" customHeight="1" s="46"/>
    <row r="517" ht="15.75" customHeight="1" s="46"/>
    <row r="518" ht="15.75" customHeight="1" s="46"/>
    <row r="519" ht="15.75" customHeight="1" s="46"/>
    <row r="520" ht="15.75" customHeight="1" s="46"/>
    <row r="521" ht="15.75" customHeight="1" s="46"/>
    <row r="522" ht="15.75" customHeight="1" s="46"/>
    <row r="523" ht="15.75" customHeight="1" s="46"/>
    <row r="524" ht="15.75" customHeight="1" s="46"/>
    <row r="525" ht="15.75" customHeight="1" s="46"/>
    <row r="526" ht="15.75" customHeight="1" s="46"/>
    <row r="527" ht="15.75" customHeight="1" s="46"/>
    <row r="528" ht="15.75" customHeight="1" s="46"/>
    <row r="529" ht="15.75" customHeight="1" s="46"/>
    <row r="530" ht="15.75" customHeight="1" s="46"/>
    <row r="531" ht="15.75" customHeight="1" s="46"/>
    <row r="532" ht="15.75" customHeight="1" s="46"/>
    <row r="533" ht="15.75" customHeight="1" s="46"/>
    <row r="534" ht="15.75" customHeight="1" s="46"/>
    <row r="535" ht="15.75" customHeight="1" s="46"/>
    <row r="536" ht="15.75" customHeight="1" s="46"/>
    <row r="537" ht="15.75" customHeight="1" s="46"/>
    <row r="538" ht="15.75" customHeight="1" s="46"/>
    <row r="539" ht="15.75" customHeight="1" s="46"/>
    <row r="540" ht="15.75" customHeight="1" s="46"/>
    <row r="541" ht="15.75" customHeight="1" s="46"/>
    <row r="542" ht="15.75" customHeight="1" s="46"/>
    <row r="543" ht="15.75" customHeight="1" s="46"/>
    <row r="544" ht="15.75" customHeight="1" s="46"/>
    <row r="545" ht="15.75" customHeight="1" s="46"/>
    <row r="546" ht="15.75" customHeight="1" s="46"/>
    <row r="547" ht="15.75" customHeight="1" s="46"/>
    <row r="548" ht="15.75" customHeight="1" s="46"/>
    <row r="549" ht="15.75" customHeight="1" s="46"/>
    <row r="550" ht="15.75" customHeight="1" s="46"/>
    <row r="551" ht="15.75" customHeight="1" s="46"/>
    <row r="552" ht="15.75" customHeight="1" s="46"/>
    <row r="553" ht="15.75" customHeight="1" s="46"/>
    <row r="554" ht="15.75" customHeight="1" s="46"/>
    <row r="555" ht="15.75" customHeight="1" s="46"/>
    <row r="556" ht="15.75" customHeight="1" s="46"/>
    <row r="557" ht="15.75" customHeight="1" s="46"/>
    <row r="558" ht="15.75" customHeight="1" s="46"/>
    <row r="559" ht="15.75" customHeight="1" s="46"/>
    <row r="560" ht="15.75" customHeight="1" s="46"/>
    <row r="561" ht="15.75" customHeight="1" s="46"/>
    <row r="562" ht="15.75" customHeight="1" s="46"/>
    <row r="563" ht="15.75" customHeight="1" s="46"/>
    <row r="564" ht="15.75" customHeight="1" s="46"/>
    <row r="565" ht="15.75" customHeight="1" s="46"/>
    <row r="566" ht="15.75" customHeight="1" s="46"/>
    <row r="567" ht="15.75" customHeight="1" s="46"/>
    <row r="568" ht="15.75" customHeight="1" s="46"/>
    <row r="569" ht="15.75" customHeight="1" s="46"/>
    <row r="570" ht="15.75" customHeight="1" s="46"/>
    <row r="571" ht="15.75" customHeight="1" s="46"/>
    <row r="572" ht="15.75" customHeight="1" s="46"/>
    <row r="573" ht="15.75" customHeight="1" s="46"/>
    <row r="574" ht="15.75" customHeight="1" s="46"/>
    <row r="575" ht="15.75" customHeight="1" s="46"/>
    <row r="576" ht="15.75" customHeight="1" s="46"/>
    <row r="577" ht="15.75" customHeight="1" s="46"/>
    <row r="578" ht="15.75" customHeight="1" s="46"/>
    <row r="579" ht="15.75" customHeight="1" s="46"/>
    <row r="580" ht="15.75" customHeight="1" s="46"/>
    <row r="581" ht="15.75" customHeight="1" s="46"/>
    <row r="582" ht="15.75" customHeight="1" s="46"/>
    <row r="583" ht="15.75" customHeight="1" s="46"/>
    <row r="584" ht="15.75" customHeight="1" s="46"/>
    <row r="585" ht="15.75" customHeight="1" s="46"/>
    <row r="586" ht="15.75" customHeight="1" s="46"/>
    <row r="587" ht="15.75" customHeight="1" s="46"/>
    <row r="588" ht="15.75" customHeight="1" s="46"/>
    <row r="589" ht="15.75" customHeight="1" s="46"/>
    <row r="590" ht="15.75" customHeight="1" s="46"/>
    <row r="591" ht="15.75" customHeight="1" s="46"/>
    <row r="592" ht="15.75" customHeight="1" s="46"/>
    <row r="593" ht="15.75" customHeight="1" s="46"/>
    <row r="594" ht="15.75" customHeight="1" s="46"/>
    <row r="595" ht="15.75" customHeight="1" s="46"/>
    <row r="596" ht="15.75" customHeight="1" s="46"/>
    <row r="597" ht="15.75" customHeight="1" s="46"/>
    <row r="598" ht="15.75" customHeight="1" s="46"/>
    <row r="599" ht="15.75" customHeight="1" s="46"/>
    <row r="600" ht="15.75" customHeight="1" s="46"/>
    <row r="601" ht="15.75" customHeight="1" s="46"/>
    <row r="602" ht="15.75" customHeight="1" s="46"/>
    <row r="603" ht="15.75" customHeight="1" s="46"/>
    <row r="604" ht="15.75" customHeight="1" s="46"/>
    <row r="605" ht="15.75" customHeight="1" s="46"/>
    <row r="606" ht="15.75" customHeight="1" s="46"/>
    <row r="607" ht="15.75" customHeight="1" s="46"/>
    <row r="608" ht="15.75" customHeight="1" s="46"/>
    <row r="609" ht="15.75" customHeight="1" s="46"/>
    <row r="610" ht="15.75" customHeight="1" s="46"/>
    <row r="611" ht="15.75" customHeight="1" s="46"/>
    <row r="612" ht="15.75" customHeight="1" s="46"/>
    <row r="613" ht="15.75" customHeight="1" s="46"/>
    <row r="614" ht="15.75" customHeight="1" s="46"/>
    <row r="615" ht="15.75" customHeight="1" s="46"/>
    <row r="616" ht="15.75" customHeight="1" s="46"/>
    <row r="617" ht="15.75" customHeight="1" s="46"/>
    <row r="618" ht="15.75" customHeight="1" s="46"/>
    <row r="619" ht="15.75" customHeight="1" s="46"/>
    <row r="620" ht="15.75" customHeight="1" s="46"/>
    <row r="621" ht="15.75" customHeight="1" s="46"/>
    <row r="622" ht="15.75" customHeight="1" s="46"/>
    <row r="623" ht="15.75" customHeight="1" s="46"/>
    <row r="624" ht="15.75" customHeight="1" s="46"/>
    <row r="625" ht="15.75" customHeight="1" s="46"/>
    <row r="626" ht="15.75" customHeight="1" s="46"/>
    <row r="627" ht="15.75" customHeight="1" s="46"/>
    <row r="628" ht="15.75" customHeight="1" s="46"/>
    <row r="629" ht="15.75" customHeight="1" s="46"/>
    <row r="630" ht="15.75" customHeight="1" s="46"/>
    <row r="631" ht="15.75" customHeight="1" s="46"/>
    <row r="632" ht="15.75" customHeight="1" s="46"/>
    <row r="633" ht="15.75" customHeight="1" s="46"/>
    <row r="634" ht="15.75" customHeight="1" s="46"/>
    <row r="635" ht="15.75" customHeight="1" s="46"/>
    <row r="636" ht="15.75" customHeight="1" s="46"/>
    <row r="637" ht="15.75" customHeight="1" s="46"/>
    <row r="638" ht="15.75" customHeight="1" s="46"/>
    <row r="639" ht="15.75" customHeight="1" s="46"/>
    <row r="640" ht="15.75" customHeight="1" s="46"/>
    <row r="641" ht="15.75" customHeight="1" s="46"/>
    <row r="642" ht="15.75" customHeight="1" s="46"/>
    <row r="643" ht="15.75" customHeight="1" s="46"/>
    <row r="644" ht="15.75" customHeight="1" s="46"/>
    <row r="645" ht="15.75" customHeight="1" s="46"/>
    <row r="646" ht="15.75" customHeight="1" s="46"/>
    <row r="647" ht="15.75" customHeight="1" s="46"/>
    <row r="648" ht="15.75" customHeight="1" s="46"/>
    <row r="649" ht="15.75" customHeight="1" s="46"/>
    <row r="650" ht="15.75" customHeight="1" s="46"/>
    <row r="651" ht="15.75" customHeight="1" s="46"/>
    <row r="652" ht="15.75" customHeight="1" s="46"/>
    <row r="653" ht="15.75" customHeight="1" s="46"/>
    <row r="654" ht="15.75" customHeight="1" s="46"/>
    <row r="655" ht="15.75" customHeight="1" s="46"/>
    <row r="656" ht="15.75" customHeight="1" s="46"/>
    <row r="657" ht="15.75" customHeight="1" s="46"/>
    <row r="658" ht="15.75" customHeight="1" s="46"/>
    <row r="659" ht="15.75" customHeight="1" s="46"/>
    <row r="660" ht="15.75" customHeight="1" s="46"/>
    <row r="661" ht="15.75" customHeight="1" s="46"/>
    <row r="662" ht="15.75" customHeight="1" s="46"/>
    <row r="663" ht="15.75" customHeight="1" s="46"/>
    <row r="664" ht="15.75" customHeight="1" s="46"/>
    <row r="665" ht="15.75" customHeight="1" s="46"/>
    <row r="666" ht="15.75" customHeight="1" s="46"/>
    <row r="667" ht="15.75" customHeight="1" s="46"/>
    <row r="668" ht="15.75" customHeight="1" s="46"/>
    <row r="669" ht="15.75" customHeight="1" s="46"/>
    <row r="670" ht="15.75" customHeight="1" s="46"/>
    <row r="671" ht="15.75" customHeight="1" s="46"/>
    <row r="672" ht="15.75" customHeight="1" s="46"/>
    <row r="673" ht="15.75" customHeight="1" s="46"/>
    <row r="674" ht="15.75" customHeight="1" s="46"/>
    <row r="675" ht="15.75" customHeight="1" s="46"/>
    <row r="676" ht="15.75" customHeight="1" s="46"/>
    <row r="677" ht="15.75" customHeight="1" s="46"/>
    <row r="678" ht="15.75" customHeight="1" s="46"/>
    <row r="679" ht="15.75" customHeight="1" s="46"/>
    <row r="680" ht="15.75" customHeight="1" s="46"/>
    <row r="681" ht="15.75" customHeight="1" s="46"/>
    <row r="682" ht="15.75" customHeight="1" s="46"/>
    <row r="683" ht="15.75" customHeight="1" s="46"/>
    <row r="684" ht="15.75" customHeight="1" s="46"/>
    <row r="685" ht="15.75" customHeight="1" s="46"/>
    <row r="686" ht="15.75" customHeight="1" s="46"/>
    <row r="687" ht="15.75" customHeight="1" s="46"/>
    <row r="688" ht="15.75" customHeight="1" s="46"/>
    <row r="689" ht="15.75" customHeight="1" s="46"/>
    <row r="690" ht="15.75" customHeight="1" s="46"/>
    <row r="691" ht="15.75" customHeight="1" s="46"/>
    <row r="692" ht="15.75" customHeight="1" s="46"/>
    <row r="693" ht="15.75" customHeight="1" s="46"/>
    <row r="694" ht="15.75" customHeight="1" s="46"/>
    <row r="695" ht="15.75" customHeight="1" s="46"/>
    <row r="696" ht="15.75" customHeight="1" s="46"/>
    <row r="697" ht="15.75" customHeight="1" s="46"/>
    <row r="698" ht="15.75" customHeight="1" s="46"/>
    <row r="699" ht="15.75" customHeight="1" s="46"/>
    <row r="700" ht="15.75" customHeight="1" s="46"/>
    <row r="701" ht="15.75" customHeight="1" s="46"/>
    <row r="702" ht="15.75" customHeight="1" s="46"/>
    <row r="703" ht="15.75" customHeight="1" s="46"/>
    <row r="704" ht="15.75" customHeight="1" s="46"/>
    <row r="705" ht="15.75" customHeight="1" s="46"/>
    <row r="706" ht="15.75" customHeight="1" s="46"/>
    <row r="707" ht="15.75" customHeight="1" s="46"/>
    <row r="708" ht="15.75" customHeight="1" s="46"/>
    <row r="709" ht="15.75" customHeight="1" s="46"/>
    <row r="710" ht="15.75" customHeight="1" s="46"/>
    <row r="711" ht="15.75" customHeight="1" s="46"/>
    <row r="712" ht="15.75" customHeight="1" s="46"/>
    <row r="713" ht="15.75" customHeight="1" s="46"/>
    <row r="714" ht="15.75" customHeight="1" s="46"/>
    <row r="715" ht="15.75" customHeight="1" s="46"/>
    <row r="716" ht="15.75" customHeight="1" s="46"/>
    <row r="717" ht="15.75" customHeight="1" s="46"/>
    <row r="718" ht="15.75" customHeight="1" s="46"/>
    <row r="719" ht="15.75" customHeight="1" s="46"/>
    <row r="720" ht="15.75" customHeight="1" s="46"/>
    <row r="721" ht="15.75" customHeight="1" s="46"/>
    <row r="722" ht="15.75" customHeight="1" s="46"/>
    <row r="723" ht="15.75" customHeight="1" s="46"/>
    <row r="724" ht="15.75" customHeight="1" s="46"/>
    <row r="725" ht="15.75" customHeight="1" s="46"/>
    <row r="726" ht="15.75" customHeight="1" s="46"/>
    <row r="727" ht="15.75" customHeight="1" s="46"/>
    <row r="728" ht="15.75" customHeight="1" s="46"/>
    <row r="729" ht="15.75" customHeight="1" s="46"/>
    <row r="730" ht="15.75" customHeight="1" s="46"/>
    <row r="731" ht="15.75" customHeight="1" s="46"/>
    <row r="732" ht="15.75" customHeight="1" s="46"/>
    <row r="733" ht="15.75" customHeight="1" s="46"/>
    <row r="734" ht="15.75" customHeight="1" s="46"/>
    <row r="735" ht="15.75" customHeight="1" s="46"/>
    <row r="736" ht="15.75" customHeight="1" s="46"/>
    <row r="737" ht="15.75" customHeight="1" s="46"/>
    <row r="738" ht="15.75" customHeight="1" s="46"/>
    <row r="739" ht="15.75" customHeight="1" s="46"/>
    <row r="740" ht="15.75" customHeight="1" s="46"/>
    <row r="741" ht="15.75" customHeight="1" s="46"/>
    <row r="742" ht="15.75" customHeight="1" s="46"/>
    <row r="743" ht="15.75" customHeight="1" s="46"/>
    <row r="744" ht="15.75" customHeight="1" s="46"/>
    <row r="745" ht="15.75" customHeight="1" s="46"/>
    <row r="746" ht="15.75" customHeight="1" s="46"/>
    <row r="747" ht="15.75" customHeight="1" s="46"/>
    <row r="748" ht="15.75" customHeight="1" s="46"/>
    <row r="749" ht="15.75" customHeight="1" s="46"/>
    <row r="750" ht="15.75" customHeight="1" s="46"/>
    <row r="751" ht="15.75" customHeight="1" s="46"/>
    <row r="752" ht="15.75" customHeight="1" s="46"/>
    <row r="753" ht="15.75" customHeight="1" s="46"/>
    <row r="754" ht="15.75" customHeight="1" s="46"/>
    <row r="755" ht="15.75" customHeight="1" s="46"/>
    <row r="756" ht="15.75" customHeight="1" s="46"/>
    <row r="757" ht="15.75" customHeight="1" s="46"/>
    <row r="758" ht="15.75" customHeight="1" s="46"/>
    <row r="759" ht="15.75" customHeight="1" s="46"/>
    <row r="760" ht="15.75" customHeight="1" s="46"/>
    <row r="761" ht="15.75" customHeight="1" s="46"/>
    <row r="762" ht="15.75" customHeight="1" s="46"/>
    <row r="763" ht="15.75" customHeight="1" s="46"/>
    <row r="764" ht="15.75" customHeight="1" s="46"/>
    <row r="765" ht="15.75" customHeight="1" s="46"/>
    <row r="766" ht="15.75" customHeight="1" s="46"/>
    <row r="767" ht="15.75" customHeight="1" s="46"/>
    <row r="768" ht="15.75" customHeight="1" s="46"/>
    <row r="769" ht="15.75" customHeight="1" s="46"/>
    <row r="770" ht="15.75" customHeight="1" s="46"/>
    <row r="771" ht="15.75" customHeight="1" s="46"/>
    <row r="772" ht="15.75" customHeight="1" s="46"/>
    <row r="773" ht="15.75" customHeight="1" s="46"/>
    <row r="774" ht="15.75" customHeight="1" s="46"/>
    <row r="775" ht="15.75" customHeight="1" s="46"/>
    <row r="776" ht="15.75" customHeight="1" s="46"/>
    <row r="777" ht="15.75" customHeight="1" s="46"/>
    <row r="778" ht="15.75" customHeight="1" s="46"/>
    <row r="779" ht="15.75" customHeight="1" s="46"/>
    <row r="780" ht="15.75" customHeight="1" s="46"/>
    <row r="781" ht="15.75" customHeight="1" s="46"/>
    <row r="782" ht="15.75" customHeight="1" s="46"/>
    <row r="783" ht="15.75" customHeight="1" s="46"/>
    <row r="784" ht="15.75" customHeight="1" s="46"/>
    <row r="785" ht="15.75" customHeight="1" s="46"/>
    <row r="786" ht="15.75" customHeight="1" s="46"/>
    <row r="787" ht="15.75" customHeight="1" s="46"/>
    <row r="788" ht="15.75" customHeight="1" s="46"/>
    <row r="789" ht="15.75" customHeight="1" s="46"/>
    <row r="790" ht="15.75" customHeight="1" s="46"/>
    <row r="791" ht="15.75" customHeight="1" s="46"/>
    <row r="792" ht="15.75" customHeight="1" s="46"/>
    <row r="793" ht="15.75" customHeight="1" s="46"/>
    <row r="794" ht="15.75" customHeight="1" s="46"/>
    <row r="795" ht="15.75" customHeight="1" s="46"/>
    <row r="796" ht="15.75" customHeight="1" s="46"/>
    <row r="797" ht="15.75" customHeight="1" s="46"/>
    <row r="798" ht="15.75" customHeight="1" s="46"/>
    <row r="799" ht="15.75" customHeight="1" s="46"/>
    <row r="800" ht="15.75" customHeight="1" s="46"/>
    <row r="801" ht="15.75" customHeight="1" s="46"/>
    <row r="802" ht="15.75" customHeight="1" s="46"/>
    <row r="803" ht="15.75" customHeight="1" s="46"/>
    <row r="804" ht="15.75" customHeight="1" s="46"/>
    <row r="805" ht="15.75" customHeight="1" s="46"/>
    <row r="806" ht="15.75" customHeight="1" s="46"/>
    <row r="807" ht="15.75" customHeight="1" s="46"/>
    <row r="808" ht="15.75" customHeight="1" s="46"/>
    <row r="809" ht="15.75" customHeight="1" s="46"/>
    <row r="810" ht="15.75" customHeight="1" s="46"/>
    <row r="811" ht="15.75" customHeight="1" s="46"/>
    <row r="812" ht="15.75" customHeight="1" s="46"/>
    <row r="813" ht="15.75" customHeight="1" s="46"/>
    <row r="814" ht="15.75" customHeight="1" s="46"/>
    <row r="815" ht="15.75" customHeight="1" s="46"/>
    <row r="816" ht="15.75" customHeight="1" s="46"/>
    <row r="817" ht="15.75" customHeight="1" s="46"/>
    <row r="818" ht="15.75" customHeight="1" s="46"/>
    <row r="819" ht="15.75" customHeight="1" s="46"/>
    <row r="820" ht="15.75" customHeight="1" s="46"/>
    <row r="821" ht="15.75" customHeight="1" s="46"/>
    <row r="822" ht="15.75" customHeight="1" s="46"/>
    <row r="823" ht="15.75" customHeight="1" s="46"/>
    <row r="824" ht="15.75" customHeight="1" s="46"/>
    <row r="825" ht="15.75" customHeight="1" s="46"/>
    <row r="826" ht="15.75" customHeight="1" s="46"/>
    <row r="827" ht="15.75" customHeight="1" s="46"/>
    <row r="828" ht="15.75" customHeight="1" s="46"/>
    <row r="829" ht="15.75" customHeight="1" s="46"/>
    <row r="830" ht="15.75" customHeight="1" s="46"/>
    <row r="831" ht="15.75" customHeight="1" s="46"/>
    <row r="832" ht="15.75" customHeight="1" s="46"/>
    <row r="833" ht="15.75" customHeight="1" s="46"/>
    <row r="834" ht="15.75" customHeight="1" s="46"/>
    <row r="835" ht="15.75" customHeight="1" s="46"/>
    <row r="836" ht="15.75" customHeight="1" s="46"/>
    <row r="837" ht="15.75" customHeight="1" s="46"/>
    <row r="838" ht="15.75" customHeight="1" s="46"/>
    <row r="839" ht="15.75" customHeight="1" s="46"/>
    <row r="840" ht="15.75" customHeight="1" s="46"/>
    <row r="841" ht="15.75" customHeight="1" s="46"/>
    <row r="842" ht="15.75" customHeight="1" s="46"/>
    <row r="843" ht="15.75" customHeight="1" s="46"/>
    <row r="844" ht="15.75" customHeight="1" s="46"/>
    <row r="845" ht="15.75" customHeight="1" s="46"/>
    <row r="846" ht="15.75" customHeight="1" s="46"/>
    <row r="847" ht="15.75" customHeight="1" s="46"/>
    <row r="848" ht="15.75" customHeight="1" s="46"/>
    <row r="849" ht="15.75" customHeight="1" s="46"/>
    <row r="850" ht="15.75" customHeight="1" s="46"/>
    <row r="851" ht="15.75" customHeight="1" s="46"/>
    <row r="852" ht="15.75" customHeight="1" s="46"/>
    <row r="853" ht="15.75" customHeight="1" s="46"/>
    <row r="854" ht="15.75" customHeight="1" s="46"/>
    <row r="855" ht="15.75" customHeight="1" s="46"/>
    <row r="856" ht="15.75" customHeight="1" s="46"/>
    <row r="857" ht="15.75" customHeight="1" s="46"/>
    <row r="858" ht="15.75" customHeight="1" s="46"/>
    <row r="859" ht="15.75" customHeight="1" s="46"/>
    <row r="860" ht="15.75" customHeight="1" s="46"/>
    <row r="861" ht="15.75" customHeight="1" s="46"/>
    <row r="862" ht="15.75" customHeight="1" s="46"/>
    <row r="863" ht="15.75" customHeight="1" s="46"/>
    <row r="864" ht="15.75" customHeight="1" s="46"/>
    <row r="865" ht="15.75" customHeight="1" s="46"/>
    <row r="866" ht="15.75" customHeight="1" s="46"/>
    <row r="867" ht="15.75" customHeight="1" s="46"/>
    <row r="868" ht="15.75" customHeight="1" s="46"/>
    <row r="869" ht="15.75" customHeight="1" s="46"/>
    <row r="870" ht="15.75" customHeight="1" s="46"/>
    <row r="871" ht="15.75" customHeight="1" s="46"/>
    <row r="872" ht="15.75" customHeight="1" s="46"/>
    <row r="873" ht="15.75" customHeight="1" s="46"/>
    <row r="874" ht="15.75" customHeight="1" s="46"/>
    <row r="875" ht="15.75" customHeight="1" s="46"/>
    <row r="876" ht="15.75" customHeight="1" s="46"/>
    <row r="877" ht="15.75" customHeight="1" s="46"/>
    <row r="878" ht="15.75" customHeight="1" s="46"/>
    <row r="879" ht="15.75" customHeight="1" s="46"/>
    <row r="880" ht="15.75" customHeight="1" s="46"/>
    <row r="881" ht="15.75" customHeight="1" s="46"/>
    <row r="882" ht="15.75" customHeight="1" s="46"/>
    <row r="883" ht="15.75" customHeight="1" s="46"/>
    <row r="884" ht="15.75" customHeight="1" s="46"/>
    <row r="885" ht="15.75" customHeight="1" s="46"/>
    <row r="886" ht="15.75" customHeight="1" s="46"/>
    <row r="887" ht="15.75" customHeight="1" s="46"/>
    <row r="888" ht="15.75" customHeight="1" s="46"/>
    <row r="889" ht="15.75" customHeight="1" s="46"/>
    <row r="890" ht="15.75" customHeight="1" s="46"/>
    <row r="891" ht="15.75" customHeight="1" s="46"/>
    <row r="892" ht="15.75" customHeight="1" s="46"/>
    <row r="893" ht="15.75" customHeight="1" s="46"/>
    <row r="894" ht="15.75" customHeight="1" s="46"/>
    <row r="895" ht="15.75" customHeight="1" s="46"/>
    <row r="896" ht="15.75" customHeight="1" s="46"/>
    <row r="897" ht="15.75" customHeight="1" s="46"/>
    <row r="898" ht="15.75" customHeight="1" s="46"/>
    <row r="899" ht="15.75" customHeight="1" s="46"/>
    <row r="900" ht="15.75" customHeight="1" s="46"/>
    <row r="901" ht="15.75" customHeight="1" s="46"/>
    <row r="902" ht="15.75" customHeight="1" s="46"/>
    <row r="903" ht="15.75" customHeight="1" s="46"/>
    <row r="904" ht="15.75" customHeight="1" s="46"/>
    <row r="905" ht="15.75" customHeight="1" s="46"/>
    <row r="906" ht="15.75" customHeight="1" s="46"/>
    <row r="907" ht="15.75" customHeight="1" s="46"/>
    <row r="908" ht="15.75" customHeight="1" s="46"/>
    <row r="909" ht="15.75" customHeight="1" s="46"/>
    <row r="910" ht="15.75" customHeight="1" s="46"/>
    <row r="911" ht="15.75" customHeight="1" s="46"/>
    <row r="912" ht="15.75" customHeight="1" s="46"/>
    <row r="913" ht="15.75" customHeight="1" s="46"/>
    <row r="914" ht="15.75" customHeight="1" s="46"/>
    <row r="915" ht="15.75" customHeight="1" s="46"/>
    <row r="916" ht="15.75" customHeight="1" s="46"/>
    <row r="917" ht="15.75" customHeight="1" s="46"/>
    <row r="918" ht="15.75" customHeight="1" s="46"/>
    <row r="919" ht="15.75" customHeight="1" s="46"/>
    <row r="920" ht="15.75" customHeight="1" s="46"/>
    <row r="921" ht="15.75" customHeight="1" s="46"/>
    <row r="922" ht="15.75" customHeight="1" s="46"/>
    <row r="923" ht="15.75" customHeight="1" s="46"/>
    <row r="924" ht="15.75" customHeight="1" s="46"/>
    <row r="925" ht="15.75" customHeight="1" s="46"/>
    <row r="926" ht="15.75" customHeight="1" s="46"/>
    <row r="927" ht="15.75" customHeight="1" s="46"/>
    <row r="928" ht="15.75" customHeight="1" s="46"/>
    <row r="929" ht="15.75" customHeight="1" s="46"/>
    <row r="930" ht="15.75" customHeight="1" s="46"/>
    <row r="931" ht="15.75" customHeight="1" s="46"/>
    <row r="932" ht="15.75" customHeight="1" s="46"/>
    <row r="933" ht="15.75" customHeight="1" s="46"/>
    <row r="934" ht="15.75" customHeight="1" s="46"/>
    <row r="935" ht="15.75" customHeight="1" s="46"/>
    <row r="936" ht="15.75" customHeight="1" s="46"/>
    <row r="937" ht="15.75" customHeight="1" s="46"/>
    <row r="938" ht="15.75" customHeight="1" s="46"/>
    <row r="939" ht="15.75" customHeight="1" s="46"/>
    <row r="940" ht="15.75" customHeight="1" s="46"/>
    <row r="941" ht="15.75" customHeight="1" s="46"/>
    <row r="942" ht="15.75" customHeight="1" s="46"/>
    <row r="943" ht="15.75" customHeight="1" s="46"/>
    <row r="944" ht="15.75" customHeight="1" s="46"/>
    <row r="945" ht="15.75" customHeight="1" s="46"/>
    <row r="946" ht="15.75" customHeight="1" s="46"/>
    <row r="947" ht="15.75" customHeight="1" s="46"/>
    <row r="948" ht="15.75" customHeight="1" s="46"/>
    <row r="949" ht="15.75" customHeight="1" s="46"/>
    <row r="950" ht="15.75" customHeight="1" s="46"/>
    <row r="951" ht="15.75" customHeight="1" s="46"/>
    <row r="952" ht="15.75" customHeight="1" s="46"/>
    <row r="953" ht="15.75" customHeight="1" s="46"/>
    <row r="954" ht="15.75" customHeight="1" s="46"/>
    <row r="955" ht="15.75" customHeight="1" s="46"/>
    <row r="956" ht="15.75" customHeight="1" s="46"/>
    <row r="957" ht="15.75" customHeight="1" s="46"/>
    <row r="958" ht="15.75" customHeight="1" s="46"/>
    <row r="959" ht="15.75" customHeight="1" s="46"/>
    <row r="960" ht="15.75" customHeight="1" s="46"/>
    <row r="961" ht="15.75" customHeight="1" s="46"/>
    <row r="962" ht="15.75" customHeight="1" s="46"/>
    <row r="963" ht="15.75" customHeight="1" s="46"/>
    <row r="964" ht="15.75" customHeight="1" s="46"/>
    <row r="965" ht="15.75" customHeight="1" s="46"/>
    <row r="966" ht="15.75" customHeight="1" s="46"/>
    <row r="967" ht="15.75" customHeight="1" s="46"/>
    <row r="968" ht="15.75" customHeight="1" s="46"/>
    <row r="969" ht="15.75" customHeight="1" s="46"/>
    <row r="970" ht="15.75" customHeight="1" s="46"/>
    <row r="971" ht="15.75" customHeight="1" s="46"/>
    <row r="972" ht="15.75" customHeight="1" s="46"/>
    <row r="973" ht="15.75" customHeight="1" s="46"/>
    <row r="974" ht="15.75" customHeight="1" s="46"/>
    <row r="975" ht="15.75" customHeight="1" s="46"/>
    <row r="976" ht="15.75" customHeight="1" s="46"/>
    <row r="977" ht="15.75" customHeight="1" s="46"/>
    <row r="978" ht="15.75" customHeight="1" s="46"/>
    <row r="979" ht="15.75" customHeight="1" s="46"/>
    <row r="980" ht="15.75" customHeight="1" s="46"/>
    <row r="981" ht="15.75" customHeight="1" s="46"/>
    <row r="982" ht="15.75" customHeight="1" s="46"/>
    <row r="983" ht="15.75" customHeight="1" s="46"/>
    <row r="984" ht="15.75" customHeight="1" s="46"/>
    <row r="985" ht="15.75" customHeight="1" s="46"/>
    <row r="986" ht="15.75" customHeight="1" s="46"/>
    <row r="987" ht="15.75" customHeight="1" s="46"/>
    <row r="988" ht="15.75" customHeight="1" s="46"/>
    <row r="989" ht="15.75" customHeight="1" s="46"/>
    <row r="990" ht="15.75" customHeight="1" s="46"/>
    <row r="991" ht="15.75" customHeight="1" s="46"/>
    <row r="992" ht="15.75" customHeight="1" s="46"/>
    <row r="993" ht="15.75" customHeight="1" s="46"/>
    <row r="994" ht="15.75" customHeight="1" s="46"/>
    <row r="995" ht="15.75" customHeight="1" s="46"/>
    <row r="996" ht="15.75" customHeight="1" s="46"/>
    <row r="997" ht="15.75" customHeight="1" s="46"/>
    <row r="998" ht="15.75" customHeight="1" s="46"/>
    <row r="999" ht="15.75" customHeight="1" s="46"/>
    <row r="1000" ht="15.75" customHeight="1" s="46"/>
  </sheetData>
  <mergeCells count="14">
    <mergeCell ref="A21:E21"/>
    <mergeCell ref="A39:E39"/>
    <mergeCell ref="N25:Q25"/>
    <mergeCell ref="A25:E25"/>
    <mergeCell ref="A2:N2"/>
    <mergeCell ref="A41:N45"/>
    <mergeCell ref="A24:AG24"/>
    <mergeCell ref="R25:U25"/>
    <mergeCell ref="V25:Y25"/>
    <mergeCell ref="Z25:AC25"/>
    <mergeCell ref="F25:I25"/>
    <mergeCell ref="J25:M25"/>
    <mergeCell ref="AD25:AG25"/>
    <mergeCell ref="A1:N1"/>
  </mergeCells>
  <pageMargins left="0.75" right="0.75" top="1" bottom="1" header="0" footer="0"/>
  <pageSetup orientation="landscape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G45"/>
  <sheetViews>
    <sheetView workbookViewId="0">
      <selection activeCell="A1" sqref="A1"/>
    </sheetView>
  </sheetViews>
  <sheetFormatPr baseColWidth="8" defaultColWidth="14.43" defaultRowHeight="15" customHeight="1"/>
  <cols>
    <col width="4" customWidth="1" style="46" min="1" max="1"/>
    <col width="10" customWidth="1" style="46" min="2" max="2"/>
    <col width="32" customWidth="1" style="46" min="3" max="3"/>
    <col width="26" customWidth="1" style="46" min="4" max="4"/>
    <col width="28" customWidth="1" style="46" min="5" max="5"/>
    <col width="14" customWidth="1" style="46" min="6" max="7"/>
    <col width="15" customWidth="1" style="46" min="8" max="9"/>
    <col width="16" customWidth="1" style="46" min="10" max="11"/>
    <col width="14" customWidth="1" style="46" min="12" max="12"/>
    <col width="15" customWidth="1" style="46" min="13" max="13"/>
    <col width="24" customWidth="1" style="46" min="14" max="14"/>
    <col width="14" customWidth="1" style="46" min="15" max="33"/>
  </cols>
  <sheetData>
    <row r="1" ht="24.75" customHeight="1" s="46">
      <c r="A1" s="47" t="inlineStr">
        <is>
          <t>CONTROL SEMANAL DE RENDIMIENTO DE MAQUINARIA (SEMANA 30)</t>
        </is>
      </c>
    </row>
    <row r="2" ht="18" customHeight="1" s="46">
      <c r="A2" s="48" t="inlineStr">
        <is>
          <t>OBRA: CARRETERA LIBRE MÉXICO-TOLUCA | PERIODO: 20/Jul/2026 - 25/Jul/2026</t>
        </is>
      </c>
    </row>
    <row r="4">
      <c r="A4" s="5" t="inlineStr">
        <is>
          <t>1. PARÁMETROS:</t>
        </is>
      </c>
      <c r="B4" s="5" t="inlineStr">
        <is>
          <t>PESO VOLUMÉTRICO ASFALTO (Ton/m³):</t>
        </is>
      </c>
      <c r="E4" s="7" t="n">
        <v>1.742</v>
      </c>
    </row>
    <row r="5">
      <c r="A5" s="5" t="inlineStr">
        <is>
          <t>2. FRESADO SEMANAL:</t>
        </is>
      </c>
      <c r="B5" s="8" t="inlineStr">
        <is>
          <t>Viajes de Fresado:</t>
        </is>
      </c>
      <c r="C5" s="41" t="n">
        <v>139</v>
      </c>
      <c r="D5" s="8" t="inlineStr">
        <is>
          <t>Volumen Fresado (m³):</t>
        </is>
      </c>
      <c r="E5" s="42" t="n">
        <v>1904</v>
      </c>
    </row>
    <row r="6">
      <c r="A6" s="5" t="inlineStr">
        <is>
          <t>3. CARPETA SEMANAL:</t>
        </is>
      </c>
      <c r="B6" s="8" t="inlineStr">
        <is>
          <t>Viajes de Mezcla:</t>
        </is>
      </c>
      <c r="C6" s="41" t="n">
        <v>74</v>
      </c>
      <c r="D6" s="8" t="inlineStr">
        <is>
          <t>Volumen Carpeta (m³):</t>
        </is>
      </c>
      <c r="E6" s="42" t="n">
        <v>1036</v>
      </c>
      <c r="F6" s="8" t="inlineStr">
        <is>
          <t>Toneladas Carpeta (Ton):</t>
        </is>
      </c>
      <c r="G6" s="17">
        <f>E6*$E$4</f>
        <v/>
      </c>
    </row>
    <row r="8" ht="27.75" customHeight="1" s="46">
      <c r="A8" s="10" t="inlineStr">
        <is>
          <t>No.</t>
        </is>
      </c>
      <c r="B8" s="10" t="inlineStr">
        <is>
          <t>Económico</t>
        </is>
      </c>
      <c r="C8" s="10" t="inlineStr">
        <is>
          <t>Equipo / Maquinaria</t>
        </is>
      </c>
      <c r="D8" s="10" t="inlineStr">
        <is>
          <t>Operador Asignado</t>
        </is>
      </c>
      <c r="E8" s="10" t="inlineStr">
        <is>
          <t>Concepto de Trabajo</t>
        </is>
      </c>
      <c r="F8" s="10" t="inlineStr">
        <is>
          <t>Viajes Asignados</t>
        </is>
      </c>
      <c r="G8" s="10" t="inlineStr">
        <is>
          <t>Volumen (m³)</t>
        </is>
      </c>
      <c r="H8" s="10" t="inlineStr">
        <is>
          <t>Toneladas (Ton)</t>
        </is>
      </c>
      <c r="I8" s="10" t="inlineStr">
        <is>
          <t>Diésel Surtido (L)</t>
        </is>
      </c>
      <c r="J8" s="10" t="inlineStr">
        <is>
          <t>Rendimiento Real (L/Ton)</t>
        </is>
      </c>
      <c r="K8" s="10" t="inlineStr">
        <is>
          <t>Rendimiento Real (L/m³)</t>
        </is>
      </c>
      <c r="L8" s="10" t="inlineStr">
        <is>
          <t>Rend. Base (L/h)</t>
        </is>
      </c>
      <c r="M8" s="10" t="inlineStr">
        <is>
          <t>Horas Est. Operación</t>
        </is>
      </c>
      <c r="N8" s="10" t="inlineStr">
        <is>
          <t>Estatus Operativo</t>
        </is>
      </c>
    </row>
    <row r="9" ht="19.5" customHeight="1" s="46">
      <c r="A9" s="12" t="n">
        <v>1</v>
      </c>
      <c r="B9" s="12" t="inlineStr">
        <is>
          <t>PRR-01</t>
        </is>
      </c>
      <c r="C9" s="13" t="inlineStr">
        <is>
          <t>PERFILADORA WIRTGEN W200i</t>
        </is>
      </c>
      <c r="D9" s="13" t="inlineStr">
        <is>
          <t>JAVIER PAREDES CORTE</t>
        </is>
      </c>
      <c r="E9" s="13" t="inlineStr">
        <is>
          <t>Fresado de Pavimento</t>
        </is>
      </c>
      <c r="F9" s="14">
        <f>$C$5</f>
        <v/>
      </c>
      <c r="G9" s="37">
        <f>$E$5</f>
        <v/>
      </c>
      <c r="H9" s="18" t="inlineStr">
        <is>
          <t>-</t>
        </is>
      </c>
      <c r="I9" s="37" t="n">
        <v>1200</v>
      </c>
      <c r="J9" s="19" t="inlineStr">
        <is>
          <t>-</t>
        </is>
      </c>
      <c r="K9" s="20">
        <f>IF(G9&gt;0, I9/G9, 0)</f>
        <v/>
      </c>
      <c r="L9" s="21" t="n">
        <v>67.2</v>
      </c>
      <c r="M9" s="22">
        <f>IF(L9&gt;0, I9/L9, 0)</f>
        <v/>
      </c>
      <c r="N9" s="12">
        <f>IF(I9=0, "SIN CONSUMO (Inactiva)", IF(A9=1, IF(K9&lt;=0.85, "DENTRO DE RENDIMIENTO BASE", "EXCEDE RENDIMIENTO BASE"), IF(A9=2, IF(J9&lt;=0.38, "DENTRO DE RENDIMIENTO BASE", "EXCEDE RENDIMIENTO BASE"), IF(OR(A9=3,A9=4,A9=5,A9=6), IF(J9&lt;=0.08, "DENTRO DE RENDIMIENTO BASE", "EXCEDE RENDIMIENTO BASE"), IF(A9=7, IF(J9&lt;=0.07, "DENTRO DE RENDIMIENTO BASE", "EXCEDE RENDIMIENTO BASE"), IF(A9=8, IF(K9&lt;=0.22, "DENTRO DE RENDIMIENTO BASE", "EXCEDE RENDIMIENTO BASE"), IF(A9=9, IF(J9&lt;=0.075, "DENTRO DE RENDIMIENTO BASE", "EXCEDE RENDIMIENTO BASE"), "APOYO PUNTUAL")))))))</f>
        <v/>
      </c>
    </row>
    <row r="10" ht="19.5" customHeight="1" s="46">
      <c r="A10" s="12" t="n">
        <v>2</v>
      </c>
      <c r="B10" s="12" t="inlineStr">
        <is>
          <t>VG-01</t>
        </is>
      </c>
      <c r="C10" s="13" t="inlineStr">
        <is>
          <t>PAVIMENTADORA VÖGELE SUPER 1800-3i</t>
        </is>
      </c>
      <c r="D10" s="13" t="inlineStr">
        <is>
          <t>ERWIN CUTEÑO HERNANDEZ</t>
        </is>
      </c>
      <c r="E10" s="13" t="inlineStr">
        <is>
          <t>Tendido de Mezcla Asfáltica</t>
        </is>
      </c>
      <c r="F10" s="14">
        <f>$C$6</f>
        <v/>
      </c>
      <c r="G10" s="37">
        <f>$E$6</f>
        <v/>
      </c>
      <c r="H10" s="16">
        <f>G10*$E$4</f>
        <v/>
      </c>
      <c r="I10" s="37" t="n">
        <v>350</v>
      </c>
      <c r="J10" s="20">
        <f>IF(H10&gt;0, I10/H10, 0)</f>
        <v/>
      </c>
      <c r="K10" s="20">
        <f>IF(G10&gt;0, I10/G10, 0)</f>
        <v/>
      </c>
      <c r="L10" s="21" t="n">
        <v>16.24</v>
      </c>
      <c r="M10" s="22">
        <f>IF(L10&gt;0, I10/L10, 0)</f>
        <v/>
      </c>
      <c r="N10" s="12">
        <f>IF(I10=0, "SIN CONSUMO (Inactiva)", IF(A10=1, IF(K10&lt;=0.85, "DENTRO DE RENDIMIENTO BASE", "EXCEDE RENDIMIENTO BASE"), IF(A10=2, IF(J10&lt;=0.38, "DENTRO DE RENDIMIENTO BASE", "EXCEDE RENDIMIENTO BASE"), IF(OR(A10=3,A10=4,A10=5,A10=6), IF(J10&lt;=0.08, "DENTRO DE RENDIMIENTO BASE", "EXCEDE RENDIMIENTO BASE"), IF(A10=7, IF(J10&lt;=0.07, "DENTRO DE RENDIMIENTO BASE", "EXCEDE RENDIMIENTO BASE"), IF(A10=8, IF(K10&lt;=0.22, "DENTRO DE RENDIMIENTO BASE", "EXCEDE RENDIMIENTO BASE"), IF(A10=9, IF(J10&lt;=0.075, "DENTRO DE RENDIMIENTO BASE", "EXCEDE RENDIMIENTO BASE"), "APOYO PUNTUAL")))))))</f>
        <v/>
      </c>
    </row>
    <row r="11" ht="19.5" customHeight="1" s="46">
      <c r="A11" s="12" t="n">
        <v>3</v>
      </c>
      <c r="B11" s="12" t="inlineStr">
        <is>
          <t>DR-01</t>
        </is>
      </c>
      <c r="C11" s="13" t="inlineStr">
        <is>
          <t>COMPACTADOR TÁNDEM HAMM-HD120 VV</t>
        </is>
      </c>
      <c r="D11" s="13" t="inlineStr">
        <is>
          <t>JOEL ALBERTO RIVERA RIVAS</t>
        </is>
      </c>
      <c r="E11" s="13" t="inlineStr">
        <is>
          <t>Compactación Tándem Primaria</t>
        </is>
      </c>
      <c r="F11" s="14">
        <f>$C$6</f>
        <v/>
      </c>
      <c r="G11" s="37">
        <f>$E$6</f>
        <v/>
      </c>
      <c r="H11" s="16">
        <f>G11*$E$4</f>
        <v/>
      </c>
      <c r="I11" s="37" t="n">
        <v>250</v>
      </c>
      <c r="J11" s="20">
        <f>IF(H11&gt;0, I11/H11, 0)</f>
        <v/>
      </c>
      <c r="K11" s="20">
        <f>IF(G11&gt;0, I11/G11, 0)</f>
        <v/>
      </c>
      <c r="L11" s="21" t="n">
        <v>14.3</v>
      </c>
      <c r="M11" s="22">
        <f>IF(L11&gt;0, I11/L11, 0)</f>
        <v/>
      </c>
      <c r="N11" s="12">
        <f>IF(I11=0, "SIN CONSUMO (Inactiva)", IF(A11=1, IF(K11&lt;=0.85, "DENTRO DE RENDIMIENTO BASE", "EXCEDE RENDIMIENTO BASE"), IF(A11=2, IF(J11&lt;=0.38, "DENTRO DE RENDIMIENTO BASE", "EXCEDE RENDIMIENTO BASE"), IF(OR(A11=3,A11=4,A11=5,A11=6), IF(J11&lt;=0.08, "DENTRO DE RENDIMIENTO BASE", "EXCEDE RENDIMIENTO BASE"), IF(A11=7, IF(J11&lt;=0.07, "DENTRO DE RENDIMIENTO BASE", "EXCEDE RENDIMIENTO BASE"), IF(A11=8, IF(K11&lt;=0.22, "DENTRO DE RENDIMIENTO BASE", "EXCEDE RENDIMIENTO BASE"), IF(A11=9, IF(J11&lt;=0.075, "DENTRO DE RENDIMIENTO BASE", "EXCEDE RENDIMIENTO BASE"), "APOYO PUNTUAL")))))))</f>
        <v/>
      </c>
    </row>
    <row r="12" ht="19.5" customHeight="1" s="46">
      <c r="A12" s="12" t="n">
        <v>4</v>
      </c>
      <c r="B12" s="12" t="inlineStr">
        <is>
          <t>DR-02</t>
        </is>
      </c>
      <c r="C12" s="13" t="inlineStr">
        <is>
          <t>COMPACTADOR TÁNDEM HAMM-HD140</t>
        </is>
      </c>
      <c r="D12" s="13" t="inlineStr">
        <is>
          <t>ALEXIS RENDON DOMINGUEZ</t>
        </is>
      </c>
      <c r="E12" s="13" t="inlineStr">
        <is>
          <t>Compactación Tándem Pesada</t>
        </is>
      </c>
      <c r="F12" s="14">
        <f>$C$6</f>
        <v/>
      </c>
      <c r="G12" s="37">
        <f>$E$6</f>
        <v/>
      </c>
      <c r="H12" s="16">
        <f>G12*$E$4</f>
        <v/>
      </c>
      <c r="I12" s="37" t="n">
        <v>0</v>
      </c>
      <c r="J12" s="20">
        <f>IF(H12&gt;0, I12/H12, 0)</f>
        <v/>
      </c>
      <c r="K12" s="20">
        <f>IF(G12&gt;0, I12/G12, 0)</f>
        <v/>
      </c>
      <c r="L12" s="21" t="n">
        <v>14.3</v>
      </c>
      <c r="M12" s="22">
        <f>IF(L12&gt;0, I12/L12, 0)</f>
        <v/>
      </c>
      <c r="N12" s="12">
        <f>IF(I12=0, "SIN CONSUMO (Inactiva)", IF(A12=1, IF(K12&lt;=0.85, "DENTRO DE RENDIMIENTO BASE", "EXCEDE RENDIMIENTO BASE"), IF(A12=2, IF(J12&lt;=0.38, "DENTRO DE RENDIMIENTO BASE", "EXCEDE RENDIMIENTO BASE"), IF(OR(A12=3,A12=4,A12=5,A12=6), IF(J12&lt;=0.08, "DENTRO DE RENDIMIENTO BASE", "EXCEDE RENDIMIENTO BASE"), IF(A12=7, IF(J12&lt;=0.07, "DENTRO DE RENDIMIENTO BASE", "EXCEDE RENDIMIENTO BASE"), IF(A12=8, IF(K12&lt;=0.22, "DENTRO DE RENDIMIENTO BASE", "EXCEDE RENDIMIENTO BASE"), IF(A12=9, IF(J12&lt;=0.075, "DENTRO DE RENDIMIENTO BASE", "EXCEDE RENDIMIENTO BASE"), "APOYO PUNTUAL")))))))</f>
        <v/>
      </c>
    </row>
    <row r="13" ht="19.5" customHeight="1" s="46">
      <c r="A13" s="12" t="n">
        <v>5</v>
      </c>
      <c r="B13" s="12" t="inlineStr">
        <is>
          <t>NM-01</t>
        </is>
      </c>
      <c r="C13" s="13" t="inlineStr">
        <is>
          <t>COMPACTADOR NEUMÁTICO DYNAPAC CP271</t>
        </is>
      </c>
      <c r="D13" s="13" t="inlineStr">
        <is>
          <t>JOSE CARLOS ROMERO TELLEZ</t>
        </is>
      </c>
      <c r="E13" s="13" t="inlineStr">
        <is>
          <t>Compactación Neumática / Sellado</t>
        </is>
      </c>
      <c r="F13" s="14">
        <f>$C$6</f>
        <v/>
      </c>
      <c r="G13" s="37">
        <f>$E$6</f>
        <v/>
      </c>
      <c r="H13" s="16">
        <f>G13*$E$4</f>
        <v/>
      </c>
      <c r="I13" s="37" t="n">
        <v>306</v>
      </c>
      <c r="J13" s="20">
        <f>IF(H13&gt;0, I13/H13, 0)</f>
        <v/>
      </c>
      <c r="K13" s="20">
        <f>IF(G13&gt;0, I13/G13, 0)</f>
        <v/>
      </c>
      <c r="L13" s="21" t="n">
        <v>11.44</v>
      </c>
      <c r="M13" s="22">
        <f>IF(L13&gt;0, I13/L13, 0)</f>
        <v/>
      </c>
      <c r="N13" s="12">
        <f>IF(I13=0, "SIN CONSUMO (Inactiva)", IF(A13=1, IF(K13&lt;=0.85, "DENTRO DE RENDIMIENTO BASE", "EXCEDE RENDIMIENTO BASE"), IF(A13=2, IF(J13&lt;=0.38, "DENTRO DE RENDIMIENTO BASE", "EXCEDE RENDIMIENTO BASE"), IF(OR(A13=3,A13=4,A13=5,A13=6), IF(J13&lt;=0.08, "DENTRO DE RENDIMIENTO BASE", "EXCEDE RENDIMIENTO BASE"), IF(A13=7, IF(J13&lt;=0.07, "DENTRO DE RENDIMIENTO BASE", "EXCEDE RENDIMIENTO BASE"), IF(A13=8, IF(K13&lt;=0.22, "DENTRO DE RENDIMIENTO BASE", "EXCEDE RENDIMIENTO BASE"), IF(A13=9, IF(J13&lt;=0.075, "DENTRO DE RENDIMIENTO BASE", "EXCEDE RENDIMIENTO BASE"), "APOYO PUNTUAL")))))))</f>
        <v/>
      </c>
    </row>
    <row r="14" ht="19.5" customHeight="1" s="46">
      <c r="A14" s="12" t="n">
        <v>6</v>
      </c>
      <c r="B14" s="12" t="inlineStr">
        <is>
          <t>NM-09</t>
        </is>
      </c>
      <c r="C14" s="13" t="inlineStr">
        <is>
          <t>COMPACTADOR NEUMÁTICO HAMM 208</t>
        </is>
      </c>
      <c r="D14" s="13" t="inlineStr">
        <is>
          <t>NOLVIN DE JESUS PEREZ GOMEZ</t>
        </is>
      </c>
      <c r="E14" s="13" t="inlineStr">
        <is>
          <t>Compactación Neumática / Acabado</t>
        </is>
      </c>
      <c r="F14" s="14">
        <f>$C$6</f>
        <v/>
      </c>
      <c r="G14" s="37">
        <f>$E$6</f>
        <v/>
      </c>
      <c r="H14" s="16">
        <f>G14*$E$4</f>
        <v/>
      </c>
      <c r="I14" s="37" t="n">
        <v>150</v>
      </c>
      <c r="J14" s="20">
        <f>IF(H14&gt;0, I14/H14, 0)</f>
        <v/>
      </c>
      <c r="K14" s="20">
        <f>IF(G14&gt;0, I14/G14, 0)</f>
        <v/>
      </c>
      <c r="L14" s="21" t="n">
        <v>10.96</v>
      </c>
      <c r="M14" s="22">
        <f>IF(L14&gt;0, I14/L14, 0)</f>
        <v/>
      </c>
      <c r="N14" s="12">
        <f>IF(I14=0, "SIN CONSUMO (Inactiva)", IF(A14=1, IF(K14&lt;=0.85, "DENTRO DE RENDIMIENTO BASE", "EXCEDE RENDIMIENTO BASE"), IF(A14=2, IF(J14&lt;=0.38, "DENTRO DE RENDIMIENTO BASE", "EXCEDE RENDIMIENTO BASE"), IF(OR(A14=3,A14=4,A14=5,A14=6), IF(J14&lt;=0.08, "DENTRO DE RENDIMIENTO BASE", "EXCEDE RENDIMIENTO BASE"), IF(A14=7, IF(J14&lt;=0.07, "DENTRO DE RENDIMIENTO BASE", "EXCEDE RENDIMIENTO BASE"), IF(A14=8, IF(K14&lt;=0.22, "DENTRO DE RENDIMIENTO BASE", "EXCEDE RENDIMIENTO BASE"), IF(A14=9, IF(J14&lt;=0.075, "DENTRO DE RENDIMIENTO BASE", "EXCEDE RENDIMIENTO BASE"), "APOYO PUNTUAL")))))))</f>
        <v/>
      </c>
    </row>
    <row r="15" ht="19.5" customHeight="1" s="46">
      <c r="A15" s="12" t="n">
        <v>7</v>
      </c>
      <c r="B15" s="12" t="inlineStr">
        <is>
          <t>BR-01</t>
        </is>
      </c>
      <c r="C15" s="13" t="inlineStr">
        <is>
          <t>BARREDORA INDUSTRIAL BROCE BROOM-350</t>
        </is>
      </c>
      <c r="D15" s="13" t="inlineStr">
        <is>
          <t>EDGAR ROSALES MARTINEZ</t>
        </is>
      </c>
      <c r="E15" s="13" t="inlineStr">
        <is>
          <t>Limpieza y Barrido Previo</t>
        </is>
      </c>
      <c r="F15" s="14">
        <f>$C$6</f>
        <v/>
      </c>
      <c r="G15" s="37">
        <f>$E$6</f>
        <v/>
      </c>
      <c r="H15" s="16">
        <f>G15*$E$4</f>
        <v/>
      </c>
      <c r="I15" s="37" t="n">
        <v>120</v>
      </c>
      <c r="J15" s="20">
        <f>IF(H15&gt;0, I15/H15, 0)</f>
        <v/>
      </c>
      <c r="K15" s="20">
        <f>IF(G15&gt;0, I15/G15, 0)</f>
        <v/>
      </c>
      <c r="L15" s="21" t="n">
        <v>8.94</v>
      </c>
      <c r="M15" s="22">
        <f>IF(L15&gt;0, I15/L15, 0)</f>
        <v/>
      </c>
      <c r="N15" s="12">
        <f>IF(I15=0, "SIN CONSUMO (Inactiva)", IF(A15=1, IF(K15&lt;=0.85, "DENTRO DE RENDIMIENTO BASE", "EXCEDE RENDIMIENTO BASE"), IF(A15=2, IF(J15&lt;=0.38, "DENTRO DE RENDIMIENTO BASE", "EXCEDE RENDIMIENTO BASE"), IF(OR(A15=3,A15=4,A15=5,A15=6), IF(J15&lt;=0.08, "DENTRO DE RENDIMIENTO BASE", "EXCEDE RENDIMIENTO BASE"), IF(A15=7, IF(J15&lt;=0.07, "DENTRO DE RENDIMIENTO BASE", "EXCEDE RENDIMIENTO BASE"), IF(A15=8, IF(K15&lt;=0.22, "DENTRO DE RENDIMIENTO BASE", "EXCEDE RENDIMIENTO BASE"), IF(A15=9, IF(J15&lt;=0.075, "DENTRO DE RENDIMIENTO BASE", "EXCEDE RENDIMIENTO BASE"), "APOYO PUNTUAL")))))))</f>
        <v/>
      </c>
    </row>
    <row r="16" ht="19.5" customHeight="1" s="46">
      <c r="A16" s="12" t="n">
        <v>8</v>
      </c>
      <c r="B16" s="12" t="inlineStr">
        <is>
          <t>RT-05</t>
        </is>
      </c>
      <c r="C16" s="13" t="inlineStr">
        <is>
          <t>RETROEXCAVADORA JOHN DEERE 310SK</t>
        </is>
      </c>
      <c r="D16" s="13" t="inlineStr">
        <is>
          <t>ADOLFO NAVA LOPEZ</t>
        </is>
      </c>
      <c r="E16" s="13" t="inlineStr">
        <is>
          <t>Carga Fresado y Derrumbes</t>
        </is>
      </c>
      <c r="F16" s="14">
        <f>$C$5</f>
        <v/>
      </c>
      <c r="G16" s="37">
        <f>$E$5</f>
        <v/>
      </c>
      <c r="H16" s="18" t="inlineStr">
        <is>
          <t>-</t>
        </is>
      </c>
      <c r="I16" s="37" t="n">
        <v>100</v>
      </c>
      <c r="J16" s="19" t="inlineStr">
        <is>
          <t>-</t>
        </is>
      </c>
      <c r="K16" s="20">
        <f>IF(G16&gt;0, I16/G16, 0)</f>
        <v/>
      </c>
      <c r="L16" s="21" t="n">
        <v>7.44</v>
      </c>
      <c r="M16" s="22">
        <f>IF(L16&gt;0, I16/L16, 0)</f>
        <v/>
      </c>
      <c r="N16" s="12">
        <f>IF(I16=0, "SIN CONSUMO (Inactiva)", IF(A16=1, IF(K16&lt;=0.85, "DENTRO DE RENDIMIENTO BASE", "EXCEDE RENDIMIENTO BASE"), IF(A16=2, IF(J16&lt;=0.38, "DENTRO DE RENDIMIENTO BASE", "EXCEDE RENDIMIENTO BASE"), IF(OR(A16=3,A16=4,A16=5,A16=6), IF(J16&lt;=0.08, "DENTRO DE RENDIMIENTO BASE", "EXCEDE RENDIMIENTO BASE"), IF(A16=7, IF(J16&lt;=0.07, "DENTRO DE RENDIMIENTO BASE", "EXCEDE RENDIMIENTO BASE"), IF(A16=8, IF(K16&lt;=0.22, "DENTRO DE RENDIMIENTO BASE", "EXCEDE RENDIMIENTO BASE"), IF(A16=9, IF(J16&lt;=0.075, "DENTRO DE RENDIMIENTO BASE", "EXCEDE RENDIMIENTO BASE"), "APOYO PUNTUAL")))))))</f>
        <v/>
      </c>
    </row>
    <row r="17" ht="19.5" customHeight="1" s="46">
      <c r="A17" s="12" t="n">
        <v>9</v>
      </c>
      <c r="B17" s="12" t="inlineStr">
        <is>
          <t>PT-01</t>
        </is>
      </c>
      <c r="C17" s="13" t="inlineStr">
        <is>
          <t>PETROLIZADORA INTERNATIONAL / FORD F800</t>
        </is>
      </c>
      <c r="D17" s="13" t="inlineStr">
        <is>
          <t>ELTHON EDUARDO MARTINEZ GOMORA</t>
        </is>
      </c>
      <c r="E17" s="13" t="inlineStr">
        <is>
          <t>Riego de Liga / Emulsión</t>
        </is>
      </c>
      <c r="F17" s="14">
        <f>$C$6</f>
        <v/>
      </c>
      <c r="G17" s="37">
        <f>$E$6</f>
        <v/>
      </c>
      <c r="H17" s="16">
        <f>G17*$E$4</f>
        <v/>
      </c>
      <c r="I17" s="37" t="n">
        <v>187</v>
      </c>
      <c r="J17" s="20">
        <f>IF(H17&gt;0, I17/H17, 0)</f>
        <v/>
      </c>
      <c r="K17" s="20">
        <f>IF(G17&gt;0, I17/G17, 0)</f>
        <v/>
      </c>
      <c r="L17" s="21" t="n">
        <v>12.76</v>
      </c>
      <c r="M17" s="22">
        <f>IF(L17&gt;0, I17/L17, 0)</f>
        <v/>
      </c>
      <c r="N17" s="12">
        <f>IF(I17=0, "SIN CONSUMO (Inactiva)", IF(A17=1, IF(K17&lt;=0.85, "DENTRO DE RENDIMIENTO BASE", "EXCEDE RENDIMIENTO BASE"), IF(A17=2, IF(J17&lt;=0.38, "DENTRO DE RENDIMIENTO BASE", "EXCEDE RENDIMIENTO BASE"), IF(OR(A17=3,A17=4,A17=5,A17=6), IF(J17&lt;=0.08, "DENTRO DE RENDIMIENTO BASE", "EXCEDE RENDIMIENTO BASE"), IF(A17=7, IF(J17&lt;=0.07, "DENTRO DE RENDIMIENTO BASE", "EXCEDE RENDIMIENTO BASE"), IF(A17=8, IF(K17&lt;=0.22, "DENTRO DE RENDIMIENTO BASE", "EXCEDE RENDIMIENTO BASE"), IF(A17=9, IF(J17&lt;=0.075, "DENTRO DE RENDIMIENTO BASE", "EXCEDE RENDIMIENTO BASE"), "APOYO PUNTUAL")))))))</f>
        <v/>
      </c>
    </row>
    <row r="18" ht="19.5" customHeight="1" s="46">
      <c r="A18" s="12" t="n">
        <v>10</v>
      </c>
      <c r="B18" s="12" t="inlineStr">
        <is>
          <t>CPR-01</t>
        </is>
      </c>
      <c r="C18" s="13" t="inlineStr">
        <is>
          <t>COMPRESOR DE AIRE INGERSOLL RAND IR185</t>
        </is>
      </c>
      <c r="D18" s="13" t="inlineStr">
        <is>
          <t>CUADRILLA DE LIMPIEZA</t>
        </is>
      </c>
      <c r="E18" s="13" t="inlineStr">
        <is>
          <t>Sopleteado de Juntas</t>
        </is>
      </c>
      <c r="F18" s="14" t="n">
        <v>0</v>
      </c>
      <c r="G18" s="37" t="n">
        <v>0</v>
      </c>
      <c r="H18" s="16" t="n">
        <v>0</v>
      </c>
      <c r="I18" s="37" t="n">
        <v>0</v>
      </c>
      <c r="J18" s="20" t="n">
        <v>0</v>
      </c>
      <c r="K18" s="20" t="n">
        <v>0</v>
      </c>
      <c r="L18" s="21" t="n">
        <v>9.970000000000001</v>
      </c>
      <c r="M18" s="22">
        <f>IF(L18&gt;0, I18/L18, 0)</f>
        <v/>
      </c>
      <c r="N18" s="12">
        <f>IF(I18=0, "SIN CONSUMO (Inactiva)", IF(A18=1, IF(K18&lt;=0.85, "DENTRO DE RENDIMIENTO BASE", "EXCEDE RENDIMIENTO BASE"), IF(A18=2, IF(J18&lt;=0.38, "DENTRO DE RENDIMIENTO BASE", "EXCEDE RENDIMIENTO BASE"), IF(OR(A18=3,A18=4,A18=5,A18=6), IF(J18&lt;=0.08, "DENTRO DE RENDIMIENTO BASE", "EXCEDE RENDIMIENTO BASE"), IF(A18=7, IF(J18&lt;=0.07, "DENTRO DE RENDIMIENTO BASE", "EXCEDE RENDIMIENTO BASE"), IF(A18=8, IF(K18&lt;=0.22, "DENTRO DE RENDIMIENTO BASE", "EXCEDE RENDIMIENTO BASE"), IF(A18=9, IF(J18&lt;=0.075, "DENTRO DE RENDIMIENTO BASE", "EXCEDE RENDIMIENTO BASE"), "APOYO PUNTUAL")))))))</f>
        <v/>
      </c>
    </row>
    <row r="19" ht="19.5" customHeight="1" s="46">
      <c r="A19" s="12" t="n">
        <v>11</v>
      </c>
      <c r="B19" s="12" t="inlineStr">
        <is>
          <t>PP-01</t>
        </is>
      </c>
      <c r="C19" s="13" t="inlineStr">
        <is>
          <t>CAMIÓN IMPACTO / PIPA DE AGUA FORD</t>
        </is>
      </c>
      <c r="D19" s="13" t="inlineStr">
        <is>
          <t>CUADRILLA DE AGUA</t>
        </is>
      </c>
      <c r="E19" s="13" t="inlineStr">
        <is>
          <t>Enfriamiento Rodillos / Riego</t>
        </is>
      </c>
      <c r="F19" s="14" t="n">
        <v>0</v>
      </c>
      <c r="G19" s="37" t="n">
        <v>0</v>
      </c>
      <c r="H19" s="16" t="n">
        <v>0</v>
      </c>
      <c r="I19" s="37" t="n">
        <v>0</v>
      </c>
      <c r="J19" s="20" t="n">
        <v>0</v>
      </c>
      <c r="K19" s="20" t="n">
        <v>0</v>
      </c>
      <c r="L19" s="21" t="n">
        <v>3.03</v>
      </c>
      <c r="M19" s="22">
        <f>IF(L19&gt;0, I19/L19, 0)</f>
        <v/>
      </c>
      <c r="N19" s="12">
        <f>IF(I19=0, "SIN CONSUMO (Inactiva)", IF(A19=1, IF(K19&lt;=0.85, "DENTRO DE RENDIMIENTO BASE", "EXCEDE RENDIMIENTO BASE"), IF(A19=2, IF(J19&lt;=0.38, "DENTRO DE RENDIMIENTO BASE", "EXCEDE RENDIMIENTO BASE"), IF(OR(A19=3,A19=4,A19=5,A19=6), IF(J19&lt;=0.08, "DENTRO DE RENDIMIENTO BASE", "EXCEDE RENDIMIENTO BASE"), IF(A19=7, IF(J19&lt;=0.07, "DENTRO DE RENDIMIENTO BASE", "EXCEDE RENDIMIENTO BASE"), IF(A19=8, IF(K19&lt;=0.22, "DENTRO DE RENDIMIENTO BASE", "EXCEDE RENDIMIENTO BASE"), IF(A19=9, IF(J19&lt;=0.075, "DENTRO DE RENDIMIENTO BASE", "EXCEDE RENDIMIENTO BASE"), "APOYO PUNTUAL")))))))</f>
        <v/>
      </c>
    </row>
    <row r="20" ht="19.5" customHeight="1" s="46">
      <c r="A20" s="12" t="n">
        <v>12</v>
      </c>
      <c r="B20" s="12" t="inlineStr">
        <is>
          <t>TL-01</t>
        </is>
      </c>
      <c r="C20" s="13" t="inlineStr">
        <is>
          <t>TORRE DE LUZ MAXILIGHT 4X1000W</t>
        </is>
      </c>
      <c r="D20" s="13" t="inlineStr">
        <is>
          <t>CUADRILLA NOCTURNA</t>
        </is>
      </c>
      <c r="E20" s="13" t="inlineStr">
        <is>
          <t>Iluminación Nocturna</t>
        </is>
      </c>
      <c r="F20" s="14" t="n">
        <v>0</v>
      </c>
      <c r="G20" s="37" t="n">
        <v>0</v>
      </c>
      <c r="H20" s="16" t="n">
        <v>0</v>
      </c>
      <c r="I20" s="37" t="n">
        <v>0</v>
      </c>
      <c r="J20" s="20" t="n">
        <v>0</v>
      </c>
      <c r="K20" s="20" t="n">
        <v>0</v>
      </c>
      <c r="L20" s="21" t="n">
        <v>2.41</v>
      </c>
      <c r="M20" s="22">
        <f>IF(L20&gt;0, I20/L20, 0)</f>
        <v/>
      </c>
      <c r="N20" s="12">
        <f>IF(I20=0, "SIN CONSUMO (Inactiva)", IF(A20=1, IF(K20&lt;=0.85, "DENTRO DE RENDIMIENTO BASE", "EXCEDE RENDIMIENTO BASE"), IF(A20=2, IF(J20&lt;=0.38, "DENTRO DE RENDIMIENTO BASE", "EXCEDE RENDIMIENTO BASE"), IF(OR(A20=3,A20=4,A20=5,A20=6), IF(J20&lt;=0.08, "DENTRO DE RENDIMIENTO BASE", "EXCEDE RENDIMIENTO BASE"), IF(A20=7, IF(J20&lt;=0.07, "DENTRO DE RENDIMIENTO BASE", "EXCEDE RENDIMIENTO BASE"), IF(A20=8, IF(K20&lt;=0.22, "DENTRO DE RENDIMIENTO BASE", "EXCEDE RENDIMIENTO BASE"), IF(A20=9, IF(J20&lt;=0.075, "DENTRO DE RENDIMIENTO BASE", "EXCEDE RENDIMIENTO BASE"), "APOYO PUNTUAL")))))))</f>
        <v/>
      </c>
    </row>
    <row r="21" ht="21.75" customHeight="1" s="46">
      <c r="A21" s="30" t="inlineStr">
        <is>
          <t>TOTAL SEMANA 30 (OBRA CARRETERA MÉXICO-TOLUCA)</t>
        </is>
      </c>
      <c r="B21" s="50" t="n"/>
      <c r="C21" s="50" t="n"/>
      <c r="D21" s="50" t="n"/>
      <c r="E21" s="51" t="n"/>
      <c r="F21" s="26">
        <f>C5+C6</f>
        <v/>
      </c>
      <c r="G21" s="27">
        <f>E5+E6</f>
        <v/>
      </c>
      <c r="H21" s="28">
        <f>G6</f>
        <v/>
      </c>
      <c r="I21" s="27">
        <f>SUM(I9:I20)</f>
        <v/>
      </c>
      <c r="J21" s="29">
        <f>IF(H21&gt;0, I21/H21, 0)</f>
        <v/>
      </c>
      <c r="K21" s="29">
        <f>IF(G21&gt;0, I21/G21, 0)</f>
        <v/>
      </c>
      <c r="L21" s="30" t="inlineStr">
        <is>
          <t>—</t>
        </is>
      </c>
      <c r="M21" s="31">
        <f>SUM(M9:M20)</f>
        <v/>
      </c>
      <c r="N21" s="30" t="inlineStr">
        <is>
          <t>SEMANA REGISTRADA</t>
        </is>
      </c>
    </row>
    <row r="22" ht="15.75" customHeight="1" s="46"/>
    <row r="23" ht="15.75" customHeight="1" s="46"/>
    <row r="24" ht="24" customHeight="1" s="46">
      <c r="A24" s="96" t="inlineStr">
        <is>
          <t>DESGLOSE DIARIO DE COMBUSTIBLE, VOLUMEN, TONELAJE Y RENDIMIENTO — SEMANA 30</t>
        </is>
      </c>
    </row>
    <row r="25" ht="19.5" customHeight="1" s="46">
      <c r="A25" s="48" t="inlineStr">
        <is>
          <t>DATOS DEL EQUIPO</t>
        </is>
      </c>
      <c r="F25" s="48" t="inlineStr">
        <is>
          <t>LUNES</t>
        </is>
      </c>
      <c r="J25" s="48" t="inlineStr">
        <is>
          <t>MARTES</t>
        </is>
      </c>
      <c r="N25" s="48" t="inlineStr">
        <is>
          <t>MIÉRCOLES</t>
        </is>
      </c>
      <c r="R25" s="48" t="inlineStr">
        <is>
          <t>JUEVES</t>
        </is>
      </c>
      <c r="V25" s="48" t="inlineStr">
        <is>
          <t>VIERNES</t>
        </is>
      </c>
      <c r="Z25" s="48" t="inlineStr">
        <is>
          <t>SÁBADO</t>
        </is>
      </c>
      <c r="AD25" s="97" t="inlineStr">
        <is>
          <t>TOTAL SEMANAL</t>
        </is>
      </c>
    </row>
    <row r="26" ht="25.5" customHeight="1" s="46">
      <c r="A26" s="34" t="inlineStr">
        <is>
          <t>No.</t>
        </is>
      </c>
      <c r="B26" s="34" t="inlineStr">
        <is>
          <t>Económico</t>
        </is>
      </c>
      <c r="C26" s="34" t="inlineStr">
        <is>
          <t>Equipo / Maquinaria</t>
        </is>
      </c>
      <c r="D26" s="34" t="inlineStr">
        <is>
          <t>Operador Asignado</t>
        </is>
      </c>
      <c r="E26" s="34" t="inlineStr">
        <is>
          <t>Concepto de Trabajo</t>
        </is>
      </c>
      <c r="F26" s="34" t="inlineStr">
        <is>
          <t>Diésel (L)</t>
        </is>
      </c>
      <c r="G26" s="34" t="inlineStr">
        <is>
          <t>Volumen (m³)</t>
        </is>
      </c>
      <c r="H26" s="34" t="inlineStr">
        <is>
          <t>Toneladas (Ton)</t>
        </is>
      </c>
      <c r="I26" s="34" t="inlineStr">
        <is>
          <t>Rendimiento Real</t>
        </is>
      </c>
      <c r="J26" s="34" t="inlineStr">
        <is>
          <t>Diésel (L)</t>
        </is>
      </c>
      <c r="K26" s="34" t="inlineStr">
        <is>
          <t>Volumen (m³)</t>
        </is>
      </c>
      <c r="L26" s="34" t="inlineStr">
        <is>
          <t>Toneladas (Ton)</t>
        </is>
      </c>
      <c r="M26" s="34" t="inlineStr">
        <is>
          <t>Rendimiento Real</t>
        </is>
      </c>
      <c r="N26" s="34" t="inlineStr">
        <is>
          <t>Diésel (L)</t>
        </is>
      </c>
      <c r="O26" s="34" t="inlineStr">
        <is>
          <t>Volumen (m³)</t>
        </is>
      </c>
      <c r="P26" s="34" t="inlineStr">
        <is>
          <t>Toneladas (Ton)</t>
        </is>
      </c>
      <c r="Q26" s="34" t="inlineStr">
        <is>
          <t>Rendimiento Real</t>
        </is>
      </c>
      <c r="R26" s="34" t="inlineStr">
        <is>
          <t>Diésel (L)</t>
        </is>
      </c>
      <c r="S26" s="34" t="inlineStr">
        <is>
          <t>Volumen (m³)</t>
        </is>
      </c>
      <c r="T26" s="34" t="inlineStr">
        <is>
          <t>Toneladas (Ton)</t>
        </is>
      </c>
      <c r="U26" s="34" t="inlineStr">
        <is>
          <t>Rendimiento Real</t>
        </is>
      </c>
      <c r="V26" s="34" t="inlineStr">
        <is>
          <t>Diésel (L)</t>
        </is>
      </c>
      <c r="W26" s="34" t="inlineStr">
        <is>
          <t>Volumen (m³)</t>
        </is>
      </c>
      <c r="X26" s="34" t="inlineStr">
        <is>
          <t>Toneladas (Ton)</t>
        </is>
      </c>
      <c r="Y26" s="34" t="inlineStr">
        <is>
          <t>Rendimiento Real</t>
        </is>
      </c>
      <c r="Z26" s="34" t="inlineStr">
        <is>
          <t>Diésel (L)</t>
        </is>
      </c>
      <c r="AA26" s="34" t="inlineStr">
        <is>
          <t>Volumen (m³)</t>
        </is>
      </c>
      <c r="AB26" s="34" t="inlineStr">
        <is>
          <t>Toneladas (Ton)</t>
        </is>
      </c>
      <c r="AC26" s="34" t="inlineStr">
        <is>
          <t>Rendimiento Real</t>
        </is>
      </c>
      <c r="AD26" s="35" t="inlineStr">
        <is>
          <t>Total Diésel (L)</t>
        </is>
      </c>
      <c r="AE26" s="35" t="inlineStr">
        <is>
          <t>Total Vol (m³)</t>
        </is>
      </c>
      <c r="AF26" s="35" t="inlineStr">
        <is>
          <t>Total Ton (Ton)</t>
        </is>
      </c>
      <c r="AG26" s="35" t="inlineStr">
        <is>
          <t>Rend. Promedio</t>
        </is>
      </c>
    </row>
    <row r="27" ht="18.75" customHeight="1" s="46">
      <c r="A27" s="12" t="n">
        <v>1</v>
      </c>
      <c r="B27" s="12" t="inlineStr">
        <is>
          <t>PRR-01</t>
        </is>
      </c>
      <c r="C27" s="13" t="inlineStr">
        <is>
          <t>PERFILADORA WIRTGEN W200i</t>
        </is>
      </c>
      <c r="D27" s="13" t="inlineStr">
        <is>
          <t>JAVIER PAREDES CORTE</t>
        </is>
      </c>
      <c r="E27" s="13" t="inlineStr">
        <is>
          <t>Fresado de Pavimento</t>
        </is>
      </c>
      <c r="F27" s="37" t="n">
        <v>0</v>
      </c>
      <c r="G27" s="37" t="n">
        <v>378</v>
      </c>
      <c r="H27" s="16">
        <f>G27*$E$4</f>
        <v/>
      </c>
      <c r="I27" s="20">
        <f>IF(G27&gt;0, F27/G27, 0)</f>
        <v/>
      </c>
      <c r="J27" s="37" t="n">
        <v>400</v>
      </c>
      <c r="K27" s="37" t="n">
        <v>301</v>
      </c>
      <c r="L27" s="16">
        <f>K27*$E$4</f>
        <v/>
      </c>
      <c r="M27" s="20">
        <f>IF(K27&gt;0, J27/K27, 0)</f>
        <v/>
      </c>
      <c r="N27" s="37" t="n">
        <v>0</v>
      </c>
      <c r="O27" s="37" t="n">
        <v>413</v>
      </c>
      <c r="P27" s="16">
        <f>O27*$E$4</f>
        <v/>
      </c>
      <c r="Q27" s="20">
        <f>IF(O27&gt;0, N27/O27, 0)</f>
        <v/>
      </c>
      <c r="R27" s="37" t="n">
        <v>400</v>
      </c>
      <c r="S27" s="37" t="n">
        <v>287</v>
      </c>
      <c r="T27" s="16">
        <f>S27*$E$4</f>
        <v/>
      </c>
      <c r="U27" s="20">
        <f>IF(S27&gt;0, R27/S27, 0)</f>
        <v/>
      </c>
      <c r="V27" s="37" t="n">
        <v>0</v>
      </c>
      <c r="W27" s="37" t="n">
        <v>343</v>
      </c>
      <c r="X27" s="16">
        <f>W27*$E$4</f>
        <v/>
      </c>
      <c r="Y27" s="20">
        <f>IF(W27&gt;0, V27/W27, 0)</f>
        <v/>
      </c>
      <c r="Z27" s="37" t="n">
        <v>400</v>
      </c>
      <c r="AA27" s="37" t="n">
        <v>182</v>
      </c>
      <c r="AB27" s="16">
        <f>AA27*$E$4</f>
        <v/>
      </c>
      <c r="AC27" s="20">
        <f>IF(AA27&gt;0, Z27/AA27, 0)</f>
        <v/>
      </c>
      <c r="AD27" s="37">
        <f>F27+J27+N27+R27+V27+Z27</f>
        <v/>
      </c>
      <c r="AE27" s="37">
        <f>G27+K27+O27+S27+W27+AA27</f>
        <v/>
      </c>
      <c r="AF27" s="16">
        <f>H27+L27+P27+T27+X27+AB27</f>
        <v/>
      </c>
      <c r="AG27" s="20">
        <f>IF(AE27&gt;0, AD27/AE27, 0)</f>
        <v/>
      </c>
    </row>
    <row r="28" ht="18.75" customHeight="1" s="46">
      <c r="A28" s="12" t="n">
        <v>2</v>
      </c>
      <c r="B28" s="12" t="inlineStr">
        <is>
          <t>VG-01</t>
        </is>
      </c>
      <c r="C28" s="13" t="inlineStr">
        <is>
          <t>PAVIMENTADORA VÖGELE SUPER 1800-3i</t>
        </is>
      </c>
      <c r="D28" s="13" t="inlineStr">
        <is>
          <t>ERWIN CUTEÑO HERNANDEZ</t>
        </is>
      </c>
      <c r="E28" s="13" t="inlineStr">
        <is>
          <t>Tendido de Mezcla Asfáltica</t>
        </is>
      </c>
      <c r="F28" s="37" t="n">
        <v>0</v>
      </c>
      <c r="G28" s="37" t="n">
        <v>182</v>
      </c>
      <c r="H28" s="16">
        <f>G28*$E$4</f>
        <v/>
      </c>
      <c r="I28" s="20">
        <f>IF(H28&gt;0, F28/H28, 0)</f>
        <v/>
      </c>
      <c r="J28" s="37" t="n">
        <v>0</v>
      </c>
      <c r="K28" s="37" t="n">
        <v>210</v>
      </c>
      <c r="L28" s="16">
        <f>K28*$E$4</f>
        <v/>
      </c>
      <c r="M28" s="20">
        <f>IF(L28&gt;0, J28/L28, 0)</f>
        <v/>
      </c>
      <c r="N28" s="37" t="n">
        <v>0</v>
      </c>
      <c r="O28" s="37" t="n">
        <v>210</v>
      </c>
      <c r="P28" s="16">
        <f>O28*$E$4</f>
        <v/>
      </c>
      <c r="Q28" s="20">
        <f>IF(P28&gt;0, N28/P28, 0)</f>
        <v/>
      </c>
      <c r="R28" s="37" t="n">
        <v>190</v>
      </c>
      <c r="S28" s="37" t="n">
        <v>210</v>
      </c>
      <c r="T28" s="16">
        <f>S28*$E$4</f>
        <v/>
      </c>
      <c r="U28" s="20">
        <f>IF(T28&gt;0, R28/T28, 0)</f>
        <v/>
      </c>
      <c r="V28" s="37" t="n">
        <v>0</v>
      </c>
      <c r="W28" s="37" t="n">
        <v>224</v>
      </c>
      <c r="X28" s="16">
        <f>W28*$E$4</f>
        <v/>
      </c>
      <c r="Y28" s="20">
        <f>IF(X28&gt;0, V28/X28, 0)</f>
        <v/>
      </c>
      <c r="Z28" s="37" t="n">
        <v>160</v>
      </c>
      <c r="AA28" s="37" t="n">
        <v>0</v>
      </c>
      <c r="AB28" s="16">
        <f>AA28*$E$4</f>
        <v/>
      </c>
      <c r="AC28" s="20">
        <f>IF(AB28&gt;0, Z28/AB28, 0)</f>
        <v/>
      </c>
      <c r="AD28" s="37">
        <f>F28+J28+N28+R28+V28+Z28</f>
        <v/>
      </c>
      <c r="AE28" s="37">
        <f>G28+K28+O28+S28+W28+AA28</f>
        <v/>
      </c>
      <c r="AF28" s="16">
        <f>H28+L28+P28+T28+X28+AB28</f>
        <v/>
      </c>
      <c r="AG28" s="20">
        <f>IF(AF28&gt;0, AD28/AF28, 0)</f>
        <v/>
      </c>
    </row>
    <row r="29" ht="18.75" customHeight="1" s="46">
      <c r="A29" s="12" t="n">
        <v>3</v>
      </c>
      <c r="B29" s="12" t="inlineStr">
        <is>
          <t>DR-01</t>
        </is>
      </c>
      <c r="C29" s="13" t="inlineStr">
        <is>
          <t>COMPACTADOR TÁNDEM HAMM-HD120 VV</t>
        </is>
      </c>
      <c r="D29" s="13" t="inlineStr">
        <is>
          <t>JOEL ALBERTO RIVERA RIVAS</t>
        </is>
      </c>
      <c r="E29" s="13" t="inlineStr">
        <is>
          <t>Compactación Tándem Primaria</t>
        </is>
      </c>
      <c r="F29" s="37" t="n">
        <v>0</v>
      </c>
      <c r="G29" s="37" t="n">
        <v>182</v>
      </c>
      <c r="H29" s="16">
        <f>G29*$E$4</f>
        <v/>
      </c>
      <c r="I29" s="20">
        <f>IF(H29&gt;0, F29/H29, 0)</f>
        <v/>
      </c>
      <c r="J29" s="37" t="n">
        <v>100</v>
      </c>
      <c r="K29" s="37" t="n">
        <v>210</v>
      </c>
      <c r="L29" s="16">
        <f>K29*$E$4</f>
        <v/>
      </c>
      <c r="M29" s="20">
        <f>IF(L29&gt;0, J29/L29, 0)</f>
        <v/>
      </c>
      <c r="N29" s="37" t="n">
        <v>0</v>
      </c>
      <c r="O29" s="37" t="n">
        <v>210</v>
      </c>
      <c r="P29" s="16">
        <f>O29*$E$4</f>
        <v/>
      </c>
      <c r="Q29" s="20">
        <f>IF(P29&gt;0, N29/P29, 0)</f>
        <v/>
      </c>
      <c r="R29" s="37" t="n">
        <v>100</v>
      </c>
      <c r="S29" s="37" t="n">
        <v>210</v>
      </c>
      <c r="T29" s="16">
        <f>S29*$E$4</f>
        <v/>
      </c>
      <c r="U29" s="20">
        <f>IF(T29&gt;0, R29/T29, 0)</f>
        <v/>
      </c>
      <c r="V29" s="37" t="n">
        <v>0</v>
      </c>
      <c r="W29" s="37" t="n">
        <v>224</v>
      </c>
      <c r="X29" s="16">
        <f>W29*$E$4</f>
        <v/>
      </c>
      <c r="Y29" s="20">
        <f>IF(X29&gt;0, V29/X29, 0)</f>
        <v/>
      </c>
      <c r="Z29" s="37" t="n">
        <v>100</v>
      </c>
      <c r="AA29" s="37" t="n">
        <v>0</v>
      </c>
      <c r="AB29" s="16">
        <f>AA29*$E$4</f>
        <v/>
      </c>
      <c r="AC29" s="20">
        <f>IF(AB29&gt;0, Z29/AB29, 0)</f>
        <v/>
      </c>
      <c r="AD29" s="37">
        <f>F29+J29+N29+R29+V29+Z29</f>
        <v/>
      </c>
      <c r="AE29" s="37">
        <f>G29+K29+O29+S29+W29+AA29</f>
        <v/>
      </c>
      <c r="AF29" s="16">
        <f>H29+L29+P29+T29+X29+AB29</f>
        <v/>
      </c>
      <c r="AG29" s="20">
        <f>IF(AF29&gt;0, AD29/AF29, 0)</f>
        <v/>
      </c>
    </row>
    <row r="30" ht="18.75" customHeight="1" s="46">
      <c r="A30" s="12" t="n">
        <v>4</v>
      </c>
      <c r="B30" s="12" t="inlineStr">
        <is>
          <t>DR-02</t>
        </is>
      </c>
      <c r="C30" s="13" t="inlineStr">
        <is>
          <t>COMPACTADOR TÁNDEM HAMM-HD140</t>
        </is>
      </c>
      <c r="D30" s="13" t="inlineStr">
        <is>
          <t>ALEXIS RENDON DOMINGUEZ</t>
        </is>
      </c>
      <c r="E30" s="13" t="inlineStr">
        <is>
          <t>Compactación Tándem Pesada</t>
        </is>
      </c>
      <c r="F30" s="37" t="n">
        <v>0</v>
      </c>
      <c r="G30" s="37" t="n">
        <v>182</v>
      </c>
      <c r="H30" s="16">
        <f>G30*$E$4</f>
        <v/>
      </c>
      <c r="I30" s="20">
        <f>IF(H30&gt;0, F30/H30, 0)</f>
        <v/>
      </c>
      <c r="J30" s="37" t="n">
        <v>0</v>
      </c>
      <c r="K30" s="37" t="n">
        <v>210</v>
      </c>
      <c r="L30" s="16">
        <f>K30*$E$4</f>
        <v/>
      </c>
      <c r="M30" s="20">
        <f>IF(L30&gt;0, J30/L30, 0)</f>
        <v/>
      </c>
      <c r="N30" s="37" t="n">
        <v>0</v>
      </c>
      <c r="O30" s="37" t="n">
        <v>210</v>
      </c>
      <c r="P30" s="16">
        <f>O30*$E$4</f>
        <v/>
      </c>
      <c r="Q30" s="20">
        <f>IF(P30&gt;0, N30/P30, 0)</f>
        <v/>
      </c>
      <c r="R30" s="37" t="n">
        <v>0</v>
      </c>
      <c r="S30" s="37" t="n">
        <v>210</v>
      </c>
      <c r="T30" s="16">
        <f>S30*$E$4</f>
        <v/>
      </c>
      <c r="U30" s="20">
        <f>IF(T30&gt;0, R30/T30, 0)</f>
        <v/>
      </c>
      <c r="V30" s="37" t="n">
        <v>0</v>
      </c>
      <c r="W30" s="37" t="n">
        <v>224</v>
      </c>
      <c r="X30" s="16">
        <f>W30*$E$4</f>
        <v/>
      </c>
      <c r="Y30" s="20">
        <f>IF(X30&gt;0, V30/X30, 0)</f>
        <v/>
      </c>
      <c r="Z30" s="37" t="n">
        <v>0</v>
      </c>
      <c r="AA30" s="37" t="n">
        <v>0</v>
      </c>
      <c r="AB30" s="16">
        <f>AA30*$E$4</f>
        <v/>
      </c>
      <c r="AC30" s="20">
        <f>IF(AB30&gt;0, Z30/AB30, 0)</f>
        <v/>
      </c>
      <c r="AD30" s="37">
        <f>F30+J30+N30+R30+V30+Z30</f>
        <v/>
      </c>
      <c r="AE30" s="37">
        <f>G30+K30+O30+S30+W30+AA30</f>
        <v/>
      </c>
      <c r="AF30" s="16">
        <f>H30+L30+P30+T30+X30+AB30</f>
        <v/>
      </c>
      <c r="AG30" s="20">
        <f>IF(AF30&gt;0, AD30/AF30, 0)</f>
        <v/>
      </c>
    </row>
    <row r="31" ht="18.75" customHeight="1" s="46">
      <c r="A31" s="12" t="n">
        <v>5</v>
      </c>
      <c r="B31" s="12" t="inlineStr">
        <is>
          <t>NM-01</t>
        </is>
      </c>
      <c r="C31" s="13" t="inlineStr">
        <is>
          <t>COMPACTADOR NEUMÁTICO DYNAPAC CP271</t>
        </is>
      </c>
      <c r="D31" s="13" t="inlineStr">
        <is>
          <t>JOSE CARLOS ROMERO TELLEZ</t>
        </is>
      </c>
      <c r="E31" s="13" t="inlineStr">
        <is>
          <t>Compactación Neumática / Sellado</t>
        </is>
      </c>
      <c r="F31" s="37" t="n">
        <v>0</v>
      </c>
      <c r="G31" s="37" t="n">
        <v>182</v>
      </c>
      <c r="H31" s="16">
        <f>G31*$E$4</f>
        <v/>
      </c>
      <c r="I31" s="20">
        <f>IF(H31&gt;0, F31/H31, 0)</f>
        <v/>
      </c>
      <c r="J31" s="37" t="n">
        <v>247</v>
      </c>
      <c r="K31" s="37" t="n">
        <v>210</v>
      </c>
      <c r="L31" s="16">
        <f>K31*$E$4</f>
        <v/>
      </c>
      <c r="M31" s="20">
        <f>IF(L31&gt;0, J31/L31, 0)</f>
        <v/>
      </c>
      <c r="N31" s="37" t="n">
        <v>0</v>
      </c>
      <c r="O31" s="37" t="n">
        <v>210</v>
      </c>
      <c r="P31" s="16">
        <f>O31*$E$4</f>
        <v/>
      </c>
      <c r="Q31" s="20">
        <f>IF(P31&gt;0, N31/P31, 0)</f>
        <v/>
      </c>
      <c r="R31" s="37" t="n">
        <v>20</v>
      </c>
      <c r="S31" s="37" t="n">
        <v>210</v>
      </c>
      <c r="T31" s="16">
        <f>S31*$E$4</f>
        <v/>
      </c>
      <c r="U31" s="20">
        <f>IF(T31&gt;0, R31/T31, 0)</f>
        <v/>
      </c>
      <c r="V31" s="37" t="n">
        <v>0</v>
      </c>
      <c r="W31" s="37" t="n">
        <v>224</v>
      </c>
      <c r="X31" s="16">
        <f>W31*$E$4</f>
        <v/>
      </c>
      <c r="Y31" s="20">
        <f>IF(X31&gt;0, V31/X31, 0)</f>
        <v/>
      </c>
      <c r="Z31" s="37" t="n">
        <v>39</v>
      </c>
      <c r="AA31" s="37" t="n">
        <v>0</v>
      </c>
      <c r="AB31" s="16">
        <f>AA31*$E$4</f>
        <v/>
      </c>
      <c r="AC31" s="20">
        <f>IF(AB31&gt;0, Z31/AB31, 0)</f>
        <v/>
      </c>
      <c r="AD31" s="37">
        <f>F31+J31+N31+R31+V31+Z31</f>
        <v/>
      </c>
      <c r="AE31" s="37">
        <f>G31+K31+O31+S31+W31+AA31</f>
        <v/>
      </c>
      <c r="AF31" s="16">
        <f>H31+L31+P31+T31+X31+AB31</f>
        <v/>
      </c>
      <c r="AG31" s="20">
        <f>IF(AF31&gt;0, AD31/AF31, 0)</f>
        <v/>
      </c>
    </row>
    <row r="32" ht="18.75" customHeight="1" s="46">
      <c r="A32" s="12" t="n">
        <v>6</v>
      </c>
      <c r="B32" s="12" t="inlineStr">
        <is>
          <t>NM-09</t>
        </is>
      </c>
      <c r="C32" s="13" t="inlineStr">
        <is>
          <t>COMPACTADOR NEUMÁTICO HAMM 208</t>
        </is>
      </c>
      <c r="D32" s="13" t="inlineStr">
        <is>
          <t>NOLVIN DE JESUS PEREZ GOMEZ</t>
        </is>
      </c>
      <c r="E32" s="13" t="inlineStr">
        <is>
          <t>Compactación Neumática / Acabado</t>
        </is>
      </c>
      <c r="F32" s="37" t="n">
        <v>0</v>
      </c>
      <c r="G32" s="37" t="n">
        <v>182</v>
      </c>
      <c r="H32" s="16">
        <f>G32*$E$4</f>
        <v/>
      </c>
      <c r="I32" s="20">
        <f>IF(H32&gt;0, F32/H32, 0)</f>
        <v/>
      </c>
      <c r="J32" s="37" t="n">
        <v>50</v>
      </c>
      <c r="K32" s="37" t="n">
        <v>210</v>
      </c>
      <c r="L32" s="16">
        <f>K32*$E$4</f>
        <v/>
      </c>
      <c r="M32" s="20">
        <f>IF(L32&gt;0, J32/L32, 0)</f>
        <v/>
      </c>
      <c r="N32" s="37" t="n">
        <v>0</v>
      </c>
      <c r="O32" s="37" t="n">
        <v>210</v>
      </c>
      <c r="P32" s="16">
        <f>O32*$E$4</f>
        <v/>
      </c>
      <c r="Q32" s="20">
        <f>IF(P32&gt;0, N32/P32, 0)</f>
        <v/>
      </c>
      <c r="R32" s="37" t="n">
        <v>50</v>
      </c>
      <c r="S32" s="37" t="n">
        <v>210</v>
      </c>
      <c r="T32" s="16">
        <f>S32*$E$4</f>
        <v/>
      </c>
      <c r="U32" s="20">
        <f>IF(T32&gt;0, R32/T32, 0)</f>
        <v/>
      </c>
      <c r="V32" s="37" t="n">
        <v>0</v>
      </c>
      <c r="W32" s="37" t="n">
        <v>224</v>
      </c>
      <c r="X32" s="16">
        <f>W32*$E$4</f>
        <v/>
      </c>
      <c r="Y32" s="20">
        <f>IF(X32&gt;0, V32/X32, 0)</f>
        <v/>
      </c>
      <c r="Z32" s="37" t="n">
        <v>50</v>
      </c>
      <c r="AA32" s="37" t="n">
        <v>0</v>
      </c>
      <c r="AB32" s="16">
        <f>AA32*$E$4</f>
        <v/>
      </c>
      <c r="AC32" s="20">
        <f>IF(AB32&gt;0, Z32/AB32, 0)</f>
        <v/>
      </c>
      <c r="AD32" s="37">
        <f>F32+J32+N32+R32+V32+Z32</f>
        <v/>
      </c>
      <c r="AE32" s="37">
        <f>G32+K32+O32+S32+W32+AA32</f>
        <v/>
      </c>
      <c r="AF32" s="16">
        <f>H32+L32+P32+T32+X32+AB32</f>
        <v/>
      </c>
      <c r="AG32" s="20">
        <f>IF(AF32&gt;0, AD32/AF32, 0)</f>
        <v/>
      </c>
    </row>
    <row r="33" ht="18.75" customHeight="1" s="46">
      <c r="A33" s="12" t="n">
        <v>7</v>
      </c>
      <c r="B33" s="12" t="inlineStr">
        <is>
          <t>BR-01</t>
        </is>
      </c>
      <c r="C33" s="13" t="inlineStr">
        <is>
          <t>BARREDORA INDUSTRIAL BROCE BROOM-350</t>
        </is>
      </c>
      <c r="D33" s="13" t="inlineStr">
        <is>
          <t>EDGAR ROSALES MARTINEZ</t>
        </is>
      </c>
      <c r="E33" s="13" t="inlineStr">
        <is>
          <t>Limpieza y Barrido Previo</t>
        </is>
      </c>
      <c r="F33" s="37" t="n">
        <v>0</v>
      </c>
      <c r="G33" s="37" t="n">
        <v>182</v>
      </c>
      <c r="H33" s="16">
        <f>G33*$E$4</f>
        <v/>
      </c>
      <c r="I33" s="20">
        <f>IF(H33&gt;0, F33/H33, 0)</f>
        <v/>
      </c>
      <c r="J33" s="37" t="n">
        <v>40</v>
      </c>
      <c r="K33" s="37" t="n">
        <v>210</v>
      </c>
      <c r="L33" s="16">
        <f>K33*$E$4</f>
        <v/>
      </c>
      <c r="M33" s="20">
        <f>IF(L33&gt;0, J33/L33, 0)</f>
        <v/>
      </c>
      <c r="N33" s="37" t="n">
        <v>0</v>
      </c>
      <c r="O33" s="37" t="n">
        <v>210</v>
      </c>
      <c r="P33" s="16">
        <f>O33*$E$4</f>
        <v/>
      </c>
      <c r="Q33" s="20">
        <f>IF(P33&gt;0, N33/P33, 0)</f>
        <v/>
      </c>
      <c r="R33" s="37" t="n">
        <v>40</v>
      </c>
      <c r="S33" s="37" t="n">
        <v>210</v>
      </c>
      <c r="T33" s="16">
        <f>S33*$E$4</f>
        <v/>
      </c>
      <c r="U33" s="20">
        <f>IF(T33&gt;0, R33/T33, 0)</f>
        <v/>
      </c>
      <c r="V33" s="37" t="n">
        <v>0</v>
      </c>
      <c r="W33" s="37" t="n">
        <v>224</v>
      </c>
      <c r="X33" s="16">
        <f>W33*$E$4</f>
        <v/>
      </c>
      <c r="Y33" s="20">
        <f>IF(X33&gt;0, V33/X33, 0)</f>
        <v/>
      </c>
      <c r="Z33" s="37" t="n">
        <v>40</v>
      </c>
      <c r="AA33" s="37" t="n">
        <v>0</v>
      </c>
      <c r="AB33" s="16">
        <f>AA33*$E$4</f>
        <v/>
      </c>
      <c r="AC33" s="20">
        <f>IF(AB33&gt;0, Z33/AB33, 0)</f>
        <v/>
      </c>
      <c r="AD33" s="37">
        <f>F33+J33+N33+R33+V33+Z33</f>
        <v/>
      </c>
      <c r="AE33" s="37">
        <f>G33+K33+O33+S33+W33+AA33</f>
        <v/>
      </c>
      <c r="AF33" s="16">
        <f>H33+L33+P33+T33+X33+AB33</f>
        <v/>
      </c>
      <c r="AG33" s="20">
        <f>IF(AF33&gt;0, AD33/AF33, 0)</f>
        <v/>
      </c>
    </row>
    <row r="34" ht="18.75" customHeight="1" s="46">
      <c r="A34" s="12" t="n">
        <v>8</v>
      </c>
      <c r="B34" s="12" t="inlineStr">
        <is>
          <t>RT-05</t>
        </is>
      </c>
      <c r="C34" s="13" t="inlineStr">
        <is>
          <t>RETROEXCAVADORA JOHN DEERE 310SK</t>
        </is>
      </c>
      <c r="D34" s="13" t="inlineStr">
        <is>
          <t>ADOLFO NAVA LOPEZ</t>
        </is>
      </c>
      <c r="E34" s="13" t="inlineStr">
        <is>
          <t>Carga Fresado y Derrumbes</t>
        </is>
      </c>
      <c r="F34" s="37" t="n">
        <v>0</v>
      </c>
      <c r="G34" s="37" t="n">
        <v>378</v>
      </c>
      <c r="H34" s="16">
        <f>G34*$E$4</f>
        <v/>
      </c>
      <c r="I34" s="20">
        <f>IF(G34&gt;0, F34/G34, 0)</f>
        <v/>
      </c>
      <c r="J34" s="37" t="n">
        <v>60</v>
      </c>
      <c r="K34" s="37" t="n">
        <v>301</v>
      </c>
      <c r="L34" s="16">
        <f>K34*$E$4</f>
        <v/>
      </c>
      <c r="M34" s="20">
        <f>IF(K34&gt;0, J34/K34, 0)</f>
        <v/>
      </c>
      <c r="N34" s="37" t="n">
        <v>0</v>
      </c>
      <c r="O34" s="37" t="n">
        <v>413</v>
      </c>
      <c r="P34" s="16">
        <f>O34*$E$4</f>
        <v/>
      </c>
      <c r="Q34" s="20">
        <f>IF(O34&gt;0, N34/O34, 0)</f>
        <v/>
      </c>
      <c r="R34" s="37" t="n">
        <v>0</v>
      </c>
      <c r="S34" s="37" t="n">
        <v>287</v>
      </c>
      <c r="T34" s="16">
        <f>S34*$E$4</f>
        <v/>
      </c>
      <c r="U34" s="20">
        <f>IF(S34&gt;0, R34/S34, 0)</f>
        <v/>
      </c>
      <c r="V34" s="37" t="n">
        <v>40</v>
      </c>
      <c r="W34" s="37" t="n">
        <v>343</v>
      </c>
      <c r="X34" s="16">
        <f>W34*$E$4</f>
        <v/>
      </c>
      <c r="Y34" s="20">
        <f>IF(W34&gt;0, V34/W34, 0)</f>
        <v/>
      </c>
      <c r="Z34" s="37" t="n">
        <v>0</v>
      </c>
      <c r="AA34" s="37" t="n">
        <v>182</v>
      </c>
      <c r="AB34" s="16">
        <f>AA34*$E$4</f>
        <v/>
      </c>
      <c r="AC34" s="20">
        <f>IF(AA34&gt;0, Z34/AA34, 0)</f>
        <v/>
      </c>
      <c r="AD34" s="37">
        <f>F34+J34+N34+R34+V34+Z34</f>
        <v/>
      </c>
      <c r="AE34" s="37">
        <f>G34+K34+O34+S34+W34+AA34</f>
        <v/>
      </c>
      <c r="AF34" s="16">
        <f>H34+L34+P34+T34+X34+AB34</f>
        <v/>
      </c>
      <c r="AG34" s="20">
        <f>IF(AE34&gt;0, AD34/AE34, 0)</f>
        <v/>
      </c>
    </row>
    <row r="35" ht="18.75" customHeight="1" s="46">
      <c r="A35" s="12" t="n">
        <v>9</v>
      </c>
      <c r="B35" s="12" t="inlineStr">
        <is>
          <t>PT-01</t>
        </is>
      </c>
      <c r="C35" s="13" t="inlineStr">
        <is>
          <t>PETROLIZADORA INTERNATIONAL / FORD F800</t>
        </is>
      </c>
      <c r="D35" s="13" t="inlineStr">
        <is>
          <t>ELTHON EDUARDO MARTINEZ GOMORA</t>
        </is>
      </c>
      <c r="E35" s="13" t="inlineStr">
        <is>
          <t>Riego de Liga / Emulsión</t>
        </is>
      </c>
      <c r="F35" s="37" t="n">
        <v>0</v>
      </c>
      <c r="G35" s="37" t="n">
        <v>182</v>
      </c>
      <c r="H35" s="16">
        <f>G35*$E$4</f>
        <v/>
      </c>
      <c r="I35" s="20">
        <f>IF(H35&gt;0, F35/H35, 0)</f>
        <v/>
      </c>
      <c r="J35" s="37" t="n">
        <v>60</v>
      </c>
      <c r="K35" s="37" t="n">
        <v>210</v>
      </c>
      <c r="L35" s="16">
        <f>K35*$E$4</f>
        <v/>
      </c>
      <c r="M35" s="20">
        <f>IF(L35&gt;0, J35/L35, 0)</f>
        <v/>
      </c>
      <c r="N35" s="37" t="n">
        <v>0</v>
      </c>
      <c r="O35" s="37" t="n">
        <v>210</v>
      </c>
      <c r="P35" s="16">
        <f>O35*$E$4</f>
        <v/>
      </c>
      <c r="Q35" s="20">
        <f>IF(P35&gt;0, N35/P35, 0)</f>
        <v/>
      </c>
      <c r="R35" s="37" t="n">
        <v>50</v>
      </c>
      <c r="S35" s="37" t="n">
        <v>210</v>
      </c>
      <c r="T35" s="16">
        <f>S35*$E$4</f>
        <v/>
      </c>
      <c r="U35" s="20">
        <f>IF(T35&gt;0, R35/T35, 0)</f>
        <v/>
      </c>
      <c r="V35" s="37" t="n">
        <v>0</v>
      </c>
      <c r="W35" s="37" t="n">
        <v>224</v>
      </c>
      <c r="X35" s="16">
        <f>W35*$E$4</f>
        <v/>
      </c>
      <c r="Y35" s="20">
        <f>IF(X35&gt;0, V35/X35, 0)</f>
        <v/>
      </c>
      <c r="Z35" s="37" t="n">
        <v>77</v>
      </c>
      <c r="AA35" s="37" t="n">
        <v>0</v>
      </c>
      <c r="AB35" s="16">
        <f>AA35*$E$4</f>
        <v/>
      </c>
      <c r="AC35" s="20">
        <f>IF(AB35&gt;0, Z35/AB35, 0)</f>
        <v/>
      </c>
      <c r="AD35" s="37">
        <f>F35+J35+N35+R35+V35+Z35</f>
        <v/>
      </c>
      <c r="AE35" s="37">
        <f>G35+K35+O35+S35+W35+AA35</f>
        <v/>
      </c>
      <c r="AF35" s="16">
        <f>H35+L35+P35+T35+X35+AB35</f>
        <v/>
      </c>
      <c r="AG35" s="20">
        <f>IF(AF35&gt;0, AD35/AF35, 0)</f>
        <v/>
      </c>
    </row>
    <row r="36" ht="18.75" customHeight="1" s="46">
      <c r="A36" s="12" t="n">
        <v>10</v>
      </c>
      <c r="B36" s="12" t="inlineStr">
        <is>
          <t>CPR-01</t>
        </is>
      </c>
      <c r="C36" s="13" t="inlineStr">
        <is>
          <t>COMPRESOR DE AIRE INGERSOLL RAND IR185</t>
        </is>
      </c>
      <c r="D36" s="13" t="inlineStr">
        <is>
          <t>CUADRILLA DE LIMPIEZA</t>
        </is>
      </c>
      <c r="E36" s="13" t="inlineStr">
        <is>
          <t>Sopleteado de Juntas</t>
        </is>
      </c>
      <c r="F36" s="37" t="n">
        <v>0</v>
      </c>
      <c r="G36" s="37" t="n">
        <v>0</v>
      </c>
      <c r="H36" s="16">
        <f>G36*$E$4</f>
        <v/>
      </c>
      <c r="I36" s="20" t="n">
        <v>0</v>
      </c>
      <c r="J36" s="37" t="n">
        <v>0</v>
      </c>
      <c r="K36" s="37" t="n">
        <v>0</v>
      </c>
      <c r="L36" s="16">
        <f>K36*$E$4</f>
        <v/>
      </c>
      <c r="M36" s="20" t="n">
        <v>0</v>
      </c>
      <c r="N36" s="37" t="n">
        <v>0</v>
      </c>
      <c r="O36" s="37" t="n">
        <v>0</v>
      </c>
      <c r="P36" s="16">
        <f>O36*$E$4</f>
        <v/>
      </c>
      <c r="Q36" s="20" t="n">
        <v>0</v>
      </c>
      <c r="R36" s="37" t="n">
        <v>0</v>
      </c>
      <c r="S36" s="37" t="n">
        <v>0</v>
      </c>
      <c r="T36" s="16">
        <f>S36*$E$4</f>
        <v/>
      </c>
      <c r="U36" s="20" t="n">
        <v>0</v>
      </c>
      <c r="V36" s="37" t="n">
        <v>0</v>
      </c>
      <c r="W36" s="37" t="n">
        <v>0</v>
      </c>
      <c r="X36" s="16">
        <f>W36*$E$4</f>
        <v/>
      </c>
      <c r="Y36" s="20" t="n">
        <v>0</v>
      </c>
      <c r="Z36" s="37" t="n">
        <v>0</v>
      </c>
      <c r="AA36" s="37" t="n">
        <v>0</v>
      </c>
      <c r="AB36" s="16">
        <f>AA36*$E$4</f>
        <v/>
      </c>
      <c r="AC36" s="20" t="n">
        <v>0</v>
      </c>
      <c r="AD36" s="37">
        <f>F36+J36+N36+R36+V36+Z36</f>
        <v/>
      </c>
      <c r="AE36" s="37">
        <f>G36+K36+O36+S36+W36+AA36</f>
        <v/>
      </c>
      <c r="AF36" s="16">
        <f>H36+L36+P36+T36+X36+AB36</f>
        <v/>
      </c>
      <c r="AG36" s="20" t="n">
        <v>0</v>
      </c>
    </row>
    <row r="37" ht="18.75" customHeight="1" s="46">
      <c r="A37" s="12" t="n">
        <v>11</v>
      </c>
      <c r="B37" s="12" t="inlineStr">
        <is>
          <t>PP-01</t>
        </is>
      </c>
      <c r="C37" s="13" t="inlineStr">
        <is>
          <t>CAMIÓN IMPACTO / PIPA DE AGUA FORD</t>
        </is>
      </c>
      <c r="D37" s="13" t="inlineStr">
        <is>
          <t>CUADRILLA DE AGUA</t>
        </is>
      </c>
      <c r="E37" s="13" t="inlineStr">
        <is>
          <t>Enfriamiento Rodillos / Riego</t>
        </is>
      </c>
      <c r="F37" s="37" t="n">
        <v>0</v>
      </c>
      <c r="G37" s="37" t="n">
        <v>0</v>
      </c>
      <c r="H37" s="16">
        <f>G37*$E$4</f>
        <v/>
      </c>
      <c r="I37" s="20" t="n">
        <v>0</v>
      </c>
      <c r="J37" s="37" t="n">
        <v>0</v>
      </c>
      <c r="K37" s="37" t="n">
        <v>0</v>
      </c>
      <c r="L37" s="16">
        <f>K37*$E$4</f>
        <v/>
      </c>
      <c r="M37" s="20" t="n">
        <v>0</v>
      </c>
      <c r="N37" s="37" t="n">
        <v>0</v>
      </c>
      <c r="O37" s="37" t="n">
        <v>0</v>
      </c>
      <c r="P37" s="16">
        <f>O37*$E$4</f>
        <v/>
      </c>
      <c r="Q37" s="20" t="n">
        <v>0</v>
      </c>
      <c r="R37" s="37" t="n">
        <v>0</v>
      </c>
      <c r="S37" s="37" t="n">
        <v>0</v>
      </c>
      <c r="T37" s="16">
        <f>S37*$E$4</f>
        <v/>
      </c>
      <c r="U37" s="20" t="n">
        <v>0</v>
      </c>
      <c r="V37" s="37" t="n">
        <v>0</v>
      </c>
      <c r="W37" s="37" t="n">
        <v>0</v>
      </c>
      <c r="X37" s="16">
        <f>W37*$E$4</f>
        <v/>
      </c>
      <c r="Y37" s="20" t="n">
        <v>0</v>
      </c>
      <c r="Z37" s="37" t="n">
        <v>0</v>
      </c>
      <c r="AA37" s="37" t="n">
        <v>0</v>
      </c>
      <c r="AB37" s="16">
        <f>AA37*$E$4</f>
        <v/>
      </c>
      <c r="AC37" s="20" t="n">
        <v>0</v>
      </c>
      <c r="AD37" s="37">
        <f>F37+J37+N37+R37+V37+Z37</f>
        <v/>
      </c>
      <c r="AE37" s="37">
        <f>G37+K37+O37+S37+W37+AA37</f>
        <v/>
      </c>
      <c r="AF37" s="16">
        <f>H37+L37+P37+T37+X37+AB37</f>
        <v/>
      </c>
      <c r="AG37" s="20" t="n">
        <v>0</v>
      </c>
    </row>
    <row r="38" ht="18.75" customHeight="1" s="46">
      <c r="A38" s="12" t="n">
        <v>12</v>
      </c>
      <c r="B38" s="12" t="inlineStr">
        <is>
          <t>TL-01</t>
        </is>
      </c>
      <c r="C38" s="13" t="inlineStr">
        <is>
          <t>TORRE DE LUZ MAXILIGHT 4X1000W</t>
        </is>
      </c>
      <c r="D38" s="13" t="inlineStr">
        <is>
          <t>CUADRILLA NOCTURNA</t>
        </is>
      </c>
      <c r="E38" s="13" t="inlineStr">
        <is>
          <t>Iluminación Nocturna</t>
        </is>
      </c>
      <c r="F38" s="37" t="n">
        <v>0</v>
      </c>
      <c r="G38" s="37" t="n">
        <v>0</v>
      </c>
      <c r="H38" s="16">
        <f>G38*$E$4</f>
        <v/>
      </c>
      <c r="I38" s="20" t="n">
        <v>0</v>
      </c>
      <c r="J38" s="37" t="n">
        <v>0</v>
      </c>
      <c r="K38" s="37" t="n">
        <v>0</v>
      </c>
      <c r="L38" s="16">
        <f>K38*$E$4</f>
        <v/>
      </c>
      <c r="M38" s="20" t="n">
        <v>0</v>
      </c>
      <c r="N38" s="37" t="n">
        <v>0</v>
      </c>
      <c r="O38" s="37" t="n">
        <v>0</v>
      </c>
      <c r="P38" s="16">
        <f>O38*$E$4</f>
        <v/>
      </c>
      <c r="Q38" s="20" t="n">
        <v>0</v>
      </c>
      <c r="R38" s="37" t="n">
        <v>0</v>
      </c>
      <c r="S38" s="37" t="n">
        <v>0</v>
      </c>
      <c r="T38" s="16">
        <f>S38*$E$4</f>
        <v/>
      </c>
      <c r="U38" s="20" t="n">
        <v>0</v>
      </c>
      <c r="V38" s="37" t="n">
        <v>0</v>
      </c>
      <c r="W38" s="37" t="n">
        <v>0</v>
      </c>
      <c r="X38" s="16">
        <f>W38*$E$4</f>
        <v/>
      </c>
      <c r="Y38" s="20" t="n">
        <v>0</v>
      </c>
      <c r="Z38" s="37" t="n">
        <v>0</v>
      </c>
      <c r="AA38" s="37" t="n">
        <v>0</v>
      </c>
      <c r="AB38" s="16">
        <f>AA38*$E$4</f>
        <v/>
      </c>
      <c r="AC38" s="20" t="n">
        <v>0</v>
      </c>
      <c r="AD38" s="37">
        <f>F38+J38+N38+R38+V38+Z38</f>
        <v/>
      </c>
      <c r="AE38" s="37">
        <f>G38+K38+O38+S38+W38+AA38</f>
        <v/>
      </c>
      <c r="AF38" s="16">
        <f>H38+L38+P38+T38+X38+AB38</f>
        <v/>
      </c>
      <c r="AG38" s="20" t="n">
        <v>0</v>
      </c>
    </row>
    <row r="39" ht="21.75" customHeight="1" s="46">
      <c r="A39" s="30" t="inlineStr">
        <is>
          <t>TOTAL DIARIO CONSOLIDADO (OBRA MÉXICO-TOLUCA)</t>
        </is>
      </c>
      <c r="B39" s="50" t="n"/>
      <c r="C39" s="50" t="n"/>
      <c r="D39" s="50" t="n"/>
      <c r="E39" s="51" t="n"/>
      <c r="F39" s="27">
        <f>SUM(F27:F38)</f>
        <v/>
      </c>
      <c r="G39" s="27">
        <f>MAX(G27:G38)</f>
        <v/>
      </c>
      <c r="H39" s="28">
        <f>G39*$E$4</f>
        <v/>
      </c>
      <c r="I39" s="29">
        <f>IF(H39&gt;0, F39/H39, 0)</f>
        <v/>
      </c>
      <c r="J39" s="27">
        <f>SUM(J27:J38)</f>
        <v/>
      </c>
      <c r="K39" s="27">
        <f>MAX(K27:K38)</f>
        <v/>
      </c>
      <c r="L39" s="28">
        <f>K39*$E$4</f>
        <v/>
      </c>
      <c r="M39" s="29">
        <f>IF(L39&gt;0, J39/L39, 0)</f>
        <v/>
      </c>
      <c r="N39" s="27">
        <f>SUM(N27:N38)</f>
        <v/>
      </c>
      <c r="O39" s="27">
        <f>MAX(O27:O38)</f>
        <v/>
      </c>
      <c r="P39" s="28">
        <f>O39*$E$4</f>
        <v/>
      </c>
      <c r="Q39" s="29">
        <f>IF(P39&gt;0, N39/P39, 0)</f>
        <v/>
      </c>
      <c r="R39" s="27">
        <f>SUM(R27:R38)</f>
        <v/>
      </c>
      <c r="S39" s="27">
        <f>MAX(S27:S38)</f>
        <v/>
      </c>
      <c r="T39" s="28">
        <f>S39*$E$4</f>
        <v/>
      </c>
      <c r="U39" s="29">
        <f>IF(T39&gt;0, R39/T39, 0)</f>
        <v/>
      </c>
      <c r="V39" s="27">
        <f>SUM(V27:V38)</f>
        <v/>
      </c>
      <c r="W39" s="27">
        <f>MAX(W27:W38)</f>
        <v/>
      </c>
      <c r="X39" s="28">
        <f>W39*$E$4</f>
        <v/>
      </c>
      <c r="Y39" s="29">
        <f>IF(X39&gt;0, V39/X39, 0)</f>
        <v/>
      </c>
      <c r="Z39" s="27">
        <f>SUM(Z27:Z38)</f>
        <v/>
      </c>
      <c r="AA39" s="27">
        <f>MAX(AA27:AA38)</f>
        <v/>
      </c>
      <c r="AB39" s="28">
        <f>AA39*$E$4</f>
        <v/>
      </c>
      <c r="AC39" s="29">
        <f>IF(AB39&gt;0, Z39/AB39, 0)</f>
        <v/>
      </c>
      <c r="AD39" s="27">
        <f>SUM(AD27:AD38)</f>
        <v/>
      </c>
      <c r="AE39" s="27">
        <f>SUM(AE27:AE38)</f>
        <v/>
      </c>
      <c r="AF39" s="28">
        <f>SUM(AF27:AF38)</f>
        <v/>
      </c>
      <c r="AG39" s="29">
        <f>IF(AF39&gt;0, AD39/AF39, 0)</f>
        <v/>
      </c>
    </row>
    <row r="40" ht="15.75" customHeight="1" s="46"/>
    <row r="41" ht="15.75" customHeight="1" s="46">
      <c r="A41" s="40" t="inlineStr">
        <is>
          <t>NOTA TÉCNICA Y CRITERIOS DE CONTROL DE RENDIMIENTO — OBRA MÉXICO-TOLUCA:
1. Peso Volumétrico Oficial del Asfalto: 1.742 Ton/m³ (Toneladas = m³ Carpeta × 1.742).
2. Rendimiento Base (L/h): Consumo nominal de fabricante ajustado con 1.2% anual de desgaste por antigüedad al 2026.
3. Rendimiento Real: Diésel Surtido / Toneladas Tendidas (L/Ton) o Diésel Surtido / Volumen Fresado (L/m³).
4. Estatus Operativo: DENTRO DE RENDIMIENTO BASE (Verde) / EXCEDE RENDIMIENTO BASE (Rojo) / SIN CONSUMO (Gris).</t>
        </is>
      </c>
    </row>
    <row r="42" ht="15.75" customHeight="1" s="46"/>
    <row r="43" ht="15.75" customHeight="1" s="46"/>
    <row r="44" ht="15.75" customHeight="1" s="46"/>
    <row r="45" ht="15.75" customHeight="1" s="46"/>
    <row r="46" ht="15.75" customHeight="1" s="46"/>
    <row r="47" ht="15.75" customHeight="1" s="46"/>
    <row r="48" ht="15.75" customHeight="1" s="46"/>
    <row r="49" ht="15.75" customHeight="1" s="46"/>
    <row r="50" ht="15.75" customHeight="1" s="46"/>
    <row r="51" ht="15.75" customHeight="1" s="46"/>
    <row r="52" ht="15.75" customHeight="1" s="46"/>
    <row r="53" ht="15.75" customHeight="1" s="46"/>
    <row r="54" ht="15.75" customHeight="1" s="46"/>
    <row r="55" ht="15.75" customHeight="1" s="46"/>
    <row r="56" ht="15.75" customHeight="1" s="46"/>
    <row r="57" ht="15.75" customHeight="1" s="46"/>
    <row r="58" ht="15.75" customHeight="1" s="46"/>
    <row r="59" ht="15.75" customHeight="1" s="46"/>
    <row r="60" ht="15.75" customHeight="1" s="46"/>
    <row r="61" ht="15.75" customHeight="1" s="46"/>
    <row r="62" ht="15.75" customHeight="1" s="46"/>
    <row r="63" ht="15.75" customHeight="1" s="46"/>
    <row r="64" ht="15.75" customHeight="1" s="46"/>
    <row r="65" ht="15.75" customHeight="1" s="46"/>
    <row r="66" ht="15.75" customHeight="1" s="46"/>
    <row r="67" ht="15.75" customHeight="1" s="46"/>
    <row r="68" ht="15.75" customHeight="1" s="46"/>
    <row r="69" ht="15.75" customHeight="1" s="46"/>
    <row r="70" ht="15.75" customHeight="1" s="46"/>
    <row r="71" ht="15.75" customHeight="1" s="46"/>
    <row r="72" ht="15.75" customHeight="1" s="46"/>
    <row r="73" ht="15.75" customHeight="1" s="46"/>
    <row r="74" ht="15.75" customHeight="1" s="46"/>
    <row r="75" ht="15.75" customHeight="1" s="46"/>
    <row r="76" ht="15.75" customHeight="1" s="46"/>
    <row r="77" ht="15.75" customHeight="1" s="46"/>
    <row r="78" ht="15.75" customHeight="1" s="46"/>
    <row r="79" ht="15.75" customHeight="1" s="46"/>
    <row r="80" ht="15.75" customHeight="1" s="46"/>
    <row r="81" ht="15.75" customHeight="1" s="46"/>
    <row r="82" ht="15.75" customHeight="1" s="46"/>
    <row r="83" ht="15.75" customHeight="1" s="46"/>
    <row r="84" ht="15.75" customHeight="1" s="46"/>
    <row r="85" ht="15.75" customHeight="1" s="46"/>
    <row r="86" ht="15.75" customHeight="1" s="46"/>
    <row r="87" ht="15.75" customHeight="1" s="46"/>
    <row r="88" ht="15.75" customHeight="1" s="46"/>
    <row r="89" ht="15.75" customHeight="1" s="46"/>
    <row r="90" ht="15.75" customHeight="1" s="46"/>
    <row r="91" ht="15.75" customHeight="1" s="46"/>
    <row r="92" ht="15.75" customHeight="1" s="46"/>
    <row r="93" ht="15.75" customHeight="1" s="46"/>
    <row r="94" ht="15.75" customHeight="1" s="46"/>
    <row r="95" ht="15.75" customHeight="1" s="46"/>
    <row r="96" ht="15.75" customHeight="1" s="46"/>
    <row r="97" ht="15.75" customHeight="1" s="46"/>
    <row r="98" ht="15.75" customHeight="1" s="46"/>
    <row r="99" ht="15.75" customHeight="1" s="46"/>
    <row r="100" ht="15.75" customHeight="1" s="46"/>
    <row r="101" ht="15.75" customHeight="1" s="46"/>
    <row r="102" ht="15.75" customHeight="1" s="46"/>
    <row r="103" ht="15.75" customHeight="1" s="46"/>
    <row r="104" ht="15.75" customHeight="1" s="46"/>
    <row r="105" ht="15.75" customHeight="1" s="46"/>
    <row r="106" ht="15.75" customHeight="1" s="46"/>
    <row r="107" ht="15.75" customHeight="1" s="46"/>
    <row r="108" ht="15.75" customHeight="1" s="46"/>
    <row r="109" ht="15.75" customHeight="1" s="46"/>
    <row r="110" ht="15.75" customHeight="1" s="46"/>
    <row r="111" ht="15.75" customHeight="1" s="46"/>
    <row r="112" ht="15.75" customHeight="1" s="46"/>
    <row r="113" ht="15.75" customHeight="1" s="46"/>
    <row r="114" ht="15.75" customHeight="1" s="46"/>
    <row r="115" ht="15.75" customHeight="1" s="46"/>
    <row r="116" ht="15.75" customHeight="1" s="46"/>
    <row r="117" ht="15.75" customHeight="1" s="46"/>
    <row r="118" ht="15.75" customHeight="1" s="46"/>
    <row r="119" ht="15.75" customHeight="1" s="46"/>
    <row r="120" ht="15.75" customHeight="1" s="46"/>
    <row r="121" ht="15.75" customHeight="1" s="46"/>
    <row r="122" ht="15.75" customHeight="1" s="46"/>
    <row r="123" ht="15.75" customHeight="1" s="46"/>
    <row r="124" ht="15.75" customHeight="1" s="46"/>
    <row r="125" ht="15.75" customHeight="1" s="46"/>
    <row r="126" ht="15.75" customHeight="1" s="46"/>
    <row r="127" ht="15.75" customHeight="1" s="46"/>
    <row r="128" ht="15.75" customHeight="1" s="46"/>
    <row r="129" ht="15.75" customHeight="1" s="46"/>
    <row r="130" ht="15.75" customHeight="1" s="46"/>
    <row r="131" ht="15.75" customHeight="1" s="46"/>
    <row r="132" ht="15.75" customHeight="1" s="46"/>
    <row r="133" ht="15.75" customHeight="1" s="46"/>
    <row r="134" ht="15.75" customHeight="1" s="46"/>
    <row r="135" ht="15.75" customHeight="1" s="46"/>
    <row r="136" ht="15.75" customHeight="1" s="46"/>
    <row r="137" ht="15.75" customHeight="1" s="46"/>
    <row r="138" ht="15.75" customHeight="1" s="46"/>
    <row r="139" ht="15.75" customHeight="1" s="46"/>
    <row r="140" ht="15.75" customHeight="1" s="46"/>
    <row r="141" ht="15.75" customHeight="1" s="46"/>
    <row r="142" ht="15.75" customHeight="1" s="46"/>
    <row r="143" ht="15.75" customHeight="1" s="46"/>
    <row r="144" ht="15.75" customHeight="1" s="46"/>
    <row r="145" ht="15.75" customHeight="1" s="46"/>
    <row r="146" ht="15.75" customHeight="1" s="46"/>
    <row r="147" ht="15.75" customHeight="1" s="46"/>
    <row r="148" ht="15.75" customHeight="1" s="46"/>
    <row r="149" ht="15.75" customHeight="1" s="46"/>
    <row r="150" ht="15.75" customHeight="1" s="46"/>
    <row r="151" ht="15.75" customHeight="1" s="46"/>
    <row r="152" ht="15.75" customHeight="1" s="46"/>
    <row r="153" ht="15.75" customHeight="1" s="46"/>
    <row r="154" ht="15.75" customHeight="1" s="46"/>
    <row r="155" ht="15.75" customHeight="1" s="46"/>
    <row r="156" ht="15.75" customHeight="1" s="46"/>
    <row r="157" ht="15.75" customHeight="1" s="46"/>
    <row r="158" ht="15.75" customHeight="1" s="46"/>
    <row r="159" ht="15.75" customHeight="1" s="46"/>
    <row r="160" ht="15.75" customHeight="1" s="46"/>
    <row r="161" ht="15.75" customHeight="1" s="46"/>
    <row r="162" ht="15.75" customHeight="1" s="46"/>
    <row r="163" ht="15.75" customHeight="1" s="46"/>
    <row r="164" ht="15.75" customHeight="1" s="46"/>
    <row r="165" ht="15.75" customHeight="1" s="46"/>
    <row r="166" ht="15.75" customHeight="1" s="46"/>
    <row r="167" ht="15.75" customHeight="1" s="46"/>
    <row r="168" ht="15.75" customHeight="1" s="46"/>
    <row r="169" ht="15.75" customHeight="1" s="46"/>
    <row r="170" ht="15.75" customHeight="1" s="46"/>
    <row r="171" ht="15.75" customHeight="1" s="46"/>
    <row r="172" ht="15.75" customHeight="1" s="46"/>
    <row r="173" ht="15.75" customHeight="1" s="46"/>
    <row r="174" ht="15.75" customHeight="1" s="46"/>
    <row r="175" ht="15.75" customHeight="1" s="46"/>
    <row r="176" ht="15.75" customHeight="1" s="46"/>
    <row r="177" ht="15.75" customHeight="1" s="46"/>
    <row r="178" ht="15.75" customHeight="1" s="46"/>
    <row r="179" ht="15.75" customHeight="1" s="46"/>
    <row r="180" ht="15.75" customHeight="1" s="46"/>
    <row r="181" ht="15.75" customHeight="1" s="46"/>
    <row r="182" ht="15.75" customHeight="1" s="46"/>
    <row r="183" ht="15.75" customHeight="1" s="46"/>
    <row r="184" ht="15.75" customHeight="1" s="46"/>
    <row r="185" ht="15.75" customHeight="1" s="46"/>
    <row r="186" ht="15.75" customHeight="1" s="46"/>
    <row r="187" ht="15.75" customHeight="1" s="46"/>
    <row r="188" ht="15.75" customHeight="1" s="46"/>
    <row r="189" ht="15.75" customHeight="1" s="46"/>
    <row r="190" ht="15.75" customHeight="1" s="46"/>
    <row r="191" ht="15.75" customHeight="1" s="46"/>
    <row r="192" ht="15.75" customHeight="1" s="46"/>
    <row r="193" ht="15.75" customHeight="1" s="46"/>
    <row r="194" ht="15.75" customHeight="1" s="46"/>
    <row r="195" ht="15.75" customHeight="1" s="46"/>
    <row r="196" ht="15.75" customHeight="1" s="46"/>
    <row r="197" ht="15.75" customHeight="1" s="46"/>
    <row r="198" ht="15.75" customHeight="1" s="46"/>
    <row r="199" ht="15.75" customHeight="1" s="46"/>
    <row r="200" ht="15.75" customHeight="1" s="46"/>
    <row r="201" ht="15.75" customHeight="1" s="46"/>
    <row r="202" ht="15.75" customHeight="1" s="46"/>
    <row r="203" ht="15.75" customHeight="1" s="46"/>
    <row r="204" ht="15.75" customHeight="1" s="46"/>
    <row r="205" ht="15.75" customHeight="1" s="46"/>
    <row r="206" ht="15.75" customHeight="1" s="46"/>
    <row r="207" ht="15.75" customHeight="1" s="46"/>
    <row r="208" ht="15.75" customHeight="1" s="46"/>
    <row r="209" ht="15.75" customHeight="1" s="46"/>
    <row r="210" ht="15.75" customHeight="1" s="46"/>
    <row r="211" ht="15.75" customHeight="1" s="46"/>
    <row r="212" ht="15.75" customHeight="1" s="46"/>
    <row r="213" ht="15.75" customHeight="1" s="46"/>
    <row r="214" ht="15.75" customHeight="1" s="46"/>
    <row r="215" ht="15.75" customHeight="1" s="46"/>
    <row r="216" ht="15.75" customHeight="1" s="46"/>
    <row r="217" ht="15.75" customHeight="1" s="46"/>
    <row r="218" ht="15.75" customHeight="1" s="46"/>
    <row r="219" ht="15.75" customHeight="1" s="46"/>
    <row r="220" ht="15.75" customHeight="1" s="46"/>
    <row r="221" ht="15.75" customHeight="1" s="46"/>
    <row r="222" ht="15.75" customHeight="1" s="46"/>
    <row r="223" ht="15.75" customHeight="1" s="46"/>
    <row r="224" ht="15.75" customHeight="1" s="46"/>
    <row r="225" ht="15.75" customHeight="1" s="46"/>
    <row r="226" ht="15.75" customHeight="1" s="46"/>
    <row r="227" ht="15.75" customHeight="1" s="46"/>
    <row r="228" ht="15.75" customHeight="1" s="46"/>
    <row r="229" ht="15.75" customHeight="1" s="46"/>
    <row r="230" ht="15.75" customHeight="1" s="46"/>
    <row r="231" ht="15.75" customHeight="1" s="46"/>
    <row r="232" ht="15.75" customHeight="1" s="46"/>
    <row r="233" ht="15.75" customHeight="1" s="46"/>
    <row r="234" ht="15.75" customHeight="1" s="46"/>
    <row r="235" ht="15.75" customHeight="1" s="46"/>
    <row r="236" ht="15.75" customHeight="1" s="46"/>
    <row r="237" ht="15.75" customHeight="1" s="46"/>
    <row r="238" ht="15.75" customHeight="1" s="46"/>
    <row r="239" ht="15.75" customHeight="1" s="46"/>
    <row r="240" ht="15.75" customHeight="1" s="46"/>
    <row r="241" ht="15.75" customHeight="1" s="46"/>
    <row r="242" ht="15.75" customHeight="1" s="46"/>
    <row r="243" ht="15.75" customHeight="1" s="46"/>
    <row r="244" ht="15.75" customHeight="1" s="46"/>
    <row r="245" ht="15.75" customHeight="1" s="46"/>
    <row r="246" ht="15.75" customHeight="1" s="46"/>
    <row r="247" ht="15.75" customHeight="1" s="46"/>
    <row r="248" ht="15.75" customHeight="1" s="46"/>
    <row r="249" ht="15.75" customHeight="1" s="46"/>
    <row r="250" ht="15.75" customHeight="1" s="46"/>
    <row r="251" ht="15.75" customHeight="1" s="46"/>
    <row r="252" ht="15.75" customHeight="1" s="46"/>
    <row r="253" ht="15.75" customHeight="1" s="46"/>
    <row r="254" ht="15.75" customHeight="1" s="46"/>
    <row r="255" ht="15.75" customHeight="1" s="46"/>
    <row r="256" ht="15.75" customHeight="1" s="46"/>
    <row r="257" ht="15.75" customHeight="1" s="46"/>
    <row r="258" ht="15.75" customHeight="1" s="46"/>
    <row r="259" ht="15.75" customHeight="1" s="46"/>
    <row r="260" ht="15.75" customHeight="1" s="46"/>
    <row r="261" ht="15.75" customHeight="1" s="46"/>
    <row r="262" ht="15.75" customHeight="1" s="46"/>
    <row r="263" ht="15.75" customHeight="1" s="46"/>
    <row r="264" ht="15.75" customHeight="1" s="46"/>
    <row r="265" ht="15.75" customHeight="1" s="46"/>
    <row r="266" ht="15.75" customHeight="1" s="46"/>
    <row r="267" ht="15.75" customHeight="1" s="46"/>
    <row r="268" ht="15.75" customHeight="1" s="46"/>
    <row r="269" ht="15.75" customHeight="1" s="46"/>
    <row r="270" ht="15.75" customHeight="1" s="46"/>
    <row r="271" ht="15.75" customHeight="1" s="46"/>
    <row r="272" ht="15.75" customHeight="1" s="46"/>
    <row r="273" ht="15.75" customHeight="1" s="46"/>
    <row r="274" ht="15.75" customHeight="1" s="46"/>
    <row r="275" ht="15.75" customHeight="1" s="46"/>
    <row r="276" ht="15.75" customHeight="1" s="46"/>
    <row r="277" ht="15.75" customHeight="1" s="46"/>
    <row r="278" ht="15.75" customHeight="1" s="46"/>
    <row r="279" ht="15.75" customHeight="1" s="46"/>
    <row r="280" ht="15.75" customHeight="1" s="46"/>
    <row r="281" ht="15.75" customHeight="1" s="46"/>
    <row r="282" ht="15.75" customHeight="1" s="46"/>
    <row r="283" ht="15.75" customHeight="1" s="46"/>
    <row r="284" ht="15.75" customHeight="1" s="46"/>
    <row r="285" ht="15.75" customHeight="1" s="46"/>
    <row r="286" ht="15.75" customHeight="1" s="46"/>
    <row r="287" ht="15.75" customHeight="1" s="46"/>
    <row r="288" ht="15.75" customHeight="1" s="46"/>
    <row r="289" ht="15.75" customHeight="1" s="46"/>
    <row r="290" ht="15.75" customHeight="1" s="46"/>
    <row r="291" ht="15.75" customHeight="1" s="46"/>
    <row r="292" ht="15.75" customHeight="1" s="46"/>
    <row r="293" ht="15.75" customHeight="1" s="46"/>
    <row r="294" ht="15.75" customHeight="1" s="46"/>
    <row r="295" ht="15.75" customHeight="1" s="46"/>
    <row r="296" ht="15.75" customHeight="1" s="46"/>
    <row r="297" ht="15.75" customHeight="1" s="46"/>
    <row r="298" ht="15.75" customHeight="1" s="46"/>
    <row r="299" ht="15.75" customHeight="1" s="46"/>
    <row r="300" ht="15.75" customHeight="1" s="46"/>
    <row r="301" ht="15.75" customHeight="1" s="46"/>
    <row r="302" ht="15.75" customHeight="1" s="46"/>
    <row r="303" ht="15.75" customHeight="1" s="46"/>
    <row r="304" ht="15.75" customHeight="1" s="46"/>
    <row r="305" ht="15.75" customHeight="1" s="46"/>
    <row r="306" ht="15.75" customHeight="1" s="46"/>
    <row r="307" ht="15.75" customHeight="1" s="46"/>
    <row r="308" ht="15.75" customHeight="1" s="46"/>
    <row r="309" ht="15.75" customHeight="1" s="46"/>
    <row r="310" ht="15.75" customHeight="1" s="46"/>
    <row r="311" ht="15.75" customHeight="1" s="46"/>
    <row r="312" ht="15.75" customHeight="1" s="46"/>
    <row r="313" ht="15.75" customHeight="1" s="46"/>
    <row r="314" ht="15.75" customHeight="1" s="46"/>
    <row r="315" ht="15.75" customHeight="1" s="46"/>
    <row r="316" ht="15.75" customHeight="1" s="46"/>
    <row r="317" ht="15.75" customHeight="1" s="46"/>
    <row r="318" ht="15.75" customHeight="1" s="46"/>
    <row r="319" ht="15.75" customHeight="1" s="46"/>
    <row r="320" ht="15.75" customHeight="1" s="46"/>
    <row r="321" ht="15.75" customHeight="1" s="46"/>
    <row r="322" ht="15.75" customHeight="1" s="46"/>
    <row r="323" ht="15.75" customHeight="1" s="46"/>
    <row r="324" ht="15.75" customHeight="1" s="46"/>
    <row r="325" ht="15.75" customHeight="1" s="46"/>
    <row r="326" ht="15.75" customHeight="1" s="46"/>
    <row r="327" ht="15.75" customHeight="1" s="46"/>
    <row r="328" ht="15.75" customHeight="1" s="46"/>
    <row r="329" ht="15.75" customHeight="1" s="46"/>
    <row r="330" ht="15.75" customHeight="1" s="46"/>
    <row r="331" ht="15.75" customHeight="1" s="46"/>
    <row r="332" ht="15.75" customHeight="1" s="46"/>
    <row r="333" ht="15.75" customHeight="1" s="46"/>
    <row r="334" ht="15.75" customHeight="1" s="46"/>
    <row r="335" ht="15.75" customHeight="1" s="46"/>
    <row r="336" ht="15.75" customHeight="1" s="46"/>
    <row r="337" ht="15.75" customHeight="1" s="46"/>
    <row r="338" ht="15.75" customHeight="1" s="46"/>
    <row r="339" ht="15.75" customHeight="1" s="46"/>
    <row r="340" ht="15.75" customHeight="1" s="46"/>
    <row r="341" ht="15.75" customHeight="1" s="46"/>
    <row r="342" ht="15.75" customHeight="1" s="46"/>
    <row r="343" ht="15.75" customHeight="1" s="46"/>
    <row r="344" ht="15.75" customHeight="1" s="46"/>
    <row r="345" ht="15.75" customHeight="1" s="46"/>
    <row r="346" ht="15.75" customHeight="1" s="46"/>
    <row r="347" ht="15.75" customHeight="1" s="46"/>
    <row r="348" ht="15.75" customHeight="1" s="46"/>
    <row r="349" ht="15.75" customHeight="1" s="46"/>
    <row r="350" ht="15.75" customHeight="1" s="46"/>
    <row r="351" ht="15.75" customHeight="1" s="46"/>
    <row r="352" ht="15.75" customHeight="1" s="46"/>
    <row r="353" ht="15.75" customHeight="1" s="46"/>
    <row r="354" ht="15.75" customHeight="1" s="46"/>
    <row r="355" ht="15.75" customHeight="1" s="46"/>
    <row r="356" ht="15.75" customHeight="1" s="46"/>
    <row r="357" ht="15.75" customHeight="1" s="46"/>
    <row r="358" ht="15.75" customHeight="1" s="46"/>
    <row r="359" ht="15.75" customHeight="1" s="46"/>
    <row r="360" ht="15.75" customHeight="1" s="46"/>
    <row r="361" ht="15.75" customHeight="1" s="46"/>
    <row r="362" ht="15.75" customHeight="1" s="46"/>
    <row r="363" ht="15.75" customHeight="1" s="46"/>
    <row r="364" ht="15.75" customHeight="1" s="46"/>
    <row r="365" ht="15.75" customHeight="1" s="46"/>
    <row r="366" ht="15.75" customHeight="1" s="46"/>
    <row r="367" ht="15.75" customHeight="1" s="46"/>
    <row r="368" ht="15.75" customHeight="1" s="46"/>
    <row r="369" ht="15.75" customHeight="1" s="46"/>
    <row r="370" ht="15.75" customHeight="1" s="46"/>
    <row r="371" ht="15.75" customHeight="1" s="46"/>
    <row r="372" ht="15.75" customHeight="1" s="46"/>
    <row r="373" ht="15.75" customHeight="1" s="46"/>
    <row r="374" ht="15.75" customHeight="1" s="46"/>
    <row r="375" ht="15.75" customHeight="1" s="46"/>
    <row r="376" ht="15.75" customHeight="1" s="46"/>
    <row r="377" ht="15.75" customHeight="1" s="46"/>
    <row r="378" ht="15.75" customHeight="1" s="46"/>
    <row r="379" ht="15.75" customHeight="1" s="46"/>
    <row r="380" ht="15.75" customHeight="1" s="46"/>
    <row r="381" ht="15.75" customHeight="1" s="46"/>
    <row r="382" ht="15.75" customHeight="1" s="46"/>
    <row r="383" ht="15.75" customHeight="1" s="46"/>
    <row r="384" ht="15.75" customHeight="1" s="46"/>
    <row r="385" ht="15.75" customHeight="1" s="46"/>
    <row r="386" ht="15.75" customHeight="1" s="46"/>
    <row r="387" ht="15.75" customHeight="1" s="46"/>
    <row r="388" ht="15.75" customHeight="1" s="46"/>
    <row r="389" ht="15.75" customHeight="1" s="46"/>
    <row r="390" ht="15.75" customHeight="1" s="46"/>
    <row r="391" ht="15.75" customHeight="1" s="46"/>
    <row r="392" ht="15.75" customHeight="1" s="46"/>
    <row r="393" ht="15.75" customHeight="1" s="46"/>
    <row r="394" ht="15.75" customHeight="1" s="46"/>
    <row r="395" ht="15.75" customHeight="1" s="46"/>
    <row r="396" ht="15.75" customHeight="1" s="46"/>
    <row r="397" ht="15.75" customHeight="1" s="46"/>
    <row r="398" ht="15.75" customHeight="1" s="46"/>
    <row r="399" ht="15.75" customHeight="1" s="46"/>
    <row r="400" ht="15.75" customHeight="1" s="46"/>
    <row r="401" ht="15.75" customHeight="1" s="46"/>
    <row r="402" ht="15.75" customHeight="1" s="46"/>
    <row r="403" ht="15.75" customHeight="1" s="46"/>
    <row r="404" ht="15.75" customHeight="1" s="46"/>
    <row r="405" ht="15.75" customHeight="1" s="46"/>
    <row r="406" ht="15.75" customHeight="1" s="46"/>
    <row r="407" ht="15.75" customHeight="1" s="46"/>
    <row r="408" ht="15.75" customHeight="1" s="46"/>
    <row r="409" ht="15.75" customHeight="1" s="46"/>
    <row r="410" ht="15.75" customHeight="1" s="46"/>
    <row r="411" ht="15.75" customHeight="1" s="46"/>
    <row r="412" ht="15.75" customHeight="1" s="46"/>
    <row r="413" ht="15.75" customHeight="1" s="46"/>
    <row r="414" ht="15.75" customHeight="1" s="46"/>
    <row r="415" ht="15.75" customHeight="1" s="46"/>
    <row r="416" ht="15.75" customHeight="1" s="46"/>
    <row r="417" ht="15.75" customHeight="1" s="46"/>
    <row r="418" ht="15.75" customHeight="1" s="46"/>
    <row r="419" ht="15.75" customHeight="1" s="46"/>
    <row r="420" ht="15.75" customHeight="1" s="46"/>
    <row r="421" ht="15.75" customHeight="1" s="46"/>
    <row r="422" ht="15.75" customHeight="1" s="46"/>
    <row r="423" ht="15.75" customHeight="1" s="46"/>
    <row r="424" ht="15.75" customHeight="1" s="46"/>
    <row r="425" ht="15.75" customHeight="1" s="46"/>
    <row r="426" ht="15.75" customHeight="1" s="46"/>
    <row r="427" ht="15.75" customHeight="1" s="46"/>
    <row r="428" ht="15.75" customHeight="1" s="46"/>
    <row r="429" ht="15.75" customHeight="1" s="46"/>
    <row r="430" ht="15.75" customHeight="1" s="46"/>
    <row r="431" ht="15.75" customHeight="1" s="46"/>
    <row r="432" ht="15.75" customHeight="1" s="46"/>
    <row r="433" ht="15.75" customHeight="1" s="46"/>
    <row r="434" ht="15.75" customHeight="1" s="46"/>
    <row r="435" ht="15.75" customHeight="1" s="46"/>
    <row r="436" ht="15.75" customHeight="1" s="46"/>
    <row r="437" ht="15.75" customHeight="1" s="46"/>
    <row r="438" ht="15.75" customHeight="1" s="46"/>
    <row r="439" ht="15.75" customHeight="1" s="46"/>
    <row r="440" ht="15.75" customHeight="1" s="46"/>
    <row r="441" ht="15.75" customHeight="1" s="46"/>
    <row r="442" ht="15.75" customHeight="1" s="46"/>
    <row r="443" ht="15.75" customHeight="1" s="46"/>
    <row r="444" ht="15.75" customHeight="1" s="46"/>
    <row r="445" ht="15.75" customHeight="1" s="46"/>
    <row r="446" ht="15.75" customHeight="1" s="46"/>
    <row r="447" ht="15.75" customHeight="1" s="46"/>
    <row r="448" ht="15.75" customHeight="1" s="46"/>
    <row r="449" ht="15.75" customHeight="1" s="46"/>
    <row r="450" ht="15.75" customHeight="1" s="46"/>
    <row r="451" ht="15.75" customHeight="1" s="46"/>
    <row r="452" ht="15.75" customHeight="1" s="46"/>
    <row r="453" ht="15.75" customHeight="1" s="46"/>
    <row r="454" ht="15.75" customHeight="1" s="46"/>
    <row r="455" ht="15.75" customHeight="1" s="46"/>
    <row r="456" ht="15.75" customHeight="1" s="46"/>
    <row r="457" ht="15.75" customHeight="1" s="46"/>
    <row r="458" ht="15.75" customHeight="1" s="46"/>
    <row r="459" ht="15.75" customHeight="1" s="46"/>
    <row r="460" ht="15.75" customHeight="1" s="46"/>
    <row r="461" ht="15.75" customHeight="1" s="46"/>
    <row r="462" ht="15.75" customHeight="1" s="46"/>
    <row r="463" ht="15.75" customHeight="1" s="46"/>
    <row r="464" ht="15.75" customHeight="1" s="46"/>
    <row r="465" ht="15.75" customHeight="1" s="46"/>
    <row r="466" ht="15.75" customHeight="1" s="46"/>
    <row r="467" ht="15.75" customHeight="1" s="46"/>
    <row r="468" ht="15.75" customHeight="1" s="46"/>
    <row r="469" ht="15.75" customHeight="1" s="46"/>
    <row r="470" ht="15.75" customHeight="1" s="46"/>
    <row r="471" ht="15.75" customHeight="1" s="46"/>
    <row r="472" ht="15.75" customHeight="1" s="46"/>
    <row r="473" ht="15.75" customHeight="1" s="46"/>
    <row r="474" ht="15.75" customHeight="1" s="46"/>
    <row r="475" ht="15.75" customHeight="1" s="46"/>
    <row r="476" ht="15.75" customHeight="1" s="46"/>
    <row r="477" ht="15.75" customHeight="1" s="46"/>
    <row r="478" ht="15.75" customHeight="1" s="46"/>
    <row r="479" ht="15.75" customHeight="1" s="46"/>
    <row r="480" ht="15.75" customHeight="1" s="46"/>
    <row r="481" ht="15.75" customHeight="1" s="46"/>
    <row r="482" ht="15.75" customHeight="1" s="46"/>
    <row r="483" ht="15.75" customHeight="1" s="46"/>
    <row r="484" ht="15.75" customHeight="1" s="46"/>
    <row r="485" ht="15.75" customHeight="1" s="46"/>
    <row r="486" ht="15.75" customHeight="1" s="46"/>
    <row r="487" ht="15.75" customHeight="1" s="46"/>
    <row r="488" ht="15.75" customHeight="1" s="46"/>
    <row r="489" ht="15.75" customHeight="1" s="46"/>
    <row r="490" ht="15.75" customHeight="1" s="46"/>
    <row r="491" ht="15.75" customHeight="1" s="46"/>
    <row r="492" ht="15.75" customHeight="1" s="46"/>
    <row r="493" ht="15.75" customHeight="1" s="46"/>
    <row r="494" ht="15.75" customHeight="1" s="46"/>
    <row r="495" ht="15.75" customHeight="1" s="46"/>
    <row r="496" ht="15.75" customHeight="1" s="46"/>
    <row r="497" ht="15.75" customHeight="1" s="46"/>
    <row r="498" ht="15.75" customHeight="1" s="46"/>
    <row r="499" ht="15.75" customHeight="1" s="46"/>
    <row r="500" ht="15.75" customHeight="1" s="46"/>
    <row r="501" ht="15.75" customHeight="1" s="46"/>
    <row r="502" ht="15.75" customHeight="1" s="46"/>
    <row r="503" ht="15.75" customHeight="1" s="46"/>
    <row r="504" ht="15.75" customHeight="1" s="46"/>
    <row r="505" ht="15.75" customHeight="1" s="46"/>
    <row r="506" ht="15.75" customHeight="1" s="46"/>
    <row r="507" ht="15.75" customHeight="1" s="46"/>
    <row r="508" ht="15.75" customHeight="1" s="46"/>
    <row r="509" ht="15.75" customHeight="1" s="46"/>
    <row r="510" ht="15.75" customHeight="1" s="46"/>
    <row r="511" ht="15.75" customHeight="1" s="46"/>
    <row r="512" ht="15.75" customHeight="1" s="46"/>
    <row r="513" ht="15.75" customHeight="1" s="46"/>
    <row r="514" ht="15.75" customHeight="1" s="46"/>
    <row r="515" ht="15.75" customHeight="1" s="46"/>
    <row r="516" ht="15.75" customHeight="1" s="46"/>
    <row r="517" ht="15.75" customHeight="1" s="46"/>
    <row r="518" ht="15.75" customHeight="1" s="46"/>
    <row r="519" ht="15.75" customHeight="1" s="46"/>
    <row r="520" ht="15.75" customHeight="1" s="46"/>
    <row r="521" ht="15.75" customHeight="1" s="46"/>
    <row r="522" ht="15.75" customHeight="1" s="46"/>
    <row r="523" ht="15.75" customHeight="1" s="46"/>
    <row r="524" ht="15.75" customHeight="1" s="46"/>
    <row r="525" ht="15.75" customHeight="1" s="46"/>
    <row r="526" ht="15.75" customHeight="1" s="46"/>
    <row r="527" ht="15.75" customHeight="1" s="46"/>
    <row r="528" ht="15.75" customHeight="1" s="46"/>
    <row r="529" ht="15.75" customHeight="1" s="46"/>
    <row r="530" ht="15.75" customHeight="1" s="46"/>
    <row r="531" ht="15.75" customHeight="1" s="46"/>
    <row r="532" ht="15.75" customHeight="1" s="46"/>
    <row r="533" ht="15.75" customHeight="1" s="46"/>
    <row r="534" ht="15.75" customHeight="1" s="46"/>
    <row r="535" ht="15.75" customHeight="1" s="46"/>
    <row r="536" ht="15.75" customHeight="1" s="46"/>
    <row r="537" ht="15.75" customHeight="1" s="46"/>
    <row r="538" ht="15.75" customHeight="1" s="46"/>
    <row r="539" ht="15.75" customHeight="1" s="46"/>
    <row r="540" ht="15.75" customHeight="1" s="46"/>
    <row r="541" ht="15.75" customHeight="1" s="46"/>
    <row r="542" ht="15.75" customHeight="1" s="46"/>
    <row r="543" ht="15.75" customHeight="1" s="46"/>
    <row r="544" ht="15.75" customHeight="1" s="46"/>
    <row r="545" ht="15.75" customHeight="1" s="46"/>
    <row r="546" ht="15.75" customHeight="1" s="46"/>
    <row r="547" ht="15.75" customHeight="1" s="46"/>
    <row r="548" ht="15.75" customHeight="1" s="46"/>
    <row r="549" ht="15.75" customHeight="1" s="46"/>
    <row r="550" ht="15.75" customHeight="1" s="46"/>
    <row r="551" ht="15.75" customHeight="1" s="46"/>
    <row r="552" ht="15.75" customHeight="1" s="46"/>
    <row r="553" ht="15.75" customHeight="1" s="46"/>
    <row r="554" ht="15.75" customHeight="1" s="46"/>
    <row r="555" ht="15.75" customHeight="1" s="46"/>
    <row r="556" ht="15.75" customHeight="1" s="46"/>
    <row r="557" ht="15.75" customHeight="1" s="46"/>
    <row r="558" ht="15.75" customHeight="1" s="46"/>
    <row r="559" ht="15.75" customHeight="1" s="46"/>
    <row r="560" ht="15.75" customHeight="1" s="46"/>
    <row r="561" ht="15.75" customHeight="1" s="46"/>
    <row r="562" ht="15.75" customHeight="1" s="46"/>
    <row r="563" ht="15.75" customHeight="1" s="46"/>
    <row r="564" ht="15.75" customHeight="1" s="46"/>
    <row r="565" ht="15.75" customHeight="1" s="46"/>
    <row r="566" ht="15.75" customHeight="1" s="46"/>
    <row r="567" ht="15.75" customHeight="1" s="46"/>
    <row r="568" ht="15.75" customHeight="1" s="46"/>
    <row r="569" ht="15.75" customHeight="1" s="46"/>
    <row r="570" ht="15.75" customHeight="1" s="46"/>
    <row r="571" ht="15.75" customHeight="1" s="46"/>
    <row r="572" ht="15.75" customHeight="1" s="46"/>
    <row r="573" ht="15.75" customHeight="1" s="46"/>
    <row r="574" ht="15.75" customHeight="1" s="46"/>
    <row r="575" ht="15.75" customHeight="1" s="46"/>
    <row r="576" ht="15.75" customHeight="1" s="46"/>
    <row r="577" ht="15.75" customHeight="1" s="46"/>
    <row r="578" ht="15.75" customHeight="1" s="46"/>
    <row r="579" ht="15.75" customHeight="1" s="46"/>
    <row r="580" ht="15.75" customHeight="1" s="46"/>
    <row r="581" ht="15.75" customHeight="1" s="46"/>
    <row r="582" ht="15.75" customHeight="1" s="46"/>
    <row r="583" ht="15.75" customHeight="1" s="46"/>
    <row r="584" ht="15.75" customHeight="1" s="46"/>
    <row r="585" ht="15.75" customHeight="1" s="46"/>
    <row r="586" ht="15.75" customHeight="1" s="46"/>
    <row r="587" ht="15.75" customHeight="1" s="46"/>
    <row r="588" ht="15.75" customHeight="1" s="46"/>
    <row r="589" ht="15.75" customHeight="1" s="46"/>
    <row r="590" ht="15.75" customHeight="1" s="46"/>
    <row r="591" ht="15.75" customHeight="1" s="46"/>
    <row r="592" ht="15.75" customHeight="1" s="46"/>
    <row r="593" ht="15.75" customHeight="1" s="46"/>
    <row r="594" ht="15.75" customHeight="1" s="46"/>
    <row r="595" ht="15.75" customHeight="1" s="46"/>
    <row r="596" ht="15.75" customHeight="1" s="46"/>
    <row r="597" ht="15.75" customHeight="1" s="46"/>
    <row r="598" ht="15.75" customHeight="1" s="46"/>
    <row r="599" ht="15.75" customHeight="1" s="46"/>
    <row r="600" ht="15.75" customHeight="1" s="46"/>
    <row r="601" ht="15.75" customHeight="1" s="46"/>
    <row r="602" ht="15.75" customHeight="1" s="46"/>
    <row r="603" ht="15.75" customHeight="1" s="46"/>
    <row r="604" ht="15.75" customHeight="1" s="46"/>
    <row r="605" ht="15.75" customHeight="1" s="46"/>
    <row r="606" ht="15.75" customHeight="1" s="46"/>
    <row r="607" ht="15.75" customHeight="1" s="46"/>
    <row r="608" ht="15.75" customHeight="1" s="46"/>
    <row r="609" ht="15.75" customHeight="1" s="46"/>
    <row r="610" ht="15.75" customHeight="1" s="46"/>
    <row r="611" ht="15.75" customHeight="1" s="46"/>
    <row r="612" ht="15.75" customHeight="1" s="46"/>
    <row r="613" ht="15.75" customHeight="1" s="46"/>
    <row r="614" ht="15.75" customHeight="1" s="46"/>
    <row r="615" ht="15.75" customHeight="1" s="46"/>
    <row r="616" ht="15.75" customHeight="1" s="46"/>
    <row r="617" ht="15.75" customHeight="1" s="46"/>
    <row r="618" ht="15.75" customHeight="1" s="46"/>
    <row r="619" ht="15.75" customHeight="1" s="46"/>
    <row r="620" ht="15.75" customHeight="1" s="46"/>
    <row r="621" ht="15.75" customHeight="1" s="46"/>
    <row r="622" ht="15.75" customHeight="1" s="46"/>
    <row r="623" ht="15.75" customHeight="1" s="46"/>
    <row r="624" ht="15.75" customHeight="1" s="46"/>
    <row r="625" ht="15.75" customHeight="1" s="46"/>
    <row r="626" ht="15.75" customHeight="1" s="46"/>
    <row r="627" ht="15.75" customHeight="1" s="46"/>
    <row r="628" ht="15.75" customHeight="1" s="46"/>
    <row r="629" ht="15.75" customHeight="1" s="46"/>
    <row r="630" ht="15.75" customHeight="1" s="46"/>
    <row r="631" ht="15.75" customHeight="1" s="46"/>
    <row r="632" ht="15.75" customHeight="1" s="46"/>
    <row r="633" ht="15.75" customHeight="1" s="46"/>
    <row r="634" ht="15.75" customHeight="1" s="46"/>
    <row r="635" ht="15.75" customHeight="1" s="46"/>
    <row r="636" ht="15.75" customHeight="1" s="46"/>
    <row r="637" ht="15.75" customHeight="1" s="46"/>
    <row r="638" ht="15.75" customHeight="1" s="46"/>
    <row r="639" ht="15.75" customHeight="1" s="46"/>
    <row r="640" ht="15.75" customHeight="1" s="46"/>
    <row r="641" ht="15.75" customHeight="1" s="46"/>
    <row r="642" ht="15.75" customHeight="1" s="46"/>
    <row r="643" ht="15.75" customHeight="1" s="46"/>
    <row r="644" ht="15.75" customHeight="1" s="46"/>
    <row r="645" ht="15.75" customHeight="1" s="46"/>
    <row r="646" ht="15.75" customHeight="1" s="46"/>
    <row r="647" ht="15.75" customHeight="1" s="46"/>
    <row r="648" ht="15.75" customHeight="1" s="46"/>
    <row r="649" ht="15.75" customHeight="1" s="46"/>
    <row r="650" ht="15.75" customHeight="1" s="46"/>
    <row r="651" ht="15.75" customHeight="1" s="46"/>
    <row r="652" ht="15.75" customHeight="1" s="46"/>
    <row r="653" ht="15.75" customHeight="1" s="46"/>
    <row r="654" ht="15.75" customHeight="1" s="46"/>
    <row r="655" ht="15.75" customHeight="1" s="46"/>
    <row r="656" ht="15.75" customHeight="1" s="46"/>
    <row r="657" ht="15.75" customHeight="1" s="46"/>
    <row r="658" ht="15.75" customHeight="1" s="46"/>
    <row r="659" ht="15.75" customHeight="1" s="46"/>
    <row r="660" ht="15.75" customHeight="1" s="46"/>
    <row r="661" ht="15.75" customHeight="1" s="46"/>
    <row r="662" ht="15.75" customHeight="1" s="46"/>
    <row r="663" ht="15.75" customHeight="1" s="46"/>
    <row r="664" ht="15.75" customHeight="1" s="46"/>
    <row r="665" ht="15.75" customHeight="1" s="46"/>
    <row r="666" ht="15.75" customHeight="1" s="46"/>
    <row r="667" ht="15.75" customHeight="1" s="46"/>
    <row r="668" ht="15.75" customHeight="1" s="46"/>
    <row r="669" ht="15.75" customHeight="1" s="46"/>
    <row r="670" ht="15.75" customHeight="1" s="46"/>
    <row r="671" ht="15.75" customHeight="1" s="46"/>
    <row r="672" ht="15.75" customHeight="1" s="46"/>
    <row r="673" ht="15.75" customHeight="1" s="46"/>
    <row r="674" ht="15.75" customHeight="1" s="46"/>
    <row r="675" ht="15.75" customHeight="1" s="46"/>
    <row r="676" ht="15.75" customHeight="1" s="46"/>
    <row r="677" ht="15.75" customHeight="1" s="46"/>
    <row r="678" ht="15.75" customHeight="1" s="46"/>
    <row r="679" ht="15.75" customHeight="1" s="46"/>
    <row r="680" ht="15.75" customHeight="1" s="46"/>
    <row r="681" ht="15.75" customHeight="1" s="46"/>
    <row r="682" ht="15.75" customHeight="1" s="46"/>
    <row r="683" ht="15.75" customHeight="1" s="46"/>
    <row r="684" ht="15.75" customHeight="1" s="46"/>
    <row r="685" ht="15.75" customHeight="1" s="46"/>
    <row r="686" ht="15.75" customHeight="1" s="46"/>
    <row r="687" ht="15.75" customHeight="1" s="46"/>
    <row r="688" ht="15.75" customHeight="1" s="46"/>
    <row r="689" ht="15.75" customHeight="1" s="46"/>
    <row r="690" ht="15.75" customHeight="1" s="46"/>
    <row r="691" ht="15.75" customHeight="1" s="46"/>
    <row r="692" ht="15.75" customHeight="1" s="46"/>
    <row r="693" ht="15.75" customHeight="1" s="46"/>
    <row r="694" ht="15.75" customHeight="1" s="46"/>
    <row r="695" ht="15.75" customHeight="1" s="46"/>
    <row r="696" ht="15.75" customHeight="1" s="46"/>
    <row r="697" ht="15.75" customHeight="1" s="46"/>
    <row r="698" ht="15.75" customHeight="1" s="46"/>
    <row r="699" ht="15.75" customHeight="1" s="46"/>
    <row r="700" ht="15.75" customHeight="1" s="46"/>
    <row r="701" ht="15.75" customHeight="1" s="46"/>
    <row r="702" ht="15.75" customHeight="1" s="46"/>
    <row r="703" ht="15.75" customHeight="1" s="46"/>
    <row r="704" ht="15.75" customHeight="1" s="46"/>
    <row r="705" ht="15.75" customHeight="1" s="46"/>
    <row r="706" ht="15.75" customHeight="1" s="46"/>
    <row r="707" ht="15.75" customHeight="1" s="46"/>
    <row r="708" ht="15.75" customHeight="1" s="46"/>
    <row r="709" ht="15.75" customHeight="1" s="46"/>
    <row r="710" ht="15.75" customHeight="1" s="46"/>
    <row r="711" ht="15.75" customHeight="1" s="46"/>
    <row r="712" ht="15.75" customHeight="1" s="46"/>
    <row r="713" ht="15.75" customHeight="1" s="46"/>
    <row r="714" ht="15.75" customHeight="1" s="46"/>
    <row r="715" ht="15.75" customHeight="1" s="46"/>
    <row r="716" ht="15.75" customHeight="1" s="46"/>
    <row r="717" ht="15.75" customHeight="1" s="46"/>
    <row r="718" ht="15.75" customHeight="1" s="46"/>
    <row r="719" ht="15.75" customHeight="1" s="46"/>
    <row r="720" ht="15.75" customHeight="1" s="46"/>
    <row r="721" ht="15.75" customHeight="1" s="46"/>
    <row r="722" ht="15.75" customHeight="1" s="46"/>
    <row r="723" ht="15.75" customHeight="1" s="46"/>
    <row r="724" ht="15.75" customHeight="1" s="46"/>
    <row r="725" ht="15.75" customHeight="1" s="46"/>
    <row r="726" ht="15.75" customHeight="1" s="46"/>
    <row r="727" ht="15.75" customHeight="1" s="46"/>
    <row r="728" ht="15.75" customHeight="1" s="46"/>
    <row r="729" ht="15.75" customHeight="1" s="46"/>
    <row r="730" ht="15.75" customHeight="1" s="46"/>
    <row r="731" ht="15.75" customHeight="1" s="46"/>
    <row r="732" ht="15.75" customHeight="1" s="46"/>
    <row r="733" ht="15.75" customHeight="1" s="46"/>
    <row r="734" ht="15.75" customHeight="1" s="46"/>
    <row r="735" ht="15.75" customHeight="1" s="46"/>
    <row r="736" ht="15.75" customHeight="1" s="46"/>
    <row r="737" ht="15.75" customHeight="1" s="46"/>
    <row r="738" ht="15.75" customHeight="1" s="46"/>
    <row r="739" ht="15.75" customHeight="1" s="46"/>
    <row r="740" ht="15.75" customHeight="1" s="46"/>
    <row r="741" ht="15.75" customHeight="1" s="46"/>
    <row r="742" ht="15.75" customHeight="1" s="46"/>
    <row r="743" ht="15.75" customHeight="1" s="46"/>
    <row r="744" ht="15.75" customHeight="1" s="46"/>
    <row r="745" ht="15.75" customHeight="1" s="46"/>
    <row r="746" ht="15.75" customHeight="1" s="46"/>
    <row r="747" ht="15.75" customHeight="1" s="46"/>
    <row r="748" ht="15.75" customHeight="1" s="46"/>
    <row r="749" ht="15.75" customHeight="1" s="46"/>
    <row r="750" ht="15.75" customHeight="1" s="46"/>
    <row r="751" ht="15.75" customHeight="1" s="46"/>
    <row r="752" ht="15.75" customHeight="1" s="46"/>
    <row r="753" ht="15.75" customHeight="1" s="46"/>
    <row r="754" ht="15.75" customHeight="1" s="46"/>
    <row r="755" ht="15.75" customHeight="1" s="46"/>
    <row r="756" ht="15.75" customHeight="1" s="46"/>
    <row r="757" ht="15.75" customHeight="1" s="46"/>
    <row r="758" ht="15.75" customHeight="1" s="46"/>
    <row r="759" ht="15.75" customHeight="1" s="46"/>
    <row r="760" ht="15.75" customHeight="1" s="46"/>
    <row r="761" ht="15.75" customHeight="1" s="46"/>
    <row r="762" ht="15.75" customHeight="1" s="46"/>
    <row r="763" ht="15.75" customHeight="1" s="46"/>
    <row r="764" ht="15.75" customHeight="1" s="46"/>
    <row r="765" ht="15.75" customHeight="1" s="46"/>
    <row r="766" ht="15.75" customHeight="1" s="46"/>
    <row r="767" ht="15.75" customHeight="1" s="46"/>
    <row r="768" ht="15.75" customHeight="1" s="46"/>
    <row r="769" ht="15.75" customHeight="1" s="46"/>
    <row r="770" ht="15.75" customHeight="1" s="46"/>
    <row r="771" ht="15.75" customHeight="1" s="46"/>
    <row r="772" ht="15.75" customHeight="1" s="46"/>
    <row r="773" ht="15.75" customHeight="1" s="46"/>
    <row r="774" ht="15.75" customHeight="1" s="46"/>
    <row r="775" ht="15.75" customHeight="1" s="46"/>
    <row r="776" ht="15.75" customHeight="1" s="46"/>
    <row r="777" ht="15.75" customHeight="1" s="46"/>
    <row r="778" ht="15.75" customHeight="1" s="46"/>
    <row r="779" ht="15.75" customHeight="1" s="46"/>
    <row r="780" ht="15.75" customHeight="1" s="46"/>
    <row r="781" ht="15.75" customHeight="1" s="46"/>
    <row r="782" ht="15.75" customHeight="1" s="46"/>
    <row r="783" ht="15.75" customHeight="1" s="46"/>
    <row r="784" ht="15.75" customHeight="1" s="46"/>
    <row r="785" ht="15.75" customHeight="1" s="46"/>
    <row r="786" ht="15.75" customHeight="1" s="46"/>
    <row r="787" ht="15.75" customHeight="1" s="46"/>
    <row r="788" ht="15.75" customHeight="1" s="46"/>
    <row r="789" ht="15.75" customHeight="1" s="46"/>
    <row r="790" ht="15.75" customHeight="1" s="46"/>
    <row r="791" ht="15.75" customHeight="1" s="46"/>
    <row r="792" ht="15.75" customHeight="1" s="46"/>
    <row r="793" ht="15.75" customHeight="1" s="46"/>
    <row r="794" ht="15.75" customHeight="1" s="46"/>
    <row r="795" ht="15.75" customHeight="1" s="46"/>
    <row r="796" ht="15.75" customHeight="1" s="46"/>
    <row r="797" ht="15.75" customHeight="1" s="46"/>
    <row r="798" ht="15.75" customHeight="1" s="46"/>
    <row r="799" ht="15.75" customHeight="1" s="46"/>
    <row r="800" ht="15.75" customHeight="1" s="46"/>
    <row r="801" ht="15.75" customHeight="1" s="46"/>
    <row r="802" ht="15.75" customHeight="1" s="46"/>
    <row r="803" ht="15.75" customHeight="1" s="46"/>
    <row r="804" ht="15.75" customHeight="1" s="46"/>
    <row r="805" ht="15.75" customHeight="1" s="46"/>
    <row r="806" ht="15.75" customHeight="1" s="46"/>
    <row r="807" ht="15.75" customHeight="1" s="46"/>
    <row r="808" ht="15.75" customHeight="1" s="46"/>
    <row r="809" ht="15.75" customHeight="1" s="46"/>
    <row r="810" ht="15.75" customHeight="1" s="46"/>
    <row r="811" ht="15.75" customHeight="1" s="46"/>
    <row r="812" ht="15.75" customHeight="1" s="46"/>
    <row r="813" ht="15.75" customHeight="1" s="46"/>
    <row r="814" ht="15.75" customHeight="1" s="46"/>
    <row r="815" ht="15.75" customHeight="1" s="46"/>
    <row r="816" ht="15.75" customHeight="1" s="46"/>
    <row r="817" ht="15.75" customHeight="1" s="46"/>
    <row r="818" ht="15.75" customHeight="1" s="46"/>
    <row r="819" ht="15.75" customHeight="1" s="46"/>
    <row r="820" ht="15.75" customHeight="1" s="46"/>
    <row r="821" ht="15.75" customHeight="1" s="46"/>
    <row r="822" ht="15.75" customHeight="1" s="46"/>
    <row r="823" ht="15.75" customHeight="1" s="46"/>
    <row r="824" ht="15.75" customHeight="1" s="46"/>
    <row r="825" ht="15.75" customHeight="1" s="46"/>
    <row r="826" ht="15.75" customHeight="1" s="46"/>
    <row r="827" ht="15.75" customHeight="1" s="46"/>
    <row r="828" ht="15.75" customHeight="1" s="46"/>
    <row r="829" ht="15.75" customHeight="1" s="46"/>
    <row r="830" ht="15.75" customHeight="1" s="46"/>
    <row r="831" ht="15.75" customHeight="1" s="46"/>
    <row r="832" ht="15.75" customHeight="1" s="46"/>
    <row r="833" ht="15.75" customHeight="1" s="46"/>
    <row r="834" ht="15.75" customHeight="1" s="46"/>
    <row r="835" ht="15.75" customHeight="1" s="46"/>
    <row r="836" ht="15.75" customHeight="1" s="46"/>
    <row r="837" ht="15.75" customHeight="1" s="46"/>
    <row r="838" ht="15.75" customHeight="1" s="46"/>
    <row r="839" ht="15.75" customHeight="1" s="46"/>
    <row r="840" ht="15.75" customHeight="1" s="46"/>
    <row r="841" ht="15.75" customHeight="1" s="46"/>
    <row r="842" ht="15.75" customHeight="1" s="46"/>
    <row r="843" ht="15.75" customHeight="1" s="46"/>
    <row r="844" ht="15.75" customHeight="1" s="46"/>
    <row r="845" ht="15.75" customHeight="1" s="46"/>
    <row r="846" ht="15.75" customHeight="1" s="46"/>
    <row r="847" ht="15.75" customHeight="1" s="46"/>
    <row r="848" ht="15.75" customHeight="1" s="46"/>
    <row r="849" ht="15.75" customHeight="1" s="46"/>
    <row r="850" ht="15.75" customHeight="1" s="46"/>
    <row r="851" ht="15.75" customHeight="1" s="46"/>
    <row r="852" ht="15.75" customHeight="1" s="46"/>
    <row r="853" ht="15.75" customHeight="1" s="46"/>
    <row r="854" ht="15.75" customHeight="1" s="46"/>
    <row r="855" ht="15.75" customHeight="1" s="46"/>
    <row r="856" ht="15.75" customHeight="1" s="46"/>
    <row r="857" ht="15.75" customHeight="1" s="46"/>
    <row r="858" ht="15.75" customHeight="1" s="46"/>
    <row r="859" ht="15.75" customHeight="1" s="46"/>
    <row r="860" ht="15.75" customHeight="1" s="46"/>
    <row r="861" ht="15.75" customHeight="1" s="46"/>
    <row r="862" ht="15.75" customHeight="1" s="46"/>
    <row r="863" ht="15.75" customHeight="1" s="46"/>
    <row r="864" ht="15.75" customHeight="1" s="46"/>
    <row r="865" ht="15.75" customHeight="1" s="46"/>
    <row r="866" ht="15.75" customHeight="1" s="46"/>
    <row r="867" ht="15.75" customHeight="1" s="46"/>
    <row r="868" ht="15.75" customHeight="1" s="46"/>
    <row r="869" ht="15.75" customHeight="1" s="46"/>
    <row r="870" ht="15.75" customHeight="1" s="46"/>
    <row r="871" ht="15.75" customHeight="1" s="46"/>
    <row r="872" ht="15.75" customHeight="1" s="46"/>
    <row r="873" ht="15.75" customHeight="1" s="46"/>
    <row r="874" ht="15.75" customHeight="1" s="46"/>
    <row r="875" ht="15.75" customHeight="1" s="46"/>
    <row r="876" ht="15.75" customHeight="1" s="46"/>
    <row r="877" ht="15.75" customHeight="1" s="46"/>
    <row r="878" ht="15.75" customHeight="1" s="46"/>
    <row r="879" ht="15.75" customHeight="1" s="46"/>
    <row r="880" ht="15.75" customHeight="1" s="46"/>
    <row r="881" ht="15.75" customHeight="1" s="46"/>
    <row r="882" ht="15.75" customHeight="1" s="46"/>
    <row r="883" ht="15.75" customHeight="1" s="46"/>
    <row r="884" ht="15.75" customHeight="1" s="46"/>
    <row r="885" ht="15.75" customHeight="1" s="46"/>
    <row r="886" ht="15.75" customHeight="1" s="46"/>
    <row r="887" ht="15.75" customHeight="1" s="46"/>
    <row r="888" ht="15.75" customHeight="1" s="46"/>
    <row r="889" ht="15.75" customHeight="1" s="46"/>
    <row r="890" ht="15.75" customHeight="1" s="46"/>
    <row r="891" ht="15.75" customHeight="1" s="46"/>
    <row r="892" ht="15.75" customHeight="1" s="46"/>
    <row r="893" ht="15.75" customHeight="1" s="46"/>
    <row r="894" ht="15.75" customHeight="1" s="46"/>
    <row r="895" ht="15.75" customHeight="1" s="46"/>
    <row r="896" ht="15.75" customHeight="1" s="46"/>
    <row r="897" ht="15.75" customHeight="1" s="46"/>
    <row r="898" ht="15.75" customHeight="1" s="46"/>
    <row r="899" ht="15.75" customHeight="1" s="46"/>
    <row r="900" ht="15.75" customHeight="1" s="46"/>
    <row r="901" ht="15.75" customHeight="1" s="46"/>
    <row r="902" ht="15.75" customHeight="1" s="46"/>
    <row r="903" ht="15.75" customHeight="1" s="46"/>
    <row r="904" ht="15.75" customHeight="1" s="46"/>
    <row r="905" ht="15.75" customHeight="1" s="46"/>
    <row r="906" ht="15.75" customHeight="1" s="46"/>
    <row r="907" ht="15.75" customHeight="1" s="46"/>
    <row r="908" ht="15.75" customHeight="1" s="46"/>
    <row r="909" ht="15.75" customHeight="1" s="46"/>
    <row r="910" ht="15.75" customHeight="1" s="46"/>
    <row r="911" ht="15.75" customHeight="1" s="46"/>
    <row r="912" ht="15.75" customHeight="1" s="46"/>
    <row r="913" ht="15.75" customHeight="1" s="46"/>
    <row r="914" ht="15.75" customHeight="1" s="46"/>
    <row r="915" ht="15.75" customHeight="1" s="46"/>
    <row r="916" ht="15.75" customHeight="1" s="46"/>
    <row r="917" ht="15.75" customHeight="1" s="46"/>
    <row r="918" ht="15.75" customHeight="1" s="46"/>
    <row r="919" ht="15.75" customHeight="1" s="46"/>
    <row r="920" ht="15.75" customHeight="1" s="46"/>
    <row r="921" ht="15.75" customHeight="1" s="46"/>
    <row r="922" ht="15.75" customHeight="1" s="46"/>
    <row r="923" ht="15.75" customHeight="1" s="46"/>
    <row r="924" ht="15.75" customHeight="1" s="46"/>
    <row r="925" ht="15.75" customHeight="1" s="46"/>
    <row r="926" ht="15.75" customHeight="1" s="46"/>
    <row r="927" ht="15.75" customHeight="1" s="46"/>
    <row r="928" ht="15.75" customHeight="1" s="46"/>
    <row r="929" ht="15.75" customHeight="1" s="46"/>
    <row r="930" ht="15.75" customHeight="1" s="46"/>
    <row r="931" ht="15.75" customHeight="1" s="46"/>
    <row r="932" ht="15.75" customHeight="1" s="46"/>
    <row r="933" ht="15.75" customHeight="1" s="46"/>
    <row r="934" ht="15.75" customHeight="1" s="46"/>
    <row r="935" ht="15.75" customHeight="1" s="46"/>
    <row r="936" ht="15.75" customHeight="1" s="46"/>
    <row r="937" ht="15.75" customHeight="1" s="46"/>
    <row r="938" ht="15.75" customHeight="1" s="46"/>
    <row r="939" ht="15.75" customHeight="1" s="46"/>
    <row r="940" ht="15.75" customHeight="1" s="46"/>
    <row r="941" ht="15.75" customHeight="1" s="46"/>
    <row r="942" ht="15.75" customHeight="1" s="46"/>
    <row r="943" ht="15.75" customHeight="1" s="46"/>
    <row r="944" ht="15.75" customHeight="1" s="46"/>
    <row r="945" ht="15.75" customHeight="1" s="46"/>
    <row r="946" ht="15.75" customHeight="1" s="46"/>
    <row r="947" ht="15.75" customHeight="1" s="46"/>
    <row r="948" ht="15.75" customHeight="1" s="46"/>
    <row r="949" ht="15.75" customHeight="1" s="46"/>
    <row r="950" ht="15.75" customHeight="1" s="46"/>
    <row r="951" ht="15.75" customHeight="1" s="46"/>
    <row r="952" ht="15.75" customHeight="1" s="46"/>
    <row r="953" ht="15.75" customHeight="1" s="46"/>
    <row r="954" ht="15.75" customHeight="1" s="46"/>
    <row r="955" ht="15.75" customHeight="1" s="46"/>
    <row r="956" ht="15.75" customHeight="1" s="46"/>
    <row r="957" ht="15.75" customHeight="1" s="46"/>
    <row r="958" ht="15.75" customHeight="1" s="46"/>
    <row r="959" ht="15.75" customHeight="1" s="46"/>
    <row r="960" ht="15.75" customHeight="1" s="46"/>
    <row r="961" ht="15.75" customHeight="1" s="46"/>
    <row r="962" ht="15.75" customHeight="1" s="46"/>
    <row r="963" ht="15.75" customHeight="1" s="46"/>
    <row r="964" ht="15.75" customHeight="1" s="46"/>
    <row r="965" ht="15.75" customHeight="1" s="46"/>
    <row r="966" ht="15.75" customHeight="1" s="46"/>
    <row r="967" ht="15.75" customHeight="1" s="46"/>
    <row r="968" ht="15.75" customHeight="1" s="46"/>
    <row r="969" ht="15.75" customHeight="1" s="46"/>
    <row r="970" ht="15.75" customHeight="1" s="46"/>
    <row r="971" ht="15.75" customHeight="1" s="46"/>
    <row r="972" ht="15.75" customHeight="1" s="46"/>
    <row r="973" ht="15.75" customHeight="1" s="46"/>
    <row r="974" ht="15.75" customHeight="1" s="46"/>
    <row r="975" ht="15.75" customHeight="1" s="46"/>
    <row r="976" ht="15.75" customHeight="1" s="46"/>
    <row r="977" ht="15.75" customHeight="1" s="46"/>
    <row r="978" ht="15.75" customHeight="1" s="46"/>
    <row r="979" ht="15.75" customHeight="1" s="46"/>
    <row r="980" ht="15.75" customHeight="1" s="46"/>
    <row r="981" ht="15.75" customHeight="1" s="46"/>
    <row r="982" ht="15.75" customHeight="1" s="46"/>
    <row r="983" ht="15.75" customHeight="1" s="46"/>
    <row r="984" ht="15.75" customHeight="1" s="46"/>
    <row r="985" ht="15.75" customHeight="1" s="46"/>
    <row r="986" ht="15.75" customHeight="1" s="46"/>
    <row r="987" ht="15.75" customHeight="1" s="46"/>
    <row r="988" ht="15.75" customHeight="1" s="46"/>
    <row r="989" ht="15.75" customHeight="1" s="46"/>
    <row r="990" ht="15.75" customHeight="1" s="46"/>
    <row r="991" ht="15.75" customHeight="1" s="46"/>
    <row r="992" ht="15.75" customHeight="1" s="46"/>
    <row r="993" ht="15.75" customHeight="1" s="46"/>
    <row r="994" ht="15.75" customHeight="1" s="46"/>
    <row r="995" ht="15.75" customHeight="1" s="46"/>
    <row r="996" ht="15.75" customHeight="1" s="46"/>
    <row r="997" ht="15.75" customHeight="1" s="46"/>
    <row r="998" ht="15.75" customHeight="1" s="46"/>
    <row r="999" ht="15.75" customHeight="1" s="46"/>
    <row r="1000" ht="15.75" customHeight="1" s="46"/>
  </sheetData>
  <mergeCells count="14">
    <mergeCell ref="A21:E21"/>
    <mergeCell ref="A39:E39"/>
    <mergeCell ref="N25:Q25"/>
    <mergeCell ref="A25:E25"/>
    <mergeCell ref="A2:N2"/>
    <mergeCell ref="A41:N45"/>
    <mergeCell ref="A24:AG24"/>
    <mergeCell ref="R25:U25"/>
    <mergeCell ref="V25:Y25"/>
    <mergeCell ref="Z25:AC25"/>
    <mergeCell ref="F25:I25"/>
    <mergeCell ref="J25:M25"/>
    <mergeCell ref="AD25:AG25"/>
    <mergeCell ref="A1:N1"/>
  </mergeCells>
  <pageMargins left="0.75" right="0.75" top="1" bottom="1" header="0" footer="0"/>
  <pageSetup orientation="landscape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G45"/>
  <sheetViews>
    <sheetView workbookViewId="0">
      <selection activeCell="A1" sqref="A1"/>
    </sheetView>
  </sheetViews>
  <sheetFormatPr baseColWidth="8" defaultColWidth="14.43" defaultRowHeight="15" customHeight="1"/>
  <cols>
    <col width="4" customWidth="1" style="46" min="1" max="1"/>
    <col width="10" customWidth="1" style="46" min="2" max="2"/>
    <col width="32" customWidth="1" style="46" min="3" max="3"/>
    <col width="26" customWidth="1" style="46" min="4" max="4"/>
    <col width="28" customWidth="1" style="46" min="5" max="5"/>
    <col width="14" customWidth="1" style="46" min="6" max="7"/>
    <col width="15" customWidth="1" style="46" min="8" max="9"/>
    <col width="16" customWidth="1" style="46" min="10" max="11"/>
    <col width="14" customWidth="1" style="46" min="12" max="12"/>
    <col width="15" customWidth="1" style="46" min="13" max="13"/>
    <col width="24" customWidth="1" style="46" min="14" max="14"/>
    <col width="14" customWidth="1" style="46" min="15" max="33"/>
  </cols>
  <sheetData>
    <row r="1" ht="24.75" customHeight="1" s="46">
      <c r="A1" s="47" t="inlineStr">
        <is>
          <t>CONTROL SEMANAL DE RENDIMIENTO DE MAQUINARIA (SEMANA 31)</t>
        </is>
      </c>
    </row>
    <row r="2" ht="18" customHeight="1" s="46">
      <c r="A2" s="48" t="inlineStr">
        <is>
          <t>OBRA: CARRETERA LIBRE MÉXICO-TOLUCA | PERIODO: 27/Jul/2026 - 01/Ago/2026</t>
        </is>
      </c>
    </row>
    <row r="4">
      <c r="A4" s="5" t="inlineStr">
        <is>
          <t>1. PARÁMETROS:</t>
        </is>
      </c>
      <c r="B4" s="5" t="inlineStr">
        <is>
          <t>PESO VOLUMÉTRICO ASFALTO (Ton/m³):</t>
        </is>
      </c>
      <c r="E4" s="7" t="n">
        <v>1.742</v>
      </c>
    </row>
    <row r="5">
      <c r="A5" s="5" t="inlineStr">
        <is>
          <t>2. FRESADO SEMANAL:</t>
        </is>
      </c>
      <c r="B5" s="8" t="inlineStr">
        <is>
          <t>Viajes de Fresado:</t>
        </is>
      </c>
      <c r="C5" s="41" t="n">
        <v>95</v>
      </c>
      <c r="D5" s="8" t="inlineStr">
        <is>
          <t>Volumen Fresado (m³):</t>
        </is>
      </c>
      <c r="E5" s="42" t="n">
        <v>1288</v>
      </c>
    </row>
    <row r="6">
      <c r="A6" s="5" t="inlineStr">
        <is>
          <t>3. CARPETA SEMANAL:</t>
        </is>
      </c>
      <c r="B6" s="8" t="inlineStr">
        <is>
          <t>Viajes de Mezcla:</t>
        </is>
      </c>
      <c r="C6" s="41" t="n">
        <v>72</v>
      </c>
      <c r="D6" s="8" t="inlineStr">
        <is>
          <t>Volumen Carpeta (m³):</t>
        </is>
      </c>
      <c r="E6" s="42" t="n">
        <v>1001</v>
      </c>
      <c r="F6" s="8" t="inlineStr">
        <is>
          <t>Toneladas Carpeta (Ton):</t>
        </is>
      </c>
      <c r="G6" s="17">
        <f>E6*$E$4</f>
        <v/>
      </c>
    </row>
    <row r="8" ht="27.75" customHeight="1" s="46">
      <c r="A8" s="10" t="inlineStr">
        <is>
          <t>No.</t>
        </is>
      </c>
      <c r="B8" s="10" t="inlineStr">
        <is>
          <t>Económico</t>
        </is>
      </c>
      <c r="C8" s="10" t="inlineStr">
        <is>
          <t>Equipo / Maquinaria</t>
        </is>
      </c>
      <c r="D8" s="10" t="inlineStr">
        <is>
          <t>Operador Asignado</t>
        </is>
      </c>
      <c r="E8" s="10" t="inlineStr">
        <is>
          <t>Concepto de Trabajo</t>
        </is>
      </c>
      <c r="F8" s="10" t="inlineStr">
        <is>
          <t>Viajes Asignados</t>
        </is>
      </c>
      <c r="G8" s="10" t="inlineStr">
        <is>
          <t>Volumen (m³)</t>
        </is>
      </c>
      <c r="H8" s="10" t="inlineStr">
        <is>
          <t>Toneladas (Ton)</t>
        </is>
      </c>
      <c r="I8" s="10" t="inlineStr">
        <is>
          <t>Diésel Surtido (L)</t>
        </is>
      </c>
      <c r="J8" s="10" t="inlineStr">
        <is>
          <t>Rendimiento Real (L/Ton)</t>
        </is>
      </c>
      <c r="K8" s="10" t="inlineStr">
        <is>
          <t>Rendimiento Real (L/m³)</t>
        </is>
      </c>
      <c r="L8" s="10" t="inlineStr">
        <is>
          <t>Rend. Base (L/h)</t>
        </is>
      </c>
      <c r="M8" s="10" t="inlineStr">
        <is>
          <t>Horas Est. Operación</t>
        </is>
      </c>
      <c r="N8" s="10" t="inlineStr">
        <is>
          <t>Estatus Operativo</t>
        </is>
      </c>
    </row>
    <row r="9" ht="19.5" customHeight="1" s="46">
      <c r="A9" s="12" t="n">
        <v>1</v>
      </c>
      <c r="B9" s="12" t="inlineStr">
        <is>
          <t>PRR-01</t>
        </is>
      </c>
      <c r="C9" s="13" t="inlineStr">
        <is>
          <t>PERFILADORA WIRTGEN W200i</t>
        </is>
      </c>
      <c r="D9" s="13" t="inlineStr">
        <is>
          <t>JAVIER PAREDES CORTE</t>
        </is>
      </c>
      <c r="E9" s="13" t="inlineStr">
        <is>
          <t>Fresado de Pavimento</t>
        </is>
      </c>
      <c r="F9" s="14">
        <f>$C$5</f>
        <v/>
      </c>
      <c r="G9" s="37">
        <f>$E$5</f>
        <v/>
      </c>
      <c r="H9" s="18" t="inlineStr">
        <is>
          <t>-</t>
        </is>
      </c>
      <c r="I9" s="37" t="n">
        <v>1200</v>
      </c>
      <c r="J9" s="19" t="inlineStr">
        <is>
          <t>-</t>
        </is>
      </c>
      <c r="K9" s="20">
        <f>IF(G9&gt;0, I9/G9, 0)</f>
        <v/>
      </c>
      <c r="L9" s="21" t="n">
        <v>67.2</v>
      </c>
      <c r="M9" s="22">
        <f>IF(L9&gt;0, I9/L9, 0)</f>
        <v/>
      </c>
      <c r="N9" s="12">
        <f>IF(I9=0, "SIN CONSUMO (Inactiva)", IF(A9=1, IF(K9&lt;=0.85, "DENTRO DE RENDIMIENTO BASE", "EXCEDE RENDIMIENTO BASE"), IF(A9=2, IF(J9&lt;=0.38, "DENTRO DE RENDIMIENTO BASE", "EXCEDE RENDIMIENTO BASE"), IF(OR(A9=3,A9=4,A9=5,A9=6), IF(J9&lt;=0.08, "DENTRO DE RENDIMIENTO BASE", "EXCEDE RENDIMIENTO BASE"), IF(A9=7, IF(J9&lt;=0.07, "DENTRO DE RENDIMIENTO BASE", "EXCEDE RENDIMIENTO BASE"), IF(A9=8, IF(K9&lt;=0.22, "DENTRO DE RENDIMIENTO BASE", "EXCEDE RENDIMIENTO BASE"), IF(A9=9, IF(J9&lt;=0.075, "DENTRO DE RENDIMIENTO BASE", "EXCEDE RENDIMIENTO BASE"), "APOYO PUNTUAL")))))))</f>
        <v/>
      </c>
    </row>
    <row r="10" ht="19.5" customHeight="1" s="46">
      <c r="A10" s="12" t="n">
        <v>2</v>
      </c>
      <c r="B10" s="12" t="inlineStr">
        <is>
          <t>VG-01</t>
        </is>
      </c>
      <c r="C10" s="13" t="inlineStr">
        <is>
          <t>PAVIMENTADORA VÖGELE SUPER 1800-3i</t>
        </is>
      </c>
      <c r="D10" s="13" t="inlineStr">
        <is>
          <t>ERWIN CUTEÑO HERNANDEZ</t>
        </is>
      </c>
      <c r="E10" s="13" t="inlineStr">
        <is>
          <t>Tendido de Mezcla Asfáltica</t>
        </is>
      </c>
      <c r="F10" s="14">
        <f>$C$6</f>
        <v/>
      </c>
      <c r="G10" s="37">
        <f>$E$6</f>
        <v/>
      </c>
      <c r="H10" s="16">
        <f>G10*$E$4</f>
        <v/>
      </c>
      <c r="I10" s="37" t="n">
        <v>551</v>
      </c>
      <c r="J10" s="20">
        <f>IF(H10&gt;0, I10/H10, 0)</f>
        <v/>
      </c>
      <c r="K10" s="20">
        <f>IF(G10&gt;0, I10/G10, 0)</f>
        <v/>
      </c>
      <c r="L10" s="21" t="n">
        <v>16.24</v>
      </c>
      <c r="M10" s="22">
        <f>IF(L10&gt;0, I10/L10, 0)</f>
        <v/>
      </c>
      <c r="N10" s="12">
        <f>IF(I10=0, "SIN CONSUMO (Inactiva)", IF(A10=1, IF(K10&lt;=0.85, "DENTRO DE RENDIMIENTO BASE", "EXCEDE RENDIMIENTO BASE"), IF(A10=2, IF(J10&lt;=0.38, "DENTRO DE RENDIMIENTO BASE", "EXCEDE RENDIMIENTO BASE"), IF(OR(A10=3,A10=4,A10=5,A10=6), IF(J10&lt;=0.08, "DENTRO DE RENDIMIENTO BASE", "EXCEDE RENDIMIENTO BASE"), IF(A10=7, IF(J10&lt;=0.07, "DENTRO DE RENDIMIENTO BASE", "EXCEDE RENDIMIENTO BASE"), IF(A10=8, IF(K10&lt;=0.22, "DENTRO DE RENDIMIENTO BASE", "EXCEDE RENDIMIENTO BASE"), IF(A10=9, IF(J10&lt;=0.075, "DENTRO DE RENDIMIENTO BASE", "EXCEDE RENDIMIENTO BASE"), "APOYO PUNTUAL")))))))</f>
        <v/>
      </c>
    </row>
    <row r="11" ht="19.5" customHeight="1" s="46">
      <c r="A11" s="12" t="n">
        <v>3</v>
      </c>
      <c r="B11" s="12" t="inlineStr">
        <is>
          <t>DR-01</t>
        </is>
      </c>
      <c r="C11" s="13" t="inlineStr">
        <is>
          <t>COMPACTADOR TÁNDEM HAMM-HD120 VV</t>
        </is>
      </c>
      <c r="D11" s="13" t="inlineStr">
        <is>
          <t>JOEL ALBERTO RIVERA RIVAS</t>
        </is>
      </c>
      <c r="E11" s="13" t="inlineStr">
        <is>
          <t>Compactación Tándem Primaria</t>
        </is>
      </c>
      <c r="F11" s="14">
        <f>$C$6</f>
        <v/>
      </c>
      <c r="G11" s="37">
        <f>$E$6</f>
        <v/>
      </c>
      <c r="H11" s="16">
        <f>G11*$E$4</f>
        <v/>
      </c>
      <c r="I11" s="37" t="n">
        <v>150</v>
      </c>
      <c r="J11" s="20">
        <f>IF(H11&gt;0, I11/H11, 0)</f>
        <v/>
      </c>
      <c r="K11" s="20">
        <f>IF(G11&gt;0, I11/G11, 0)</f>
        <v/>
      </c>
      <c r="L11" s="21" t="n">
        <v>14.3</v>
      </c>
      <c r="M11" s="22">
        <f>IF(L11&gt;0, I11/L11, 0)</f>
        <v/>
      </c>
      <c r="N11" s="12">
        <f>IF(I11=0, "SIN CONSUMO (Inactiva)", IF(A11=1, IF(K11&lt;=0.85, "DENTRO DE RENDIMIENTO BASE", "EXCEDE RENDIMIENTO BASE"), IF(A11=2, IF(J11&lt;=0.38, "DENTRO DE RENDIMIENTO BASE", "EXCEDE RENDIMIENTO BASE"), IF(OR(A11=3,A11=4,A11=5,A11=6), IF(J11&lt;=0.08, "DENTRO DE RENDIMIENTO BASE", "EXCEDE RENDIMIENTO BASE"), IF(A11=7, IF(J11&lt;=0.07, "DENTRO DE RENDIMIENTO BASE", "EXCEDE RENDIMIENTO BASE"), IF(A11=8, IF(K11&lt;=0.22, "DENTRO DE RENDIMIENTO BASE", "EXCEDE RENDIMIENTO BASE"), IF(A11=9, IF(J11&lt;=0.075, "DENTRO DE RENDIMIENTO BASE", "EXCEDE RENDIMIENTO BASE"), "APOYO PUNTUAL")))))))</f>
        <v/>
      </c>
    </row>
    <row r="12" ht="19.5" customHeight="1" s="46">
      <c r="A12" s="12" t="n">
        <v>4</v>
      </c>
      <c r="B12" s="12" t="inlineStr">
        <is>
          <t>DR-02</t>
        </is>
      </c>
      <c r="C12" s="13" t="inlineStr">
        <is>
          <t>COMPACTADOR TÁNDEM HAMM-HD140</t>
        </is>
      </c>
      <c r="D12" s="13" t="inlineStr">
        <is>
          <t>ALEXIS RENDON DOMINGUEZ</t>
        </is>
      </c>
      <c r="E12" s="13" t="inlineStr">
        <is>
          <t>Compactación Tándem Pesada</t>
        </is>
      </c>
      <c r="F12" s="14">
        <f>$C$6</f>
        <v/>
      </c>
      <c r="G12" s="37">
        <f>$E$6</f>
        <v/>
      </c>
      <c r="H12" s="16">
        <f>G12*$E$4</f>
        <v/>
      </c>
      <c r="I12" s="37" t="n">
        <v>155</v>
      </c>
      <c r="J12" s="20">
        <f>IF(H12&gt;0, I12/H12, 0)</f>
        <v/>
      </c>
      <c r="K12" s="20">
        <f>IF(G12&gt;0, I12/G12, 0)</f>
        <v/>
      </c>
      <c r="L12" s="21" t="n">
        <v>14.3</v>
      </c>
      <c r="M12" s="22">
        <f>IF(L12&gt;0, I12/L12, 0)</f>
        <v/>
      </c>
      <c r="N12" s="12">
        <f>IF(I12=0, "SIN CONSUMO (Inactiva)", IF(A12=1, IF(K12&lt;=0.85, "DENTRO DE RENDIMIENTO BASE", "EXCEDE RENDIMIENTO BASE"), IF(A12=2, IF(J12&lt;=0.38, "DENTRO DE RENDIMIENTO BASE", "EXCEDE RENDIMIENTO BASE"), IF(OR(A12=3,A12=4,A12=5,A12=6), IF(J12&lt;=0.08, "DENTRO DE RENDIMIENTO BASE", "EXCEDE RENDIMIENTO BASE"), IF(A12=7, IF(J12&lt;=0.07, "DENTRO DE RENDIMIENTO BASE", "EXCEDE RENDIMIENTO BASE"), IF(A12=8, IF(K12&lt;=0.22, "DENTRO DE RENDIMIENTO BASE", "EXCEDE RENDIMIENTO BASE"), IF(A12=9, IF(J12&lt;=0.075, "DENTRO DE RENDIMIENTO BASE", "EXCEDE RENDIMIENTO BASE"), "APOYO PUNTUAL")))))))</f>
        <v/>
      </c>
    </row>
    <row r="13" ht="19.5" customHeight="1" s="46">
      <c r="A13" s="12" t="n">
        <v>5</v>
      </c>
      <c r="B13" s="12" t="inlineStr">
        <is>
          <t>NM-01</t>
        </is>
      </c>
      <c r="C13" s="13" t="inlineStr">
        <is>
          <t>COMPACTADOR NEUMÁTICO DYNAPAC CP271</t>
        </is>
      </c>
      <c r="D13" s="13" t="inlineStr">
        <is>
          <t>JOSE CARLOS ROMERO TELLEZ</t>
        </is>
      </c>
      <c r="E13" s="13" t="inlineStr">
        <is>
          <t>Compactación Neumática / Sellado</t>
        </is>
      </c>
      <c r="F13" s="14">
        <f>$C$6</f>
        <v/>
      </c>
      <c r="G13" s="37">
        <f>$E$6</f>
        <v/>
      </c>
      <c r="H13" s="16">
        <f>G13*$E$4</f>
        <v/>
      </c>
      <c r="I13" s="37" t="n">
        <v>109</v>
      </c>
      <c r="J13" s="20">
        <f>IF(H13&gt;0, I13/H13, 0)</f>
        <v/>
      </c>
      <c r="K13" s="20">
        <f>IF(G13&gt;0, I13/G13, 0)</f>
        <v/>
      </c>
      <c r="L13" s="21" t="n">
        <v>11.44</v>
      </c>
      <c r="M13" s="22">
        <f>IF(L13&gt;0, I13/L13, 0)</f>
        <v/>
      </c>
      <c r="N13" s="12">
        <f>IF(I13=0, "SIN CONSUMO (Inactiva)", IF(A13=1, IF(K13&lt;=0.85, "DENTRO DE RENDIMIENTO BASE", "EXCEDE RENDIMIENTO BASE"), IF(A13=2, IF(J13&lt;=0.38, "DENTRO DE RENDIMIENTO BASE", "EXCEDE RENDIMIENTO BASE"), IF(OR(A13=3,A13=4,A13=5,A13=6), IF(J13&lt;=0.08, "DENTRO DE RENDIMIENTO BASE", "EXCEDE RENDIMIENTO BASE"), IF(A13=7, IF(J13&lt;=0.07, "DENTRO DE RENDIMIENTO BASE", "EXCEDE RENDIMIENTO BASE"), IF(A13=8, IF(K13&lt;=0.22, "DENTRO DE RENDIMIENTO BASE", "EXCEDE RENDIMIENTO BASE"), IF(A13=9, IF(J13&lt;=0.075, "DENTRO DE RENDIMIENTO BASE", "EXCEDE RENDIMIENTO BASE"), "APOYO PUNTUAL")))))))</f>
        <v/>
      </c>
    </row>
    <row r="14" ht="19.5" customHeight="1" s="46">
      <c r="A14" s="12" t="n">
        <v>6</v>
      </c>
      <c r="B14" s="12" t="inlineStr">
        <is>
          <t>NM-09</t>
        </is>
      </c>
      <c r="C14" s="13" t="inlineStr">
        <is>
          <t>COMPACTADOR NEUMÁTICO HAMM 208</t>
        </is>
      </c>
      <c r="D14" s="13" t="inlineStr">
        <is>
          <t>NOLVIN DE JESUS PEREZ GOMEZ</t>
        </is>
      </c>
      <c r="E14" s="13" t="inlineStr">
        <is>
          <t>Compactación Neumática / Acabado</t>
        </is>
      </c>
      <c r="F14" s="14">
        <f>$C$6</f>
        <v/>
      </c>
      <c r="G14" s="37">
        <f>$E$6</f>
        <v/>
      </c>
      <c r="H14" s="16">
        <f>G14*$E$4</f>
        <v/>
      </c>
      <c r="I14" s="37" t="n">
        <v>153</v>
      </c>
      <c r="J14" s="20">
        <f>IF(H14&gt;0, I14/H14, 0)</f>
        <v/>
      </c>
      <c r="K14" s="20">
        <f>IF(G14&gt;0, I14/G14, 0)</f>
        <v/>
      </c>
      <c r="L14" s="21" t="n">
        <v>10.96</v>
      </c>
      <c r="M14" s="22">
        <f>IF(L14&gt;0, I14/L14, 0)</f>
        <v/>
      </c>
      <c r="N14" s="12">
        <f>IF(I14=0, "SIN CONSUMO (Inactiva)", IF(A14=1, IF(K14&lt;=0.85, "DENTRO DE RENDIMIENTO BASE", "EXCEDE RENDIMIENTO BASE"), IF(A14=2, IF(J14&lt;=0.38, "DENTRO DE RENDIMIENTO BASE", "EXCEDE RENDIMIENTO BASE"), IF(OR(A14=3,A14=4,A14=5,A14=6), IF(J14&lt;=0.08, "DENTRO DE RENDIMIENTO BASE", "EXCEDE RENDIMIENTO BASE"), IF(A14=7, IF(J14&lt;=0.07, "DENTRO DE RENDIMIENTO BASE", "EXCEDE RENDIMIENTO BASE"), IF(A14=8, IF(K14&lt;=0.22, "DENTRO DE RENDIMIENTO BASE", "EXCEDE RENDIMIENTO BASE"), IF(A14=9, IF(J14&lt;=0.075, "DENTRO DE RENDIMIENTO BASE", "EXCEDE RENDIMIENTO BASE"), "APOYO PUNTUAL")))))))</f>
        <v/>
      </c>
    </row>
    <row r="15" ht="19.5" customHeight="1" s="46">
      <c r="A15" s="12" t="n">
        <v>7</v>
      </c>
      <c r="B15" s="12" t="inlineStr">
        <is>
          <t>BR-01</t>
        </is>
      </c>
      <c r="C15" s="13" t="inlineStr">
        <is>
          <t>BARREDORA INDUSTRIAL BROCE BROOM-350</t>
        </is>
      </c>
      <c r="D15" s="13" t="inlineStr">
        <is>
          <t>EDGAR ROSALES MARTINEZ</t>
        </is>
      </c>
      <c r="E15" s="13" t="inlineStr">
        <is>
          <t>Limpieza y Barrido Previo</t>
        </is>
      </c>
      <c r="F15" s="14">
        <f>$C$6</f>
        <v/>
      </c>
      <c r="G15" s="37">
        <f>$E$6</f>
        <v/>
      </c>
      <c r="H15" s="16">
        <f>G15*$E$4</f>
        <v/>
      </c>
      <c r="I15" s="37" t="n">
        <v>102</v>
      </c>
      <c r="J15" s="20">
        <f>IF(H15&gt;0, I15/H15, 0)</f>
        <v/>
      </c>
      <c r="K15" s="20">
        <f>IF(G15&gt;0, I15/G15, 0)</f>
        <v/>
      </c>
      <c r="L15" s="21" t="n">
        <v>8.94</v>
      </c>
      <c r="M15" s="22">
        <f>IF(L15&gt;0, I15/L15, 0)</f>
        <v/>
      </c>
      <c r="N15" s="12">
        <f>IF(I15=0, "SIN CONSUMO (Inactiva)", IF(A15=1, IF(K15&lt;=0.85, "DENTRO DE RENDIMIENTO BASE", "EXCEDE RENDIMIENTO BASE"), IF(A15=2, IF(J15&lt;=0.38, "DENTRO DE RENDIMIENTO BASE", "EXCEDE RENDIMIENTO BASE"), IF(OR(A15=3,A15=4,A15=5,A15=6), IF(J15&lt;=0.08, "DENTRO DE RENDIMIENTO BASE", "EXCEDE RENDIMIENTO BASE"), IF(A15=7, IF(J15&lt;=0.07, "DENTRO DE RENDIMIENTO BASE", "EXCEDE RENDIMIENTO BASE"), IF(A15=8, IF(K15&lt;=0.22, "DENTRO DE RENDIMIENTO BASE", "EXCEDE RENDIMIENTO BASE"), IF(A15=9, IF(J15&lt;=0.075, "DENTRO DE RENDIMIENTO BASE", "EXCEDE RENDIMIENTO BASE"), "APOYO PUNTUAL")))))))</f>
        <v/>
      </c>
    </row>
    <row r="16" ht="19.5" customHeight="1" s="46">
      <c r="A16" s="12" t="n">
        <v>8</v>
      </c>
      <c r="B16" s="12" t="inlineStr">
        <is>
          <t>RT-05</t>
        </is>
      </c>
      <c r="C16" s="13" t="inlineStr">
        <is>
          <t>RETROEXCAVADORA JOHN DEERE 310SK</t>
        </is>
      </c>
      <c r="D16" s="13" t="inlineStr">
        <is>
          <t>ADOLFO NAVA LOPEZ</t>
        </is>
      </c>
      <c r="E16" s="13" t="inlineStr">
        <is>
          <t>Carga Fresado y Derrumbes</t>
        </is>
      </c>
      <c r="F16" s="14">
        <f>$C$5</f>
        <v/>
      </c>
      <c r="G16" s="37">
        <f>$E$5</f>
        <v/>
      </c>
      <c r="H16" s="18" t="inlineStr">
        <is>
          <t>-</t>
        </is>
      </c>
      <c r="I16" s="37" t="n">
        <v>390</v>
      </c>
      <c r="J16" s="19" t="inlineStr">
        <is>
          <t>-</t>
        </is>
      </c>
      <c r="K16" s="20">
        <f>IF(G16&gt;0, I16/G16, 0)</f>
        <v/>
      </c>
      <c r="L16" s="21" t="n">
        <v>7.44</v>
      </c>
      <c r="M16" s="22">
        <f>IF(L16&gt;0, I16/L16, 0)</f>
        <v/>
      </c>
      <c r="N16" s="12">
        <f>IF(I16=0, "SIN CONSUMO (Inactiva)", IF(A16=1, IF(K16&lt;=0.85, "DENTRO DE RENDIMIENTO BASE", "EXCEDE RENDIMIENTO BASE"), IF(A16=2, IF(J16&lt;=0.38, "DENTRO DE RENDIMIENTO BASE", "EXCEDE RENDIMIENTO BASE"), IF(OR(A16=3,A16=4,A16=5,A16=6), IF(J16&lt;=0.08, "DENTRO DE RENDIMIENTO BASE", "EXCEDE RENDIMIENTO BASE"), IF(A16=7, IF(J16&lt;=0.07, "DENTRO DE RENDIMIENTO BASE", "EXCEDE RENDIMIENTO BASE"), IF(A16=8, IF(K16&lt;=0.22, "DENTRO DE RENDIMIENTO BASE", "EXCEDE RENDIMIENTO BASE"), IF(A16=9, IF(J16&lt;=0.075, "DENTRO DE RENDIMIENTO BASE", "EXCEDE RENDIMIENTO BASE"), "APOYO PUNTUAL")))))))</f>
        <v/>
      </c>
    </row>
    <row r="17" ht="19.5" customHeight="1" s="46">
      <c r="A17" s="12" t="n">
        <v>9</v>
      </c>
      <c r="B17" s="12" t="inlineStr">
        <is>
          <t>PT-01</t>
        </is>
      </c>
      <c r="C17" s="13" t="inlineStr">
        <is>
          <t>PETROLIZADORA INTERNATIONAL / FORD F800</t>
        </is>
      </c>
      <c r="D17" s="13" t="inlineStr">
        <is>
          <t>ELTHON EDUARDO MARTINEZ GOMORA</t>
        </is>
      </c>
      <c r="E17" s="13" t="inlineStr">
        <is>
          <t>Riego de Liga / Emulsión</t>
        </is>
      </c>
      <c r="F17" s="14">
        <f>$C$6</f>
        <v/>
      </c>
      <c r="G17" s="37">
        <f>$E$6</f>
        <v/>
      </c>
      <c r="H17" s="16">
        <f>G17*$E$4</f>
        <v/>
      </c>
      <c r="I17" s="37" t="n">
        <v>290</v>
      </c>
      <c r="J17" s="20">
        <f>IF(H17&gt;0, I17/H17, 0)</f>
        <v/>
      </c>
      <c r="K17" s="20">
        <f>IF(G17&gt;0, I17/G17, 0)</f>
        <v/>
      </c>
      <c r="L17" s="21" t="n">
        <v>12.76</v>
      </c>
      <c r="M17" s="22">
        <f>IF(L17&gt;0, I17/L17, 0)</f>
        <v/>
      </c>
      <c r="N17" s="12">
        <f>IF(I17=0, "SIN CONSUMO (Inactiva)", IF(A17=1, IF(K17&lt;=0.85, "DENTRO DE RENDIMIENTO BASE", "EXCEDE RENDIMIENTO BASE"), IF(A17=2, IF(J17&lt;=0.38, "DENTRO DE RENDIMIENTO BASE", "EXCEDE RENDIMIENTO BASE"), IF(OR(A17=3,A17=4,A17=5,A17=6), IF(J17&lt;=0.08, "DENTRO DE RENDIMIENTO BASE", "EXCEDE RENDIMIENTO BASE"), IF(A17=7, IF(J17&lt;=0.07, "DENTRO DE RENDIMIENTO BASE", "EXCEDE RENDIMIENTO BASE"), IF(A17=8, IF(K17&lt;=0.22, "DENTRO DE RENDIMIENTO BASE", "EXCEDE RENDIMIENTO BASE"), IF(A17=9, IF(J17&lt;=0.075, "DENTRO DE RENDIMIENTO BASE", "EXCEDE RENDIMIENTO BASE"), "APOYO PUNTUAL")))))))</f>
        <v/>
      </c>
    </row>
    <row r="18" ht="19.5" customHeight="1" s="46">
      <c r="A18" s="12" t="n">
        <v>10</v>
      </c>
      <c r="B18" s="12" t="inlineStr">
        <is>
          <t>CPR-01</t>
        </is>
      </c>
      <c r="C18" s="13" t="inlineStr">
        <is>
          <t>COMPRESOR DE AIRE INGERSOLL RAND IR185</t>
        </is>
      </c>
      <c r="D18" s="13" t="inlineStr">
        <is>
          <t>CUADRILLA DE LIMPIEZA</t>
        </is>
      </c>
      <c r="E18" s="13" t="inlineStr">
        <is>
          <t>Sopleteado de Juntas</t>
        </is>
      </c>
      <c r="F18" s="14" t="n">
        <v>0</v>
      </c>
      <c r="G18" s="37" t="n">
        <v>0</v>
      </c>
      <c r="H18" s="16" t="n">
        <v>0</v>
      </c>
      <c r="I18" s="37" t="n">
        <v>0</v>
      </c>
      <c r="J18" s="20" t="n">
        <v>0</v>
      </c>
      <c r="K18" s="20" t="n">
        <v>0</v>
      </c>
      <c r="L18" s="21" t="n">
        <v>9.970000000000001</v>
      </c>
      <c r="M18" s="22">
        <f>IF(L18&gt;0, I18/L18, 0)</f>
        <v/>
      </c>
      <c r="N18" s="12">
        <f>IF(I18=0, "SIN CONSUMO (Inactiva)", IF(A18=1, IF(K18&lt;=0.85, "DENTRO DE RENDIMIENTO BASE", "EXCEDE RENDIMIENTO BASE"), IF(A18=2, IF(J18&lt;=0.38, "DENTRO DE RENDIMIENTO BASE", "EXCEDE RENDIMIENTO BASE"), IF(OR(A18=3,A18=4,A18=5,A18=6), IF(J18&lt;=0.08, "DENTRO DE RENDIMIENTO BASE", "EXCEDE RENDIMIENTO BASE"), IF(A18=7, IF(J18&lt;=0.07, "DENTRO DE RENDIMIENTO BASE", "EXCEDE RENDIMIENTO BASE"), IF(A18=8, IF(K18&lt;=0.22, "DENTRO DE RENDIMIENTO BASE", "EXCEDE RENDIMIENTO BASE"), IF(A18=9, IF(J18&lt;=0.075, "DENTRO DE RENDIMIENTO BASE", "EXCEDE RENDIMIENTO BASE"), "APOYO PUNTUAL")))))))</f>
        <v/>
      </c>
    </row>
    <row r="19" ht="19.5" customHeight="1" s="46">
      <c r="A19" s="12" t="n">
        <v>11</v>
      </c>
      <c r="B19" s="12" t="inlineStr">
        <is>
          <t>PP-01</t>
        </is>
      </c>
      <c r="C19" s="13" t="inlineStr">
        <is>
          <t>CAMIÓN IMPACTO / PIPA DE AGUA FORD</t>
        </is>
      </c>
      <c r="D19" s="13" t="inlineStr">
        <is>
          <t>CUADRILLA DE AGUA</t>
        </is>
      </c>
      <c r="E19" s="13" t="inlineStr">
        <is>
          <t>Enfriamiento Rodillos / Riego</t>
        </is>
      </c>
      <c r="F19" s="14" t="n">
        <v>0</v>
      </c>
      <c r="G19" s="37" t="n">
        <v>0</v>
      </c>
      <c r="H19" s="16" t="n">
        <v>0</v>
      </c>
      <c r="I19" s="37" t="n">
        <v>0</v>
      </c>
      <c r="J19" s="20" t="n">
        <v>0</v>
      </c>
      <c r="K19" s="20" t="n">
        <v>0</v>
      </c>
      <c r="L19" s="21" t="n">
        <v>3.03</v>
      </c>
      <c r="M19" s="22">
        <f>IF(L19&gt;0, I19/L19, 0)</f>
        <v/>
      </c>
      <c r="N19" s="12">
        <f>IF(I19=0, "SIN CONSUMO (Inactiva)", IF(A19=1, IF(K19&lt;=0.85, "DENTRO DE RENDIMIENTO BASE", "EXCEDE RENDIMIENTO BASE"), IF(A19=2, IF(J19&lt;=0.38, "DENTRO DE RENDIMIENTO BASE", "EXCEDE RENDIMIENTO BASE"), IF(OR(A19=3,A19=4,A19=5,A19=6), IF(J19&lt;=0.08, "DENTRO DE RENDIMIENTO BASE", "EXCEDE RENDIMIENTO BASE"), IF(A19=7, IF(J19&lt;=0.07, "DENTRO DE RENDIMIENTO BASE", "EXCEDE RENDIMIENTO BASE"), IF(A19=8, IF(K19&lt;=0.22, "DENTRO DE RENDIMIENTO BASE", "EXCEDE RENDIMIENTO BASE"), IF(A19=9, IF(J19&lt;=0.075, "DENTRO DE RENDIMIENTO BASE", "EXCEDE RENDIMIENTO BASE"), "APOYO PUNTUAL")))))))</f>
        <v/>
      </c>
    </row>
    <row r="20" ht="19.5" customHeight="1" s="46">
      <c r="A20" s="12" t="n">
        <v>12</v>
      </c>
      <c r="B20" s="12" t="inlineStr">
        <is>
          <t>TL-01</t>
        </is>
      </c>
      <c r="C20" s="13" t="inlineStr">
        <is>
          <t>TORRE DE LUZ MAXILIGHT 4X1000W</t>
        </is>
      </c>
      <c r="D20" s="13" t="inlineStr">
        <is>
          <t>CUADRILLA NOCTURNA</t>
        </is>
      </c>
      <c r="E20" s="13" t="inlineStr">
        <is>
          <t>Iluminación Nocturna</t>
        </is>
      </c>
      <c r="F20" s="14" t="n">
        <v>0</v>
      </c>
      <c r="G20" s="37" t="n">
        <v>0</v>
      </c>
      <c r="H20" s="16" t="n">
        <v>0</v>
      </c>
      <c r="I20" s="37" t="n">
        <v>0</v>
      </c>
      <c r="J20" s="20" t="n">
        <v>0</v>
      </c>
      <c r="K20" s="20" t="n">
        <v>0</v>
      </c>
      <c r="L20" s="21" t="n">
        <v>2.41</v>
      </c>
      <c r="M20" s="22">
        <f>IF(L20&gt;0, I20/L20, 0)</f>
        <v/>
      </c>
      <c r="N20" s="12">
        <f>IF(I20=0, "SIN CONSUMO (Inactiva)", IF(A20=1, IF(K20&lt;=0.85, "DENTRO DE RENDIMIENTO BASE", "EXCEDE RENDIMIENTO BASE"), IF(A20=2, IF(J20&lt;=0.38, "DENTRO DE RENDIMIENTO BASE", "EXCEDE RENDIMIENTO BASE"), IF(OR(A20=3,A20=4,A20=5,A20=6), IF(J20&lt;=0.08, "DENTRO DE RENDIMIENTO BASE", "EXCEDE RENDIMIENTO BASE"), IF(A20=7, IF(J20&lt;=0.07, "DENTRO DE RENDIMIENTO BASE", "EXCEDE RENDIMIENTO BASE"), IF(A20=8, IF(K20&lt;=0.22, "DENTRO DE RENDIMIENTO BASE", "EXCEDE RENDIMIENTO BASE"), IF(A20=9, IF(J20&lt;=0.075, "DENTRO DE RENDIMIENTO BASE", "EXCEDE RENDIMIENTO BASE"), "APOYO PUNTUAL")))))))</f>
        <v/>
      </c>
    </row>
    <row r="21" ht="21.75" customHeight="1" s="46">
      <c r="A21" s="30" t="inlineStr">
        <is>
          <t>TOTAL SEMANA 31 (OBRA CARRETERA MÉXICO-TOLUCA)</t>
        </is>
      </c>
      <c r="B21" s="50" t="n"/>
      <c r="C21" s="50" t="n"/>
      <c r="D21" s="50" t="n"/>
      <c r="E21" s="51" t="n"/>
      <c r="F21" s="26">
        <f>C5+C6</f>
        <v/>
      </c>
      <c r="G21" s="27">
        <f>E5+E6</f>
        <v/>
      </c>
      <c r="H21" s="28">
        <f>G6</f>
        <v/>
      </c>
      <c r="I21" s="27">
        <f>SUM(I9:I20)</f>
        <v/>
      </c>
      <c r="J21" s="29">
        <f>IF(H21&gt;0, I21/H21, 0)</f>
        <v/>
      </c>
      <c r="K21" s="29">
        <f>IF(G21&gt;0, I21/G21, 0)</f>
        <v/>
      </c>
      <c r="L21" s="30" t="inlineStr">
        <is>
          <t>—</t>
        </is>
      </c>
      <c r="M21" s="31">
        <f>SUM(M9:M20)</f>
        <v/>
      </c>
      <c r="N21" s="30" t="inlineStr">
        <is>
          <t>SEMANA REGISTRADA</t>
        </is>
      </c>
    </row>
    <row r="22" ht="15.75" customHeight="1" s="46"/>
    <row r="23" ht="15.75" customHeight="1" s="46"/>
    <row r="24" ht="24" customHeight="1" s="46">
      <c r="A24" s="96" t="inlineStr">
        <is>
          <t>DESGLOSE DIARIO DE COMBUSTIBLE, VOLUMEN, TONELAJE Y RENDIMIENTO — SEMANA 31</t>
        </is>
      </c>
    </row>
    <row r="25" ht="19.5" customHeight="1" s="46">
      <c r="A25" s="48" t="inlineStr">
        <is>
          <t>DATOS DEL EQUIPO</t>
        </is>
      </c>
      <c r="F25" s="48" t="inlineStr">
        <is>
          <t>LUNES</t>
        </is>
      </c>
      <c r="J25" s="48" t="inlineStr">
        <is>
          <t>MARTES</t>
        </is>
      </c>
      <c r="N25" s="48" t="inlineStr">
        <is>
          <t>MIÉRCOLES</t>
        </is>
      </c>
      <c r="R25" s="48" t="inlineStr">
        <is>
          <t>JUEVES</t>
        </is>
      </c>
      <c r="V25" s="48" t="inlineStr">
        <is>
          <t>VIERNES</t>
        </is>
      </c>
      <c r="Z25" s="48" t="inlineStr">
        <is>
          <t>SÁBADO</t>
        </is>
      </c>
      <c r="AD25" s="97" t="inlineStr">
        <is>
          <t>TOTAL SEMANAL</t>
        </is>
      </c>
    </row>
    <row r="26" ht="25.5" customHeight="1" s="46">
      <c r="A26" s="34" t="inlineStr">
        <is>
          <t>No.</t>
        </is>
      </c>
      <c r="B26" s="34" t="inlineStr">
        <is>
          <t>Económico</t>
        </is>
      </c>
      <c r="C26" s="34" t="inlineStr">
        <is>
          <t>Equipo / Maquinaria</t>
        </is>
      </c>
      <c r="D26" s="34" t="inlineStr">
        <is>
          <t>Operador Asignado</t>
        </is>
      </c>
      <c r="E26" s="34" t="inlineStr">
        <is>
          <t>Concepto de Trabajo</t>
        </is>
      </c>
      <c r="F26" s="34" t="inlineStr">
        <is>
          <t>Diésel (L)</t>
        </is>
      </c>
      <c r="G26" s="34" t="inlineStr">
        <is>
          <t>Volumen (m³)</t>
        </is>
      </c>
      <c r="H26" s="34" t="inlineStr">
        <is>
          <t>Toneladas (Ton)</t>
        </is>
      </c>
      <c r="I26" s="34" t="inlineStr">
        <is>
          <t>Rendimiento Real</t>
        </is>
      </c>
      <c r="J26" s="34" t="inlineStr">
        <is>
          <t>Diésel (L)</t>
        </is>
      </c>
      <c r="K26" s="34" t="inlineStr">
        <is>
          <t>Volumen (m³)</t>
        </is>
      </c>
      <c r="L26" s="34" t="inlineStr">
        <is>
          <t>Toneladas (Ton)</t>
        </is>
      </c>
      <c r="M26" s="34" t="inlineStr">
        <is>
          <t>Rendimiento Real</t>
        </is>
      </c>
      <c r="N26" s="34" t="inlineStr">
        <is>
          <t>Diésel (L)</t>
        </is>
      </c>
      <c r="O26" s="34" t="inlineStr">
        <is>
          <t>Volumen (m³)</t>
        </is>
      </c>
      <c r="P26" s="34" t="inlineStr">
        <is>
          <t>Toneladas (Ton)</t>
        </is>
      </c>
      <c r="Q26" s="34" t="inlineStr">
        <is>
          <t>Rendimiento Real</t>
        </is>
      </c>
      <c r="R26" s="34" t="inlineStr">
        <is>
          <t>Diésel (L)</t>
        </is>
      </c>
      <c r="S26" s="34" t="inlineStr">
        <is>
          <t>Volumen (m³)</t>
        </is>
      </c>
      <c r="T26" s="34" t="inlineStr">
        <is>
          <t>Toneladas (Ton)</t>
        </is>
      </c>
      <c r="U26" s="34" t="inlineStr">
        <is>
          <t>Rendimiento Real</t>
        </is>
      </c>
      <c r="V26" s="34" t="inlineStr">
        <is>
          <t>Diésel (L)</t>
        </is>
      </c>
      <c r="W26" s="34" t="inlineStr">
        <is>
          <t>Volumen (m³)</t>
        </is>
      </c>
      <c r="X26" s="34" t="inlineStr">
        <is>
          <t>Toneladas (Ton)</t>
        </is>
      </c>
      <c r="Y26" s="34" t="inlineStr">
        <is>
          <t>Rendimiento Real</t>
        </is>
      </c>
      <c r="Z26" s="34" t="inlineStr">
        <is>
          <t>Diésel (L)</t>
        </is>
      </c>
      <c r="AA26" s="34" t="inlineStr">
        <is>
          <t>Volumen (m³)</t>
        </is>
      </c>
      <c r="AB26" s="34" t="inlineStr">
        <is>
          <t>Toneladas (Ton)</t>
        </is>
      </c>
      <c r="AC26" s="34" t="inlineStr">
        <is>
          <t>Rendimiento Real</t>
        </is>
      </c>
      <c r="AD26" s="35" t="inlineStr">
        <is>
          <t>Total Diésel (L)</t>
        </is>
      </c>
      <c r="AE26" s="35" t="inlineStr">
        <is>
          <t>Total Vol (m³)</t>
        </is>
      </c>
      <c r="AF26" s="35" t="inlineStr">
        <is>
          <t>Total Ton (Ton)</t>
        </is>
      </c>
      <c r="AG26" s="35" t="inlineStr">
        <is>
          <t>Rend. Promedio</t>
        </is>
      </c>
    </row>
    <row r="27" ht="18.75" customHeight="1" s="46">
      <c r="A27" s="12" t="n">
        <v>1</v>
      </c>
      <c r="B27" s="12" t="inlineStr">
        <is>
          <t>PRR-01</t>
        </is>
      </c>
      <c r="C27" s="13" t="inlineStr">
        <is>
          <t>PERFILADORA WIRTGEN W200i</t>
        </is>
      </c>
      <c r="D27" s="13" t="inlineStr">
        <is>
          <t>JAVIER PAREDES CORTE</t>
        </is>
      </c>
      <c r="E27" s="13" t="inlineStr">
        <is>
          <t>Fresado de Pavimento</t>
        </is>
      </c>
      <c r="F27" s="37" t="n">
        <v>0</v>
      </c>
      <c r="G27" s="37" t="n">
        <v>343</v>
      </c>
      <c r="H27" s="16">
        <f>G27*$E$4</f>
        <v/>
      </c>
      <c r="I27" s="20">
        <f>IF(G27&gt;0, F27/G27, 0)</f>
        <v/>
      </c>
      <c r="J27" s="37" t="n">
        <v>400</v>
      </c>
      <c r="K27" s="37" t="n">
        <v>343</v>
      </c>
      <c r="L27" s="16">
        <f>K27*$E$4</f>
        <v/>
      </c>
      <c r="M27" s="20">
        <f>IF(K27&gt;0, J27/K27, 0)</f>
        <v/>
      </c>
      <c r="N27" s="37" t="n">
        <v>0</v>
      </c>
      <c r="O27" s="37" t="n">
        <v>161</v>
      </c>
      <c r="P27" s="16">
        <f>O27*$E$4</f>
        <v/>
      </c>
      <c r="Q27" s="20">
        <f>IF(O27&gt;0, N27/O27, 0)</f>
        <v/>
      </c>
      <c r="R27" s="37" t="n">
        <v>400</v>
      </c>
      <c r="S27" s="37" t="n">
        <v>105</v>
      </c>
      <c r="T27" s="16">
        <f>S27*$E$4</f>
        <v/>
      </c>
      <c r="U27" s="20">
        <f>IF(S27&gt;0, R27/S27, 0)</f>
        <v/>
      </c>
      <c r="V27" s="37" t="n">
        <v>0</v>
      </c>
      <c r="W27" s="37" t="n">
        <v>77</v>
      </c>
      <c r="X27" s="16">
        <f>W27*$E$4</f>
        <v/>
      </c>
      <c r="Y27" s="20">
        <f>IF(W27&gt;0, V27/W27, 0)</f>
        <v/>
      </c>
      <c r="Z27" s="37" t="n">
        <v>400</v>
      </c>
      <c r="AA27" s="37" t="n">
        <v>259</v>
      </c>
      <c r="AB27" s="16">
        <f>AA27*$E$4</f>
        <v/>
      </c>
      <c r="AC27" s="20">
        <f>IF(AA27&gt;0, Z27/AA27, 0)</f>
        <v/>
      </c>
      <c r="AD27" s="37">
        <f>F27+J27+N27+R27+V27+Z27</f>
        <v/>
      </c>
      <c r="AE27" s="37">
        <f>G27+K27+O27+S27+W27+AA27</f>
        <v/>
      </c>
      <c r="AF27" s="16">
        <f>H27+L27+P27+T27+X27+AB27</f>
        <v/>
      </c>
      <c r="AG27" s="20">
        <f>IF(AE27&gt;0, AD27/AE27, 0)</f>
        <v/>
      </c>
    </row>
    <row r="28" ht="18.75" customHeight="1" s="46">
      <c r="A28" s="12" t="n">
        <v>2</v>
      </c>
      <c r="B28" s="12" t="inlineStr">
        <is>
          <t>VG-01</t>
        </is>
      </c>
      <c r="C28" s="13" t="inlineStr">
        <is>
          <t>PAVIMENTADORA VÖGELE SUPER 1800-3i</t>
        </is>
      </c>
      <c r="D28" s="13" t="inlineStr">
        <is>
          <t>ERWIN CUTEÑO HERNANDEZ</t>
        </is>
      </c>
      <c r="E28" s="13" t="inlineStr">
        <is>
          <t>Tendido de Mezcla Asfáltica</t>
        </is>
      </c>
      <c r="F28" s="37" t="n">
        <v>0</v>
      </c>
      <c r="G28" s="37" t="n">
        <v>203</v>
      </c>
      <c r="H28" s="16">
        <f>G28*$E$4</f>
        <v/>
      </c>
      <c r="I28" s="20">
        <f>IF(H28&gt;0, F28/H28, 0)</f>
        <v/>
      </c>
      <c r="J28" s="37" t="n">
        <v>230</v>
      </c>
      <c r="K28" s="37" t="n">
        <v>140</v>
      </c>
      <c r="L28" s="16">
        <f>K28*$E$4</f>
        <v/>
      </c>
      <c r="M28" s="20">
        <f>IF(L28&gt;0, J28/L28, 0)</f>
        <v/>
      </c>
      <c r="N28" s="37" t="n">
        <v>0</v>
      </c>
      <c r="O28" s="37" t="n">
        <v>210</v>
      </c>
      <c r="P28" s="16">
        <f>O28*$E$4</f>
        <v/>
      </c>
      <c r="Q28" s="20">
        <f>IF(P28&gt;0, N28/P28, 0)</f>
        <v/>
      </c>
      <c r="R28" s="37" t="n">
        <v>160</v>
      </c>
      <c r="S28" s="37" t="n">
        <v>210</v>
      </c>
      <c r="T28" s="16">
        <f>S28*$E$4</f>
        <v/>
      </c>
      <c r="U28" s="20">
        <f>IF(T28&gt;0, R28/T28, 0)</f>
        <v/>
      </c>
      <c r="V28" s="37" t="n">
        <v>0</v>
      </c>
      <c r="W28" s="37" t="n">
        <v>210</v>
      </c>
      <c r="X28" s="16">
        <f>W28*$E$4</f>
        <v/>
      </c>
      <c r="Y28" s="20">
        <f>IF(X28&gt;0, V28/X28, 0)</f>
        <v/>
      </c>
      <c r="Z28" s="37" t="n">
        <v>161</v>
      </c>
      <c r="AA28" s="37" t="n">
        <v>28</v>
      </c>
      <c r="AB28" s="16">
        <f>AA28*$E$4</f>
        <v/>
      </c>
      <c r="AC28" s="20">
        <f>IF(AB28&gt;0, Z28/AB28, 0)</f>
        <v/>
      </c>
      <c r="AD28" s="37">
        <f>F28+J28+N28+R28+V28+Z28</f>
        <v/>
      </c>
      <c r="AE28" s="37">
        <f>G28+K28+O28+S28+W28+AA28</f>
        <v/>
      </c>
      <c r="AF28" s="16">
        <f>H28+L28+P28+T28+X28+AB28</f>
        <v/>
      </c>
      <c r="AG28" s="20">
        <f>IF(AF28&gt;0, AD28/AF28, 0)</f>
        <v/>
      </c>
    </row>
    <row r="29" ht="18.75" customHeight="1" s="46">
      <c r="A29" s="12" t="n">
        <v>3</v>
      </c>
      <c r="B29" s="12" t="inlineStr">
        <is>
          <t>DR-01</t>
        </is>
      </c>
      <c r="C29" s="13" t="inlineStr">
        <is>
          <t>COMPACTADOR TÁNDEM HAMM-HD120 VV</t>
        </is>
      </c>
      <c r="D29" s="13" t="inlineStr">
        <is>
          <t>JOEL ALBERTO RIVERA RIVAS</t>
        </is>
      </c>
      <c r="E29" s="13" t="inlineStr">
        <is>
          <t>Compactación Tándem Primaria</t>
        </is>
      </c>
      <c r="F29" s="37" t="n">
        <v>0</v>
      </c>
      <c r="G29" s="37" t="n">
        <v>203</v>
      </c>
      <c r="H29" s="16">
        <f>G29*$E$4</f>
        <v/>
      </c>
      <c r="I29" s="20">
        <f>IF(H29&gt;0, F29/H29, 0)</f>
        <v/>
      </c>
      <c r="J29" s="37" t="n">
        <v>50</v>
      </c>
      <c r="K29" s="37" t="n">
        <v>140</v>
      </c>
      <c r="L29" s="16">
        <f>K29*$E$4</f>
        <v/>
      </c>
      <c r="M29" s="20">
        <f>IF(L29&gt;0, J29/L29, 0)</f>
        <v/>
      </c>
      <c r="N29" s="37" t="n">
        <v>0</v>
      </c>
      <c r="O29" s="37" t="n">
        <v>210</v>
      </c>
      <c r="P29" s="16">
        <f>O29*$E$4</f>
        <v/>
      </c>
      <c r="Q29" s="20">
        <f>IF(P29&gt;0, N29/P29, 0)</f>
        <v/>
      </c>
      <c r="R29" s="37" t="n">
        <v>50</v>
      </c>
      <c r="S29" s="37" t="n">
        <v>210</v>
      </c>
      <c r="T29" s="16">
        <f>S29*$E$4</f>
        <v/>
      </c>
      <c r="U29" s="20">
        <f>IF(T29&gt;0, R29/T29, 0)</f>
        <v/>
      </c>
      <c r="V29" s="37" t="n">
        <v>0</v>
      </c>
      <c r="W29" s="37" t="n">
        <v>210</v>
      </c>
      <c r="X29" s="16">
        <f>W29*$E$4</f>
        <v/>
      </c>
      <c r="Y29" s="20">
        <f>IF(X29&gt;0, V29/X29, 0)</f>
        <v/>
      </c>
      <c r="Z29" s="37" t="n">
        <v>50</v>
      </c>
      <c r="AA29" s="37" t="n">
        <v>28</v>
      </c>
      <c r="AB29" s="16">
        <f>AA29*$E$4</f>
        <v/>
      </c>
      <c r="AC29" s="20">
        <f>IF(AB29&gt;0, Z29/AB29, 0)</f>
        <v/>
      </c>
      <c r="AD29" s="37">
        <f>F29+J29+N29+R29+V29+Z29</f>
        <v/>
      </c>
      <c r="AE29" s="37">
        <f>G29+K29+O29+S29+W29+AA29</f>
        <v/>
      </c>
      <c r="AF29" s="16">
        <f>H29+L29+P29+T29+X29+AB29</f>
        <v/>
      </c>
      <c r="AG29" s="20">
        <f>IF(AF29&gt;0, AD29/AF29, 0)</f>
        <v/>
      </c>
    </row>
    <row r="30" ht="18.75" customHeight="1" s="46">
      <c r="A30" s="12" t="n">
        <v>4</v>
      </c>
      <c r="B30" s="12" t="inlineStr">
        <is>
          <t>DR-02</t>
        </is>
      </c>
      <c r="C30" s="13" t="inlineStr">
        <is>
          <t>COMPACTADOR TÁNDEM HAMM-HD140</t>
        </is>
      </c>
      <c r="D30" s="13" t="inlineStr">
        <is>
          <t>ALEXIS RENDON DOMINGUEZ</t>
        </is>
      </c>
      <c r="E30" s="13" t="inlineStr">
        <is>
          <t>Compactación Tándem Pesada</t>
        </is>
      </c>
      <c r="F30" s="37" t="n">
        <v>0</v>
      </c>
      <c r="G30" s="37" t="n">
        <v>203</v>
      </c>
      <c r="H30" s="16">
        <f>G30*$E$4</f>
        <v/>
      </c>
      <c r="I30" s="20">
        <f>IF(H30&gt;0, F30/H30, 0)</f>
        <v/>
      </c>
      <c r="J30" s="37" t="n">
        <v>50</v>
      </c>
      <c r="K30" s="37" t="n">
        <v>140</v>
      </c>
      <c r="L30" s="16">
        <f>K30*$E$4</f>
        <v/>
      </c>
      <c r="M30" s="20">
        <f>IF(L30&gt;0, J30/L30, 0)</f>
        <v/>
      </c>
      <c r="N30" s="37" t="n">
        <v>0</v>
      </c>
      <c r="O30" s="37" t="n">
        <v>210</v>
      </c>
      <c r="P30" s="16">
        <f>O30*$E$4</f>
        <v/>
      </c>
      <c r="Q30" s="20">
        <f>IF(P30&gt;0, N30/P30, 0)</f>
        <v/>
      </c>
      <c r="R30" s="37" t="n">
        <v>55</v>
      </c>
      <c r="S30" s="37" t="n">
        <v>210</v>
      </c>
      <c r="T30" s="16">
        <f>S30*$E$4</f>
        <v/>
      </c>
      <c r="U30" s="20">
        <f>IF(T30&gt;0, R30/T30, 0)</f>
        <v/>
      </c>
      <c r="V30" s="37" t="n">
        <v>0</v>
      </c>
      <c r="W30" s="37" t="n">
        <v>210</v>
      </c>
      <c r="X30" s="16">
        <f>W30*$E$4</f>
        <v/>
      </c>
      <c r="Y30" s="20">
        <f>IF(X30&gt;0, V30/X30, 0)</f>
        <v/>
      </c>
      <c r="Z30" s="37" t="n">
        <v>50</v>
      </c>
      <c r="AA30" s="37" t="n">
        <v>28</v>
      </c>
      <c r="AB30" s="16">
        <f>AA30*$E$4</f>
        <v/>
      </c>
      <c r="AC30" s="20">
        <f>IF(AB30&gt;0, Z30/AB30, 0)</f>
        <v/>
      </c>
      <c r="AD30" s="37">
        <f>F30+J30+N30+R30+V30+Z30</f>
        <v/>
      </c>
      <c r="AE30" s="37">
        <f>G30+K30+O30+S30+W30+AA30</f>
        <v/>
      </c>
      <c r="AF30" s="16">
        <f>H30+L30+P30+T30+X30+AB30</f>
        <v/>
      </c>
      <c r="AG30" s="20">
        <f>IF(AF30&gt;0, AD30/AF30, 0)</f>
        <v/>
      </c>
    </row>
    <row r="31" ht="18.75" customHeight="1" s="46">
      <c r="A31" s="12" t="n">
        <v>5</v>
      </c>
      <c r="B31" s="12" t="inlineStr">
        <is>
          <t>NM-01</t>
        </is>
      </c>
      <c r="C31" s="13" t="inlineStr">
        <is>
          <t>COMPACTADOR NEUMÁTICO DYNAPAC CP271</t>
        </is>
      </c>
      <c r="D31" s="13" t="inlineStr">
        <is>
          <t>JOSE CARLOS ROMERO TELLEZ</t>
        </is>
      </c>
      <c r="E31" s="13" t="inlineStr">
        <is>
          <t>Compactación Neumática / Sellado</t>
        </is>
      </c>
      <c r="F31" s="37" t="n">
        <v>0</v>
      </c>
      <c r="G31" s="37" t="n">
        <v>203</v>
      </c>
      <c r="H31" s="16">
        <f>G31*$E$4</f>
        <v/>
      </c>
      <c r="I31" s="20">
        <f>IF(H31&gt;0, F31/H31, 0)</f>
        <v/>
      </c>
      <c r="J31" s="37" t="n">
        <v>12</v>
      </c>
      <c r="K31" s="37" t="n">
        <v>140</v>
      </c>
      <c r="L31" s="16">
        <f>K31*$E$4</f>
        <v/>
      </c>
      <c r="M31" s="20">
        <f>IF(L31&gt;0, J31/L31, 0)</f>
        <v/>
      </c>
      <c r="N31" s="37" t="n">
        <v>0</v>
      </c>
      <c r="O31" s="37" t="n">
        <v>210</v>
      </c>
      <c r="P31" s="16">
        <f>O31*$E$4</f>
        <v/>
      </c>
      <c r="Q31" s="20">
        <f>IF(P31&gt;0, N31/P31, 0)</f>
        <v/>
      </c>
      <c r="R31" s="37" t="n">
        <v>50</v>
      </c>
      <c r="S31" s="37" t="n">
        <v>210</v>
      </c>
      <c r="T31" s="16">
        <f>S31*$E$4</f>
        <v/>
      </c>
      <c r="U31" s="20">
        <f>IF(T31&gt;0, R31/T31, 0)</f>
        <v/>
      </c>
      <c r="V31" s="37" t="n">
        <v>0</v>
      </c>
      <c r="W31" s="37" t="n">
        <v>210</v>
      </c>
      <c r="X31" s="16">
        <f>W31*$E$4</f>
        <v/>
      </c>
      <c r="Y31" s="20">
        <f>IF(X31&gt;0, V31/X31, 0)</f>
        <v/>
      </c>
      <c r="Z31" s="37" t="n">
        <v>47</v>
      </c>
      <c r="AA31" s="37" t="n">
        <v>28</v>
      </c>
      <c r="AB31" s="16">
        <f>AA31*$E$4</f>
        <v/>
      </c>
      <c r="AC31" s="20">
        <f>IF(AB31&gt;0, Z31/AB31, 0)</f>
        <v/>
      </c>
      <c r="AD31" s="37">
        <f>F31+J31+N31+R31+V31+Z31</f>
        <v/>
      </c>
      <c r="AE31" s="37">
        <f>G31+K31+O31+S31+W31+AA31</f>
        <v/>
      </c>
      <c r="AF31" s="16">
        <f>H31+L31+P31+T31+X31+AB31</f>
        <v/>
      </c>
      <c r="AG31" s="20">
        <f>IF(AF31&gt;0, AD31/AF31, 0)</f>
        <v/>
      </c>
    </row>
    <row r="32" ht="18.75" customHeight="1" s="46">
      <c r="A32" s="12" t="n">
        <v>6</v>
      </c>
      <c r="B32" s="12" t="inlineStr">
        <is>
          <t>NM-09</t>
        </is>
      </c>
      <c r="C32" s="13" t="inlineStr">
        <is>
          <t>COMPACTADOR NEUMÁTICO HAMM 208</t>
        </is>
      </c>
      <c r="D32" s="13" t="inlineStr">
        <is>
          <t>NOLVIN DE JESUS PEREZ GOMEZ</t>
        </is>
      </c>
      <c r="E32" s="13" t="inlineStr">
        <is>
          <t>Compactación Neumática / Acabado</t>
        </is>
      </c>
      <c r="F32" s="37" t="n">
        <v>0</v>
      </c>
      <c r="G32" s="37" t="n">
        <v>203</v>
      </c>
      <c r="H32" s="16">
        <f>G32*$E$4</f>
        <v/>
      </c>
      <c r="I32" s="20">
        <f>IF(H32&gt;0, F32/H32, 0)</f>
        <v/>
      </c>
      <c r="J32" s="37" t="n">
        <v>50</v>
      </c>
      <c r="K32" s="37" t="n">
        <v>140</v>
      </c>
      <c r="L32" s="16">
        <f>K32*$E$4</f>
        <v/>
      </c>
      <c r="M32" s="20">
        <f>IF(L32&gt;0, J32/L32, 0)</f>
        <v/>
      </c>
      <c r="N32" s="37" t="n">
        <v>0</v>
      </c>
      <c r="O32" s="37" t="n">
        <v>210</v>
      </c>
      <c r="P32" s="16">
        <f>O32*$E$4</f>
        <v/>
      </c>
      <c r="Q32" s="20">
        <f>IF(P32&gt;0, N32/P32, 0)</f>
        <v/>
      </c>
      <c r="R32" s="37" t="n">
        <v>50</v>
      </c>
      <c r="S32" s="37" t="n">
        <v>210</v>
      </c>
      <c r="T32" s="16">
        <f>S32*$E$4</f>
        <v/>
      </c>
      <c r="U32" s="20">
        <f>IF(T32&gt;0, R32/T32, 0)</f>
        <v/>
      </c>
      <c r="V32" s="37" t="n">
        <v>0</v>
      </c>
      <c r="W32" s="37" t="n">
        <v>210</v>
      </c>
      <c r="X32" s="16">
        <f>W32*$E$4</f>
        <v/>
      </c>
      <c r="Y32" s="20">
        <f>IF(X32&gt;0, V32/X32, 0)</f>
        <v/>
      </c>
      <c r="Z32" s="37" t="n">
        <v>53</v>
      </c>
      <c r="AA32" s="37" t="n">
        <v>28</v>
      </c>
      <c r="AB32" s="16">
        <f>AA32*$E$4</f>
        <v/>
      </c>
      <c r="AC32" s="20">
        <f>IF(AB32&gt;0, Z32/AB32, 0)</f>
        <v/>
      </c>
      <c r="AD32" s="37">
        <f>F32+J32+N32+R32+V32+Z32</f>
        <v/>
      </c>
      <c r="AE32" s="37">
        <f>G32+K32+O32+S32+W32+AA32</f>
        <v/>
      </c>
      <c r="AF32" s="16">
        <f>H32+L32+P32+T32+X32+AB32</f>
        <v/>
      </c>
      <c r="AG32" s="20">
        <f>IF(AF32&gt;0, AD32/AF32, 0)</f>
        <v/>
      </c>
    </row>
    <row r="33" ht="18.75" customHeight="1" s="46">
      <c r="A33" s="12" t="n">
        <v>7</v>
      </c>
      <c r="B33" s="12" t="inlineStr">
        <is>
          <t>BR-01</t>
        </is>
      </c>
      <c r="C33" s="13" t="inlineStr">
        <is>
          <t>BARREDORA INDUSTRIAL BROCE BROOM-350</t>
        </is>
      </c>
      <c r="D33" s="13" t="inlineStr">
        <is>
          <t>EDGAR ROSALES MARTINEZ</t>
        </is>
      </c>
      <c r="E33" s="13" t="inlineStr">
        <is>
          <t>Limpieza y Barrido Previo</t>
        </is>
      </c>
      <c r="F33" s="37" t="n">
        <v>0</v>
      </c>
      <c r="G33" s="37" t="n">
        <v>203</v>
      </c>
      <c r="H33" s="16">
        <f>G33*$E$4</f>
        <v/>
      </c>
      <c r="I33" s="20">
        <f>IF(H33&gt;0, F33/H33, 0)</f>
        <v/>
      </c>
      <c r="J33" s="37" t="n">
        <v>38</v>
      </c>
      <c r="K33" s="37" t="n">
        <v>140</v>
      </c>
      <c r="L33" s="16">
        <f>K33*$E$4</f>
        <v/>
      </c>
      <c r="M33" s="20">
        <f>IF(L33&gt;0, J33/L33, 0)</f>
        <v/>
      </c>
      <c r="N33" s="37" t="n">
        <v>0</v>
      </c>
      <c r="O33" s="37" t="n">
        <v>210</v>
      </c>
      <c r="P33" s="16">
        <f>O33*$E$4</f>
        <v/>
      </c>
      <c r="Q33" s="20">
        <f>IF(P33&gt;0, N33/P33, 0)</f>
        <v/>
      </c>
      <c r="R33" s="37" t="n">
        <v>28</v>
      </c>
      <c r="S33" s="37" t="n">
        <v>210</v>
      </c>
      <c r="T33" s="16">
        <f>S33*$E$4</f>
        <v/>
      </c>
      <c r="U33" s="20">
        <f>IF(T33&gt;0, R33/T33, 0)</f>
        <v/>
      </c>
      <c r="V33" s="37" t="n">
        <v>0</v>
      </c>
      <c r="W33" s="37" t="n">
        <v>210</v>
      </c>
      <c r="X33" s="16">
        <f>W33*$E$4</f>
        <v/>
      </c>
      <c r="Y33" s="20">
        <f>IF(X33&gt;0, V33/X33, 0)</f>
        <v/>
      </c>
      <c r="Z33" s="37" t="n">
        <v>36</v>
      </c>
      <c r="AA33" s="37" t="n">
        <v>28</v>
      </c>
      <c r="AB33" s="16">
        <f>AA33*$E$4</f>
        <v/>
      </c>
      <c r="AC33" s="20">
        <f>IF(AB33&gt;0, Z33/AB33, 0)</f>
        <v/>
      </c>
      <c r="AD33" s="37">
        <f>F33+J33+N33+R33+V33+Z33</f>
        <v/>
      </c>
      <c r="AE33" s="37">
        <f>G33+K33+O33+S33+W33+AA33</f>
        <v/>
      </c>
      <c r="AF33" s="16">
        <f>H33+L33+P33+T33+X33+AB33</f>
        <v/>
      </c>
      <c r="AG33" s="20">
        <f>IF(AF33&gt;0, AD33/AF33, 0)</f>
        <v/>
      </c>
    </row>
    <row r="34" ht="18.75" customHeight="1" s="46">
      <c r="A34" s="12" t="n">
        <v>8</v>
      </c>
      <c r="B34" s="12" t="inlineStr">
        <is>
          <t>RT-05</t>
        </is>
      </c>
      <c r="C34" s="13" t="inlineStr">
        <is>
          <t>RETROEXCAVADORA JOHN DEERE 310SK</t>
        </is>
      </c>
      <c r="D34" s="13" t="inlineStr">
        <is>
          <t>ADOLFO NAVA LOPEZ</t>
        </is>
      </c>
      <c r="E34" s="13" t="inlineStr">
        <is>
          <t>Carga Fresado y Derrumbes</t>
        </is>
      </c>
      <c r="F34" s="37" t="n">
        <v>115</v>
      </c>
      <c r="G34" s="37" t="n">
        <v>343</v>
      </c>
      <c r="H34" s="16">
        <f>G34*$E$4</f>
        <v/>
      </c>
      <c r="I34" s="20">
        <f>IF(G34&gt;0, F34/G34, 0)</f>
        <v/>
      </c>
      <c r="J34" s="37" t="n">
        <v>100</v>
      </c>
      <c r="K34" s="37" t="n">
        <v>343</v>
      </c>
      <c r="L34" s="16">
        <f>K34*$E$4</f>
        <v/>
      </c>
      <c r="M34" s="20">
        <f>IF(K34&gt;0, J34/K34, 0)</f>
        <v/>
      </c>
      <c r="N34" s="37" t="n">
        <v>0</v>
      </c>
      <c r="O34" s="37" t="n">
        <v>161</v>
      </c>
      <c r="P34" s="16">
        <f>O34*$E$4</f>
        <v/>
      </c>
      <c r="Q34" s="20">
        <f>IF(O34&gt;0, N34/O34, 0)</f>
        <v/>
      </c>
      <c r="R34" s="37" t="n">
        <v>60</v>
      </c>
      <c r="S34" s="37" t="n">
        <v>105</v>
      </c>
      <c r="T34" s="16">
        <f>S34*$E$4</f>
        <v/>
      </c>
      <c r="U34" s="20">
        <f>IF(S34&gt;0, R34/S34, 0)</f>
        <v/>
      </c>
      <c r="V34" s="37" t="n">
        <v>50</v>
      </c>
      <c r="W34" s="37" t="n">
        <v>77</v>
      </c>
      <c r="X34" s="16">
        <f>W34*$E$4</f>
        <v/>
      </c>
      <c r="Y34" s="20">
        <f>IF(W34&gt;0, V34/W34, 0)</f>
        <v/>
      </c>
      <c r="Z34" s="37" t="n">
        <v>65</v>
      </c>
      <c r="AA34" s="37" t="n">
        <v>259</v>
      </c>
      <c r="AB34" s="16">
        <f>AA34*$E$4</f>
        <v/>
      </c>
      <c r="AC34" s="20">
        <f>IF(AA34&gt;0, Z34/AA34, 0)</f>
        <v/>
      </c>
      <c r="AD34" s="37">
        <f>F34+J34+N34+R34+V34+Z34</f>
        <v/>
      </c>
      <c r="AE34" s="37">
        <f>G34+K34+O34+S34+W34+AA34</f>
        <v/>
      </c>
      <c r="AF34" s="16">
        <f>H34+L34+P34+T34+X34+AB34</f>
        <v/>
      </c>
      <c r="AG34" s="20">
        <f>IF(AE34&gt;0, AD34/AE34, 0)</f>
        <v/>
      </c>
    </row>
    <row r="35" ht="18.75" customHeight="1" s="46">
      <c r="A35" s="12" t="n">
        <v>9</v>
      </c>
      <c r="B35" s="12" t="inlineStr">
        <is>
          <t>PT-01</t>
        </is>
      </c>
      <c r="C35" s="13" t="inlineStr">
        <is>
          <t>PETROLIZADORA INTERNATIONAL / FORD F800</t>
        </is>
      </c>
      <c r="D35" s="13" t="inlineStr">
        <is>
          <t>ELTHON EDUARDO MARTINEZ GOMORA</t>
        </is>
      </c>
      <c r="E35" s="13" t="inlineStr">
        <is>
          <t>Riego de Liga / Emulsión</t>
        </is>
      </c>
      <c r="F35" s="37" t="n">
        <v>0</v>
      </c>
      <c r="G35" s="37" t="n">
        <v>203</v>
      </c>
      <c r="H35" s="16">
        <f>G35*$E$4</f>
        <v/>
      </c>
      <c r="I35" s="20">
        <f>IF(H35&gt;0, F35/H35, 0)</f>
        <v/>
      </c>
      <c r="J35" s="37" t="n">
        <v>60</v>
      </c>
      <c r="K35" s="37" t="n">
        <v>140</v>
      </c>
      <c r="L35" s="16">
        <f>K35*$E$4</f>
        <v/>
      </c>
      <c r="M35" s="20">
        <f>IF(L35&gt;0, J35/L35, 0)</f>
        <v/>
      </c>
      <c r="N35" s="37" t="n">
        <v>50</v>
      </c>
      <c r="O35" s="37" t="n">
        <v>210</v>
      </c>
      <c r="P35" s="16">
        <f>O35*$E$4</f>
        <v/>
      </c>
      <c r="Q35" s="20">
        <f>IF(P35&gt;0, N35/P35, 0)</f>
        <v/>
      </c>
      <c r="R35" s="37" t="n">
        <v>60</v>
      </c>
      <c r="S35" s="37" t="n">
        <v>210</v>
      </c>
      <c r="T35" s="16">
        <f>S35*$E$4</f>
        <v/>
      </c>
      <c r="U35" s="20">
        <f>IF(T35&gt;0, R35/T35, 0)</f>
        <v/>
      </c>
      <c r="V35" s="37" t="n">
        <v>0</v>
      </c>
      <c r="W35" s="37" t="n">
        <v>210</v>
      </c>
      <c r="X35" s="16">
        <f>W35*$E$4</f>
        <v/>
      </c>
      <c r="Y35" s="20">
        <f>IF(X35&gt;0, V35/X35, 0)</f>
        <v/>
      </c>
      <c r="Z35" s="37" t="n">
        <v>120</v>
      </c>
      <c r="AA35" s="37" t="n">
        <v>28</v>
      </c>
      <c r="AB35" s="16">
        <f>AA35*$E$4</f>
        <v/>
      </c>
      <c r="AC35" s="20">
        <f>IF(AB35&gt;0, Z35/AB35, 0)</f>
        <v/>
      </c>
      <c r="AD35" s="37">
        <f>F35+J35+N35+R35+V35+Z35</f>
        <v/>
      </c>
      <c r="AE35" s="37">
        <f>G35+K35+O35+S35+W35+AA35</f>
        <v/>
      </c>
      <c r="AF35" s="16">
        <f>H35+L35+P35+T35+X35+AB35</f>
        <v/>
      </c>
      <c r="AG35" s="20">
        <f>IF(AF35&gt;0, AD35/AF35, 0)</f>
        <v/>
      </c>
    </row>
    <row r="36" ht="18.75" customHeight="1" s="46">
      <c r="A36" s="12" t="n">
        <v>10</v>
      </c>
      <c r="B36" s="12" t="inlineStr">
        <is>
          <t>CPR-01</t>
        </is>
      </c>
      <c r="C36" s="13" t="inlineStr">
        <is>
          <t>COMPRESOR DE AIRE INGERSOLL RAND IR185</t>
        </is>
      </c>
      <c r="D36" s="13" t="inlineStr">
        <is>
          <t>CUADRILLA DE LIMPIEZA</t>
        </is>
      </c>
      <c r="E36" s="13" t="inlineStr">
        <is>
          <t>Sopleteado de Juntas</t>
        </is>
      </c>
      <c r="F36" s="37" t="n">
        <v>0</v>
      </c>
      <c r="G36" s="37" t="n">
        <v>0</v>
      </c>
      <c r="H36" s="16">
        <f>G36*$E$4</f>
        <v/>
      </c>
      <c r="I36" s="20" t="n">
        <v>0</v>
      </c>
      <c r="J36" s="37" t="n">
        <v>0</v>
      </c>
      <c r="K36" s="37" t="n">
        <v>0</v>
      </c>
      <c r="L36" s="16">
        <f>K36*$E$4</f>
        <v/>
      </c>
      <c r="M36" s="20" t="n">
        <v>0</v>
      </c>
      <c r="N36" s="37" t="n">
        <v>0</v>
      </c>
      <c r="O36" s="37" t="n">
        <v>0</v>
      </c>
      <c r="P36" s="16">
        <f>O36*$E$4</f>
        <v/>
      </c>
      <c r="Q36" s="20" t="n">
        <v>0</v>
      </c>
      <c r="R36" s="37" t="n">
        <v>0</v>
      </c>
      <c r="S36" s="37" t="n">
        <v>0</v>
      </c>
      <c r="T36" s="16">
        <f>S36*$E$4</f>
        <v/>
      </c>
      <c r="U36" s="20" t="n">
        <v>0</v>
      </c>
      <c r="V36" s="37" t="n">
        <v>0</v>
      </c>
      <c r="W36" s="37" t="n">
        <v>0</v>
      </c>
      <c r="X36" s="16">
        <f>W36*$E$4</f>
        <v/>
      </c>
      <c r="Y36" s="20" t="n">
        <v>0</v>
      </c>
      <c r="Z36" s="37" t="n">
        <v>0</v>
      </c>
      <c r="AA36" s="37" t="n">
        <v>0</v>
      </c>
      <c r="AB36" s="16">
        <f>AA36*$E$4</f>
        <v/>
      </c>
      <c r="AC36" s="20" t="n">
        <v>0</v>
      </c>
      <c r="AD36" s="37">
        <f>F36+J36+N36+R36+V36+Z36</f>
        <v/>
      </c>
      <c r="AE36" s="37">
        <f>G36+K36+O36+S36+W36+AA36</f>
        <v/>
      </c>
      <c r="AF36" s="16">
        <f>H36+L36+P36+T36+X36+AB36</f>
        <v/>
      </c>
      <c r="AG36" s="20" t="n">
        <v>0</v>
      </c>
    </row>
    <row r="37" ht="18.75" customHeight="1" s="46">
      <c r="A37" s="12" t="n">
        <v>11</v>
      </c>
      <c r="B37" s="12" t="inlineStr">
        <is>
          <t>PP-01</t>
        </is>
      </c>
      <c r="C37" s="13" t="inlineStr">
        <is>
          <t>CAMIÓN IMPACTO / PIPA DE AGUA FORD</t>
        </is>
      </c>
      <c r="D37" s="13" t="inlineStr">
        <is>
          <t>CUADRILLA DE AGUA</t>
        </is>
      </c>
      <c r="E37" s="13" t="inlineStr">
        <is>
          <t>Enfriamiento Rodillos / Riego</t>
        </is>
      </c>
      <c r="F37" s="37" t="n">
        <v>0</v>
      </c>
      <c r="G37" s="37" t="n">
        <v>0</v>
      </c>
      <c r="H37" s="16">
        <f>G37*$E$4</f>
        <v/>
      </c>
      <c r="I37" s="20" t="n">
        <v>0</v>
      </c>
      <c r="J37" s="37" t="n">
        <v>0</v>
      </c>
      <c r="K37" s="37" t="n">
        <v>0</v>
      </c>
      <c r="L37" s="16">
        <f>K37*$E$4</f>
        <v/>
      </c>
      <c r="M37" s="20" t="n">
        <v>0</v>
      </c>
      <c r="N37" s="37" t="n">
        <v>0</v>
      </c>
      <c r="O37" s="37" t="n">
        <v>0</v>
      </c>
      <c r="P37" s="16">
        <f>O37*$E$4</f>
        <v/>
      </c>
      <c r="Q37" s="20" t="n">
        <v>0</v>
      </c>
      <c r="R37" s="37" t="n">
        <v>0</v>
      </c>
      <c r="S37" s="37" t="n">
        <v>0</v>
      </c>
      <c r="T37" s="16">
        <f>S37*$E$4</f>
        <v/>
      </c>
      <c r="U37" s="20" t="n">
        <v>0</v>
      </c>
      <c r="V37" s="37" t="n">
        <v>0</v>
      </c>
      <c r="W37" s="37" t="n">
        <v>0</v>
      </c>
      <c r="X37" s="16">
        <f>W37*$E$4</f>
        <v/>
      </c>
      <c r="Y37" s="20" t="n">
        <v>0</v>
      </c>
      <c r="Z37" s="37" t="n">
        <v>0</v>
      </c>
      <c r="AA37" s="37" t="n">
        <v>0</v>
      </c>
      <c r="AB37" s="16">
        <f>AA37*$E$4</f>
        <v/>
      </c>
      <c r="AC37" s="20" t="n">
        <v>0</v>
      </c>
      <c r="AD37" s="37">
        <f>F37+J37+N37+R37+V37+Z37</f>
        <v/>
      </c>
      <c r="AE37" s="37">
        <f>G37+K37+O37+S37+W37+AA37</f>
        <v/>
      </c>
      <c r="AF37" s="16">
        <f>H37+L37+P37+T37+X37+AB37</f>
        <v/>
      </c>
      <c r="AG37" s="20" t="n">
        <v>0</v>
      </c>
    </row>
    <row r="38" ht="18.75" customHeight="1" s="46">
      <c r="A38" s="12" t="n">
        <v>12</v>
      </c>
      <c r="B38" s="12" t="inlineStr">
        <is>
          <t>TL-01</t>
        </is>
      </c>
      <c r="C38" s="13" t="inlineStr">
        <is>
          <t>TORRE DE LUZ MAXILIGHT 4X1000W</t>
        </is>
      </c>
      <c r="D38" s="13" t="inlineStr">
        <is>
          <t>CUADRILLA NOCTURNA</t>
        </is>
      </c>
      <c r="E38" s="13" t="inlineStr">
        <is>
          <t>Iluminación Nocturna</t>
        </is>
      </c>
      <c r="F38" s="37" t="n">
        <v>0</v>
      </c>
      <c r="G38" s="37" t="n">
        <v>0</v>
      </c>
      <c r="H38" s="16">
        <f>G38*$E$4</f>
        <v/>
      </c>
      <c r="I38" s="20" t="n">
        <v>0</v>
      </c>
      <c r="J38" s="37" t="n">
        <v>0</v>
      </c>
      <c r="K38" s="37" t="n">
        <v>0</v>
      </c>
      <c r="L38" s="16">
        <f>K38*$E$4</f>
        <v/>
      </c>
      <c r="M38" s="20" t="n">
        <v>0</v>
      </c>
      <c r="N38" s="37" t="n">
        <v>0</v>
      </c>
      <c r="O38" s="37" t="n">
        <v>0</v>
      </c>
      <c r="P38" s="16">
        <f>O38*$E$4</f>
        <v/>
      </c>
      <c r="Q38" s="20" t="n">
        <v>0</v>
      </c>
      <c r="R38" s="37" t="n">
        <v>0</v>
      </c>
      <c r="S38" s="37" t="n">
        <v>0</v>
      </c>
      <c r="T38" s="16">
        <f>S38*$E$4</f>
        <v/>
      </c>
      <c r="U38" s="20" t="n">
        <v>0</v>
      </c>
      <c r="V38" s="37" t="n">
        <v>0</v>
      </c>
      <c r="W38" s="37" t="n">
        <v>0</v>
      </c>
      <c r="X38" s="16">
        <f>W38*$E$4</f>
        <v/>
      </c>
      <c r="Y38" s="20" t="n">
        <v>0</v>
      </c>
      <c r="Z38" s="37" t="n">
        <v>0</v>
      </c>
      <c r="AA38" s="37" t="n">
        <v>0</v>
      </c>
      <c r="AB38" s="16">
        <f>AA38*$E$4</f>
        <v/>
      </c>
      <c r="AC38" s="20" t="n">
        <v>0</v>
      </c>
      <c r="AD38" s="37">
        <f>F38+J38+N38+R38+V38+Z38</f>
        <v/>
      </c>
      <c r="AE38" s="37">
        <f>G38+K38+O38+S38+W38+AA38</f>
        <v/>
      </c>
      <c r="AF38" s="16">
        <f>H38+L38+P38+T38+X38+AB38</f>
        <v/>
      </c>
      <c r="AG38" s="20" t="n">
        <v>0</v>
      </c>
    </row>
    <row r="39" ht="21.75" customHeight="1" s="46">
      <c r="A39" s="30" t="inlineStr">
        <is>
          <t>TOTAL DIARIO CONSOLIDADO (OBRA MÉXICO-TOLUCA)</t>
        </is>
      </c>
      <c r="B39" s="50" t="n"/>
      <c r="C39" s="50" t="n"/>
      <c r="D39" s="50" t="n"/>
      <c r="E39" s="51" t="n"/>
      <c r="F39" s="27">
        <f>SUM(F27:F38)</f>
        <v/>
      </c>
      <c r="G39" s="27">
        <f>MAX(G27:G38)</f>
        <v/>
      </c>
      <c r="H39" s="28">
        <f>G39*$E$4</f>
        <v/>
      </c>
      <c r="I39" s="29">
        <f>IF(H39&gt;0, F39/H39, 0)</f>
        <v/>
      </c>
      <c r="J39" s="27">
        <f>SUM(J27:J38)</f>
        <v/>
      </c>
      <c r="K39" s="27">
        <f>MAX(K27:K38)</f>
        <v/>
      </c>
      <c r="L39" s="28">
        <f>K39*$E$4</f>
        <v/>
      </c>
      <c r="M39" s="29">
        <f>IF(L39&gt;0, J39/L39, 0)</f>
        <v/>
      </c>
      <c r="N39" s="27">
        <f>SUM(N27:N38)</f>
        <v/>
      </c>
      <c r="O39" s="27">
        <f>MAX(O27:O38)</f>
        <v/>
      </c>
      <c r="P39" s="28">
        <f>O39*$E$4</f>
        <v/>
      </c>
      <c r="Q39" s="29">
        <f>IF(P39&gt;0, N39/P39, 0)</f>
        <v/>
      </c>
      <c r="R39" s="27">
        <f>SUM(R27:R38)</f>
        <v/>
      </c>
      <c r="S39" s="27">
        <f>MAX(S27:S38)</f>
        <v/>
      </c>
      <c r="T39" s="28">
        <f>S39*$E$4</f>
        <v/>
      </c>
      <c r="U39" s="29">
        <f>IF(T39&gt;0, R39/T39, 0)</f>
        <v/>
      </c>
      <c r="V39" s="27">
        <f>SUM(V27:V38)</f>
        <v/>
      </c>
      <c r="W39" s="27">
        <f>MAX(W27:W38)</f>
        <v/>
      </c>
      <c r="X39" s="28">
        <f>W39*$E$4</f>
        <v/>
      </c>
      <c r="Y39" s="29">
        <f>IF(X39&gt;0, V39/X39, 0)</f>
        <v/>
      </c>
      <c r="Z39" s="27">
        <f>SUM(Z27:Z38)</f>
        <v/>
      </c>
      <c r="AA39" s="27">
        <f>MAX(AA27:AA38)</f>
        <v/>
      </c>
      <c r="AB39" s="28">
        <f>AA39*$E$4</f>
        <v/>
      </c>
      <c r="AC39" s="29">
        <f>IF(AB39&gt;0, Z39/AB39, 0)</f>
        <v/>
      </c>
      <c r="AD39" s="27">
        <f>SUM(AD27:AD38)</f>
        <v/>
      </c>
      <c r="AE39" s="27">
        <f>SUM(AE27:AE38)</f>
        <v/>
      </c>
      <c r="AF39" s="28">
        <f>SUM(AF27:AF38)</f>
        <v/>
      </c>
      <c r="AG39" s="29">
        <f>IF(AF39&gt;0, AD39/AF39, 0)</f>
        <v/>
      </c>
    </row>
    <row r="40" ht="15.75" customHeight="1" s="46"/>
    <row r="41" ht="15.75" customHeight="1" s="46">
      <c r="A41" s="40" t="inlineStr">
        <is>
          <t>NOTA TÉCNICA Y CRITERIOS DE CONTROL DE RENDIMIENTO — OBRA MÉXICO-TOLUCA:
1. Peso Volumétrico Oficial del Asfalto: 1.742 Ton/m³ (Toneladas = m³ Carpeta × 1.742).
2. Rendimiento Base (L/h): Consumo nominal de fabricante ajustado con 1.2% anual de desgaste por antigüedad al 2026.
3. Rendimiento Real: Diésel Surtido / Toneladas Tendidas (L/Ton) o Diésel Surtido / Volumen Fresado (L/m³).
4. Estatus Operativo: DENTRO DE RENDIMIENTO BASE (Verde) / EXCEDE RENDIMIENTO BASE (Rojo) / SIN CONSUMO (Gris).</t>
        </is>
      </c>
    </row>
    <row r="42" ht="15.75" customHeight="1" s="46"/>
    <row r="43" ht="15.75" customHeight="1" s="46"/>
    <row r="44" ht="15.75" customHeight="1" s="46"/>
    <row r="45" ht="15.75" customHeight="1" s="46"/>
    <row r="46" ht="15.75" customHeight="1" s="46"/>
    <row r="47" ht="15.75" customHeight="1" s="46"/>
    <row r="48" ht="15.75" customHeight="1" s="46"/>
    <row r="49" ht="15.75" customHeight="1" s="46"/>
    <row r="50" ht="15.75" customHeight="1" s="46"/>
    <row r="51" ht="15.75" customHeight="1" s="46"/>
    <row r="52" ht="15.75" customHeight="1" s="46"/>
    <row r="53" ht="15.75" customHeight="1" s="46"/>
    <row r="54" ht="15.75" customHeight="1" s="46"/>
    <row r="55" ht="15.75" customHeight="1" s="46"/>
    <row r="56" ht="15.75" customHeight="1" s="46"/>
    <row r="57" ht="15.75" customHeight="1" s="46"/>
    <row r="58" ht="15.75" customHeight="1" s="46"/>
    <row r="59" ht="15.75" customHeight="1" s="46"/>
    <row r="60" ht="15.75" customHeight="1" s="46"/>
    <row r="61" ht="15.75" customHeight="1" s="46"/>
    <row r="62" ht="15.75" customHeight="1" s="46"/>
    <row r="63" ht="15.75" customHeight="1" s="46"/>
    <row r="64" ht="15.75" customHeight="1" s="46"/>
    <row r="65" ht="15.75" customHeight="1" s="46"/>
    <row r="66" ht="15.75" customHeight="1" s="46"/>
    <row r="67" ht="15.75" customHeight="1" s="46"/>
    <row r="68" ht="15.75" customHeight="1" s="46"/>
    <row r="69" ht="15.75" customHeight="1" s="46"/>
    <row r="70" ht="15.75" customHeight="1" s="46"/>
    <row r="71" ht="15.75" customHeight="1" s="46"/>
    <row r="72" ht="15.75" customHeight="1" s="46"/>
    <row r="73" ht="15.75" customHeight="1" s="46"/>
    <row r="74" ht="15.75" customHeight="1" s="46"/>
    <row r="75" ht="15.75" customHeight="1" s="46"/>
    <row r="76" ht="15.75" customHeight="1" s="46"/>
    <row r="77" ht="15.75" customHeight="1" s="46"/>
    <row r="78" ht="15.75" customHeight="1" s="46"/>
    <row r="79" ht="15.75" customHeight="1" s="46"/>
    <row r="80" ht="15.75" customHeight="1" s="46"/>
    <row r="81" ht="15.75" customHeight="1" s="46"/>
    <row r="82" ht="15.75" customHeight="1" s="46"/>
    <row r="83" ht="15.75" customHeight="1" s="46"/>
    <row r="84" ht="15.75" customHeight="1" s="46"/>
    <row r="85" ht="15.75" customHeight="1" s="46"/>
    <row r="86" ht="15.75" customHeight="1" s="46"/>
    <row r="87" ht="15.75" customHeight="1" s="46"/>
    <row r="88" ht="15.75" customHeight="1" s="46"/>
    <row r="89" ht="15.75" customHeight="1" s="46"/>
    <row r="90" ht="15.75" customHeight="1" s="46"/>
    <row r="91" ht="15.75" customHeight="1" s="46"/>
    <row r="92" ht="15.75" customHeight="1" s="46"/>
    <row r="93" ht="15.75" customHeight="1" s="46"/>
    <row r="94" ht="15.75" customHeight="1" s="46"/>
    <row r="95" ht="15.75" customHeight="1" s="46"/>
    <row r="96" ht="15.75" customHeight="1" s="46"/>
    <row r="97" ht="15.75" customHeight="1" s="46"/>
    <row r="98" ht="15.75" customHeight="1" s="46"/>
    <row r="99" ht="15.75" customHeight="1" s="46"/>
    <row r="100" ht="15.75" customHeight="1" s="46"/>
    <row r="101" ht="15.75" customHeight="1" s="46"/>
    <row r="102" ht="15.75" customHeight="1" s="46"/>
    <row r="103" ht="15.75" customHeight="1" s="46"/>
    <row r="104" ht="15.75" customHeight="1" s="46"/>
    <row r="105" ht="15.75" customHeight="1" s="46"/>
    <row r="106" ht="15.75" customHeight="1" s="46"/>
    <row r="107" ht="15.75" customHeight="1" s="46"/>
    <row r="108" ht="15.75" customHeight="1" s="46"/>
    <row r="109" ht="15.75" customHeight="1" s="46"/>
    <row r="110" ht="15.75" customHeight="1" s="46"/>
    <row r="111" ht="15.75" customHeight="1" s="46"/>
    <row r="112" ht="15.75" customHeight="1" s="46"/>
    <row r="113" ht="15.75" customHeight="1" s="46"/>
    <row r="114" ht="15.75" customHeight="1" s="46"/>
    <row r="115" ht="15.75" customHeight="1" s="46"/>
    <row r="116" ht="15.75" customHeight="1" s="46"/>
    <row r="117" ht="15.75" customHeight="1" s="46"/>
    <row r="118" ht="15.75" customHeight="1" s="46"/>
    <row r="119" ht="15.75" customHeight="1" s="46"/>
    <row r="120" ht="15.75" customHeight="1" s="46"/>
    <row r="121" ht="15.75" customHeight="1" s="46"/>
    <row r="122" ht="15.75" customHeight="1" s="46"/>
    <row r="123" ht="15.75" customHeight="1" s="46"/>
    <row r="124" ht="15.75" customHeight="1" s="46"/>
    <row r="125" ht="15.75" customHeight="1" s="46"/>
    <row r="126" ht="15.75" customHeight="1" s="46"/>
    <row r="127" ht="15.75" customHeight="1" s="46"/>
    <row r="128" ht="15.75" customHeight="1" s="46"/>
    <row r="129" ht="15.75" customHeight="1" s="46"/>
    <row r="130" ht="15.75" customHeight="1" s="46"/>
    <row r="131" ht="15.75" customHeight="1" s="46"/>
    <row r="132" ht="15.75" customHeight="1" s="46"/>
    <row r="133" ht="15.75" customHeight="1" s="46"/>
    <row r="134" ht="15.75" customHeight="1" s="46"/>
    <row r="135" ht="15.75" customHeight="1" s="46"/>
    <row r="136" ht="15.75" customHeight="1" s="46"/>
    <row r="137" ht="15.75" customHeight="1" s="46"/>
    <row r="138" ht="15.75" customHeight="1" s="46"/>
    <row r="139" ht="15.75" customHeight="1" s="46"/>
    <row r="140" ht="15.75" customHeight="1" s="46"/>
    <row r="141" ht="15.75" customHeight="1" s="46"/>
    <row r="142" ht="15.75" customHeight="1" s="46"/>
    <row r="143" ht="15.75" customHeight="1" s="46"/>
    <row r="144" ht="15.75" customHeight="1" s="46"/>
    <row r="145" ht="15.75" customHeight="1" s="46"/>
    <row r="146" ht="15.75" customHeight="1" s="46"/>
    <row r="147" ht="15.75" customHeight="1" s="46"/>
    <row r="148" ht="15.75" customHeight="1" s="46"/>
    <row r="149" ht="15.75" customHeight="1" s="46"/>
    <row r="150" ht="15.75" customHeight="1" s="46"/>
    <row r="151" ht="15.75" customHeight="1" s="46"/>
    <row r="152" ht="15.75" customHeight="1" s="46"/>
    <row r="153" ht="15.75" customHeight="1" s="46"/>
    <row r="154" ht="15.75" customHeight="1" s="46"/>
    <row r="155" ht="15.75" customHeight="1" s="46"/>
    <row r="156" ht="15.75" customHeight="1" s="46"/>
    <row r="157" ht="15.75" customHeight="1" s="46"/>
    <row r="158" ht="15.75" customHeight="1" s="46"/>
    <row r="159" ht="15.75" customHeight="1" s="46"/>
    <row r="160" ht="15.75" customHeight="1" s="46"/>
    <row r="161" ht="15.75" customHeight="1" s="46"/>
    <row r="162" ht="15.75" customHeight="1" s="46"/>
    <row r="163" ht="15.75" customHeight="1" s="46"/>
    <row r="164" ht="15.75" customHeight="1" s="46"/>
    <row r="165" ht="15.75" customHeight="1" s="46"/>
    <row r="166" ht="15.75" customHeight="1" s="46"/>
    <row r="167" ht="15.75" customHeight="1" s="46"/>
    <row r="168" ht="15.75" customHeight="1" s="46"/>
    <row r="169" ht="15.75" customHeight="1" s="46"/>
    <row r="170" ht="15.75" customHeight="1" s="46"/>
    <row r="171" ht="15.75" customHeight="1" s="46"/>
    <row r="172" ht="15.75" customHeight="1" s="46"/>
    <row r="173" ht="15.75" customHeight="1" s="46"/>
    <row r="174" ht="15.75" customHeight="1" s="46"/>
    <row r="175" ht="15.75" customHeight="1" s="46"/>
    <row r="176" ht="15.75" customHeight="1" s="46"/>
    <row r="177" ht="15.75" customHeight="1" s="46"/>
    <row r="178" ht="15.75" customHeight="1" s="46"/>
    <row r="179" ht="15.75" customHeight="1" s="46"/>
    <row r="180" ht="15.75" customHeight="1" s="46"/>
    <row r="181" ht="15.75" customHeight="1" s="46"/>
    <row r="182" ht="15.75" customHeight="1" s="46"/>
    <row r="183" ht="15.75" customHeight="1" s="46"/>
    <row r="184" ht="15.75" customHeight="1" s="46"/>
    <row r="185" ht="15.75" customHeight="1" s="46"/>
    <row r="186" ht="15.75" customHeight="1" s="46"/>
    <row r="187" ht="15.75" customHeight="1" s="46"/>
    <row r="188" ht="15.75" customHeight="1" s="46"/>
    <row r="189" ht="15.75" customHeight="1" s="46"/>
    <row r="190" ht="15.75" customHeight="1" s="46"/>
    <row r="191" ht="15.75" customHeight="1" s="46"/>
    <row r="192" ht="15.75" customHeight="1" s="46"/>
    <row r="193" ht="15.75" customHeight="1" s="46"/>
    <row r="194" ht="15.75" customHeight="1" s="46"/>
    <row r="195" ht="15.75" customHeight="1" s="46"/>
    <row r="196" ht="15.75" customHeight="1" s="46"/>
    <row r="197" ht="15.75" customHeight="1" s="46"/>
    <row r="198" ht="15.75" customHeight="1" s="46"/>
    <row r="199" ht="15.75" customHeight="1" s="46"/>
    <row r="200" ht="15.75" customHeight="1" s="46"/>
    <row r="201" ht="15.75" customHeight="1" s="46"/>
    <row r="202" ht="15.75" customHeight="1" s="46"/>
    <row r="203" ht="15.75" customHeight="1" s="46"/>
    <row r="204" ht="15.75" customHeight="1" s="46"/>
    <row r="205" ht="15.75" customHeight="1" s="46"/>
    <row r="206" ht="15.75" customHeight="1" s="46"/>
    <row r="207" ht="15.75" customHeight="1" s="46"/>
    <row r="208" ht="15.75" customHeight="1" s="46"/>
    <row r="209" ht="15.75" customHeight="1" s="46"/>
    <row r="210" ht="15.75" customHeight="1" s="46"/>
    <row r="211" ht="15.75" customHeight="1" s="46"/>
    <row r="212" ht="15.75" customHeight="1" s="46"/>
    <row r="213" ht="15.75" customHeight="1" s="46"/>
    <row r="214" ht="15.75" customHeight="1" s="46"/>
    <row r="215" ht="15.75" customHeight="1" s="46"/>
    <row r="216" ht="15.75" customHeight="1" s="46"/>
    <row r="217" ht="15.75" customHeight="1" s="46"/>
    <row r="218" ht="15.75" customHeight="1" s="46"/>
    <row r="219" ht="15.75" customHeight="1" s="46"/>
    <row r="220" ht="15.75" customHeight="1" s="46"/>
    <row r="221" ht="15.75" customHeight="1" s="46"/>
    <row r="222" ht="15.75" customHeight="1" s="46"/>
    <row r="223" ht="15.75" customHeight="1" s="46"/>
    <row r="224" ht="15.75" customHeight="1" s="46"/>
    <row r="225" ht="15.75" customHeight="1" s="46"/>
    <row r="226" ht="15.75" customHeight="1" s="46"/>
    <row r="227" ht="15.75" customHeight="1" s="46"/>
    <row r="228" ht="15.75" customHeight="1" s="46"/>
    <row r="229" ht="15.75" customHeight="1" s="46"/>
    <row r="230" ht="15.75" customHeight="1" s="46"/>
    <row r="231" ht="15.75" customHeight="1" s="46"/>
    <row r="232" ht="15.75" customHeight="1" s="46"/>
    <row r="233" ht="15.75" customHeight="1" s="46"/>
    <row r="234" ht="15.75" customHeight="1" s="46"/>
    <row r="235" ht="15.75" customHeight="1" s="46"/>
    <row r="236" ht="15.75" customHeight="1" s="46"/>
    <row r="237" ht="15.75" customHeight="1" s="46"/>
    <row r="238" ht="15.75" customHeight="1" s="46"/>
    <row r="239" ht="15.75" customHeight="1" s="46"/>
    <row r="240" ht="15.75" customHeight="1" s="46"/>
    <row r="241" ht="15.75" customHeight="1" s="46"/>
    <row r="242" ht="15.75" customHeight="1" s="46"/>
    <row r="243" ht="15.75" customHeight="1" s="46"/>
    <row r="244" ht="15.75" customHeight="1" s="46"/>
    <row r="245" ht="15.75" customHeight="1" s="46"/>
    <row r="246" ht="15.75" customHeight="1" s="46"/>
    <row r="247" ht="15.75" customHeight="1" s="46"/>
    <row r="248" ht="15.75" customHeight="1" s="46"/>
    <row r="249" ht="15.75" customHeight="1" s="46"/>
    <row r="250" ht="15.75" customHeight="1" s="46"/>
    <row r="251" ht="15.75" customHeight="1" s="46"/>
    <row r="252" ht="15.75" customHeight="1" s="46"/>
    <row r="253" ht="15.75" customHeight="1" s="46"/>
    <row r="254" ht="15.75" customHeight="1" s="46"/>
    <row r="255" ht="15.75" customHeight="1" s="46"/>
    <row r="256" ht="15.75" customHeight="1" s="46"/>
    <row r="257" ht="15.75" customHeight="1" s="46"/>
    <row r="258" ht="15.75" customHeight="1" s="46"/>
    <row r="259" ht="15.75" customHeight="1" s="46"/>
    <row r="260" ht="15.75" customHeight="1" s="46"/>
    <row r="261" ht="15.75" customHeight="1" s="46"/>
    <row r="262" ht="15.75" customHeight="1" s="46"/>
    <row r="263" ht="15.75" customHeight="1" s="46"/>
    <row r="264" ht="15.75" customHeight="1" s="46"/>
    <row r="265" ht="15.75" customHeight="1" s="46"/>
    <row r="266" ht="15.75" customHeight="1" s="46"/>
    <row r="267" ht="15.75" customHeight="1" s="46"/>
    <row r="268" ht="15.75" customHeight="1" s="46"/>
    <row r="269" ht="15.75" customHeight="1" s="46"/>
    <row r="270" ht="15.75" customHeight="1" s="46"/>
    <row r="271" ht="15.75" customHeight="1" s="46"/>
    <row r="272" ht="15.75" customHeight="1" s="46"/>
    <row r="273" ht="15.75" customHeight="1" s="46"/>
    <row r="274" ht="15.75" customHeight="1" s="46"/>
    <row r="275" ht="15.75" customHeight="1" s="46"/>
    <row r="276" ht="15.75" customHeight="1" s="46"/>
    <row r="277" ht="15.75" customHeight="1" s="46"/>
    <row r="278" ht="15.75" customHeight="1" s="46"/>
    <row r="279" ht="15.75" customHeight="1" s="46"/>
    <row r="280" ht="15.75" customHeight="1" s="46"/>
    <row r="281" ht="15.75" customHeight="1" s="46"/>
    <row r="282" ht="15.75" customHeight="1" s="46"/>
    <row r="283" ht="15.75" customHeight="1" s="46"/>
    <row r="284" ht="15.75" customHeight="1" s="46"/>
    <row r="285" ht="15.75" customHeight="1" s="46"/>
    <row r="286" ht="15.75" customHeight="1" s="46"/>
    <row r="287" ht="15.75" customHeight="1" s="46"/>
    <row r="288" ht="15.75" customHeight="1" s="46"/>
    <row r="289" ht="15.75" customHeight="1" s="46"/>
    <row r="290" ht="15.75" customHeight="1" s="46"/>
    <row r="291" ht="15.75" customHeight="1" s="46"/>
    <row r="292" ht="15.75" customHeight="1" s="46"/>
    <row r="293" ht="15.75" customHeight="1" s="46"/>
    <row r="294" ht="15.75" customHeight="1" s="46"/>
    <row r="295" ht="15.75" customHeight="1" s="46"/>
    <row r="296" ht="15.75" customHeight="1" s="46"/>
    <row r="297" ht="15.75" customHeight="1" s="46"/>
    <row r="298" ht="15.75" customHeight="1" s="46"/>
    <row r="299" ht="15.75" customHeight="1" s="46"/>
    <row r="300" ht="15.75" customHeight="1" s="46"/>
    <row r="301" ht="15.75" customHeight="1" s="46"/>
    <row r="302" ht="15.75" customHeight="1" s="46"/>
    <row r="303" ht="15.75" customHeight="1" s="46"/>
    <row r="304" ht="15.75" customHeight="1" s="46"/>
    <row r="305" ht="15.75" customHeight="1" s="46"/>
    <row r="306" ht="15.75" customHeight="1" s="46"/>
    <row r="307" ht="15.75" customHeight="1" s="46"/>
    <row r="308" ht="15.75" customHeight="1" s="46"/>
    <row r="309" ht="15.75" customHeight="1" s="46"/>
    <row r="310" ht="15.75" customHeight="1" s="46"/>
    <row r="311" ht="15.75" customHeight="1" s="46"/>
    <row r="312" ht="15.75" customHeight="1" s="46"/>
    <row r="313" ht="15.75" customHeight="1" s="46"/>
    <row r="314" ht="15.75" customHeight="1" s="46"/>
    <row r="315" ht="15.75" customHeight="1" s="46"/>
    <row r="316" ht="15.75" customHeight="1" s="46"/>
    <row r="317" ht="15.75" customHeight="1" s="46"/>
    <row r="318" ht="15.75" customHeight="1" s="46"/>
    <row r="319" ht="15.75" customHeight="1" s="46"/>
    <row r="320" ht="15.75" customHeight="1" s="46"/>
    <row r="321" ht="15.75" customHeight="1" s="46"/>
    <row r="322" ht="15.75" customHeight="1" s="46"/>
    <row r="323" ht="15.75" customHeight="1" s="46"/>
    <row r="324" ht="15.75" customHeight="1" s="46"/>
    <row r="325" ht="15.75" customHeight="1" s="46"/>
    <row r="326" ht="15.75" customHeight="1" s="46"/>
    <row r="327" ht="15.75" customHeight="1" s="46"/>
    <row r="328" ht="15.75" customHeight="1" s="46"/>
    <row r="329" ht="15.75" customHeight="1" s="46"/>
    <row r="330" ht="15.75" customHeight="1" s="46"/>
    <row r="331" ht="15.75" customHeight="1" s="46"/>
    <row r="332" ht="15.75" customHeight="1" s="46"/>
    <row r="333" ht="15.75" customHeight="1" s="46"/>
    <row r="334" ht="15.75" customHeight="1" s="46"/>
    <row r="335" ht="15.75" customHeight="1" s="46"/>
    <row r="336" ht="15.75" customHeight="1" s="46"/>
    <row r="337" ht="15.75" customHeight="1" s="46"/>
    <row r="338" ht="15.75" customHeight="1" s="46"/>
    <row r="339" ht="15.75" customHeight="1" s="46"/>
    <row r="340" ht="15.75" customHeight="1" s="46"/>
    <row r="341" ht="15.75" customHeight="1" s="46"/>
    <row r="342" ht="15.75" customHeight="1" s="46"/>
    <row r="343" ht="15.75" customHeight="1" s="46"/>
    <row r="344" ht="15.75" customHeight="1" s="46"/>
    <row r="345" ht="15.75" customHeight="1" s="46"/>
    <row r="346" ht="15.75" customHeight="1" s="46"/>
    <row r="347" ht="15.75" customHeight="1" s="46"/>
    <row r="348" ht="15.75" customHeight="1" s="46"/>
    <row r="349" ht="15.75" customHeight="1" s="46"/>
    <row r="350" ht="15.75" customHeight="1" s="46"/>
    <row r="351" ht="15.75" customHeight="1" s="46"/>
    <row r="352" ht="15.75" customHeight="1" s="46"/>
    <row r="353" ht="15.75" customHeight="1" s="46"/>
    <row r="354" ht="15.75" customHeight="1" s="46"/>
    <row r="355" ht="15.75" customHeight="1" s="46"/>
    <row r="356" ht="15.75" customHeight="1" s="46"/>
    <row r="357" ht="15.75" customHeight="1" s="46"/>
    <row r="358" ht="15.75" customHeight="1" s="46"/>
    <row r="359" ht="15.75" customHeight="1" s="46"/>
    <row r="360" ht="15.75" customHeight="1" s="46"/>
    <row r="361" ht="15.75" customHeight="1" s="46"/>
    <row r="362" ht="15.75" customHeight="1" s="46"/>
    <row r="363" ht="15.75" customHeight="1" s="46"/>
    <row r="364" ht="15.75" customHeight="1" s="46"/>
    <row r="365" ht="15.75" customHeight="1" s="46"/>
    <row r="366" ht="15.75" customHeight="1" s="46"/>
    <row r="367" ht="15.75" customHeight="1" s="46"/>
    <row r="368" ht="15.75" customHeight="1" s="46"/>
    <row r="369" ht="15.75" customHeight="1" s="46"/>
    <row r="370" ht="15.75" customHeight="1" s="46"/>
    <row r="371" ht="15.75" customHeight="1" s="46"/>
    <row r="372" ht="15.75" customHeight="1" s="46"/>
    <row r="373" ht="15.75" customHeight="1" s="46"/>
    <row r="374" ht="15.75" customHeight="1" s="46"/>
    <row r="375" ht="15.75" customHeight="1" s="46"/>
    <row r="376" ht="15.75" customHeight="1" s="46"/>
    <row r="377" ht="15.75" customHeight="1" s="46"/>
    <row r="378" ht="15.75" customHeight="1" s="46"/>
    <row r="379" ht="15.75" customHeight="1" s="46"/>
    <row r="380" ht="15.75" customHeight="1" s="46"/>
    <row r="381" ht="15.75" customHeight="1" s="46"/>
    <row r="382" ht="15.75" customHeight="1" s="46"/>
    <row r="383" ht="15.75" customHeight="1" s="46"/>
    <row r="384" ht="15.75" customHeight="1" s="46"/>
    <row r="385" ht="15.75" customHeight="1" s="46"/>
    <row r="386" ht="15.75" customHeight="1" s="46"/>
    <row r="387" ht="15.75" customHeight="1" s="46"/>
    <row r="388" ht="15.75" customHeight="1" s="46"/>
    <row r="389" ht="15.75" customHeight="1" s="46"/>
    <row r="390" ht="15.75" customHeight="1" s="46"/>
    <row r="391" ht="15.75" customHeight="1" s="46"/>
    <row r="392" ht="15.75" customHeight="1" s="46"/>
    <row r="393" ht="15.75" customHeight="1" s="46"/>
    <row r="394" ht="15.75" customHeight="1" s="46"/>
    <row r="395" ht="15.75" customHeight="1" s="46"/>
    <row r="396" ht="15.75" customHeight="1" s="46"/>
    <row r="397" ht="15.75" customHeight="1" s="46"/>
    <row r="398" ht="15.75" customHeight="1" s="46"/>
    <row r="399" ht="15.75" customHeight="1" s="46"/>
    <row r="400" ht="15.75" customHeight="1" s="46"/>
    <row r="401" ht="15.75" customHeight="1" s="46"/>
    <row r="402" ht="15.75" customHeight="1" s="46"/>
    <row r="403" ht="15.75" customHeight="1" s="46"/>
    <row r="404" ht="15.75" customHeight="1" s="46"/>
    <row r="405" ht="15.75" customHeight="1" s="46"/>
    <row r="406" ht="15.75" customHeight="1" s="46"/>
    <row r="407" ht="15.75" customHeight="1" s="46"/>
    <row r="408" ht="15.75" customHeight="1" s="46"/>
    <row r="409" ht="15.75" customHeight="1" s="46"/>
    <row r="410" ht="15.75" customHeight="1" s="46"/>
    <row r="411" ht="15.75" customHeight="1" s="46"/>
    <row r="412" ht="15.75" customHeight="1" s="46"/>
    <row r="413" ht="15.75" customHeight="1" s="46"/>
    <row r="414" ht="15.75" customHeight="1" s="46"/>
    <row r="415" ht="15.75" customHeight="1" s="46"/>
    <row r="416" ht="15.75" customHeight="1" s="46"/>
    <row r="417" ht="15.75" customHeight="1" s="46"/>
    <row r="418" ht="15.75" customHeight="1" s="46"/>
    <row r="419" ht="15.75" customHeight="1" s="46"/>
    <row r="420" ht="15.75" customHeight="1" s="46"/>
    <row r="421" ht="15.75" customHeight="1" s="46"/>
    <row r="422" ht="15.75" customHeight="1" s="46"/>
    <row r="423" ht="15.75" customHeight="1" s="46"/>
    <row r="424" ht="15.75" customHeight="1" s="46"/>
    <row r="425" ht="15.75" customHeight="1" s="46"/>
    <row r="426" ht="15.75" customHeight="1" s="46"/>
    <row r="427" ht="15.75" customHeight="1" s="46"/>
    <row r="428" ht="15.75" customHeight="1" s="46"/>
    <row r="429" ht="15.75" customHeight="1" s="46"/>
    <row r="430" ht="15.75" customHeight="1" s="46"/>
    <row r="431" ht="15.75" customHeight="1" s="46"/>
    <row r="432" ht="15.75" customHeight="1" s="46"/>
    <row r="433" ht="15.75" customHeight="1" s="46"/>
    <row r="434" ht="15.75" customHeight="1" s="46"/>
    <row r="435" ht="15.75" customHeight="1" s="46"/>
    <row r="436" ht="15.75" customHeight="1" s="46"/>
    <row r="437" ht="15.75" customHeight="1" s="46"/>
    <row r="438" ht="15.75" customHeight="1" s="46"/>
    <row r="439" ht="15.75" customHeight="1" s="46"/>
    <row r="440" ht="15.75" customHeight="1" s="46"/>
    <row r="441" ht="15.75" customHeight="1" s="46"/>
    <row r="442" ht="15.75" customHeight="1" s="46"/>
    <row r="443" ht="15.75" customHeight="1" s="46"/>
    <row r="444" ht="15.75" customHeight="1" s="46"/>
    <row r="445" ht="15.75" customHeight="1" s="46"/>
    <row r="446" ht="15.75" customHeight="1" s="46"/>
    <row r="447" ht="15.75" customHeight="1" s="46"/>
    <row r="448" ht="15.75" customHeight="1" s="46"/>
    <row r="449" ht="15.75" customHeight="1" s="46"/>
    <row r="450" ht="15.75" customHeight="1" s="46"/>
    <row r="451" ht="15.75" customHeight="1" s="46"/>
    <row r="452" ht="15.75" customHeight="1" s="46"/>
    <row r="453" ht="15.75" customHeight="1" s="46"/>
    <row r="454" ht="15.75" customHeight="1" s="46"/>
    <row r="455" ht="15.75" customHeight="1" s="46"/>
    <row r="456" ht="15.75" customHeight="1" s="46"/>
    <row r="457" ht="15.75" customHeight="1" s="46"/>
    <row r="458" ht="15.75" customHeight="1" s="46"/>
    <row r="459" ht="15.75" customHeight="1" s="46"/>
    <row r="460" ht="15.75" customHeight="1" s="46"/>
    <row r="461" ht="15.75" customHeight="1" s="46"/>
    <row r="462" ht="15.75" customHeight="1" s="46"/>
    <row r="463" ht="15.75" customHeight="1" s="46"/>
    <row r="464" ht="15.75" customHeight="1" s="46"/>
    <row r="465" ht="15.75" customHeight="1" s="46"/>
    <row r="466" ht="15.75" customHeight="1" s="46"/>
    <row r="467" ht="15.75" customHeight="1" s="46"/>
    <row r="468" ht="15.75" customHeight="1" s="46"/>
    <row r="469" ht="15.75" customHeight="1" s="46"/>
    <row r="470" ht="15.75" customHeight="1" s="46"/>
    <row r="471" ht="15.75" customHeight="1" s="46"/>
    <row r="472" ht="15.75" customHeight="1" s="46"/>
    <row r="473" ht="15.75" customHeight="1" s="46"/>
    <row r="474" ht="15.75" customHeight="1" s="46"/>
    <row r="475" ht="15.75" customHeight="1" s="46"/>
    <row r="476" ht="15.75" customHeight="1" s="46"/>
    <row r="477" ht="15.75" customHeight="1" s="46"/>
    <row r="478" ht="15.75" customHeight="1" s="46"/>
    <row r="479" ht="15.75" customHeight="1" s="46"/>
    <row r="480" ht="15.75" customHeight="1" s="46"/>
    <row r="481" ht="15.75" customHeight="1" s="46"/>
    <row r="482" ht="15.75" customHeight="1" s="46"/>
    <row r="483" ht="15.75" customHeight="1" s="46"/>
    <row r="484" ht="15.75" customHeight="1" s="46"/>
    <row r="485" ht="15.75" customHeight="1" s="46"/>
    <row r="486" ht="15.75" customHeight="1" s="46"/>
    <row r="487" ht="15.75" customHeight="1" s="46"/>
    <row r="488" ht="15.75" customHeight="1" s="46"/>
    <row r="489" ht="15.75" customHeight="1" s="46"/>
    <row r="490" ht="15.75" customHeight="1" s="46"/>
    <row r="491" ht="15.75" customHeight="1" s="46"/>
    <row r="492" ht="15.75" customHeight="1" s="46"/>
    <row r="493" ht="15.75" customHeight="1" s="46"/>
    <row r="494" ht="15.75" customHeight="1" s="46"/>
    <row r="495" ht="15.75" customHeight="1" s="46"/>
    <row r="496" ht="15.75" customHeight="1" s="46"/>
    <row r="497" ht="15.75" customHeight="1" s="46"/>
    <row r="498" ht="15.75" customHeight="1" s="46"/>
    <row r="499" ht="15.75" customHeight="1" s="46"/>
    <row r="500" ht="15.75" customHeight="1" s="46"/>
    <row r="501" ht="15.75" customHeight="1" s="46"/>
    <row r="502" ht="15.75" customHeight="1" s="46"/>
    <row r="503" ht="15.75" customHeight="1" s="46"/>
    <row r="504" ht="15.75" customHeight="1" s="46"/>
    <row r="505" ht="15.75" customHeight="1" s="46"/>
    <row r="506" ht="15.75" customHeight="1" s="46"/>
    <row r="507" ht="15.75" customHeight="1" s="46"/>
    <row r="508" ht="15.75" customHeight="1" s="46"/>
    <row r="509" ht="15.75" customHeight="1" s="46"/>
    <row r="510" ht="15.75" customHeight="1" s="46"/>
    <row r="511" ht="15.75" customHeight="1" s="46"/>
    <row r="512" ht="15.75" customHeight="1" s="46"/>
    <row r="513" ht="15.75" customHeight="1" s="46"/>
    <row r="514" ht="15.75" customHeight="1" s="46"/>
    <row r="515" ht="15.75" customHeight="1" s="46"/>
    <row r="516" ht="15.75" customHeight="1" s="46"/>
    <row r="517" ht="15.75" customHeight="1" s="46"/>
    <row r="518" ht="15.75" customHeight="1" s="46"/>
    <row r="519" ht="15.75" customHeight="1" s="46"/>
    <row r="520" ht="15.75" customHeight="1" s="46"/>
    <row r="521" ht="15.75" customHeight="1" s="46"/>
    <row r="522" ht="15.75" customHeight="1" s="46"/>
    <row r="523" ht="15.75" customHeight="1" s="46"/>
    <row r="524" ht="15.75" customHeight="1" s="46"/>
    <row r="525" ht="15.75" customHeight="1" s="46"/>
    <row r="526" ht="15.75" customHeight="1" s="46"/>
    <row r="527" ht="15.75" customHeight="1" s="46"/>
    <row r="528" ht="15.75" customHeight="1" s="46"/>
    <row r="529" ht="15.75" customHeight="1" s="46"/>
    <row r="530" ht="15.75" customHeight="1" s="46"/>
    <row r="531" ht="15.75" customHeight="1" s="46"/>
    <row r="532" ht="15.75" customHeight="1" s="46"/>
    <row r="533" ht="15.75" customHeight="1" s="46"/>
    <row r="534" ht="15.75" customHeight="1" s="46"/>
    <row r="535" ht="15.75" customHeight="1" s="46"/>
    <row r="536" ht="15.75" customHeight="1" s="46"/>
    <row r="537" ht="15.75" customHeight="1" s="46"/>
    <row r="538" ht="15.75" customHeight="1" s="46"/>
    <row r="539" ht="15.75" customHeight="1" s="46"/>
    <row r="540" ht="15.75" customHeight="1" s="46"/>
    <row r="541" ht="15.75" customHeight="1" s="46"/>
    <row r="542" ht="15.75" customHeight="1" s="46"/>
    <row r="543" ht="15.75" customHeight="1" s="46"/>
    <row r="544" ht="15.75" customHeight="1" s="46"/>
    <row r="545" ht="15.75" customHeight="1" s="46"/>
    <row r="546" ht="15.75" customHeight="1" s="46"/>
    <row r="547" ht="15.75" customHeight="1" s="46"/>
    <row r="548" ht="15.75" customHeight="1" s="46"/>
    <row r="549" ht="15.75" customHeight="1" s="46"/>
    <row r="550" ht="15.75" customHeight="1" s="46"/>
    <row r="551" ht="15.75" customHeight="1" s="46"/>
    <row r="552" ht="15.75" customHeight="1" s="46"/>
    <row r="553" ht="15.75" customHeight="1" s="46"/>
    <row r="554" ht="15.75" customHeight="1" s="46"/>
    <row r="555" ht="15.75" customHeight="1" s="46"/>
    <row r="556" ht="15.75" customHeight="1" s="46"/>
    <row r="557" ht="15.75" customHeight="1" s="46"/>
    <row r="558" ht="15.75" customHeight="1" s="46"/>
    <row r="559" ht="15.75" customHeight="1" s="46"/>
    <row r="560" ht="15.75" customHeight="1" s="46"/>
    <row r="561" ht="15.75" customHeight="1" s="46"/>
    <row r="562" ht="15.75" customHeight="1" s="46"/>
    <row r="563" ht="15.75" customHeight="1" s="46"/>
    <row r="564" ht="15.75" customHeight="1" s="46"/>
    <row r="565" ht="15.75" customHeight="1" s="46"/>
    <row r="566" ht="15.75" customHeight="1" s="46"/>
    <row r="567" ht="15.75" customHeight="1" s="46"/>
    <row r="568" ht="15.75" customHeight="1" s="46"/>
    <row r="569" ht="15.75" customHeight="1" s="46"/>
    <row r="570" ht="15.75" customHeight="1" s="46"/>
    <row r="571" ht="15.75" customHeight="1" s="46"/>
    <row r="572" ht="15.75" customHeight="1" s="46"/>
    <row r="573" ht="15.75" customHeight="1" s="46"/>
    <row r="574" ht="15.75" customHeight="1" s="46"/>
    <row r="575" ht="15.75" customHeight="1" s="46"/>
    <row r="576" ht="15.75" customHeight="1" s="46"/>
    <row r="577" ht="15.75" customHeight="1" s="46"/>
    <row r="578" ht="15.75" customHeight="1" s="46"/>
    <row r="579" ht="15.75" customHeight="1" s="46"/>
    <row r="580" ht="15.75" customHeight="1" s="46"/>
    <row r="581" ht="15.75" customHeight="1" s="46"/>
    <row r="582" ht="15.75" customHeight="1" s="46"/>
    <row r="583" ht="15.75" customHeight="1" s="46"/>
    <row r="584" ht="15.75" customHeight="1" s="46"/>
    <row r="585" ht="15.75" customHeight="1" s="46"/>
    <row r="586" ht="15.75" customHeight="1" s="46"/>
    <row r="587" ht="15.75" customHeight="1" s="46"/>
    <row r="588" ht="15.75" customHeight="1" s="46"/>
    <row r="589" ht="15.75" customHeight="1" s="46"/>
    <row r="590" ht="15.75" customHeight="1" s="46"/>
    <row r="591" ht="15.75" customHeight="1" s="46"/>
    <row r="592" ht="15.75" customHeight="1" s="46"/>
    <row r="593" ht="15.75" customHeight="1" s="46"/>
    <row r="594" ht="15.75" customHeight="1" s="46"/>
    <row r="595" ht="15.75" customHeight="1" s="46"/>
    <row r="596" ht="15.75" customHeight="1" s="46"/>
    <row r="597" ht="15.75" customHeight="1" s="46"/>
    <row r="598" ht="15.75" customHeight="1" s="46"/>
    <row r="599" ht="15.75" customHeight="1" s="46"/>
    <row r="600" ht="15.75" customHeight="1" s="46"/>
    <row r="601" ht="15.75" customHeight="1" s="46"/>
    <row r="602" ht="15.75" customHeight="1" s="46"/>
    <row r="603" ht="15.75" customHeight="1" s="46"/>
    <row r="604" ht="15.75" customHeight="1" s="46"/>
    <row r="605" ht="15.75" customHeight="1" s="46"/>
    <row r="606" ht="15.75" customHeight="1" s="46"/>
    <row r="607" ht="15.75" customHeight="1" s="46"/>
    <row r="608" ht="15.75" customHeight="1" s="46"/>
    <row r="609" ht="15.75" customHeight="1" s="46"/>
    <row r="610" ht="15.75" customHeight="1" s="46"/>
    <row r="611" ht="15.75" customHeight="1" s="46"/>
    <row r="612" ht="15.75" customHeight="1" s="46"/>
    <row r="613" ht="15.75" customHeight="1" s="46"/>
    <row r="614" ht="15.75" customHeight="1" s="46"/>
    <row r="615" ht="15.75" customHeight="1" s="46"/>
    <row r="616" ht="15.75" customHeight="1" s="46"/>
    <row r="617" ht="15.75" customHeight="1" s="46"/>
    <row r="618" ht="15.75" customHeight="1" s="46"/>
    <row r="619" ht="15.75" customHeight="1" s="46"/>
    <row r="620" ht="15.75" customHeight="1" s="46"/>
    <row r="621" ht="15.75" customHeight="1" s="46"/>
    <row r="622" ht="15.75" customHeight="1" s="46"/>
    <row r="623" ht="15.75" customHeight="1" s="46"/>
    <row r="624" ht="15.75" customHeight="1" s="46"/>
    <row r="625" ht="15.75" customHeight="1" s="46"/>
    <row r="626" ht="15.75" customHeight="1" s="46"/>
    <row r="627" ht="15.75" customHeight="1" s="46"/>
    <row r="628" ht="15.75" customHeight="1" s="46"/>
    <row r="629" ht="15.75" customHeight="1" s="46"/>
    <row r="630" ht="15.75" customHeight="1" s="46"/>
    <row r="631" ht="15.75" customHeight="1" s="46"/>
    <row r="632" ht="15.75" customHeight="1" s="46"/>
    <row r="633" ht="15.75" customHeight="1" s="46"/>
    <row r="634" ht="15.75" customHeight="1" s="46"/>
    <row r="635" ht="15.75" customHeight="1" s="46"/>
    <row r="636" ht="15.75" customHeight="1" s="46"/>
    <row r="637" ht="15.75" customHeight="1" s="46"/>
    <row r="638" ht="15.75" customHeight="1" s="46"/>
    <row r="639" ht="15.75" customHeight="1" s="46"/>
    <row r="640" ht="15.75" customHeight="1" s="46"/>
    <row r="641" ht="15.75" customHeight="1" s="46"/>
    <row r="642" ht="15.75" customHeight="1" s="46"/>
    <row r="643" ht="15.75" customHeight="1" s="46"/>
    <row r="644" ht="15.75" customHeight="1" s="46"/>
    <row r="645" ht="15.75" customHeight="1" s="46"/>
    <row r="646" ht="15.75" customHeight="1" s="46"/>
    <row r="647" ht="15.75" customHeight="1" s="46"/>
    <row r="648" ht="15.75" customHeight="1" s="46"/>
    <row r="649" ht="15.75" customHeight="1" s="46"/>
    <row r="650" ht="15.75" customHeight="1" s="46"/>
    <row r="651" ht="15.75" customHeight="1" s="46"/>
    <row r="652" ht="15.75" customHeight="1" s="46"/>
    <row r="653" ht="15.75" customHeight="1" s="46"/>
    <row r="654" ht="15.75" customHeight="1" s="46"/>
    <row r="655" ht="15.75" customHeight="1" s="46"/>
    <row r="656" ht="15.75" customHeight="1" s="46"/>
    <row r="657" ht="15.75" customHeight="1" s="46"/>
    <row r="658" ht="15.75" customHeight="1" s="46"/>
    <row r="659" ht="15.75" customHeight="1" s="46"/>
    <row r="660" ht="15.75" customHeight="1" s="46"/>
    <row r="661" ht="15.75" customHeight="1" s="46"/>
    <row r="662" ht="15.75" customHeight="1" s="46"/>
    <row r="663" ht="15.75" customHeight="1" s="46"/>
    <row r="664" ht="15.75" customHeight="1" s="46"/>
    <row r="665" ht="15.75" customHeight="1" s="46"/>
    <row r="666" ht="15.75" customHeight="1" s="46"/>
    <row r="667" ht="15.75" customHeight="1" s="46"/>
    <row r="668" ht="15.75" customHeight="1" s="46"/>
    <row r="669" ht="15.75" customHeight="1" s="46"/>
    <row r="670" ht="15.75" customHeight="1" s="46"/>
    <row r="671" ht="15.75" customHeight="1" s="46"/>
    <row r="672" ht="15.75" customHeight="1" s="46"/>
    <row r="673" ht="15.75" customHeight="1" s="46"/>
    <row r="674" ht="15.75" customHeight="1" s="46"/>
    <row r="675" ht="15.75" customHeight="1" s="46"/>
    <row r="676" ht="15.75" customHeight="1" s="46"/>
    <row r="677" ht="15.75" customHeight="1" s="46"/>
    <row r="678" ht="15.75" customHeight="1" s="46"/>
    <row r="679" ht="15.75" customHeight="1" s="46"/>
    <row r="680" ht="15.75" customHeight="1" s="46"/>
    <row r="681" ht="15.75" customHeight="1" s="46"/>
    <row r="682" ht="15.75" customHeight="1" s="46"/>
    <row r="683" ht="15.75" customHeight="1" s="46"/>
    <row r="684" ht="15.75" customHeight="1" s="46"/>
    <row r="685" ht="15.75" customHeight="1" s="46"/>
    <row r="686" ht="15.75" customHeight="1" s="46"/>
    <row r="687" ht="15.75" customHeight="1" s="46"/>
    <row r="688" ht="15.75" customHeight="1" s="46"/>
    <row r="689" ht="15.75" customHeight="1" s="46"/>
    <row r="690" ht="15.75" customHeight="1" s="46"/>
    <row r="691" ht="15.75" customHeight="1" s="46"/>
    <row r="692" ht="15.75" customHeight="1" s="46"/>
    <row r="693" ht="15.75" customHeight="1" s="46"/>
    <row r="694" ht="15.75" customHeight="1" s="46"/>
    <row r="695" ht="15.75" customHeight="1" s="46"/>
    <row r="696" ht="15.75" customHeight="1" s="46"/>
    <row r="697" ht="15.75" customHeight="1" s="46"/>
    <row r="698" ht="15.75" customHeight="1" s="46"/>
    <row r="699" ht="15.75" customHeight="1" s="46"/>
    <row r="700" ht="15.75" customHeight="1" s="46"/>
    <row r="701" ht="15.75" customHeight="1" s="46"/>
    <row r="702" ht="15.75" customHeight="1" s="46"/>
    <row r="703" ht="15.75" customHeight="1" s="46"/>
    <row r="704" ht="15.75" customHeight="1" s="46"/>
    <row r="705" ht="15.75" customHeight="1" s="46"/>
    <row r="706" ht="15.75" customHeight="1" s="46"/>
    <row r="707" ht="15.75" customHeight="1" s="46"/>
    <row r="708" ht="15.75" customHeight="1" s="46"/>
    <row r="709" ht="15.75" customHeight="1" s="46"/>
    <row r="710" ht="15.75" customHeight="1" s="46"/>
    <row r="711" ht="15.75" customHeight="1" s="46"/>
    <row r="712" ht="15.75" customHeight="1" s="46"/>
    <row r="713" ht="15.75" customHeight="1" s="46"/>
    <row r="714" ht="15.75" customHeight="1" s="46"/>
    <row r="715" ht="15.75" customHeight="1" s="46"/>
    <row r="716" ht="15.75" customHeight="1" s="46"/>
    <row r="717" ht="15.75" customHeight="1" s="46"/>
    <row r="718" ht="15.75" customHeight="1" s="46"/>
    <row r="719" ht="15.75" customHeight="1" s="46"/>
    <row r="720" ht="15.75" customHeight="1" s="46"/>
    <row r="721" ht="15.75" customHeight="1" s="46"/>
    <row r="722" ht="15.75" customHeight="1" s="46"/>
    <row r="723" ht="15.75" customHeight="1" s="46"/>
    <row r="724" ht="15.75" customHeight="1" s="46"/>
    <row r="725" ht="15.75" customHeight="1" s="46"/>
    <row r="726" ht="15.75" customHeight="1" s="46"/>
    <row r="727" ht="15.75" customHeight="1" s="46"/>
    <row r="728" ht="15.75" customHeight="1" s="46"/>
    <row r="729" ht="15.75" customHeight="1" s="46"/>
    <row r="730" ht="15.75" customHeight="1" s="46"/>
    <row r="731" ht="15.75" customHeight="1" s="46"/>
    <row r="732" ht="15.75" customHeight="1" s="46"/>
    <row r="733" ht="15.75" customHeight="1" s="46"/>
    <row r="734" ht="15.75" customHeight="1" s="46"/>
    <row r="735" ht="15.75" customHeight="1" s="46"/>
    <row r="736" ht="15.75" customHeight="1" s="46"/>
    <row r="737" ht="15.75" customHeight="1" s="46"/>
    <row r="738" ht="15.75" customHeight="1" s="46"/>
    <row r="739" ht="15.75" customHeight="1" s="46"/>
    <row r="740" ht="15.75" customHeight="1" s="46"/>
    <row r="741" ht="15.75" customHeight="1" s="46"/>
    <row r="742" ht="15.75" customHeight="1" s="46"/>
    <row r="743" ht="15.75" customHeight="1" s="46"/>
    <row r="744" ht="15.75" customHeight="1" s="46"/>
    <row r="745" ht="15.75" customHeight="1" s="46"/>
    <row r="746" ht="15.75" customHeight="1" s="46"/>
    <row r="747" ht="15.75" customHeight="1" s="46"/>
    <row r="748" ht="15.75" customHeight="1" s="46"/>
    <row r="749" ht="15.75" customHeight="1" s="46"/>
    <row r="750" ht="15.75" customHeight="1" s="46"/>
    <row r="751" ht="15.75" customHeight="1" s="46"/>
    <row r="752" ht="15.75" customHeight="1" s="46"/>
    <row r="753" ht="15.75" customHeight="1" s="46"/>
    <row r="754" ht="15.75" customHeight="1" s="46"/>
    <row r="755" ht="15.75" customHeight="1" s="46"/>
    <row r="756" ht="15.75" customHeight="1" s="46"/>
    <row r="757" ht="15.75" customHeight="1" s="46"/>
    <row r="758" ht="15.75" customHeight="1" s="46"/>
    <row r="759" ht="15.75" customHeight="1" s="46"/>
    <row r="760" ht="15.75" customHeight="1" s="46"/>
    <row r="761" ht="15.75" customHeight="1" s="46"/>
    <row r="762" ht="15.75" customHeight="1" s="46"/>
    <row r="763" ht="15.75" customHeight="1" s="46"/>
    <row r="764" ht="15.75" customHeight="1" s="46"/>
    <row r="765" ht="15.75" customHeight="1" s="46"/>
    <row r="766" ht="15.75" customHeight="1" s="46"/>
    <row r="767" ht="15.75" customHeight="1" s="46"/>
    <row r="768" ht="15.75" customHeight="1" s="46"/>
    <row r="769" ht="15.75" customHeight="1" s="46"/>
    <row r="770" ht="15.75" customHeight="1" s="46"/>
    <row r="771" ht="15.75" customHeight="1" s="46"/>
    <row r="772" ht="15.75" customHeight="1" s="46"/>
    <row r="773" ht="15.75" customHeight="1" s="46"/>
    <row r="774" ht="15.75" customHeight="1" s="46"/>
    <row r="775" ht="15.75" customHeight="1" s="46"/>
    <row r="776" ht="15.75" customHeight="1" s="46"/>
    <row r="777" ht="15.75" customHeight="1" s="46"/>
    <row r="778" ht="15.75" customHeight="1" s="46"/>
    <row r="779" ht="15.75" customHeight="1" s="46"/>
    <row r="780" ht="15.75" customHeight="1" s="46"/>
    <row r="781" ht="15.75" customHeight="1" s="46"/>
    <row r="782" ht="15.75" customHeight="1" s="46"/>
    <row r="783" ht="15.75" customHeight="1" s="46"/>
    <row r="784" ht="15.75" customHeight="1" s="46"/>
    <row r="785" ht="15.75" customHeight="1" s="46"/>
    <row r="786" ht="15.75" customHeight="1" s="46"/>
    <row r="787" ht="15.75" customHeight="1" s="46"/>
    <row r="788" ht="15.75" customHeight="1" s="46"/>
    <row r="789" ht="15.75" customHeight="1" s="46"/>
    <row r="790" ht="15.75" customHeight="1" s="46"/>
    <row r="791" ht="15.75" customHeight="1" s="46"/>
    <row r="792" ht="15.75" customHeight="1" s="46"/>
    <row r="793" ht="15.75" customHeight="1" s="46"/>
    <row r="794" ht="15.75" customHeight="1" s="46"/>
    <row r="795" ht="15.75" customHeight="1" s="46"/>
    <row r="796" ht="15.75" customHeight="1" s="46"/>
    <row r="797" ht="15.75" customHeight="1" s="46"/>
    <row r="798" ht="15.75" customHeight="1" s="46"/>
    <row r="799" ht="15.75" customHeight="1" s="46"/>
    <row r="800" ht="15.75" customHeight="1" s="46"/>
    <row r="801" ht="15.75" customHeight="1" s="46"/>
    <row r="802" ht="15.75" customHeight="1" s="46"/>
    <row r="803" ht="15.75" customHeight="1" s="46"/>
    <row r="804" ht="15.75" customHeight="1" s="46"/>
    <row r="805" ht="15.75" customHeight="1" s="46"/>
    <row r="806" ht="15.75" customHeight="1" s="46"/>
    <row r="807" ht="15.75" customHeight="1" s="46"/>
    <row r="808" ht="15.75" customHeight="1" s="46"/>
    <row r="809" ht="15.75" customHeight="1" s="46"/>
    <row r="810" ht="15.75" customHeight="1" s="46"/>
    <row r="811" ht="15.75" customHeight="1" s="46"/>
    <row r="812" ht="15.75" customHeight="1" s="46"/>
    <row r="813" ht="15.75" customHeight="1" s="46"/>
    <row r="814" ht="15.75" customHeight="1" s="46"/>
    <row r="815" ht="15.75" customHeight="1" s="46"/>
    <row r="816" ht="15.75" customHeight="1" s="46"/>
    <row r="817" ht="15.75" customHeight="1" s="46"/>
    <row r="818" ht="15.75" customHeight="1" s="46"/>
    <row r="819" ht="15.75" customHeight="1" s="46"/>
    <row r="820" ht="15.75" customHeight="1" s="46"/>
    <row r="821" ht="15.75" customHeight="1" s="46"/>
    <row r="822" ht="15.75" customHeight="1" s="46"/>
    <row r="823" ht="15.75" customHeight="1" s="46"/>
    <row r="824" ht="15.75" customHeight="1" s="46"/>
    <row r="825" ht="15.75" customHeight="1" s="46"/>
    <row r="826" ht="15.75" customHeight="1" s="46"/>
    <row r="827" ht="15.75" customHeight="1" s="46"/>
    <row r="828" ht="15.75" customHeight="1" s="46"/>
    <row r="829" ht="15.75" customHeight="1" s="46"/>
    <row r="830" ht="15.75" customHeight="1" s="46"/>
    <row r="831" ht="15.75" customHeight="1" s="46"/>
    <row r="832" ht="15.75" customHeight="1" s="46"/>
    <row r="833" ht="15.75" customHeight="1" s="46"/>
    <row r="834" ht="15.75" customHeight="1" s="46"/>
    <row r="835" ht="15.75" customHeight="1" s="46"/>
    <row r="836" ht="15.75" customHeight="1" s="46"/>
    <row r="837" ht="15.75" customHeight="1" s="46"/>
    <row r="838" ht="15.75" customHeight="1" s="46"/>
    <row r="839" ht="15.75" customHeight="1" s="46"/>
    <row r="840" ht="15.75" customHeight="1" s="46"/>
    <row r="841" ht="15.75" customHeight="1" s="46"/>
    <row r="842" ht="15.75" customHeight="1" s="46"/>
    <row r="843" ht="15.75" customHeight="1" s="46"/>
    <row r="844" ht="15.75" customHeight="1" s="46"/>
    <row r="845" ht="15.75" customHeight="1" s="46"/>
    <row r="846" ht="15.75" customHeight="1" s="46"/>
    <row r="847" ht="15.75" customHeight="1" s="46"/>
    <row r="848" ht="15.75" customHeight="1" s="46"/>
    <row r="849" ht="15.75" customHeight="1" s="46"/>
    <row r="850" ht="15.75" customHeight="1" s="46"/>
    <row r="851" ht="15.75" customHeight="1" s="46"/>
    <row r="852" ht="15.75" customHeight="1" s="46"/>
    <row r="853" ht="15.75" customHeight="1" s="46"/>
    <row r="854" ht="15.75" customHeight="1" s="46"/>
    <row r="855" ht="15.75" customHeight="1" s="46"/>
    <row r="856" ht="15.75" customHeight="1" s="46"/>
    <row r="857" ht="15.75" customHeight="1" s="46"/>
    <row r="858" ht="15.75" customHeight="1" s="46"/>
    <row r="859" ht="15.75" customHeight="1" s="46"/>
    <row r="860" ht="15.75" customHeight="1" s="46"/>
    <row r="861" ht="15.75" customHeight="1" s="46"/>
    <row r="862" ht="15.75" customHeight="1" s="46"/>
    <row r="863" ht="15.75" customHeight="1" s="46"/>
    <row r="864" ht="15.75" customHeight="1" s="46"/>
    <row r="865" ht="15.75" customHeight="1" s="46"/>
    <row r="866" ht="15.75" customHeight="1" s="46"/>
    <row r="867" ht="15.75" customHeight="1" s="46"/>
    <row r="868" ht="15.75" customHeight="1" s="46"/>
    <row r="869" ht="15.75" customHeight="1" s="46"/>
    <row r="870" ht="15.75" customHeight="1" s="46"/>
    <row r="871" ht="15.75" customHeight="1" s="46"/>
    <row r="872" ht="15.75" customHeight="1" s="46"/>
    <row r="873" ht="15.75" customHeight="1" s="46"/>
    <row r="874" ht="15.75" customHeight="1" s="46"/>
    <row r="875" ht="15.75" customHeight="1" s="46"/>
    <row r="876" ht="15.75" customHeight="1" s="46"/>
    <row r="877" ht="15.75" customHeight="1" s="46"/>
    <row r="878" ht="15.75" customHeight="1" s="46"/>
    <row r="879" ht="15.75" customHeight="1" s="46"/>
    <row r="880" ht="15.75" customHeight="1" s="46"/>
    <row r="881" ht="15.75" customHeight="1" s="46"/>
    <row r="882" ht="15.75" customHeight="1" s="46"/>
    <row r="883" ht="15.75" customHeight="1" s="46"/>
    <row r="884" ht="15.75" customHeight="1" s="46"/>
    <row r="885" ht="15.75" customHeight="1" s="46"/>
    <row r="886" ht="15.75" customHeight="1" s="46"/>
    <row r="887" ht="15.75" customHeight="1" s="46"/>
    <row r="888" ht="15.75" customHeight="1" s="46"/>
    <row r="889" ht="15.75" customHeight="1" s="46"/>
    <row r="890" ht="15.75" customHeight="1" s="46"/>
    <row r="891" ht="15.75" customHeight="1" s="46"/>
    <row r="892" ht="15.75" customHeight="1" s="46"/>
    <row r="893" ht="15.75" customHeight="1" s="46"/>
    <row r="894" ht="15.75" customHeight="1" s="46"/>
    <row r="895" ht="15.75" customHeight="1" s="46"/>
    <row r="896" ht="15.75" customHeight="1" s="46"/>
    <row r="897" ht="15.75" customHeight="1" s="46"/>
    <row r="898" ht="15.75" customHeight="1" s="46"/>
    <row r="899" ht="15.75" customHeight="1" s="46"/>
    <row r="900" ht="15.75" customHeight="1" s="46"/>
    <row r="901" ht="15.75" customHeight="1" s="46"/>
    <row r="902" ht="15.75" customHeight="1" s="46"/>
    <row r="903" ht="15.75" customHeight="1" s="46"/>
    <row r="904" ht="15.75" customHeight="1" s="46"/>
    <row r="905" ht="15.75" customHeight="1" s="46"/>
    <row r="906" ht="15.75" customHeight="1" s="46"/>
    <row r="907" ht="15.75" customHeight="1" s="46"/>
    <row r="908" ht="15.75" customHeight="1" s="46"/>
    <row r="909" ht="15.75" customHeight="1" s="46"/>
    <row r="910" ht="15.75" customHeight="1" s="46"/>
    <row r="911" ht="15.75" customHeight="1" s="46"/>
    <row r="912" ht="15.75" customHeight="1" s="46"/>
    <row r="913" ht="15.75" customHeight="1" s="46"/>
    <row r="914" ht="15.75" customHeight="1" s="46"/>
    <row r="915" ht="15.75" customHeight="1" s="46"/>
    <row r="916" ht="15.75" customHeight="1" s="46"/>
    <row r="917" ht="15.75" customHeight="1" s="46"/>
    <row r="918" ht="15.75" customHeight="1" s="46"/>
    <row r="919" ht="15.75" customHeight="1" s="46"/>
    <row r="920" ht="15.75" customHeight="1" s="46"/>
    <row r="921" ht="15.75" customHeight="1" s="46"/>
    <row r="922" ht="15.75" customHeight="1" s="46"/>
    <row r="923" ht="15.75" customHeight="1" s="46"/>
    <row r="924" ht="15.75" customHeight="1" s="46"/>
    <row r="925" ht="15.75" customHeight="1" s="46"/>
    <row r="926" ht="15.75" customHeight="1" s="46"/>
    <row r="927" ht="15.75" customHeight="1" s="46"/>
    <row r="928" ht="15.75" customHeight="1" s="46"/>
    <row r="929" ht="15.75" customHeight="1" s="46"/>
    <row r="930" ht="15.75" customHeight="1" s="46"/>
    <row r="931" ht="15.75" customHeight="1" s="46"/>
    <row r="932" ht="15.75" customHeight="1" s="46"/>
    <row r="933" ht="15.75" customHeight="1" s="46"/>
    <row r="934" ht="15.75" customHeight="1" s="46"/>
    <row r="935" ht="15.75" customHeight="1" s="46"/>
    <row r="936" ht="15.75" customHeight="1" s="46"/>
    <row r="937" ht="15.75" customHeight="1" s="46"/>
    <row r="938" ht="15.75" customHeight="1" s="46"/>
    <row r="939" ht="15.75" customHeight="1" s="46"/>
    <row r="940" ht="15.75" customHeight="1" s="46"/>
    <row r="941" ht="15.75" customHeight="1" s="46"/>
    <row r="942" ht="15.75" customHeight="1" s="46"/>
    <row r="943" ht="15.75" customHeight="1" s="46"/>
    <row r="944" ht="15.75" customHeight="1" s="46"/>
    <row r="945" ht="15.75" customHeight="1" s="46"/>
    <row r="946" ht="15.75" customHeight="1" s="46"/>
    <row r="947" ht="15.75" customHeight="1" s="46"/>
    <row r="948" ht="15.75" customHeight="1" s="46"/>
    <row r="949" ht="15.75" customHeight="1" s="46"/>
    <row r="950" ht="15.75" customHeight="1" s="46"/>
    <row r="951" ht="15.75" customHeight="1" s="46"/>
    <row r="952" ht="15.75" customHeight="1" s="46"/>
    <row r="953" ht="15.75" customHeight="1" s="46"/>
    <row r="954" ht="15.75" customHeight="1" s="46"/>
    <row r="955" ht="15.75" customHeight="1" s="46"/>
    <row r="956" ht="15.75" customHeight="1" s="46"/>
    <row r="957" ht="15.75" customHeight="1" s="46"/>
    <row r="958" ht="15.75" customHeight="1" s="46"/>
    <row r="959" ht="15.75" customHeight="1" s="46"/>
    <row r="960" ht="15.75" customHeight="1" s="46"/>
    <row r="961" ht="15.75" customHeight="1" s="46"/>
    <row r="962" ht="15.75" customHeight="1" s="46"/>
    <row r="963" ht="15.75" customHeight="1" s="46"/>
    <row r="964" ht="15.75" customHeight="1" s="46"/>
    <row r="965" ht="15.75" customHeight="1" s="46"/>
    <row r="966" ht="15.75" customHeight="1" s="46"/>
    <row r="967" ht="15.75" customHeight="1" s="46"/>
    <row r="968" ht="15.75" customHeight="1" s="46"/>
    <row r="969" ht="15.75" customHeight="1" s="46"/>
    <row r="970" ht="15.75" customHeight="1" s="46"/>
    <row r="971" ht="15.75" customHeight="1" s="46"/>
    <row r="972" ht="15.75" customHeight="1" s="46"/>
    <row r="973" ht="15.75" customHeight="1" s="46"/>
    <row r="974" ht="15.75" customHeight="1" s="46"/>
    <row r="975" ht="15.75" customHeight="1" s="46"/>
    <row r="976" ht="15.75" customHeight="1" s="46"/>
    <row r="977" ht="15.75" customHeight="1" s="46"/>
    <row r="978" ht="15.75" customHeight="1" s="46"/>
    <row r="979" ht="15.75" customHeight="1" s="46"/>
    <row r="980" ht="15.75" customHeight="1" s="46"/>
    <row r="981" ht="15.75" customHeight="1" s="46"/>
    <row r="982" ht="15.75" customHeight="1" s="46"/>
    <row r="983" ht="15.75" customHeight="1" s="46"/>
    <row r="984" ht="15.75" customHeight="1" s="46"/>
    <row r="985" ht="15.75" customHeight="1" s="46"/>
    <row r="986" ht="15.75" customHeight="1" s="46"/>
    <row r="987" ht="15.75" customHeight="1" s="46"/>
    <row r="988" ht="15.75" customHeight="1" s="46"/>
    <row r="989" ht="15.75" customHeight="1" s="46"/>
    <row r="990" ht="15.75" customHeight="1" s="46"/>
    <row r="991" ht="15.75" customHeight="1" s="46"/>
    <row r="992" ht="15.75" customHeight="1" s="46"/>
    <row r="993" ht="15.75" customHeight="1" s="46"/>
    <row r="994" ht="15.75" customHeight="1" s="46"/>
    <row r="995" ht="15.75" customHeight="1" s="46"/>
    <row r="996" ht="15.75" customHeight="1" s="46"/>
    <row r="997" ht="15.75" customHeight="1" s="46"/>
    <row r="998" ht="15.75" customHeight="1" s="46"/>
    <row r="999" ht="15.75" customHeight="1" s="46"/>
    <row r="1000" ht="15.75" customHeight="1" s="46"/>
  </sheetData>
  <mergeCells count="14">
    <mergeCell ref="A21:E21"/>
    <mergeCell ref="A39:E39"/>
    <mergeCell ref="N25:Q25"/>
    <mergeCell ref="A25:E25"/>
    <mergeCell ref="A2:N2"/>
    <mergeCell ref="A41:N45"/>
    <mergeCell ref="A24:AG24"/>
    <mergeCell ref="R25:U25"/>
    <mergeCell ref="V25:Y25"/>
    <mergeCell ref="Z25:AC25"/>
    <mergeCell ref="F25:I25"/>
    <mergeCell ref="J25:M25"/>
    <mergeCell ref="AD25:AG25"/>
    <mergeCell ref="A1:N1"/>
  </mergeCells>
  <pageMargins left="0.75" right="0.75" top="1" bottom="1" header="0" footer="0"/>
  <pageSetup orientation="landscape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G45"/>
  <sheetViews>
    <sheetView workbookViewId="0">
      <selection activeCell="A1" sqref="A1"/>
    </sheetView>
  </sheetViews>
  <sheetFormatPr baseColWidth="8" defaultColWidth="14.43" defaultRowHeight="15" customHeight="1"/>
  <cols>
    <col width="4" customWidth="1" style="46" min="1" max="1"/>
    <col width="10" customWidth="1" style="46" min="2" max="2"/>
    <col width="32" customWidth="1" style="46" min="3" max="3"/>
    <col width="26" customWidth="1" style="46" min="4" max="4"/>
    <col width="28" customWidth="1" style="46" min="5" max="5"/>
    <col width="14" customWidth="1" style="46" min="6" max="7"/>
    <col width="15" customWidth="1" style="46" min="8" max="9"/>
    <col width="16" customWidth="1" style="46" min="10" max="11"/>
    <col width="14" customWidth="1" style="46" min="12" max="12"/>
    <col width="15" customWidth="1" style="46" min="13" max="13"/>
    <col width="24" customWidth="1" style="46" min="14" max="14"/>
    <col width="14" customWidth="1" style="46" min="15" max="33"/>
  </cols>
  <sheetData>
    <row r="1" ht="24.75" customHeight="1" s="46">
      <c r="A1" s="47" t="inlineStr">
        <is>
          <t>CONTROL SEMANAL DE RENDIMIENTO DE MAQUINARIA (SEMANA 32)</t>
        </is>
      </c>
    </row>
    <row r="2" ht="18" customHeight="1" s="46">
      <c r="A2" s="48" t="inlineStr">
        <is>
          <t>OBRA: CARRETERA LIBRE MÉXICO-TOLUCA | PERIODO: 03/Ago/2026 - 08/Ago/2026</t>
        </is>
      </c>
    </row>
    <row r="4">
      <c r="A4" s="5" t="inlineStr">
        <is>
          <t>1. PARÁMETROS:</t>
        </is>
      </c>
      <c r="B4" s="5" t="inlineStr">
        <is>
          <t>PESO VOLUMÉTRICO ASFALTO (Ton/m³):</t>
        </is>
      </c>
      <c r="E4" s="7" t="n">
        <v>1.742</v>
      </c>
    </row>
    <row r="5">
      <c r="A5" s="5" t="inlineStr">
        <is>
          <t>2. FRESADO SEMANAL:</t>
        </is>
      </c>
      <c r="B5" s="8" t="inlineStr">
        <is>
          <t>Viajes de Fresado:</t>
        </is>
      </c>
      <c r="C5" s="41" t="n">
        <v>113</v>
      </c>
      <c r="D5" s="8" t="inlineStr">
        <is>
          <t>Volumen Fresado (m³):</t>
        </is>
      </c>
      <c r="E5" s="42" t="n">
        <v>1547</v>
      </c>
    </row>
    <row r="6">
      <c r="A6" s="5" t="inlineStr">
        <is>
          <t>3. CARPETA SEMANAL:</t>
        </is>
      </c>
      <c r="B6" s="8" t="inlineStr">
        <is>
          <t>Viajes de Mezcla:</t>
        </is>
      </c>
      <c r="C6" s="41" t="n">
        <v>82</v>
      </c>
      <c r="D6" s="8" t="inlineStr">
        <is>
          <t>Volumen Carpeta (m³):</t>
        </is>
      </c>
      <c r="E6" s="42" t="n">
        <v>1148</v>
      </c>
      <c r="F6" s="8" t="inlineStr">
        <is>
          <t>Toneladas Carpeta (Ton):</t>
        </is>
      </c>
      <c r="G6" s="17">
        <f>E6*$E$4</f>
        <v/>
      </c>
    </row>
    <row r="8" ht="27.75" customHeight="1" s="46">
      <c r="A8" s="10" t="inlineStr">
        <is>
          <t>No.</t>
        </is>
      </c>
      <c r="B8" s="10" t="inlineStr">
        <is>
          <t>Económico</t>
        </is>
      </c>
      <c r="C8" s="10" t="inlineStr">
        <is>
          <t>Equipo / Maquinaria</t>
        </is>
      </c>
      <c r="D8" s="10" t="inlineStr">
        <is>
          <t>Operador Asignado</t>
        </is>
      </c>
      <c r="E8" s="10" t="inlineStr">
        <is>
          <t>Concepto de Trabajo</t>
        </is>
      </c>
      <c r="F8" s="10" t="inlineStr">
        <is>
          <t>Viajes Asignados</t>
        </is>
      </c>
      <c r="G8" s="10" t="inlineStr">
        <is>
          <t>Volumen (m³)</t>
        </is>
      </c>
      <c r="H8" s="10" t="inlineStr">
        <is>
          <t>Toneladas (Ton)</t>
        </is>
      </c>
      <c r="I8" s="10" t="inlineStr">
        <is>
          <t>Diésel Surtido (L)</t>
        </is>
      </c>
      <c r="J8" s="10" t="inlineStr">
        <is>
          <t>Rendimiento Real (L/Ton)</t>
        </is>
      </c>
      <c r="K8" s="10" t="inlineStr">
        <is>
          <t>Rendimiento Real (L/m³)</t>
        </is>
      </c>
      <c r="L8" s="10" t="inlineStr">
        <is>
          <t>Rend. Base (L/h)</t>
        </is>
      </c>
      <c r="M8" s="10" t="inlineStr">
        <is>
          <t>Horas Est. Operación</t>
        </is>
      </c>
      <c r="N8" s="10" t="inlineStr">
        <is>
          <t>Estatus Operativo</t>
        </is>
      </c>
    </row>
    <row r="9" ht="19.5" customHeight="1" s="46">
      <c r="A9" s="12" t="n">
        <v>1</v>
      </c>
      <c r="B9" s="12" t="inlineStr">
        <is>
          <t>PRR-01</t>
        </is>
      </c>
      <c r="C9" s="13" t="inlineStr">
        <is>
          <t>PERFILADORA WIRTGEN W200i</t>
        </is>
      </c>
      <c r="D9" s="13" t="inlineStr">
        <is>
          <t>JAVIER PAREDES CORTE</t>
        </is>
      </c>
      <c r="E9" s="13" t="inlineStr">
        <is>
          <t>Fresado de Pavimento</t>
        </is>
      </c>
      <c r="F9" s="14">
        <f>$C$5</f>
        <v/>
      </c>
      <c r="G9" s="37">
        <f>$E$5</f>
        <v/>
      </c>
      <c r="H9" s="18" t="inlineStr">
        <is>
          <t>-</t>
        </is>
      </c>
      <c r="I9" s="37" t="n">
        <v>960</v>
      </c>
      <c r="J9" s="19" t="inlineStr">
        <is>
          <t>-</t>
        </is>
      </c>
      <c r="K9" s="20">
        <f>IF(G9&gt;0, I9/G9, 0)</f>
        <v/>
      </c>
      <c r="L9" s="21" t="n">
        <v>67.2</v>
      </c>
      <c r="M9" s="22">
        <f>IF(L9&gt;0, I9/L9, 0)</f>
        <v/>
      </c>
      <c r="N9" s="12">
        <f>IF(I9=0, "SIN CONSUMO (Inactiva)", IF(A9=1, IF(K9&lt;=0.85, "DENTRO DE RENDIMIENTO BASE", "EXCEDE RENDIMIENTO BASE"), IF(A9=2, IF(J9&lt;=0.38, "DENTRO DE RENDIMIENTO BASE", "EXCEDE RENDIMIENTO BASE"), IF(OR(A9=3,A9=4,A9=5,A9=6), IF(J9&lt;=0.08, "DENTRO DE RENDIMIENTO BASE", "EXCEDE RENDIMIENTO BASE"), IF(A9=7, IF(J9&lt;=0.07, "DENTRO DE RENDIMIENTO BASE", "EXCEDE RENDIMIENTO BASE"), IF(A9=8, IF(K9&lt;=0.22, "DENTRO DE RENDIMIENTO BASE", "EXCEDE RENDIMIENTO BASE"), IF(A9=9, IF(J9&lt;=0.075, "DENTRO DE RENDIMIENTO BASE", "EXCEDE RENDIMIENTO BASE"), "APOYO PUNTUAL")))))))</f>
        <v/>
      </c>
    </row>
    <row r="10" ht="19.5" customHeight="1" s="46">
      <c r="A10" s="12" t="n">
        <v>2</v>
      </c>
      <c r="B10" s="12" t="inlineStr">
        <is>
          <t>VG-01</t>
        </is>
      </c>
      <c r="C10" s="13" t="inlineStr">
        <is>
          <t>PAVIMENTADORA VÖGELE SUPER 1800-3i</t>
        </is>
      </c>
      <c r="D10" s="13" t="inlineStr">
        <is>
          <t>ERWIN CUTEÑO HERNANDEZ</t>
        </is>
      </c>
      <c r="E10" s="13" t="inlineStr">
        <is>
          <t>Tendido de Mezcla Asfáltica</t>
        </is>
      </c>
      <c r="F10" s="14">
        <f>$C$6</f>
        <v/>
      </c>
      <c r="G10" s="37">
        <f>$E$6</f>
        <v/>
      </c>
      <c r="H10" s="16">
        <f>G10*$E$4</f>
        <v/>
      </c>
      <c r="I10" s="37" t="n">
        <v>726</v>
      </c>
      <c r="J10" s="20">
        <f>IF(H10&gt;0, I10/H10, 0)</f>
        <v/>
      </c>
      <c r="K10" s="20">
        <f>IF(G10&gt;0, I10/G10, 0)</f>
        <v/>
      </c>
      <c r="L10" s="21" t="n">
        <v>16.24</v>
      </c>
      <c r="M10" s="22">
        <f>IF(L10&gt;0, I10/L10, 0)</f>
        <v/>
      </c>
      <c r="N10" s="12">
        <f>IF(I10=0, "SIN CONSUMO (Inactiva)", IF(A10=1, IF(K10&lt;=0.85, "DENTRO DE RENDIMIENTO BASE", "EXCEDE RENDIMIENTO BASE"), IF(A10=2, IF(J10&lt;=0.38, "DENTRO DE RENDIMIENTO BASE", "EXCEDE RENDIMIENTO BASE"), IF(OR(A10=3,A10=4,A10=5,A10=6), IF(J10&lt;=0.08, "DENTRO DE RENDIMIENTO BASE", "EXCEDE RENDIMIENTO BASE"), IF(A10=7, IF(J10&lt;=0.07, "DENTRO DE RENDIMIENTO BASE", "EXCEDE RENDIMIENTO BASE"), IF(A10=8, IF(K10&lt;=0.22, "DENTRO DE RENDIMIENTO BASE", "EXCEDE RENDIMIENTO BASE"), IF(A10=9, IF(J10&lt;=0.075, "DENTRO DE RENDIMIENTO BASE", "EXCEDE RENDIMIENTO BASE"), "APOYO PUNTUAL")))))))</f>
        <v/>
      </c>
    </row>
    <row r="11" ht="19.5" customHeight="1" s="46">
      <c r="A11" s="12" t="n">
        <v>3</v>
      </c>
      <c r="B11" s="12" t="inlineStr">
        <is>
          <t>DR-01</t>
        </is>
      </c>
      <c r="C11" s="13" t="inlineStr">
        <is>
          <t>COMPACTADOR TÁNDEM HAMM-HD120 VV</t>
        </is>
      </c>
      <c r="D11" s="13" t="inlineStr">
        <is>
          <t>JOEL ALBERTO RIVERA RIVAS</t>
        </is>
      </c>
      <c r="E11" s="13" t="inlineStr">
        <is>
          <t>Compactación Tándem Primaria</t>
        </is>
      </c>
      <c r="F11" s="14">
        <f>$C$6</f>
        <v/>
      </c>
      <c r="G11" s="37">
        <f>$E$6</f>
        <v/>
      </c>
      <c r="H11" s="16">
        <f>G11*$E$4</f>
        <v/>
      </c>
      <c r="I11" s="37" t="n">
        <v>60</v>
      </c>
      <c r="J11" s="20">
        <f>IF(H11&gt;0, I11/H11, 0)</f>
        <v/>
      </c>
      <c r="K11" s="20">
        <f>IF(G11&gt;0, I11/G11, 0)</f>
        <v/>
      </c>
      <c r="L11" s="21" t="n">
        <v>14.3</v>
      </c>
      <c r="M11" s="22">
        <f>IF(L11&gt;0, I11/L11, 0)</f>
        <v/>
      </c>
      <c r="N11" s="12">
        <f>IF(I11=0, "SIN CONSUMO (Inactiva)", IF(A11=1, IF(K11&lt;=0.85, "DENTRO DE RENDIMIENTO BASE", "EXCEDE RENDIMIENTO BASE"), IF(A11=2, IF(J11&lt;=0.38, "DENTRO DE RENDIMIENTO BASE", "EXCEDE RENDIMIENTO BASE"), IF(OR(A11=3,A11=4,A11=5,A11=6), IF(J11&lt;=0.08, "DENTRO DE RENDIMIENTO BASE", "EXCEDE RENDIMIENTO BASE"), IF(A11=7, IF(J11&lt;=0.07, "DENTRO DE RENDIMIENTO BASE", "EXCEDE RENDIMIENTO BASE"), IF(A11=8, IF(K11&lt;=0.22, "DENTRO DE RENDIMIENTO BASE", "EXCEDE RENDIMIENTO BASE"), IF(A11=9, IF(J11&lt;=0.075, "DENTRO DE RENDIMIENTO BASE", "EXCEDE RENDIMIENTO BASE"), "APOYO PUNTUAL")))))))</f>
        <v/>
      </c>
    </row>
    <row r="12" ht="19.5" customHeight="1" s="46">
      <c r="A12" s="12" t="n">
        <v>4</v>
      </c>
      <c r="B12" s="12" t="inlineStr">
        <is>
          <t>DR-02</t>
        </is>
      </c>
      <c r="C12" s="13" t="inlineStr">
        <is>
          <t>COMPACTADOR TÁNDEM HAMM-HD140</t>
        </is>
      </c>
      <c r="D12" s="13" t="inlineStr">
        <is>
          <t>ALEXIS RENDON DOMINGUEZ</t>
        </is>
      </c>
      <c r="E12" s="13" t="inlineStr">
        <is>
          <t>Compactación Tándem Pesada</t>
        </is>
      </c>
      <c r="F12" s="14">
        <f>$C$6</f>
        <v/>
      </c>
      <c r="G12" s="37">
        <f>$E$6</f>
        <v/>
      </c>
      <c r="H12" s="16">
        <f>G12*$E$4</f>
        <v/>
      </c>
      <c r="I12" s="37" t="n">
        <v>203</v>
      </c>
      <c r="J12" s="20">
        <f>IF(H12&gt;0, I12/H12, 0)</f>
        <v/>
      </c>
      <c r="K12" s="20">
        <f>IF(G12&gt;0, I12/G12, 0)</f>
        <v/>
      </c>
      <c r="L12" s="21" t="n">
        <v>14.3</v>
      </c>
      <c r="M12" s="22">
        <f>IF(L12&gt;0, I12/L12, 0)</f>
        <v/>
      </c>
      <c r="N12" s="12">
        <f>IF(I12=0, "SIN CONSUMO (Inactiva)", IF(A12=1, IF(K12&lt;=0.85, "DENTRO DE RENDIMIENTO BASE", "EXCEDE RENDIMIENTO BASE"), IF(A12=2, IF(J12&lt;=0.38, "DENTRO DE RENDIMIENTO BASE", "EXCEDE RENDIMIENTO BASE"), IF(OR(A12=3,A12=4,A12=5,A12=6), IF(J12&lt;=0.08, "DENTRO DE RENDIMIENTO BASE", "EXCEDE RENDIMIENTO BASE"), IF(A12=7, IF(J12&lt;=0.07, "DENTRO DE RENDIMIENTO BASE", "EXCEDE RENDIMIENTO BASE"), IF(A12=8, IF(K12&lt;=0.22, "DENTRO DE RENDIMIENTO BASE", "EXCEDE RENDIMIENTO BASE"), IF(A12=9, IF(J12&lt;=0.075, "DENTRO DE RENDIMIENTO BASE", "EXCEDE RENDIMIENTO BASE"), "APOYO PUNTUAL")))))))</f>
        <v/>
      </c>
    </row>
    <row r="13" ht="19.5" customHeight="1" s="46">
      <c r="A13" s="12" t="n">
        <v>5</v>
      </c>
      <c r="B13" s="12" t="inlineStr">
        <is>
          <t>NM-01</t>
        </is>
      </c>
      <c r="C13" s="13" t="inlineStr">
        <is>
          <t>COMPACTADOR NEUMÁTICO DYNAPAC CP271</t>
        </is>
      </c>
      <c r="D13" s="13" t="inlineStr">
        <is>
          <t>JOSE CARLOS ROMERO TELLEZ</t>
        </is>
      </c>
      <c r="E13" s="13" t="inlineStr">
        <is>
          <t>Compactación Neumática / Sellado</t>
        </is>
      </c>
      <c r="F13" s="14">
        <f>$C$6</f>
        <v/>
      </c>
      <c r="G13" s="37">
        <f>$E$6</f>
        <v/>
      </c>
      <c r="H13" s="16">
        <f>G13*$E$4</f>
        <v/>
      </c>
      <c r="I13" s="37" t="n">
        <v>53</v>
      </c>
      <c r="J13" s="20">
        <f>IF(H13&gt;0, I13/H13, 0)</f>
        <v/>
      </c>
      <c r="K13" s="20">
        <f>IF(G13&gt;0, I13/G13, 0)</f>
        <v/>
      </c>
      <c r="L13" s="21" t="n">
        <v>11.44</v>
      </c>
      <c r="M13" s="22">
        <f>IF(L13&gt;0, I13/L13, 0)</f>
        <v/>
      </c>
      <c r="N13" s="12">
        <f>IF(I13=0, "SIN CONSUMO (Inactiva)", IF(A13=1, IF(K13&lt;=0.85, "DENTRO DE RENDIMIENTO BASE", "EXCEDE RENDIMIENTO BASE"), IF(A13=2, IF(J13&lt;=0.38, "DENTRO DE RENDIMIENTO BASE", "EXCEDE RENDIMIENTO BASE"), IF(OR(A13=3,A13=4,A13=5,A13=6), IF(J13&lt;=0.08, "DENTRO DE RENDIMIENTO BASE", "EXCEDE RENDIMIENTO BASE"), IF(A13=7, IF(J13&lt;=0.07, "DENTRO DE RENDIMIENTO BASE", "EXCEDE RENDIMIENTO BASE"), IF(A13=8, IF(K13&lt;=0.22, "DENTRO DE RENDIMIENTO BASE", "EXCEDE RENDIMIENTO BASE"), IF(A13=9, IF(J13&lt;=0.075, "DENTRO DE RENDIMIENTO BASE", "EXCEDE RENDIMIENTO BASE"), "APOYO PUNTUAL")))))))</f>
        <v/>
      </c>
    </row>
    <row r="14" ht="19.5" customHeight="1" s="46">
      <c r="A14" s="12" t="n">
        <v>6</v>
      </c>
      <c r="B14" s="12" t="inlineStr">
        <is>
          <t>NM-09</t>
        </is>
      </c>
      <c r="C14" s="13" t="inlineStr">
        <is>
          <t>COMPACTADOR NEUMÁTICO HAMM 208</t>
        </is>
      </c>
      <c r="D14" s="13" t="inlineStr">
        <is>
          <t>NOLVIN DE JESUS PEREZ GOMEZ</t>
        </is>
      </c>
      <c r="E14" s="13" t="inlineStr">
        <is>
          <t>Compactación Neumática / Acabado</t>
        </is>
      </c>
      <c r="F14" s="14">
        <f>$C$6</f>
        <v/>
      </c>
      <c r="G14" s="37">
        <f>$E$6</f>
        <v/>
      </c>
      <c r="H14" s="16">
        <f>G14*$E$4</f>
        <v/>
      </c>
      <c r="I14" s="37" t="n">
        <v>83</v>
      </c>
      <c r="J14" s="20">
        <f>IF(H14&gt;0, I14/H14, 0)</f>
        <v/>
      </c>
      <c r="K14" s="20">
        <f>IF(G14&gt;0, I14/G14, 0)</f>
        <v/>
      </c>
      <c r="L14" s="21" t="n">
        <v>10.96</v>
      </c>
      <c r="M14" s="22">
        <f>IF(L14&gt;0, I14/L14, 0)</f>
        <v/>
      </c>
      <c r="N14" s="12">
        <f>IF(I14=0, "SIN CONSUMO (Inactiva)", IF(A14=1, IF(K14&lt;=0.85, "DENTRO DE RENDIMIENTO BASE", "EXCEDE RENDIMIENTO BASE"), IF(A14=2, IF(J14&lt;=0.38, "DENTRO DE RENDIMIENTO BASE", "EXCEDE RENDIMIENTO BASE"), IF(OR(A14=3,A14=4,A14=5,A14=6), IF(J14&lt;=0.08, "DENTRO DE RENDIMIENTO BASE", "EXCEDE RENDIMIENTO BASE"), IF(A14=7, IF(J14&lt;=0.07, "DENTRO DE RENDIMIENTO BASE", "EXCEDE RENDIMIENTO BASE"), IF(A14=8, IF(K14&lt;=0.22, "DENTRO DE RENDIMIENTO BASE", "EXCEDE RENDIMIENTO BASE"), IF(A14=9, IF(J14&lt;=0.075, "DENTRO DE RENDIMIENTO BASE", "EXCEDE RENDIMIENTO BASE"), "APOYO PUNTUAL")))))))</f>
        <v/>
      </c>
    </row>
    <row r="15" ht="19.5" customHeight="1" s="46">
      <c r="A15" s="12" t="n">
        <v>7</v>
      </c>
      <c r="B15" s="12" t="inlineStr">
        <is>
          <t>BR-01</t>
        </is>
      </c>
      <c r="C15" s="13" t="inlineStr">
        <is>
          <t>BARREDORA INDUSTRIAL BROCE BROOM-350</t>
        </is>
      </c>
      <c r="D15" s="13" t="inlineStr">
        <is>
          <t>EDGAR ROSALES MARTINEZ</t>
        </is>
      </c>
      <c r="E15" s="13" t="inlineStr">
        <is>
          <t>Limpieza y Barrido Previo</t>
        </is>
      </c>
      <c r="F15" s="14">
        <f>$C$6</f>
        <v/>
      </c>
      <c r="G15" s="37">
        <f>$E$6</f>
        <v/>
      </c>
      <c r="H15" s="16">
        <f>G15*$E$4</f>
        <v/>
      </c>
      <c r="I15" s="37" t="n">
        <v>96</v>
      </c>
      <c r="J15" s="20">
        <f>IF(H15&gt;0, I15/H15, 0)</f>
        <v/>
      </c>
      <c r="K15" s="20">
        <f>IF(G15&gt;0, I15/G15, 0)</f>
        <v/>
      </c>
      <c r="L15" s="21" t="n">
        <v>8.94</v>
      </c>
      <c r="M15" s="22">
        <f>IF(L15&gt;0, I15/L15, 0)</f>
        <v/>
      </c>
      <c r="N15" s="12">
        <f>IF(I15=0, "SIN CONSUMO (Inactiva)", IF(A15=1, IF(K15&lt;=0.85, "DENTRO DE RENDIMIENTO BASE", "EXCEDE RENDIMIENTO BASE"), IF(A15=2, IF(J15&lt;=0.38, "DENTRO DE RENDIMIENTO BASE", "EXCEDE RENDIMIENTO BASE"), IF(OR(A15=3,A15=4,A15=5,A15=6), IF(J15&lt;=0.08, "DENTRO DE RENDIMIENTO BASE", "EXCEDE RENDIMIENTO BASE"), IF(A15=7, IF(J15&lt;=0.07, "DENTRO DE RENDIMIENTO BASE", "EXCEDE RENDIMIENTO BASE"), IF(A15=8, IF(K15&lt;=0.22, "DENTRO DE RENDIMIENTO BASE", "EXCEDE RENDIMIENTO BASE"), IF(A15=9, IF(J15&lt;=0.075, "DENTRO DE RENDIMIENTO BASE", "EXCEDE RENDIMIENTO BASE"), "APOYO PUNTUAL")))))))</f>
        <v/>
      </c>
    </row>
    <row r="16" ht="19.5" customHeight="1" s="46">
      <c r="A16" s="12" t="n">
        <v>8</v>
      </c>
      <c r="B16" s="12" t="inlineStr">
        <is>
          <t>RT-05</t>
        </is>
      </c>
      <c r="C16" s="13" t="inlineStr">
        <is>
          <t>RETROEXCAVADORA JOHN DEERE 310SK</t>
        </is>
      </c>
      <c r="D16" s="13" t="inlineStr">
        <is>
          <t>ADOLFO NAVA LOPEZ</t>
        </is>
      </c>
      <c r="E16" s="13" t="inlineStr">
        <is>
          <t>Carga Fresado y Derrumbes</t>
        </is>
      </c>
      <c r="F16" s="14">
        <f>$C$5</f>
        <v/>
      </c>
      <c r="G16" s="37">
        <f>$E$5</f>
        <v/>
      </c>
      <c r="H16" s="18" t="inlineStr">
        <is>
          <t>-</t>
        </is>
      </c>
      <c r="I16" s="37" t="n">
        <v>332</v>
      </c>
      <c r="J16" s="19" t="inlineStr">
        <is>
          <t>-</t>
        </is>
      </c>
      <c r="K16" s="20">
        <f>IF(G16&gt;0, I16/G16, 0)</f>
        <v/>
      </c>
      <c r="L16" s="21" t="n">
        <v>7.44</v>
      </c>
      <c r="M16" s="22">
        <f>IF(L16&gt;0, I16/L16, 0)</f>
        <v/>
      </c>
      <c r="N16" s="12">
        <f>IF(I16=0, "SIN CONSUMO (Inactiva)", IF(A16=1, IF(K16&lt;=0.85, "DENTRO DE RENDIMIENTO BASE", "EXCEDE RENDIMIENTO BASE"), IF(A16=2, IF(J16&lt;=0.38, "DENTRO DE RENDIMIENTO BASE", "EXCEDE RENDIMIENTO BASE"), IF(OR(A16=3,A16=4,A16=5,A16=6), IF(J16&lt;=0.08, "DENTRO DE RENDIMIENTO BASE", "EXCEDE RENDIMIENTO BASE"), IF(A16=7, IF(J16&lt;=0.07, "DENTRO DE RENDIMIENTO BASE", "EXCEDE RENDIMIENTO BASE"), IF(A16=8, IF(K16&lt;=0.22, "DENTRO DE RENDIMIENTO BASE", "EXCEDE RENDIMIENTO BASE"), IF(A16=9, IF(J16&lt;=0.075, "DENTRO DE RENDIMIENTO BASE", "EXCEDE RENDIMIENTO BASE"), "APOYO PUNTUAL")))))))</f>
        <v/>
      </c>
    </row>
    <row r="17" ht="19.5" customHeight="1" s="46">
      <c r="A17" s="12" t="n">
        <v>9</v>
      </c>
      <c r="B17" s="12" t="inlineStr">
        <is>
          <t>PT-01</t>
        </is>
      </c>
      <c r="C17" s="13" t="inlineStr">
        <is>
          <t>PETROLIZADORA INTERNATIONAL / FORD F800</t>
        </is>
      </c>
      <c r="D17" s="13" t="inlineStr">
        <is>
          <t>ELTHON EDUARDO MARTINEZ GOMORA</t>
        </is>
      </c>
      <c r="E17" s="13" t="inlineStr">
        <is>
          <t>Riego de Liga / Emulsión</t>
        </is>
      </c>
      <c r="F17" s="14">
        <f>$C$6</f>
        <v/>
      </c>
      <c r="G17" s="37">
        <f>$E$6</f>
        <v/>
      </c>
      <c r="H17" s="16">
        <f>G17*$E$4</f>
        <v/>
      </c>
      <c r="I17" s="37" t="n">
        <v>80</v>
      </c>
      <c r="J17" s="20">
        <f>IF(H17&gt;0, I17/H17, 0)</f>
        <v/>
      </c>
      <c r="K17" s="20">
        <f>IF(G17&gt;0, I17/G17, 0)</f>
        <v/>
      </c>
      <c r="L17" s="21" t="n">
        <v>12.76</v>
      </c>
      <c r="M17" s="22">
        <f>IF(L17&gt;0, I17/L17, 0)</f>
        <v/>
      </c>
      <c r="N17" s="12">
        <f>IF(I17=0, "SIN CONSUMO (Inactiva)", IF(A17=1, IF(K17&lt;=0.85, "DENTRO DE RENDIMIENTO BASE", "EXCEDE RENDIMIENTO BASE"), IF(A17=2, IF(J17&lt;=0.38, "DENTRO DE RENDIMIENTO BASE", "EXCEDE RENDIMIENTO BASE"), IF(OR(A17=3,A17=4,A17=5,A17=6), IF(J17&lt;=0.08, "DENTRO DE RENDIMIENTO BASE", "EXCEDE RENDIMIENTO BASE"), IF(A17=7, IF(J17&lt;=0.07, "DENTRO DE RENDIMIENTO BASE", "EXCEDE RENDIMIENTO BASE"), IF(A17=8, IF(K17&lt;=0.22, "DENTRO DE RENDIMIENTO BASE", "EXCEDE RENDIMIENTO BASE"), IF(A17=9, IF(J17&lt;=0.075, "DENTRO DE RENDIMIENTO BASE", "EXCEDE RENDIMIENTO BASE"), "APOYO PUNTUAL")))))))</f>
        <v/>
      </c>
    </row>
    <row r="18" ht="19.5" customHeight="1" s="46">
      <c r="A18" s="12" t="n">
        <v>10</v>
      </c>
      <c r="B18" s="12" t="inlineStr">
        <is>
          <t>CPR-01</t>
        </is>
      </c>
      <c r="C18" s="13" t="inlineStr">
        <is>
          <t>COMPRESOR DE AIRE INGERSOLL RAND IR185</t>
        </is>
      </c>
      <c r="D18" s="13" t="inlineStr">
        <is>
          <t>CUADRILLA DE LIMPIEZA</t>
        </is>
      </c>
      <c r="E18" s="13" t="inlineStr">
        <is>
          <t>Sopleteado de Juntas</t>
        </is>
      </c>
      <c r="F18" s="14" t="n">
        <v>0</v>
      </c>
      <c r="G18" s="37" t="n">
        <v>0</v>
      </c>
      <c r="H18" s="16" t="n">
        <v>0</v>
      </c>
      <c r="I18" s="37" t="n">
        <v>0</v>
      </c>
      <c r="J18" s="20" t="n">
        <v>0</v>
      </c>
      <c r="K18" s="20" t="n">
        <v>0</v>
      </c>
      <c r="L18" s="21" t="n">
        <v>9.970000000000001</v>
      </c>
      <c r="M18" s="22">
        <f>IF(L18&gt;0, I18/L18, 0)</f>
        <v/>
      </c>
      <c r="N18" s="12">
        <f>IF(I18=0, "SIN CONSUMO (Inactiva)", IF(A18=1, IF(K18&lt;=0.85, "DENTRO DE RENDIMIENTO BASE", "EXCEDE RENDIMIENTO BASE"), IF(A18=2, IF(J18&lt;=0.38, "DENTRO DE RENDIMIENTO BASE", "EXCEDE RENDIMIENTO BASE"), IF(OR(A18=3,A18=4,A18=5,A18=6), IF(J18&lt;=0.08, "DENTRO DE RENDIMIENTO BASE", "EXCEDE RENDIMIENTO BASE"), IF(A18=7, IF(J18&lt;=0.07, "DENTRO DE RENDIMIENTO BASE", "EXCEDE RENDIMIENTO BASE"), IF(A18=8, IF(K18&lt;=0.22, "DENTRO DE RENDIMIENTO BASE", "EXCEDE RENDIMIENTO BASE"), IF(A18=9, IF(J18&lt;=0.075, "DENTRO DE RENDIMIENTO BASE", "EXCEDE RENDIMIENTO BASE"), "APOYO PUNTUAL")))))))</f>
        <v/>
      </c>
    </row>
    <row r="19" ht="19.5" customHeight="1" s="46">
      <c r="A19" s="12" t="n">
        <v>11</v>
      </c>
      <c r="B19" s="12" t="inlineStr">
        <is>
          <t>PP-01</t>
        </is>
      </c>
      <c r="C19" s="13" t="inlineStr">
        <is>
          <t>CAMIÓN IMPACTO / PIPA DE AGUA FORD</t>
        </is>
      </c>
      <c r="D19" s="13" t="inlineStr">
        <is>
          <t>CUADRILLA DE AGUA</t>
        </is>
      </c>
      <c r="E19" s="13" t="inlineStr">
        <is>
          <t>Enfriamiento Rodillos / Riego</t>
        </is>
      </c>
      <c r="F19" s="14" t="n">
        <v>0</v>
      </c>
      <c r="G19" s="37" t="n">
        <v>0</v>
      </c>
      <c r="H19" s="16" t="n">
        <v>0</v>
      </c>
      <c r="I19" s="37" t="n">
        <v>0</v>
      </c>
      <c r="J19" s="20" t="n">
        <v>0</v>
      </c>
      <c r="K19" s="20" t="n">
        <v>0</v>
      </c>
      <c r="L19" s="21" t="n">
        <v>3.03</v>
      </c>
      <c r="M19" s="22">
        <f>IF(L19&gt;0, I19/L19, 0)</f>
        <v/>
      </c>
      <c r="N19" s="12">
        <f>IF(I19=0, "SIN CONSUMO (Inactiva)", IF(A19=1, IF(K19&lt;=0.85, "DENTRO DE RENDIMIENTO BASE", "EXCEDE RENDIMIENTO BASE"), IF(A19=2, IF(J19&lt;=0.38, "DENTRO DE RENDIMIENTO BASE", "EXCEDE RENDIMIENTO BASE"), IF(OR(A19=3,A19=4,A19=5,A19=6), IF(J19&lt;=0.08, "DENTRO DE RENDIMIENTO BASE", "EXCEDE RENDIMIENTO BASE"), IF(A19=7, IF(J19&lt;=0.07, "DENTRO DE RENDIMIENTO BASE", "EXCEDE RENDIMIENTO BASE"), IF(A19=8, IF(K19&lt;=0.22, "DENTRO DE RENDIMIENTO BASE", "EXCEDE RENDIMIENTO BASE"), IF(A19=9, IF(J19&lt;=0.075, "DENTRO DE RENDIMIENTO BASE", "EXCEDE RENDIMIENTO BASE"), "APOYO PUNTUAL")))))))</f>
        <v/>
      </c>
    </row>
    <row r="20" ht="19.5" customHeight="1" s="46">
      <c r="A20" s="12" t="n">
        <v>12</v>
      </c>
      <c r="B20" s="12" t="inlineStr">
        <is>
          <t>TL-01</t>
        </is>
      </c>
      <c r="C20" s="13" t="inlineStr">
        <is>
          <t>TORRE DE LUZ MAXILIGHT 4X1000W</t>
        </is>
      </c>
      <c r="D20" s="13" t="inlineStr">
        <is>
          <t>CUADRILLA NOCTURNA</t>
        </is>
      </c>
      <c r="E20" s="13" t="inlineStr">
        <is>
          <t>Iluminación Nocturna</t>
        </is>
      </c>
      <c r="F20" s="14" t="n">
        <v>0</v>
      </c>
      <c r="G20" s="37" t="n">
        <v>0</v>
      </c>
      <c r="H20" s="16" t="n">
        <v>0</v>
      </c>
      <c r="I20" s="37" t="n">
        <v>0</v>
      </c>
      <c r="J20" s="20" t="n">
        <v>0</v>
      </c>
      <c r="K20" s="20" t="n">
        <v>0</v>
      </c>
      <c r="L20" s="21" t="n">
        <v>2.41</v>
      </c>
      <c r="M20" s="22">
        <f>IF(L20&gt;0, I20/L20, 0)</f>
        <v/>
      </c>
      <c r="N20" s="12">
        <f>IF(I20=0, "SIN CONSUMO (Inactiva)", IF(A20=1, IF(K20&lt;=0.85, "DENTRO DE RENDIMIENTO BASE", "EXCEDE RENDIMIENTO BASE"), IF(A20=2, IF(J20&lt;=0.38, "DENTRO DE RENDIMIENTO BASE", "EXCEDE RENDIMIENTO BASE"), IF(OR(A20=3,A20=4,A20=5,A20=6), IF(J20&lt;=0.08, "DENTRO DE RENDIMIENTO BASE", "EXCEDE RENDIMIENTO BASE"), IF(A20=7, IF(J20&lt;=0.07, "DENTRO DE RENDIMIENTO BASE", "EXCEDE RENDIMIENTO BASE"), IF(A20=8, IF(K20&lt;=0.22, "DENTRO DE RENDIMIENTO BASE", "EXCEDE RENDIMIENTO BASE"), IF(A20=9, IF(J20&lt;=0.075, "DENTRO DE RENDIMIENTO BASE", "EXCEDE RENDIMIENTO BASE"), "APOYO PUNTUAL")))))))</f>
        <v/>
      </c>
    </row>
    <row r="21" ht="21.75" customHeight="1" s="46">
      <c r="A21" s="30" t="inlineStr">
        <is>
          <t>TOTAL SEMANA 32 (OBRA CARRETERA MÉXICO-TOLUCA)</t>
        </is>
      </c>
      <c r="B21" s="50" t="n"/>
      <c r="C21" s="50" t="n"/>
      <c r="D21" s="50" t="n"/>
      <c r="E21" s="51" t="n"/>
      <c r="F21" s="26">
        <f>C5+C6</f>
        <v/>
      </c>
      <c r="G21" s="27">
        <f>E5+E6</f>
        <v/>
      </c>
      <c r="H21" s="28">
        <f>G6</f>
        <v/>
      </c>
      <c r="I21" s="27">
        <f>SUM(I9:I20)</f>
        <v/>
      </c>
      <c r="J21" s="29">
        <f>IF(H21&gt;0, I21/H21, 0)</f>
        <v/>
      </c>
      <c r="K21" s="29">
        <f>IF(G21&gt;0, I21/G21, 0)</f>
        <v/>
      </c>
      <c r="L21" s="30" t="inlineStr">
        <is>
          <t>—</t>
        </is>
      </c>
      <c r="M21" s="31">
        <f>SUM(M9:M20)</f>
        <v/>
      </c>
      <c r="N21" s="30" t="inlineStr">
        <is>
          <t>SEMANA REGISTRADA</t>
        </is>
      </c>
    </row>
    <row r="22" ht="15.75" customHeight="1" s="46"/>
    <row r="23" ht="15.75" customHeight="1" s="46"/>
    <row r="24" ht="24" customHeight="1" s="46">
      <c r="A24" s="96" t="inlineStr">
        <is>
          <t>DESGLOSE DIARIO DE COMBUSTIBLE, VOLUMEN, TONELAJE Y RENDIMIENTO — SEMANA 32</t>
        </is>
      </c>
    </row>
    <row r="25" ht="19.5" customHeight="1" s="46">
      <c r="A25" s="48" t="inlineStr">
        <is>
          <t>DATOS DEL EQUIPO</t>
        </is>
      </c>
      <c r="F25" s="48" t="inlineStr">
        <is>
          <t>LUNES</t>
        </is>
      </c>
      <c r="J25" s="48" t="inlineStr">
        <is>
          <t>MARTES</t>
        </is>
      </c>
      <c r="N25" s="48" t="inlineStr">
        <is>
          <t>MIÉRCOLES</t>
        </is>
      </c>
      <c r="R25" s="48" t="inlineStr">
        <is>
          <t>JUEVES</t>
        </is>
      </c>
      <c r="V25" s="48" t="inlineStr">
        <is>
          <t>VIERNES</t>
        </is>
      </c>
      <c r="Z25" s="48" t="inlineStr">
        <is>
          <t>SÁBADO</t>
        </is>
      </c>
      <c r="AD25" s="97" t="inlineStr">
        <is>
          <t>TOTAL SEMANAL</t>
        </is>
      </c>
    </row>
    <row r="26" ht="25.5" customHeight="1" s="46">
      <c r="A26" s="34" t="inlineStr">
        <is>
          <t>No.</t>
        </is>
      </c>
      <c r="B26" s="34" t="inlineStr">
        <is>
          <t>Económico</t>
        </is>
      </c>
      <c r="C26" s="34" t="inlineStr">
        <is>
          <t>Equipo / Maquinaria</t>
        </is>
      </c>
      <c r="D26" s="34" t="inlineStr">
        <is>
          <t>Operador Asignado</t>
        </is>
      </c>
      <c r="E26" s="34" t="inlineStr">
        <is>
          <t>Concepto de Trabajo</t>
        </is>
      </c>
      <c r="F26" s="34" t="inlineStr">
        <is>
          <t>Diésel (L)</t>
        </is>
      </c>
      <c r="G26" s="34" t="inlineStr">
        <is>
          <t>Volumen (m³)</t>
        </is>
      </c>
      <c r="H26" s="34" t="inlineStr">
        <is>
          <t>Toneladas (Ton)</t>
        </is>
      </c>
      <c r="I26" s="34" t="inlineStr">
        <is>
          <t>Rendimiento Real</t>
        </is>
      </c>
      <c r="J26" s="34" t="inlineStr">
        <is>
          <t>Diésel (L)</t>
        </is>
      </c>
      <c r="K26" s="34" t="inlineStr">
        <is>
          <t>Volumen (m³)</t>
        </is>
      </c>
      <c r="L26" s="34" t="inlineStr">
        <is>
          <t>Toneladas (Ton)</t>
        </is>
      </c>
      <c r="M26" s="34" t="inlineStr">
        <is>
          <t>Rendimiento Real</t>
        </is>
      </c>
      <c r="N26" s="34" t="inlineStr">
        <is>
          <t>Diésel (L)</t>
        </is>
      </c>
      <c r="O26" s="34" t="inlineStr">
        <is>
          <t>Volumen (m³)</t>
        </is>
      </c>
      <c r="P26" s="34" t="inlineStr">
        <is>
          <t>Toneladas (Ton)</t>
        </is>
      </c>
      <c r="Q26" s="34" t="inlineStr">
        <is>
          <t>Rendimiento Real</t>
        </is>
      </c>
      <c r="R26" s="34" t="inlineStr">
        <is>
          <t>Diésel (L)</t>
        </is>
      </c>
      <c r="S26" s="34" t="inlineStr">
        <is>
          <t>Volumen (m³)</t>
        </is>
      </c>
      <c r="T26" s="34" t="inlineStr">
        <is>
          <t>Toneladas (Ton)</t>
        </is>
      </c>
      <c r="U26" s="34" t="inlineStr">
        <is>
          <t>Rendimiento Real</t>
        </is>
      </c>
      <c r="V26" s="34" t="inlineStr">
        <is>
          <t>Diésel (L)</t>
        </is>
      </c>
      <c r="W26" s="34" t="inlineStr">
        <is>
          <t>Volumen (m³)</t>
        </is>
      </c>
      <c r="X26" s="34" t="inlineStr">
        <is>
          <t>Toneladas (Ton)</t>
        </is>
      </c>
      <c r="Y26" s="34" t="inlineStr">
        <is>
          <t>Rendimiento Real</t>
        </is>
      </c>
      <c r="Z26" s="34" t="inlineStr">
        <is>
          <t>Diésel (L)</t>
        </is>
      </c>
      <c r="AA26" s="34" t="inlineStr">
        <is>
          <t>Volumen (m³)</t>
        </is>
      </c>
      <c r="AB26" s="34" t="inlineStr">
        <is>
          <t>Toneladas (Ton)</t>
        </is>
      </c>
      <c r="AC26" s="34" t="inlineStr">
        <is>
          <t>Rendimiento Real</t>
        </is>
      </c>
      <c r="AD26" s="35" t="inlineStr">
        <is>
          <t>Total Diésel (L)</t>
        </is>
      </c>
      <c r="AE26" s="35" t="inlineStr">
        <is>
          <t>Total Vol (m³)</t>
        </is>
      </c>
      <c r="AF26" s="35" t="inlineStr">
        <is>
          <t>Total Ton (Ton)</t>
        </is>
      </c>
      <c r="AG26" s="35" t="inlineStr">
        <is>
          <t>Rend. Promedio</t>
        </is>
      </c>
    </row>
    <row r="27" ht="18.75" customHeight="1" s="46">
      <c r="A27" s="12" t="n">
        <v>1</v>
      </c>
      <c r="B27" s="12" t="inlineStr">
        <is>
          <t>PRR-01</t>
        </is>
      </c>
      <c r="C27" s="13" t="inlineStr">
        <is>
          <t>PERFILADORA WIRTGEN W200i</t>
        </is>
      </c>
      <c r="D27" s="13" t="inlineStr">
        <is>
          <t>JAVIER PAREDES CORTE</t>
        </is>
      </c>
      <c r="E27" s="13" t="inlineStr">
        <is>
          <t>Fresado de Pavimento</t>
        </is>
      </c>
      <c r="F27" s="37" t="n">
        <v>0</v>
      </c>
      <c r="G27" s="37" t="n">
        <v>231</v>
      </c>
      <c r="H27" s="16">
        <f>G27*$E$4</f>
        <v/>
      </c>
      <c r="I27" s="20">
        <f>IF(G27&gt;0, F27/G27, 0)</f>
        <v/>
      </c>
      <c r="J27" s="37" t="n">
        <v>510</v>
      </c>
      <c r="K27" s="37" t="n">
        <v>329</v>
      </c>
      <c r="L27" s="16">
        <f>K27*$E$4</f>
        <v/>
      </c>
      <c r="M27" s="20">
        <f>IF(K27&gt;0, J27/K27, 0)</f>
        <v/>
      </c>
      <c r="N27" s="37" t="n">
        <v>0</v>
      </c>
      <c r="O27" s="37" t="n">
        <v>63</v>
      </c>
      <c r="P27" s="16">
        <f>O27*$E$4</f>
        <v/>
      </c>
      <c r="Q27" s="20">
        <f>IF(O27&gt;0, N27/O27, 0)</f>
        <v/>
      </c>
      <c r="R27" s="37" t="n">
        <v>250</v>
      </c>
      <c r="S27" s="37" t="n">
        <v>238</v>
      </c>
      <c r="T27" s="16">
        <f>S27*$E$4</f>
        <v/>
      </c>
      <c r="U27" s="20">
        <f>IF(S27&gt;0, R27/S27, 0)</f>
        <v/>
      </c>
      <c r="V27" s="37" t="n">
        <v>0</v>
      </c>
      <c r="W27" s="37" t="n">
        <v>371</v>
      </c>
      <c r="X27" s="16">
        <f>W27*$E$4</f>
        <v/>
      </c>
      <c r="Y27" s="20">
        <f>IF(W27&gt;0, V27/W27, 0)</f>
        <v/>
      </c>
      <c r="Z27" s="37" t="n">
        <v>200</v>
      </c>
      <c r="AA27" s="37" t="n">
        <v>315</v>
      </c>
      <c r="AB27" s="16">
        <f>AA27*$E$4</f>
        <v/>
      </c>
      <c r="AC27" s="20">
        <f>IF(AA27&gt;0, Z27/AA27, 0)</f>
        <v/>
      </c>
      <c r="AD27" s="37">
        <f>F27+J27+N27+R27+V27+Z27</f>
        <v/>
      </c>
      <c r="AE27" s="37">
        <f>G27+K27+O27+S27+W27+AA27</f>
        <v/>
      </c>
      <c r="AF27" s="16">
        <f>H27+L27+P27+T27+X27+AB27</f>
        <v/>
      </c>
      <c r="AG27" s="20">
        <f>IF(AE27&gt;0, AD27/AE27, 0)</f>
        <v/>
      </c>
    </row>
    <row r="28" ht="18.75" customHeight="1" s="46">
      <c r="A28" s="12" t="n">
        <v>2</v>
      </c>
      <c r="B28" s="12" t="inlineStr">
        <is>
          <t>VG-01</t>
        </is>
      </c>
      <c r="C28" s="13" t="inlineStr">
        <is>
          <t>PAVIMENTADORA VÖGELE SUPER 1800-3i</t>
        </is>
      </c>
      <c r="D28" s="13" t="inlineStr">
        <is>
          <t>ERWIN CUTEÑO HERNANDEZ</t>
        </is>
      </c>
      <c r="E28" s="13" t="inlineStr">
        <is>
          <t>Tendido de Mezcla Asfáltica</t>
        </is>
      </c>
      <c r="F28" s="37" t="n">
        <v>0</v>
      </c>
      <c r="G28" s="37" t="n">
        <v>210</v>
      </c>
      <c r="H28" s="16">
        <f>G28*$E$4</f>
        <v/>
      </c>
      <c r="I28" s="20">
        <f>IF(H28&gt;0, F28/H28, 0)</f>
        <v/>
      </c>
      <c r="J28" s="37" t="n">
        <v>160</v>
      </c>
      <c r="K28" s="37" t="n">
        <v>140</v>
      </c>
      <c r="L28" s="16">
        <f>K28*$E$4</f>
        <v/>
      </c>
      <c r="M28" s="20">
        <f>IF(L28&gt;0, J28/L28, 0)</f>
        <v/>
      </c>
      <c r="N28" s="37" t="n">
        <v>0</v>
      </c>
      <c r="O28" s="37" t="n">
        <v>210</v>
      </c>
      <c r="P28" s="16">
        <f>O28*$E$4</f>
        <v/>
      </c>
      <c r="Q28" s="20">
        <f>IF(P28&gt;0, N28/P28, 0)</f>
        <v/>
      </c>
      <c r="R28" s="37" t="n">
        <v>336</v>
      </c>
      <c r="S28" s="37" t="n">
        <v>168</v>
      </c>
      <c r="T28" s="16">
        <f>S28*$E$4</f>
        <v/>
      </c>
      <c r="U28" s="20">
        <f>IF(T28&gt;0, R28/T28, 0)</f>
        <v/>
      </c>
      <c r="V28" s="37" t="n">
        <v>0</v>
      </c>
      <c r="W28" s="37" t="n">
        <v>210</v>
      </c>
      <c r="X28" s="16">
        <f>W28*$E$4</f>
        <v/>
      </c>
      <c r="Y28" s="20">
        <f>IF(X28&gt;0, V28/X28, 0)</f>
        <v/>
      </c>
      <c r="Z28" s="37" t="n">
        <v>230</v>
      </c>
      <c r="AA28" s="37" t="n">
        <v>210</v>
      </c>
      <c r="AB28" s="16">
        <f>AA28*$E$4</f>
        <v/>
      </c>
      <c r="AC28" s="20">
        <f>IF(AB28&gt;0, Z28/AB28, 0)</f>
        <v/>
      </c>
      <c r="AD28" s="37">
        <f>F28+J28+N28+R28+V28+Z28</f>
        <v/>
      </c>
      <c r="AE28" s="37">
        <f>G28+K28+O28+S28+W28+AA28</f>
        <v/>
      </c>
      <c r="AF28" s="16">
        <f>H28+L28+P28+T28+X28+AB28</f>
        <v/>
      </c>
      <c r="AG28" s="20">
        <f>IF(AF28&gt;0, AD28/AF28, 0)</f>
        <v/>
      </c>
    </row>
    <row r="29" ht="18.75" customHeight="1" s="46">
      <c r="A29" s="12" t="n">
        <v>3</v>
      </c>
      <c r="B29" s="12" t="inlineStr">
        <is>
          <t>DR-01</t>
        </is>
      </c>
      <c r="C29" s="13" t="inlineStr">
        <is>
          <t>COMPACTADOR TÁNDEM HAMM-HD120 VV</t>
        </is>
      </c>
      <c r="D29" s="13" t="inlineStr">
        <is>
          <t>JOEL ALBERTO RIVERA RIVAS</t>
        </is>
      </c>
      <c r="E29" s="13" t="inlineStr">
        <is>
          <t>Compactación Tándem Primaria</t>
        </is>
      </c>
      <c r="F29" s="37" t="n">
        <v>0</v>
      </c>
      <c r="G29" s="37" t="n">
        <v>210</v>
      </c>
      <c r="H29" s="16">
        <f>G29*$E$4</f>
        <v/>
      </c>
      <c r="I29" s="20">
        <f>IF(H29&gt;0, F29/H29, 0)</f>
        <v/>
      </c>
      <c r="J29" s="37" t="n">
        <v>60</v>
      </c>
      <c r="K29" s="37" t="n">
        <v>140</v>
      </c>
      <c r="L29" s="16">
        <f>K29*$E$4</f>
        <v/>
      </c>
      <c r="M29" s="20">
        <f>IF(L29&gt;0, J29/L29, 0)</f>
        <v/>
      </c>
      <c r="N29" s="37" t="n">
        <v>0</v>
      </c>
      <c r="O29" s="37" t="n">
        <v>210</v>
      </c>
      <c r="P29" s="16">
        <f>O29*$E$4</f>
        <v/>
      </c>
      <c r="Q29" s="20">
        <f>IF(P29&gt;0, N29/P29, 0)</f>
        <v/>
      </c>
      <c r="R29" s="37" t="n">
        <v>0</v>
      </c>
      <c r="S29" s="37" t="n">
        <v>168</v>
      </c>
      <c r="T29" s="16">
        <f>S29*$E$4</f>
        <v/>
      </c>
      <c r="U29" s="20">
        <f>IF(T29&gt;0, R29/T29, 0)</f>
        <v/>
      </c>
      <c r="V29" s="37" t="n">
        <v>0</v>
      </c>
      <c r="W29" s="37" t="n">
        <v>210</v>
      </c>
      <c r="X29" s="16">
        <f>W29*$E$4</f>
        <v/>
      </c>
      <c r="Y29" s="20">
        <f>IF(X29&gt;0, V29/X29, 0)</f>
        <v/>
      </c>
      <c r="Z29" s="37" t="n">
        <v>0</v>
      </c>
      <c r="AA29" s="37" t="n">
        <v>210</v>
      </c>
      <c r="AB29" s="16">
        <f>AA29*$E$4</f>
        <v/>
      </c>
      <c r="AC29" s="20">
        <f>IF(AB29&gt;0, Z29/AB29, 0)</f>
        <v/>
      </c>
      <c r="AD29" s="37">
        <f>F29+J29+N29+R29+V29+Z29</f>
        <v/>
      </c>
      <c r="AE29" s="37">
        <f>G29+K29+O29+S29+W29+AA29</f>
        <v/>
      </c>
      <c r="AF29" s="16">
        <f>H29+L29+P29+T29+X29+AB29</f>
        <v/>
      </c>
      <c r="AG29" s="20">
        <f>IF(AF29&gt;0, AD29/AF29, 0)</f>
        <v/>
      </c>
    </row>
    <row r="30" ht="18.75" customHeight="1" s="46">
      <c r="A30" s="12" t="n">
        <v>4</v>
      </c>
      <c r="B30" s="12" t="inlineStr">
        <is>
          <t>DR-02</t>
        </is>
      </c>
      <c r="C30" s="13" t="inlineStr">
        <is>
          <t>COMPACTADOR TÁNDEM HAMM-HD140</t>
        </is>
      </c>
      <c r="D30" s="13" t="inlineStr">
        <is>
          <t>ALEXIS RENDON DOMINGUEZ</t>
        </is>
      </c>
      <c r="E30" s="13" t="inlineStr">
        <is>
          <t>Compactación Tándem Pesada</t>
        </is>
      </c>
      <c r="F30" s="37" t="n">
        <v>0</v>
      </c>
      <c r="G30" s="37" t="n">
        <v>210</v>
      </c>
      <c r="H30" s="16">
        <f>G30*$E$4</f>
        <v/>
      </c>
      <c r="I30" s="20">
        <f>IF(H30&gt;0, F30/H30, 0)</f>
        <v/>
      </c>
      <c r="J30" s="37" t="n">
        <v>60</v>
      </c>
      <c r="K30" s="37" t="n">
        <v>140</v>
      </c>
      <c r="L30" s="16">
        <f>K30*$E$4</f>
        <v/>
      </c>
      <c r="M30" s="20">
        <f>IF(L30&gt;0, J30/L30, 0)</f>
        <v/>
      </c>
      <c r="N30" s="37" t="n">
        <v>0</v>
      </c>
      <c r="O30" s="37" t="n">
        <v>210</v>
      </c>
      <c r="P30" s="16">
        <f>O30*$E$4</f>
        <v/>
      </c>
      <c r="Q30" s="20">
        <f>IF(P30&gt;0, N30/P30, 0)</f>
        <v/>
      </c>
      <c r="R30" s="37" t="n">
        <v>60</v>
      </c>
      <c r="S30" s="37" t="n">
        <v>168</v>
      </c>
      <c r="T30" s="16">
        <f>S30*$E$4</f>
        <v/>
      </c>
      <c r="U30" s="20">
        <f>IF(T30&gt;0, R30/T30, 0)</f>
        <v/>
      </c>
      <c r="V30" s="37" t="n">
        <v>0</v>
      </c>
      <c r="W30" s="37" t="n">
        <v>210</v>
      </c>
      <c r="X30" s="16">
        <f>W30*$E$4</f>
        <v/>
      </c>
      <c r="Y30" s="20">
        <f>IF(X30&gt;0, V30/X30, 0)</f>
        <v/>
      </c>
      <c r="Z30" s="37" t="n">
        <v>83</v>
      </c>
      <c r="AA30" s="37" t="n">
        <v>210</v>
      </c>
      <c r="AB30" s="16">
        <f>AA30*$E$4</f>
        <v/>
      </c>
      <c r="AC30" s="20">
        <f>IF(AB30&gt;0, Z30/AB30, 0)</f>
        <v/>
      </c>
      <c r="AD30" s="37">
        <f>F30+J30+N30+R30+V30+Z30</f>
        <v/>
      </c>
      <c r="AE30" s="37">
        <f>G30+K30+O30+S30+W30+AA30</f>
        <v/>
      </c>
      <c r="AF30" s="16">
        <f>H30+L30+P30+T30+X30+AB30</f>
        <v/>
      </c>
      <c r="AG30" s="20">
        <f>IF(AF30&gt;0, AD30/AF30, 0)</f>
        <v/>
      </c>
    </row>
    <row r="31" ht="18.75" customHeight="1" s="46">
      <c r="A31" s="12" t="n">
        <v>5</v>
      </c>
      <c r="B31" s="12" t="inlineStr">
        <is>
          <t>NM-01</t>
        </is>
      </c>
      <c r="C31" s="13" t="inlineStr">
        <is>
          <t>COMPACTADOR NEUMÁTICO DYNAPAC CP271</t>
        </is>
      </c>
      <c r="D31" s="13" t="inlineStr">
        <is>
          <t>JOSE CARLOS ROMERO TELLEZ</t>
        </is>
      </c>
      <c r="E31" s="13" t="inlineStr">
        <is>
          <t>Compactación Neumática / Sellado</t>
        </is>
      </c>
      <c r="F31" s="37" t="n">
        <v>0</v>
      </c>
      <c r="G31" s="37" t="n">
        <v>210</v>
      </c>
      <c r="H31" s="16">
        <f>G31*$E$4</f>
        <v/>
      </c>
      <c r="I31" s="20">
        <f>IF(H31&gt;0, F31/H31, 0)</f>
        <v/>
      </c>
      <c r="J31" s="37" t="n">
        <v>3</v>
      </c>
      <c r="K31" s="37" t="n">
        <v>140</v>
      </c>
      <c r="L31" s="16">
        <f>K31*$E$4</f>
        <v/>
      </c>
      <c r="M31" s="20">
        <f>IF(L31&gt;0, J31/L31, 0)</f>
        <v/>
      </c>
      <c r="N31" s="37" t="n">
        <v>0</v>
      </c>
      <c r="O31" s="37" t="n">
        <v>210</v>
      </c>
      <c r="P31" s="16">
        <f>O31*$E$4</f>
        <v/>
      </c>
      <c r="Q31" s="20">
        <f>IF(P31&gt;0, N31/P31, 0)</f>
        <v/>
      </c>
      <c r="R31" s="37" t="n">
        <v>0</v>
      </c>
      <c r="S31" s="37" t="n">
        <v>168</v>
      </c>
      <c r="T31" s="16">
        <f>S31*$E$4</f>
        <v/>
      </c>
      <c r="U31" s="20">
        <f>IF(T31&gt;0, R31/T31, 0)</f>
        <v/>
      </c>
      <c r="V31" s="37" t="n">
        <v>0</v>
      </c>
      <c r="W31" s="37" t="n">
        <v>210</v>
      </c>
      <c r="X31" s="16">
        <f>W31*$E$4</f>
        <v/>
      </c>
      <c r="Y31" s="20">
        <f>IF(X31&gt;0, V31/X31, 0)</f>
        <v/>
      </c>
      <c r="Z31" s="37" t="n">
        <v>50</v>
      </c>
      <c r="AA31" s="37" t="n">
        <v>210</v>
      </c>
      <c r="AB31" s="16">
        <f>AA31*$E$4</f>
        <v/>
      </c>
      <c r="AC31" s="20">
        <f>IF(AB31&gt;0, Z31/AB31, 0)</f>
        <v/>
      </c>
      <c r="AD31" s="37">
        <f>F31+J31+N31+R31+V31+Z31</f>
        <v/>
      </c>
      <c r="AE31" s="37">
        <f>G31+K31+O31+S31+W31+AA31</f>
        <v/>
      </c>
      <c r="AF31" s="16">
        <f>H31+L31+P31+T31+X31+AB31</f>
        <v/>
      </c>
      <c r="AG31" s="20">
        <f>IF(AF31&gt;0, AD31/AF31, 0)</f>
        <v/>
      </c>
    </row>
    <row r="32" ht="18.75" customHeight="1" s="46">
      <c r="A32" s="12" t="n">
        <v>6</v>
      </c>
      <c r="B32" s="12" t="inlineStr">
        <is>
          <t>NM-09</t>
        </is>
      </c>
      <c r="C32" s="13" t="inlineStr">
        <is>
          <t>COMPACTADOR NEUMÁTICO HAMM 208</t>
        </is>
      </c>
      <c r="D32" s="13" t="inlineStr">
        <is>
          <t>NOLVIN DE JESUS PEREZ GOMEZ</t>
        </is>
      </c>
      <c r="E32" s="13" t="inlineStr">
        <is>
          <t>Compactación Neumática / Acabado</t>
        </is>
      </c>
      <c r="F32" s="37" t="n">
        <v>0</v>
      </c>
      <c r="G32" s="37" t="n">
        <v>210</v>
      </c>
      <c r="H32" s="16">
        <f>G32*$E$4</f>
        <v/>
      </c>
      <c r="I32" s="20">
        <f>IF(H32&gt;0, F32/H32, 0)</f>
        <v/>
      </c>
      <c r="J32" s="37" t="n">
        <v>48</v>
      </c>
      <c r="K32" s="37" t="n">
        <v>140</v>
      </c>
      <c r="L32" s="16">
        <f>K32*$E$4</f>
        <v/>
      </c>
      <c r="M32" s="20">
        <f>IF(L32&gt;0, J32/L32, 0)</f>
        <v/>
      </c>
      <c r="N32" s="37" t="n">
        <v>0</v>
      </c>
      <c r="O32" s="37" t="n">
        <v>210</v>
      </c>
      <c r="P32" s="16">
        <f>O32*$E$4</f>
        <v/>
      </c>
      <c r="Q32" s="20">
        <f>IF(P32&gt;0, N32/P32, 0)</f>
        <v/>
      </c>
      <c r="R32" s="37" t="n">
        <v>35</v>
      </c>
      <c r="S32" s="37" t="n">
        <v>168</v>
      </c>
      <c r="T32" s="16">
        <f>S32*$E$4</f>
        <v/>
      </c>
      <c r="U32" s="20">
        <f>IF(T32&gt;0, R32/T32, 0)</f>
        <v/>
      </c>
      <c r="V32" s="37" t="n">
        <v>0</v>
      </c>
      <c r="W32" s="37" t="n">
        <v>210</v>
      </c>
      <c r="X32" s="16">
        <f>W32*$E$4</f>
        <v/>
      </c>
      <c r="Y32" s="20">
        <f>IF(X32&gt;0, V32/X32, 0)</f>
        <v/>
      </c>
      <c r="Z32" s="37" t="n">
        <v>0</v>
      </c>
      <c r="AA32" s="37" t="n">
        <v>210</v>
      </c>
      <c r="AB32" s="16">
        <f>AA32*$E$4</f>
        <v/>
      </c>
      <c r="AC32" s="20">
        <f>IF(AB32&gt;0, Z32/AB32, 0)</f>
        <v/>
      </c>
      <c r="AD32" s="37">
        <f>F32+J32+N32+R32+V32+Z32</f>
        <v/>
      </c>
      <c r="AE32" s="37">
        <f>G32+K32+O32+S32+W32+AA32</f>
        <v/>
      </c>
      <c r="AF32" s="16">
        <f>H32+L32+P32+T32+X32+AB32</f>
        <v/>
      </c>
      <c r="AG32" s="20">
        <f>IF(AF32&gt;0, AD32/AF32, 0)</f>
        <v/>
      </c>
    </row>
    <row r="33" ht="18.75" customHeight="1" s="46">
      <c r="A33" s="12" t="n">
        <v>7</v>
      </c>
      <c r="B33" s="12" t="inlineStr">
        <is>
          <t>BR-01</t>
        </is>
      </c>
      <c r="C33" s="13" t="inlineStr">
        <is>
          <t>BARREDORA INDUSTRIAL BROCE BROOM-350</t>
        </is>
      </c>
      <c r="D33" s="13" t="inlineStr">
        <is>
          <t>EDGAR ROSALES MARTINEZ</t>
        </is>
      </c>
      <c r="E33" s="13" t="inlineStr">
        <is>
          <t>Limpieza y Barrido Previo</t>
        </is>
      </c>
      <c r="F33" s="37" t="n">
        <v>0</v>
      </c>
      <c r="G33" s="37" t="n">
        <v>210</v>
      </c>
      <c r="H33" s="16">
        <f>G33*$E$4</f>
        <v/>
      </c>
      <c r="I33" s="20">
        <f>IF(H33&gt;0, F33/H33, 0)</f>
        <v/>
      </c>
      <c r="J33" s="37" t="n">
        <v>29</v>
      </c>
      <c r="K33" s="37" t="n">
        <v>140</v>
      </c>
      <c r="L33" s="16">
        <f>K33*$E$4</f>
        <v/>
      </c>
      <c r="M33" s="20">
        <f>IF(L33&gt;0, J33/L33, 0)</f>
        <v/>
      </c>
      <c r="N33" s="37" t="n">
        <v>0</v>
      </c>
      <c r="O33" s="37" t="n">
        <v>210</v>
      </c>
      <c r="P33" s="16">
        <f>O33*$E$4</f>
        <v/>
      </c>
      <c r="Q33" s="20">
        <f>IF(P33&gt;0, N33/P33, 0)</f>
        <v/>
      </c>
      <c r="R33" s="37" t="n">
        <v>28</v>
      </c>
      <c r="S33" s="37" t="n">
        <v>168</v>
      </c>
      <c r="T33" s="16">
        <f>S33*$E$4</f>
        <v/>
      </c>
      <c r="U33" s="20">
        <f>IF(T33&gt;0, R33/T33, 0)</f>
        <v/>
      </c>
      <c r="V33" s="37" t="n">
        <v>0</v>
      </c>
      <c r="W33" s="37" t="n">
        <v>210</v>
      </c>
      <c r="X33" s="16">
        <f>W33*$E$4</f>
        <v/>
      </c>
      <c r="Y33" s="20">
        <f>IF(X33&gt;0, V33/X33, 0)</f>
        <v/>
      </c>
      <c r="Z33" s="37" t="n">
        <v>39</v>
      </c>
      <c r="AA33" s="37" t="n">
        <v>210</v>
      </c>
      <c r="AB33" s="16">
        <f>AA33*$E$4</f>
        <v/>
      </c>
      <c r="AC33" s="20">
        <f>IF(AB33&gt;0, Z33/AB33, 0)</f>
        <v/>
      </c>
      <c r="AD33" s="37">
        <f>F33+J33+N33+R33+V33+Z33</f>
        <v/>
      </c>
      <c r="AE33" s="37">
        <f>G33+K33+O33+S33+W33+AA33</f>
        <v/>
      </c>
      <c r="AF33" s="16">
        <f>H33+L33+P33+T33+X33+AB33</f>
        <v/>
      </c>
      <c r="AG33" s="20">
        <f>IF(AF33&gt;0, AD33/AF33, 0)</f>
        <v/>
      </c>
    </row>
    <row r="34" ht="18.75" customHeight="1" s="46">
      <c r="A34" s="12" t="n">
        <v>8</v>
      </c>
      <c r="B34" s="12" t="inlineStr">
        <is>
          <t>RT-05</t>
        </is>
      </c>
      <c r="C34" s="13" t="inlineStr">
        <is>
          <t>RETROEXCAVADORA JOHN DEERE 310SK</t>
        </is>
      </c>
      <c r="D34" s="13" t="inlineStr">
        <is>
          <t>ADOLFO NAVA LOPEZ</t>
        </is>
      </c>
      <c r="E34" s="13" t="inlineStr">
        <is>
          <t>Carga Fresado y Derrumbes</t>
        </is>
      </c>
      <c r="F34" s="37" t="n">
        <v>0</v>
      </c>
      <c r="G34" s="37" t="n">
        <v>231</v>
      </c>
      <c r="H34" s="16">
        <f>G34*$E$4</f>
        <v/>
      </c>
      <c r="I34" s="20">
        <f>IF(G34&gt;0, F34/G34, 0)</f>
        <v/>
      </c>
      <c r="J34" s="37" t="n">
        <v>80</v>
      </c>
      <c r="K34" s="37" t="n">
        <v>329</v>
      </c>
      <c r="L34" s="16">
        <f>K34*$E$4</f>
        <v/>
      </c>
      <c r="M34" s="20">
        <f>IF(K34&gt;0, J34/K34, 0)</f>
        <v/>
      </c>
      <c r="N34" s="37" t="n">
        <v>0</v>
      </c>
      <c r="O34" s="37" t="n">
        <v>63</v>
      </c>
      <c r="P34" s="16">
        <f>O34*$E$4</f>
        <v/>
      </c>
      <c r="Q34" s="20">
        <f>IF(O34&gt;0, N34/O34, 0)</f>
        <v/>
      </c>
      <c r="R34" s="37" t="n">
        <v>211</v>
      </c>
      <c r="S34" s="37" t="n">
        <v>238</v>
      </c>
      <c r="T34" s="16">
        <f>S34*$E$4</f>
        <v/>
      </c>
      <c r="U34" s="20">
        <f>IF(S34&gt;0, R34/S34, 0)</f>
        <v/>
      </c>
      <c r="V34" s="37" t="n">
        <v>0</v>
      </c>
      <c r="W34" s="37" t="n">
        <v>371</v>
      </c>
      <c r="X34" s="16">
        <f>W34*$E$4</f>
        <v/>
      </c>
      <c r="Y34" s="20">
        <f>IF(W34&gt;0, V34/W34, 0)</f>
        <v/>
      </c>
      <c r="Z34" s="37" t="n">
        <v>41</v>
      </c>
      <c r="AA34" s="37" t="n">
        <v>315</v>
      </c>
      <c r="AB34" s="16">
        <f>AA34*$E$4</f>
        <v/>
      </c>
      <c r="AC34" s="20">
        <f>IF(AA34&gt;0, Z34/AA34, 0)</f>
        <v/>
      </c>
      <c r="AD34" s="37">
        <f>F34+J34+N34+R34+V34+Z34</f>
        <v/>
      </c>
      <c r="AE34" s="37">
        <f>G34+K34+O34+S34+W34+AA34</f>
        <v/>
      </c>
      <c r="AF34" s="16">
        <f>H34+L34+P34+T34+X34+AB34</f>
        <v/>
      </c>
      <c r="AG34" s="20">
        <f>IF(AE34&gt;0, AD34/AE34, 0)</f>
        <v/>
      </c>
    </row>
    <row r="35" ht="18.75" customHeight="1" s="46">
      <c r="A35" s="12" t="n">
        <v>9</v>
      </c>
      <c r="B35" s="12" t="inlineStr">
        <is>
          <t>PT-01</t>
        </is>
      </c>
      <c r="C35" s="13" t="inlineStr">
        <is>
          <t>PETROLIZADORA INTERNATIONAL / FORD F800</t>
        </is>
      </c>
      <c r="D35" s="13" t="inlineStr">
        <is>
          <t>ELTHON EDUARDO MARTINEZ GOMORA</t>
        </is>
      </c>
      <c r="E35" s="13" t="inlineStr">
        <is>
          <t>Riego de Liga / Emulsión</t>
        </is>
      </c>
      <c r="F35" s="37" t="n">
        <v>0</v>
      </c>
      <c r="G35" s="37" t="n">
        <v>210</v>
      </c>
      <c r="H35" s="16">
        <f>G35*$E$4</f>
        <v/>
      </c>
      <c r="I35" s="20">
        <f>IF(H35&gt;0, F35/H35, 0)</f>
        <v/>
      </c>
      <c r="J35" s="37" t="n">
        <v>0</v>
      </c>
      <c r="K35" s="37" t="n">
        <v>140</v>
      </c>
      <c r="L35" s="16">
        <f>K35*$E$4</f>
        <v/>
      </c>
      <c r="M35" s="20">
        <f>IF(L35&gt;0, J35/L35, 0)</f>
        <v/>
      </c>
      <c r="N35" s="37" t="n">
        <v>0</v>
      </c>
      <c r="O35" s="37" t="n">
        <v>210</v>
      </c>
      <c r="P35" s="16">
        <f>O35*$E$4</f>
        <v/>
      </c>
      <c r="Q35" s="20">
        <f>IF(P35&gt;0, N35/P35, 0)</f>
        <v/>
      </c>
      <c r="R35" s="37" t="n">
        <v>80</v>
      </c>
      <c r="S35" s="37" t="n">
        <v>168</v>
      </c>
      <c r="T35" s="16">
        <f>S35*$E$4</f>
        <v/>
      </c>
      <c r="U35" s="20">
        <f>IF(T35&gt;0, R35/T35, 0)</f>
        <v/>
      </c>
      <c r="V35" s="37" t="n">
        <v>0</v>
      </c>
      <c r="W35" s="37" t="n">
        <v>210</v>
      </c>
      <c r="X35" s="16">
        <f>W35*$E$4</f>
        <v/>
      </c>
      <c r="Y35" s="20">
        <f>IF(X35&gt;0, V35/X35, 0)</f>
        <v/>
      </c>
      <c r="Z35" s="37" t="n">
        <v>0</v>
      </c>
      <c r="AA35" s="37" t="n">
        <v>210</v>
      </c>
      <c r="AB35" s="16">
        <f>AA35*$E$4</f>
        <v/>
      </c>
      <c r="AC35" s="20">
        <f>IF(AB35&gt;0, Z35/AB35, 0)</f>
        <v/>
      </c>
      <c r="AD35" s="37">
        <f>F35+J35+N35+R35+V35+Z35</f>
        <v/>
      </c>
      <c r="AE35" s="37">
        <f>G35+K35+O35+S35+W35+AA35</f>
        <v/>
      </c>
      <c r="AF35" s="16">
        <f>H35+L35+P35+T35+X35+AB35</f>
        <v/>
      </c>
      <c r="AG35" s="20">
        <f>IF(AF35&gt;0, AD35/AF35, 0)</f>
        <v/>
      </c>
    </row>
    <row r="36" ht="18.75" customHeight="1" s="46">
      <c r="A36" s="12" t="n">
        <v>10</v>
      </c>
      <c r="B36" s="12" t="inlineStr">
        <is>
          <t>CPR-01</t>
        </is>
      </c>
      <c r="C36" s="13" t="inlineStr">
        <is>
          <t>COMPRESOR DE AIRE INGERSOLL RAND IR185</t>
        </is>
      </c>
      <c r="D36" s="13" t="inlineStr">
        <is>
          <t>CUADRILLA DE LIMPIEZA</t>
        </is>
      </c>
      <c r="E36" s="13" t="inlineStr">
        <is>
          <t>Sopleteado de Juntas</t>
        </is>
      </c>
      <c r="F36" s="37" t="n">
        <v>0</v>
      </c>
      <c r="G36" s="37" t="n">
        <v>0</v>
      </c>
      <c r="H36" s="16">
        <f>G36*$E$4</f>
        <v/>
      </c>
      <c r="I36" s="20" t="n">
        <v>0</v>
      </c>
      <c r="J36" s="37" t="n">
        <v>0</v>
      </c>
      <c r="K36" s="37" t="n">
        <v>0</v>
      </c>
      <c r="L36" s="16">
        <f>K36*$E$4</f>
        <v/>
      </c>
      <c r="M36" s="20" t="n">
        <v>0</v>
      </c>
      <c r="N36" s="37" t="n">
        <v>0</v>
      </c>
      <c r="O36" s="37" t="n">
        <v>0</v>
      </c>
      <c r="P36" s="16">
        <f>O36*$E$4</f>
        <v/>
      </c>
      <c r="Q36" s="20" t="n">
        <v>0</v>
      </c>
      <c r="R36" s="37" t="n">
        <v>0</v>
      </c>
      <c r="S36" s="37" t="n">
        <v>0</v>
      </c>
      <c r="T36" s="16">
        <f>S36*$E$4</f>
        <v/>
      </c>
      <c r="U36" s="20" t="n">
        <v>0</v>
      </c>
      <c r="V36" s="37" t="n">
        <v>0</v>
      </c>
      <c r="W36" s="37" t="n">
        <v>0</v>
      </c>
      <c r="X36" s="16">
        <f>W36*$E$4</f>
        <v/>
      </c>
      <c r="Y36" s="20" t="n">
        <v>0</v>
      </c>
      <c r="Z36" s="37" t="n">
        <v>0</v>
      </c>
      <c r="AA36" s="37" t="n">
        <v>0</v>
      </c>
      <c r="AB36" s="16">
        <f>AA36*$E$4</f>
        <v/>
      </c>
      <c r="AC36" s="20" t="n">
        <v>0</v>
      </c>
      <c r="AD36" s="37">
        <f>F36+J36+N36+R36+V36+Z36</f>
        <v/>
      </c>
      <c r="AE36" s="37">
        <f>G36+K36+O36+S36+W36+AA36</f>
        <v/>
      </c>
      <c r="AF36" s="16">
        <f>H36+L36+P36+T36+X36+AB36</f>
        <v/>
      </c>
      <c r="AG36" s="20" t="n">
        <v>0</v>
      </c>
    </row>
    <row r="37" ht="18.75" customHeight="1" s="46">
      <c r="A37" s="12" t="n">
        <v>11</v>
      </c>
      <c r="B37" s="12" t="inlineStr">
        <is>
          <t>PP-01</t>
        </is>
      </c>
      <c r="C37" s="13" t="inlineStr">
        <is>
          <t>CAMIÓN IMPACTO / PIPA DE AGUA FORD</t>
        </is>
      </c>
      <c r="D37" s="13" t="inlineStr">
        <is>
          <t>CUADRILLA DE AGUA</t>
        </is>
      </c>
      <c r="E37" s="13" t="inlineStr">
        <is>
          <t>Enfriamiento Rodillos / Riego</t>
        </is>
      </c>
      <c r="F37" s="37" t="n">
        <v>0</v>
      </c>
      <c r="G37" s="37" t="n">
        <v>0</v>
      </c>
      <c r="H37" s="16">
        <f>G37*$E$4</f>
        <v/>
      </c>
      <c r="I37" s="20" t="n">
        <v>0</v>
      </c>
      <c r="J37" s="37" t="n">
        <v>0</v>
      </c>
      <c r="K37" s="37" t="n">
        <v>0</v>
      </c>
      <c r="L37" s="16">
        <f>K37*$E$4</f>
        <v/>
      </c>
      <c r="M37" s="20" t="n">
        <v>0</v>
      </c>
      <c r="N37" s="37" t="n">
        <v>0</v>
      </c>
      <c r="O37" s="37" t="n">
        <v>0</v>
      </c>
      <c r="P37" s="16">
        <f>O37*$E$4</f>
        <v/>
      </c>
      <c r="Q37" s="20" t="n">
        <v>0</v>
      </c>
      <c r="R37" s="37" t="n">
        <v>0</v>
      </c>
      <c r="S37" s="37" t="n">
        <v>0</v>
      </c>
      <c r="T37" s="16">
        <f>S37*$E$4</f>
        <v/>
      </c>
      <c r="U37" s="20" t="n">
        <v>0</v>
      </c>
      <c r="V37" s="37" t="n">
        <v>0</v>
      </c>
      <c r="W37" s="37" t="n">
        <v>0</v>
      </c>
      <c r="X37" s="16">
        <f>W37*$E$4</f>
        <v/>
      </c>
      <c r="Y37" s="20" t="n">
        <v>0</v>
      </c>
      <c r="Z37" s="37" t="n">
        <v>0</v>
      </c>
      <c r="AA37" s="37" t="n">
        <v>0</v>
      </c>
      <c r="AB37" s="16">
        <f>AA37*$E$4</f>
        <v/>
      </c>
      <c r="AC37" s="20" t="n">
        <v>0</v>
      </c>
      <c r="AD37" s="37">
        <f>F37+J37+N37+R37+V37+Z37</f>
        <v/>
      </c>
      <c r="AE37" s="37">
        <f>G37+K37+O37+S37+W37+AA37</f>
        <v/>
      </c>
      <c r="AF37" s="16">
        <f>H37+L37+P37+T37+X37+AB37</f>
        <v/>
      </c>
      <c r="AG37" s="20" t="n">
        <v>0</v>
      </c>
    </row>
    <row r="38" ht="18.75" customHeight="1" s="46">
      <c r="A38" s="12" t="n">
        <v>12</v>
      </c>
      <c r="B38" s="12" t="inlineStr">
        <is>
          <t>TL-01</t>
        </is>
      </c>
      <c r="C38" s="13" t="inlineStr">
        <is>
          <t>TORRE DE LUZ MAXILIGHT 4X1000W</t>
        </is>
      </c>
      <c r="D38" s="13" t="inlineStr">
        <is>
          <t>CUADRILLA NOCTURNA</t>
        </is>
      </c>
      <c r="E38" s="13" t="inlineStr">
        <is>
          <t>Iluminación Nocturna</t>
        </is>
      </c>
      <c r="F38" s="37" t="n">
        <v>0</v>
      </c>
      <c r="G38" s="37" t="n">
        <v>0</v>
      </c>
      <c r="H38" s="16">
        <f>G38*$E$4</f>
        <v/>
      </c>
      <c r="I38" s="20" t="n">
        <v>0</v>
      </c>
      <c r="J38" s="37" t="n">
        <v>0</v>
      </c>
      <c r="K38" s="37" t="n">
        <v>0</v>
      </c>
      <c r="L38" s="16">
        <f>K38*$E$4</f>
        <v/>
      </c>
      <c r="M38" s="20" t="n">
        <v>0</v>
      </c>
      <c r="N38" s="37" t="n">
        <v>0</v>
      </c>
      <c r="O38" s="37" t="n">
        <v>0</v>
      </c>
      <c r="P38" s="16">
        <f>O38*$E$4</f>
        <v/>
      </c>
      <c r="Q38" s="20" t="n">
        <v>0</v>
      </c>
      <c r="R38" s="37" t="n">
        <v>0</v>
      </c>
      <c r="S38" s="37" t="n">
        <v>0</v>
      </c>
      <c r="T38" s="16">
        <f>S38*$E$4</f>
        <v/>
      </c>
      <c r="U38" s="20" t="n">
        <v>0</v>
      </c>
      <c r="V38" s="37" t="n">
        <v>0</v>
      </c>
      <c r="W38" s="37" t="n">
        <v>0</v>
      </c>
      <c r="X38" s="16">
        <f>W38*$E$4</f>
        <v/>
      </c>
      <c r="Y38" s="20" t="n">
        <v>0</v>
      </c>
      <c r="Z38" s="37" t="n">
        <v>0</v>
      </c>
      <c r="AA38" s="37" t="n">
        <v>0</v>
      </c>
      <c r="AB38" s="16">
        <f>AA38*$E$4</f>
        <v/>
      </c>
      <c r="AC38" s="20" t="n">
        <v>0</v>
      </c>
      <c r="AD38" s="37">
        <f>F38+J38+N38+R38+V38+Z38</f>
        <v/>
      </c>
      <c r="AE38" s="37">
        <f>G38+K38+O38+S38+W38+AA38</f>
        <v/>
      </c>
      <c r="AF38" s="16">
        <f>H38+L38+P38+T38+X38+AB38</f>
        <v/>
      </c>
      <c r="AG38" s="20" t="n">
        <v>0</v>
      </c>
    </row>
    <row r="39" ht="21.75" customHeight="1" s="46">
      <c r="A39" s="30" t="inlineStr">
        <is>
          <t>TOTAL DIARIO CONSOLIDADO (OBRA MÉXICO-TOLUCA)</t>
        </is>
      </c>
      <c r="B39" s="50" t="n"/>
      <c r="C39" s="50" t="n"/>
      <c r="D39" s="50" t="n"/>
      <c r="E39" s="51" t="n"/>
      <c r="F39" s="27">
        <f>SUM(F27:F38)</f>
        <v/>
      </c>
      <c r="G39" s="27">
        <f>MAX(G27:G38)</f>
        <v/>
      </c>
      <c r="H39" s="28">
        <f>G39*$E$4</f>
        <v/>
      </c>
      <c r="I39" s="29">
        <f>IF(H39&gt;0, F39/H39, 0)</f>
        <v/>
      </c>
      <c r="J39" s="27">
        <f>SUM(J27:J38)</f>
        <v/>
      </c>
      <c r="K39" s="27">
        <f>MAX(K27:K38)</f>
        <v/>
      </c>
      <c r="L39" s="28">
        <f>K39*$E$4</f>
        <v/>
      </c>
      <c r="M39" s="29">
        <f>IF(L39&gt;0, J39/L39, 0)</f>
        <v/>
      </c>
      <c r="N39" s="27">
        <f>SUM(N27:N38)</f>
        <v/>
      </c>
      <c r="O39" s="27">
        <f>MAX(O27:O38)</f>
        <v/>
      </c>
      <c r="P39" s="28">
        <f>O39*$E$4</f>
        <v/>
      </c>
      <c r="Q39" s="29">
        <f>IF(P39&gt;0, N39/P39, 0)</f>
        <v/>
      </c>
      <c r="R39" s="27">
        <f>SUM(R27:R38)</f>
        <v/>
      </c>
      <c r="S39" s="27">
        <f>MAX(S27:S38)</f>
        <v/>
      </c>
      <c r="T39" s="28">
        <f>S39*$E$4</f>
        <v/>
      </c>
      <c r="U39" s="29">
        <f>IF(T39&gt;0, R39/T39, 0)</f>
        <v/>
      </c>
      <c r="V39" s="27">
        <f>SUM(V27:V38)</f>
        <v/>
      </c>
      <c r="W39" s="27">
        <f>MAX(W27:W38)</f>
        <v/>
      </c>
      <c r="X39" s="28">
        <f>W39*$E$4</f>
        <v/>
      </c>
      <c r="Y39" s="29">
        <f>IF(X39&gt;0, V39/X39, 0)</f>
        <v/>
      </c>
      <c r="Z39" s="27">
        <f>SUM(Z27:Z38)</f>
        <v/>
      </c>
      <c r="AA39" s="27">
        <f>MAX(AA27:AA38)</f>
        <v/>
      </c>
      <c r="AB39" s="28">
        <f>AA39*$E$4</f>
        <v/>
      </c>
      <c r="AC39" s="29">
        <f>IF(AB39&gt;0, Z39/AB39, 0)</f>
        <v/>
      </c>
      <c r="AD39" s="27">
        <f>SUM(AD27:AD38)</f>
        <v/>
      </c>
      <c r="AE39" s="27">
        <f>SUM(AE27:AE38)</f>
        <v/>
      </c>
      <c r="AF39" s="28">
        <f>SUM(AF27:AF38)</f>
        <v/>
      </c>
      <c r="AG39" s="29">
        <f>IF(AF39&gt;0, AD39/AF39, 0)</f>
        <v/>
      </c>
    </row>
    <row r="40" ht="15.75" customHeight="1" s="46"/>
    <row r="41" ht="15.75" customHeight="1" s="46">
      <c r="A41" s="40" t="inlineStr">
        <is>
          <t>NOTA TÉCNICA Y CRITERIOS DE CONTROL DE RENDIMIENTO — OBRA MÉXICO-TOLUCA:
1. Peso Volumétrico Oficial del Asfalto: 1.742 Ton/m³ (Toneladas = m³ Carpeta × 1.742).
2. Rendimiento Base (L/h): Consumo nominal de fabricante ajustado con 1.2% anual de desgaste por antigüedad al 2026.
3. Rendimiento Real: Diésel Surtido / Toneladas Tendidas (L/Ton) o Diésel Surtido / Volumen Fresado (L/m³).
4. Estatus Operativo: DENTRO DE RENDIMIENTO BASE (Verde) / EXCEDE RENDIMIENTO BASE (Rojo) / SIN CONSUMO (Gris).</t>
        </is>
      </c>
    </row>
    <row r="42" ht="15.75" customHeight="1" s="46"/>
    <row r="43" ht="15.75" customHeight="1" s="46"/>
    <row r="44" ht="15.75" customHeight="1" s="46"/>
    <row r="45" ht="15.75" customHeight="1" s="46"/>
    <row r="46" ht="15.75" customHeight="1" s="46"/>
    <row r="47" ht="15.75" customHeight="1" s="46"/>
    <row r="48" ht="15.75" customHeight="1" s="46"/>
    <row r="49" ht="15.75" customHeight="1" s="46"/>
    <row r="50" ht="15.75" customHeight="1" s="46"/>
    <row r="51" ht="15.75" customHeight="1" s="46"/>
    <row r="52" ht="15.75" customHeight="1" s="46"/>
    <row r="53" ht="15.75" customHeight="1" s="46"/>
    <row r="54" ht="15.75" customHeight="1" s="46"/>
    <row r="55" ht="15.75" customHeight="1" s="46"/>
    <row r="56" ht="15.75" customHeight="1" s="46"/>
    <row r="57" ht="15.75" customHeight="1" s="46"/>
    <row r="58" ht="15.75" customHeight="1" s="46"/>
    <row r="59" ht="15.75" customHeight="1" s="46"/>
    <row r="60" ht="15.75" customHeight="1" s="46"/>
    <row r="61" ht="15.75" customHeight="1" s="46"/>
    <row r="62" ht="15.75" customHeight="1" s="46"/>
    <row r="63" ht="15.75" customHeight="1" s="46"/>
    <row r="64" ht="15.75" customHeight="1" s="46"/>
    <row r="65" ht="15.75" customHeight="1" s="46"/>
    <row r="66" ht="15.75" customHeight="1" s="46"/>
    <row r="67" ht="15.75" customHeight="1" s="46"/>
    <row r="68" ht="15.75" customHeight="1" s="46"/>
    <row r="69" ht="15.75" customHeight="1" s="46"/>
    <row r="70" ht="15.75" customHeight="1" s="46"/>
    <row r="71" ht="15.75" customHeight="1" s="46"/>
    <row r="72" ht="15.75" customHeight="1" s="46"/>
    <row r="73" ht="15.75" customHeight="1" s="46"/>
    <row r="74" ht="15.75" customHeight="1" s="46"/>
    <row r="75" ht="15.75" customHeight="1" s="46"/>
    <row r="76" ht="15.75" customHeight="1" s="46"/>
    <row r="77" ht="15.75" customHeight="1" s="46"/>
    <row r="78" ht="15.75" customHeight="1" s="46"/>
    <row r="79" ht="15.75" customHeight="1" s="46"/>
    <row r="80" ht="15.75" customHeight="1" s="46"/>
    <row r="81" ht="15.75" customHeight="1" s="46"/>
    <row r="82" ht="15.75" customHeight="1" s="46"/>
    <row r="83" ht="15.75" customHeight="1" s="46"/>
    <row r="84" ht="15.75" customHeight="1" s="46"/>
    <row r="85" ht="15.75" customHeight="1" s="46"/>
    <row r="86" ht="15.75" customHeight="1" s="46"/>
    <row r="87" ht="15.75" customHeight="1" s="46"/>
    <row r="88" ht="15.75" customHeight="1" s="46"/>
    <row r="89" ht="15.75" customHeight="1" s="46"/>
    <row r="90" ht="15.75" customHeight="1" s="46"/>
    <row r="91" ht="15.75" customHeight="1" s="46"/>
    <row r="92" ht="15.75" customHeight="1" s="46"/>
    <row r="93" ht="15.75" customHeight="1" s="46"/>
    <row r="94" ht="15.75" customHeight="1" s="46"/>
    <row r="95" ht="15.75" customHeight="1" s="46"/>
    <row r="96" ht="15.75" customHeight="1" s="46"/>
    <row r="97" ht="15.75" customHeight="1" s="46"/>
    <row r="98" ht="15.75" customHeight="1" s="46"/>
    <row r="99" ht="15.75" customHeight="1" s="46"/>
    <row r="100" ht="15.75" customHeight="1" s="46"/>
    <row r="101" ht="15.75" customHeight="1" s="46"/>
    <row r="102" ht="15.75" customHeight="1" s="46"/>
    <row r="103" ht="15.75" customHeight="1" s="46"/>
    <row r="104" ht="15.75" customHeight="1" s="46"/>
    <row r="105" ht="15.75" customHeight="1" s="46"/>
    <row r="106" ht="15.75" customHeight="1" s="46"/>
    <row r="107" ht="15.75" customHeight="1" s="46"/>
    <row r="108" ht="15.75" customHeight="1" s="46"/>
    <row r="109" ht="15.75" customHeight="1" s="46"/>
    <row r="110" ht="15.75" customHeight="1" s="46"/>
    <row r="111" ht="15.75" customHeight="1" s="46"/>
    <row r="112" ht="15.75" customHeight="1" s="46"/>
    <row r="113" ht="15.75" customHeight="1" s="46"/>
    <row r="114" ht="15.75" customHeight="1" s="46"/>
    <row r="115" ht="15.75" customHeight="1" s="46"/>
    <row r="116" ht="15.75" customHeight="1" s="46"/>
    <row r="117" ht="15.75" customHeight="1" s="46"/>
    <row r="118" ht="15.75" customHeight="1" s="46"/>
    <row r="119" ht="15.75" customHeight="1" s="46"/>
    <row r="120" ht="15.75" customHeight="1" s="46"/>
    <row r="121" ht="15.75" customHeight="1" s="46"/>
    <row r="122" ht="15.75" customHeight="1" s="46"/>
    <row r="123" ht="15.75" customHeight="1" s="46"/>
    <row r="124" ht="15.75" customHeight="1" s="46"/>
    <row r="125" ht="15.75" customHeight="1" s="46"/>
    <row r="126" ht="15.75" customHeight="1" s="46"/>
    <row r="127" ht="15.75" customHeight="1" s="46"/>
    <row r="128" ht="15.75" customHeight="1" s="46"/>
    <row r="129" ht="15.75" customHeight="1" s="46"/>
    <row r="130" ht="15.75" customHeight="1" s="46"/>
    <row r="131" ht="15.75" customHeight="1" s="46"/>
    <row r="132" ht="15.75" customHeight="1" s="46"/>
    <row r="133" ht="15.75" customHeight="1" s="46"/>
    <row r="134" ht="15.75" customHeight="1" s="46"/>
    <row r="135" ht="15.75" customHeight="1" s="46"/>
    <row r="136" ht="15.75" customHeight="1" s="46"/>
    <row r="137" ht="15.75" customHeight="1" s="46"/>
    <row r="138" ht="15.75" customHeight="1" s="46"/>
    <row r="139" ht="15.75" customHeight="1" s="46"/>
    <row r="140" ht="15.75" customHeight="1" s="46"/>
    <row r="141" ht="15.75" customHeight="1" s="46"/>
    <row r="142" ht="15.75" customHeight="1" s="46"/>
    <row r="143" ht="15.75" customHeight="1" s="46"/>
    <row r="144" ht="15.75" customHeight="1" s="46"/>
    <row r="145" ht="15.75" customHeight="1" s="46"/>
    <row r="146" ht="15.75" customHeight="1" s="46"/>
    <row r="147" ht="15.75" customHeight="1" s="46"/>
    <row r="148" ht="15.75" customHeight="1" s="46"/>
    <row r="149" ht="15.75" customHeight="1" s="46"/>
    <row r="150" ht="15.75" customHeight="1" s="46"/>
    <row r="151" ht="15.75" customHeight="1" s="46"/>
    <row r="152" ht="15.75" customHeight="1" s="46"/>
    <row r="153" ht="15.75" customHeight="1" s="46"/>
    <row r="154" ht="15.75" customHeight="1" s="46"/>
    <row r="155" ht="15.75" customHeight="1" s="46"/>
    <row r="156" ht="15.75" customHeight="1" s="46"/>
    <row r="157" ht="15.75" customHeight="1" s="46"/>
    <row r="158" ht="15.75" customHeight="1" s="46"/>
    <row r="159" ht="15.75" customHeight="1" s="46"/>
    <row r="160" ht="15.75" customHeight="1" s="46"/>
    <row r="161" ht="15.75" customHeight="1" s="46"/>
    <row r="162" ht="15.75" customHeight="1" s="46"/>
    <row r="163" ht="15.75" customHeight="1" s="46"/>
    <row r="164" ht="15.75" customHeight="1" s="46"/>
    <row r="165" ht="15.75" customHeight="1" s="46"/>
    <row r="166" ht="15.75" customHeight="1" s="46"/>
    <row r="167" ht="15.75" customHeight="1" s="46"/>
    <row r="168" ht="15.75" customHeight="1" s="46"/>
    <row r="169" ht="15.75" customHeight="1" s="46"/>
    <row r="170" ht="15.75" customHeight="1" s="46"/>
    <row r="171" ht="15.75" customHeight="1" s="46"/>
    <row r="172" ht="15.75" customHeight="1" s="46"/>
    <row r="173" ht="15.75" customHeight="1" s="46"/>
    <row r="174" ht="15.75" customHeight="1" s="46"/>
    <row r="175" ht="15.75" customHeight="1" s="46"/>
    <row r="176" ht="15.75" customHeight="1" s="46"/>
    <row r="177" ht="15.75" customHeight="1" s="46"/>
    <row r="178" ht="15.75" customHeight="1" s="46"/>
    <row r="179" ht="15.75" customHeight="1" s="46"/>
    <row r="180" ht="15.75" customHeight="1" s="46"/>
    <row r="181" ht="15.75" customHeight="1" s="46"/>
    <row r="182" ht="15.75" customHeight="1" s="46"/>
    <row r="183" ht="15.75" customHeight="1" s="46"/>
    <row r="184" ht="15.75" customHeight="1" s="46"/>
    <row r="185" ht="15.75" customHeight="1" s="46"/>
    <row r="186" ht="15.75" customHeight="1" s="46"/>
    <row r="187" ht="15.75" customHeight="1" s="46"/>
    <row r="188" ht="15.75" customHeight="1" s="46"/>
    <row r="189" ht="15.75" customHeight="1" s="46"/>
    <row r="190" ht="15.75" customHeight="1" s="46"/>
    <row r="191" ht="15.75" customHeight="1" s="46"/>
    <row r="192" ht="15.75" customHeight="1" s="46"/>
    <row r="193" ht="15.75" customHeight="1" s="46"/>
    <row r="194" ht="15.75" customHeight="1" s="46"/>
    <row r="195" ht="15.75" customHeight="1" s="46"/>
    <row r="196" ht="15.75" customHeight="1" s="46"/>
    <row r="197" ht="15.75" customHeight="1" s="46"/>
    <row r="198" ht="15.75" customHeight="1" s="46"/>
    <row r="199" ht="15.75" customHeight="1" s="46"/>
    <row r="200" ht="15.75" customHeight="1" s="46"/>
    <row r="201" ht="15.75" customHeight="1" s="46"/>
    <row r="202" ht="15.75" customHeight="1" s="46"/>
    <row r="203" ht="15.75" customHeight="1" s="46"/>
    <row r="204" ht="15.75" customHeight="1" s="46"/>
    <row r="205" ht="15.75" customHeight="1" s="46"/>
    <row r="206" ht="15.75" customHeight="1" s="46"/>
    <row r="207" ht="15.75" customHeight="1" s="46"/>
    <row r="208" ht="15.75" customHeight="1" s="46"/>
    <row r="209" ht="15.75" customHeight="1" s="46"/>
    <row r="210" ht="15.75" customHeight="1" s="46"/>
    <row r="211" ht="15.75" customHeight="1" s="46"/>
    <row r="212" ht="15.75" customHeight="1" s="46"/>
    <row r="213" ht="15.75" customHeight="1" s="46"/>
    <row r="214" ht="15.75" customHeight="1" s="46"/>
    <row r="215" ht="15.75" customHeight="1" s="46"/>
    <row r="216" ht="15.75" customHeight="1" s="46"/>
    <row r="217" ht="15.75" customHeight="1" s="46"/>
    <row r="218" ht="15.75" customHeight="1" s="46"/>
    <row r="219" ht="15.75" customHeight="1" s="46"/>
    <row r="220" ht="15.75" customHeight="1" s="46"/>
    <row r="221" ht="15.75" customHeight="1" s="46"/>
    <row r="222" ht="15.75" customHeight="1" s="46"/>
    <row r="223" ht="15.75" customHeight="1" s="46"/>
    <row r="224" ht="15.75" customHeight="1" s="46"/>
    <row r="225" ht="15.75" customHeight="1" s="46"/>
    <row r="226" ht="15.75" customHeight="1" s="46"/>
    <row r="227" ht="15.75" customHeight="1" s="46"/>
    <row r="228" ht="15.75" customHeight="1" s="46"/>
    <row r="229" ht="15.75" customHeight="1" s="46"/>
    <row r="230" ht="15.75" customHeight="1" s="46"/>
    <row r="231" ht="15.75" customHeight="1" s="46"/>
    <row r="232" ht="15.75" customHeight="1" s="46"/>
    <row r="233" ht="15.75" customHeight="1" s="46"/>
    <row r="234" ht="15.75" customHeight="1" s="46"/>
    <row r="235" ht="15.75" customHeight="1" s="46"/>
    <row r="236" ht="15.75" customHeight="1" s="46"/>
    <row r="237" ht="15.75" customHeight="1" s="46"/>
    <row r="238" ht="15.75" customHeight="1" s="46"/>
    <row r="239" ht="15.75" customHeight="1" s="46"/>
    <row r="240" ht="15.75" customHeight="1" s="46"/>
    <row r="241" ht="15.75" customHeight="1" s="46"/>
    <row r="242" ht="15.75" customHeight="1" s="46"/>
    <row r="243" ht="15.75" customHeight="1" s="46"/>
    <row r="244" ht="15.75" customHeight="1" s="46"/>
    <row r="245" ht="15.75" customHeight="1" s="46"/>
    <row r="246" ht="15.75" customHeight="1" s="46"/>
    <row r="247" ht="15.75" customHeight="1" s="46"/>
    <row r="248" ht="15.75" customHeight="1" s="46"/>
    <row r="249" ht="15.75" customHeight="1" s="46"/>
    <row r="250" ht="15.75" customHeight="1" s="46"/>
    <row r="251" ht="15.75" customHeight="1" s="46"/>
    <row r="252" ht="15.75" customHeight="1" s="46"/>
    <row r="253" ht="15.75" customHeight="1" s="46"/>
    <row r="254" ht="15.75" customHeight="1" s="46"/>
    <row r="255" ht="15.75" customHeight="1" s="46"/>
    <row r="256" ht="15.75" customHeight="1" s="46"/>
    <row r="257" ht="15.75" customHeight="1" s="46"/>
    <row r="258" ht="15.75" customHeight="1" s="46"/>
    <row r="259" ht="15.75" customHeight="1" s="46"/>
    <row r="260" ht="15.75" customHeight="1" s="46"/>
    <row r="261" ht="15.75" customHeight="1" s="46"/>
    <row r="262" ht="15.75" customHeight="1" s="46"/>
    <row r="263" ht="15.75" customHeight="1" s="46"/>
    <row r="264" ht="15.75" customHeight="1" s="46"/>
    <row r="265" ht="15.75" customHeight="1" s="46"/>
    <row r="266" ht="15.75" customHeight="1" s="46"/>
    <row r="267" ht="15.75" customHeight="1" s="46"/>
    <row r="268" ht="15.75" customHeight="1" s="46"/>
    <row r="269" ht="15.75" customHeight="1" s="46"/>
    <row r="270" ht="15.75" customHeight="1" s="46"/>
    <row r="271" ht="15.75" customHeight="1" s="46"/>
    <row r="272" ht="15.75" customHeight="1" s="46"/>
    <row r="273" ht="15.75" customHeight="1" s="46"/>
    <row r="274" ht="15.75" customHeight="1" s="46"/>
    <row r="275" ht="15.75" customHeight="1" s="46"/>
    <row r="276" ht="15.75" customHeight="1" s="46"/>
    <row r="277" ht="15.75" customHeight="1" s="46"/>
    <row r="278" ht="15.75" customHeight="1" s="46"/>
    <row r="279" ht="15.75" customHeight="1" s="46"/>
    <row r="280" ht="15.75" customHeight="1" s="46"/>
    <row r="281" ht="15.75" customHeight="1" s="46"/>
    <row r="282" ht="15.75" customHeight="1" s="46"/>
    <row r="283" ht="15.75" customHeight="1" s="46"/>
    <row r="284" ht="15.75" customHeight="1" s="46"/>
    <row r="285" ht="15.75" customHeight="1" s="46"/>
    <row r="286" ht="15.75" customHeight="1" s="46"/>
    <row r="287" ht="15.75" customHeight="1" s="46"/>
    <row r="288" ht="15.75" customHeight="1" s="46"/>
    <row r="289" ht="15.75" customHeight="1" s="46"/>
    <row r="290" ht="15.75" customHeight="1" s="46"/>
    <row r="291" ht="15.75" customHeight="1" s="46"/>
    <row r="292" ht="15.75" customHeight="1" s="46"/>
    <row r="293" ht="15.75" customHeight="1" s="46"/>
    <row r="294" ht="15.75" customHeight="1" s="46"/>
    <row r="295" ht="15.75" customHeight="1" s="46"/>
    <row r="296" ht="15.75" customHeight="1" s="46"/>
    <row r="297" ht="15.75" customHeight="1" s="46"/>
    <row r="298" ht="15.75" customHeight="1" s="46"/>
    <row r="299" ht="15.75" customHeight="1" s="46"/>
    <row r="300" ht="15.75" customHeight="1" s="46"/>
    <row r="301" ht="15.75" customHeight="1" s="46"/>
    <row r="302" ht="15.75" customHeight="1" s="46"/>
    <row r="303" ht="15.75" customHeight="1" s="46"/>
    <row r="304" ht="15.75" customHeight="1" s="46"/>
    <row r="305" ht="15.75" customHeight="1" s="46"/>
    <row r="306" ht="15.75" customHeight="1" s="46"/>
    <row r="307" ht="15.75" customHeight="1" s="46"/>
    <row r="308" ht="15.75" customHeight="1" s="46"/>
    <row r="309" ht="15.75" customHeight="1" s="46"/>
    <row r="310" ht="15.75" customHeight="1" s="46"/>
    <row r="311" ht="15.75" customHeight="1" s="46"/>
    <row r="312" ht="15.75" customHeight="1" s="46"/>
    <row r="313" ht="15.75" customHeight="1" s="46"/>
    <row r="314" ht="15.75" customHeight="1" s="46"/>
    <row r="315" ht="15.75" customHeight="1" s="46"/>
    <row r="316" ht="15.75" customHeight="1" s="46"/>
    <row r="317" ht="15.75" customHeight="1" s="46"/>
    <row r="318" ht="15.75" customHeight="1" s="46"/>
    <row r="319" ht="15.75" customHeight="1" s="46"/>
    <row r="320" ht="15.75" customHeight="1" s="46"/>
    <row r="321" ht="15.75" customHeight="1" s="46"/>
    <row r="322" ht="15.75" customHeight="1" s="46"/>
    <row r="323" ht="15.75" customHeight="1" s="46"/>
    <row r="324" ht="15.75" customHeight="1" s="46"/>
    <row r="325" ht="15.75" customHeight="1" s="46"/>
    <row r="326" ht="15.75" customHeight="1" s="46"/>
    <row r="327" ht="15.75" customHeight="1" s="46"/>
    <row r="328" ht="15.75" customHeight="1" s="46"/>
    <row r="329" ht="15.75" customHeight="1" s="46"/>
    <row r="330" ht="15.75" customHeight="1" s="46"/>
    <row r="331" ht="15.75" customHeight="1" s="46"/>
    <row r="332" ht="15.75" customHeight="1" s="46"/>
    <row r="333" ht="15.75" customHeight="1" s="46"/>
    <row r="334" ht="15.75" customHeight="1" s="46"/>
    <row r="335" ht="15.75" customHeight="1" s="46"/>
    <row r="336" ht="15.75" customHeight="1" s="46"/>
    <row r="337" ht="15.75" customHeight="1" s="46"/>
    <row r="338" ht="15.75" customHeight="1" s="46"/>
    <row r="339" ht="15.75" customHeight="1" s="46"/>
    <row r="340" ht="15.75" customHeight="1" s="46"/>
    <row r="341" ht="15.75" customHeight="1" s="46"/>
    <row r="342" ht="15.75" customHeight="1" s="46"/>
    <row r="343" ht="15.75" customHeight="1" s="46"/>
    <row r="344" ht="15.75" customHeight="1" s="46"/>
    <row r="345" ht="15.75" customHeight="1" s="46"/>
    <row r="346" ht="15.75" customHeight="1" s="46"/>
    <row r="347" ht="15.75" customHeight="1" s="46"/>
    <row r="348" ht="15.75" customHeight="1" s="46"/>
    <row r="349" ht="15.75" customHeight="1" s="46"/>
    <row r="350" ht="15.75" customHeight="1" s="46"/>
    <row r="351" ht="15.75" customHeight="1" s="46"/>
    <row r="352" ht="15.75" customHeight="1" s="46"/>
    <row r="353" ht="15.75" customHeight="1" s="46"/>
    <row r="354" ht="15.75" customHeight="1" s="46"/>
    <row r="355" ht="15.75" customHeight="1" s="46"/>
    <row r="356" ht="15.75" customHeight="1" s="46"/>
    <row r="357" ht="15.75" customHeight="1" s="46"/>
    <row r="358" ht="15.75" customHeight="1" s="46"/>
    <row r="359" ht="15.75" customHeight="1" s="46"/>
    <row r="360" ht="15.75" customHeight="1" s="46"/>
    <row r="361" ht="15.75" customHeight="1" s="46"/>
    <row r="362" ht="15.75" customHeight="1" s="46"/>
    <row r="363" ht="15.75" customHeight="1" s="46"/>
    <row r="364" ht="15.75" customHeight="1" s="46"/>
    <row r="365" ht="15.75" customHeight="1" s="46"/>
    <row r="366" ht="15.75" customHeight="1" s="46"/>
    <row r="367" ht="15.75" customHeight="1" s="46"/>
    <row r="368" ht="15.75" customHeight="1" s="46"/>
    <row r="369" ht="15.75" customHeight="1" s="46"/>
    <row r="370" ht="15.75" customHeight="1" s="46"/>
    <row r="371" ht="15.75" customHeight="1" s="46"/>
    <row r="372" ht="15.75" customHeight="1" s="46"/>
    <row r="373" ht="15.75" customHeight="1" s="46"/>
    <row r="374" ht="15.75" customHeight="1" s="46"/>
    <row r="375" ht="15.75" customHeight="1" s="46"/>
    <row r="376" ht="15.75" customHeight="1" s="46"/>
    <row r="377" ht="15.75" customHeight="1" s="46"/>
    <row r="378" ht="15.75" customHeight="1" s="46"/>
    <row r="379" ht="15.75" customHeight="1" s="46"/>
    <row r="380" ht="15.75" customHeight="1" s="46"/>
    <row r="381" ht="15.75" customHeight="1" s="46"/>
    <row r="382" ht="15.75" customHeight="1" s="46"/>
    <row r="383" ht="15.75" customHeight="1" s="46"/>
    <row r="384" ht="15.75" customHeight="1" s="46"/>
    <row r="385" ht="15.75" customHeight="1" s="46"/>
    <row r="386" ht="15.75" customHeight="1" s="46"/>
    <row r="387" ht="15.75" customHeight="1" s="46"/>
    <row r="388" ht="15.75" customHeight="1" s="46"/>
    <row r="389" ht="15.75" customHeight="1" s="46"/>
    <row r="390" ht="15.75" customHeight="1" s="46"/>
    <row r="391" ht="15.75" customHeight="1" s="46"/>
    <row r="392" ht="15.75" customHeight="1" s="46"/>
    <row r="393" ht="15.75" customHeight="1" s="46"/>
    <row r="394" ht="15.75" customHeight="1" s="46"/>
    <row r="395" ht="15.75" customHeight="1" s="46"/>
    <row r="396" ht="15.75" customHeight="1" s="46"/>
    <row r="397" ht="15.75" customHeight="1" s="46"/>
    <row r="398" ht="15.75" customHeight="1" s="46"/>
    <row r="399" ht="15.75" customHeight="1" s="46"/>
    <row r="400" ht="15.75" customHeight="1" s="46"/>
    <row r="401" ht="15.75" customHeight="1" s="46"/>
    <row r="402" ht="15.75" customHeight="1" s="46"/>
    <row r="403" ht="15.75" customHeight="1" s="46"/>
    <row r="404" ht="15.75" customHeight="1" s="46"/>
    <row r="405" ht="15.75" customHeight="1" s="46"/>
    <row r="406" ht="15.75" customHeight="1" s="46"/>
    <row r="407" ht="15.75" customHeight="1" s="46"/>
    <row r="408" ht="15.75" customHeight="1" s="46"/>
    <row r="409" ht="15.75" customHeight="1" s="46"/>
    <row r="410" ht="15.75" customHeight="1" s="46"/>
    <row r="411" ht="15.75" customHeight="1" s="46"/>
    <row r="412" ht="15.75" customHeight="1" s="46"/>
    <row r="413" ht="15.75" customHeight="1" s="46"/>
    <row r="414" ht="15.75" customHeight="1" s="46"/>
    <row r="415" ht="15.75" customHeight="1" s="46"/>
    <row r="416" ht="15.75" customHeight="1" s="46"/>
    <row r="417" ht="15.75" customHeight="1" s="46"/>
    <row r="418" ht="15.75" customHeight="1" s="46"/>
    <row r="419" ht="15.75" customHeight="1" s="46"/>
    <row r="420" ht="15.75" customHeight="1" s="46"/>
    <row r="421" ht="15.75" customHeight="1" s="46"/>
    <row r="422" ht="15.75" customHeight="1" s="46"/>
    <row r="423" ht="15.75" customHeight="1" s="46"/>
    <row r="424" ht="15.75" customHeight="1" s="46"/>
    <row r="425" ht="15.75" customHeight="1" s="46"/>
    <row r="426" ht="15.75" customHeight="1" s="46"/>
    <row r="427" ht="15.75" customHeight="1" s="46"/>
    <row r="428" ht="15.75" customHeight="1" s="46"/>
    <row r="429" ht="15.75" customHeight="1" s="46"/>
    <row r="430" ht="15.75" customHeight="1" s="46"/>
    <row r="431" ht="15.75" customHeight="1" s="46"/>
    <row r="432" ht="15.75" customHeight="1" s="46"/>
    <row r="433" ht="15.75" customHeight="1" s="46"/>
    <row r="434" ht="15.75" customHeight="1" s="46"/>
    <row r="435" ht="15.75" customHeight="1" s="46"/>
    <row r="436" ht="15.75" customHeight="1" s="46"/>
    <row r="437" ht="15.75" customHeight="1" s="46"/>
    <row r="438" ht="15.75" customHeight="1" s="46"/>
    <row r="439" ht="15.75" customHeight="1" s="46"/>
    <row r="440" ht="15.75" customHeight="1" s="46"/>
    <row r="441" ht="15.75" customHeight="1" s="46"/>
    <row r="442" ht="15.75" customHeight="1" s="46"/>
    <row r="443" ht="15.75" customHeight="1" s="46"/>
    <row r="444" ht="15.75" customHeight="1" s="46"/>
    <row r="445" ht="15.75" customHeight="1" s="46"/>
    <row r="446" ht="15.75" customHeight="1" s="46"/>
    <row r="447" ht="15.75" customHeight="1" s="46"/>
    <row r="448" ht="15.75" customHeight="1" s="46"/>
    <row r="449" ht="15.75" customHeight="1" s="46"/>
    <row r="450" ht="15.75" customHeight="1" s="46"/>
    <row r="451" ht="15.75" customHeight="1" s="46"/>
    <row r="452" ht="15.75" customHeight="1" s="46"/>
    <row r="453" ht="15.75" customHeight="1" s="46"/>
    <row r="454" ht="15.75" customHeight="1" s="46"/>
    <row r="455" ht="15.75" customHeight="1" s="46"/>
    <row r="456" ht="15.75" customHeight="1" s="46"/>
    <row r="457" ht="15.75" customHeight="1" s="46"/>
    <row r="458" ht="15.75" customHeight="1" s="46"/>
    <row r="459" ht="15.75" customHeight="1" s="46"/>
    <row r="460" ht="15.75" customHeight="1" s="46"/>
    <row r="461" ht="15.75" customHeight="1" s="46"/>
    <row r="462" ht="15.75" customHeight="1" s="46"/>
    <row r="463" ht="15.75" customHeight="1" s="46"/>
    <row r="464" ht="15.75" customHeight="1" s="46"/>
    <row r="465" ht="15.75" customHeight="1" s="46"/>
    <row r="466" ht="15.75" customHeight="1" s="46"/>
    <row r="467" ht="15.75" customHeight="1" s="46"/>
    <row r="468" ht="15.75" customHeight="1" s="46"/>
    <row r="469" ht="15.75" customHeight="1" s="46"/>
    <row r="470" ht="15.75" customHeight="1" s="46"/>
    <row r="471" ht="15.75" customHeight="1" s="46"/>
    <row r="472" ht="15.75" customHeight="1" s="46"/>
    <row r="473" ht="15.75" customHeight="1" s="46"/>
    <row r="474" ht="15.75" customHeight="1" s="46"/>
    <row r="475" ht="15.75" customHeight="1" s="46"/>
    <row r="476" ht="15.75" customHeight="1" s="46"/>
    <row r="477" ht="15.75" customHeight="1" s="46"/>
    <row r="478" ht="15.75" customHeight="1" s="46"/>
    <row r="479" ht="15.75" customHeight="1" s="46"/>
    <row r="480" ht="15.75" customHeight="1" s="46"/>
    <row r="481" ht="15.75" customHeight="1" s="46"/>
    <row r="482" ht="15.75" customHeight="1" s="46"/>
    <row r="483" ht="15.75" customHeight="1" s="46"/>
    <row r="484" ht="15.75" customHeight="1" s="46"/>
    <row r="485" ht="15.75" customHeight="1" s="46"/>
    <row r="486" ht="15.75" customHeight="1" s="46"/>
    <row r="487" ht="15.75" customHeight="1" s="46"/>
    <row r="488" ht="15.75" customHeight="1" s="46"/>
    <row r="489" ht="15.75" customHeight="1" s="46"/>
    <row r="490" ht="15.75" customHeight="1" s="46"/>
    <row r="491" ht="15.75" customHeight="1" s="46"/>
    <row r="492" ht="15.75" customHeight="1" s="46"/>
    <row r="493" ht="15.75" customHeight="1" s="46"/>
    <row r="494" ht="15.75" customHeight="1" s="46"/>
    <row r="495" ht="15.75" customHeight="1" s="46"/>
    <row r="496" ht="15.75" customHeight="1" s="46"/>
    <row r="497" ht="15.75" customHeight="1" s="46"/>
    <row r="498" ht="15.75" customHeight="1" s="46"/>
    <row r="499" ht="15.75" customHeight="1" s="46"/>
    <row r="500" ht="15.75" customHeight="1" s="46"/>
    <row r="501" ht="15.75" customHeight="1" s="46"/>
    <row r="502" ht="15.75" customHeight="1" s="46"/>
    <row r="503" ht="15.75" customHeight="1" s="46"/>
    <row r="504" ht="15.75" customHeight="1" s="46"/>
    <row r="505" ht="15.75" customHeight="1" s="46"/>
    <row r="506" ht="15.75" customHeight="1" s="46"/>
    <row r="507" ht="15.75" customHeight="1" s="46"/>
    <row r="508" ht="15.75" customHeight="1" s="46"/>
    <row r="509" ht="15.75" customHeight="1" s="46"/>
    <row r="510" ht="15.75" customHeight="1" s="46"/>
    <row r="511" ht="15.75" customHeight="1" s="46"/>
    <row r="512" ht="15.75" customHeight="1" s="46"/>
    <row r="513" ht="15.75" customHeight="1" s="46"/>
    <row r="514" ht="15.75" customHeight="1" s="46"/>
    <row r="515" ht="15.75" customHeight="1" s="46"/>
    <row r="516" ht="15.75" customHeight="1" s="46"/>
    <row r="517" ht="15.75" customHeight="1" s="46"/>
    <row r="518" ht="15.75" customHeight="1" s="46"/>
    <row r="519" ht="15.75" customHeight="1" s="46"/>
    <row r="520" ht="15.75" customHeight="1" s="46"/>
    <row r="521" ht="15.75" customHeight="1" s="46"/>
    <row r="522" ht="15.75" customHeight="1" s="46"/>
    <row r="523" ht="15.75" customHeight="1" s="46"/>
    <row r="524" ht="15.75" customHeight="1" s="46"/>
    <row r="525" ht="15.75" customHeight="1" s="46"/>
    <row r="526" ht="15.75" customHeight="1" s="46"/>
    <row r="527" ht="15.75" customHeight="1" s="46"/>
    <row r="528" ht="15.75" customHeight="1" s="46"/>
    <row r="529" ht="15.75" customHeight="1" s="46"/>
    <row r="530" ht="15.75" customHeight="1" s="46"/>
    <row r="531" ht="15.75" customHeight="1" s="46"/>
    <row r="532" ht="15.75" customHeight="1" s="46"/>
    <row r="533" ht="15.75" customHeight="1" s="46"/>
    <row r="534" ht="15.75" customHeight="1" s="46"/>
    <row r="535" ht="15.75" customHeight="1" s="46"/>
    <row r="536" ht="15.75" customHeight="1" s="46"/>
    <row r="537" ht="15.75" customHeight="1" s="46"/>
    <row r="538" ht="15.75" customHeight="1" s="46"/>
    <row r="539" ht="15.75" customHeight="1" s="46"/>
    <row r="540" ht="15.75" customHeight="1" s="46"/>
    <row r="541" ht="15.75" customHeight="1" s="46"/>
    <row r="542" ht="15.75" customHeight="1" s="46"/>
    <row r="543" ht="15.75" customHeight="1" s="46"/>
    <row r="544" ht="15.75" customHeight="1" s="46"/>
    <row r="545" ht="15.75" customHeight="1" s="46"/>
    <row r="546" ht="15.75" customHeight="1" s="46"/>
    <row r="547" ht="15.75" customHeight="1" s="46"/>
    <row r="548" ht="15.75" customHeight="1" s="46"/>
    <row r="549" ht="15.75" customHeight="1" s="46"/>
    <row r="550" ht="15.75" customHeight="1" s="46"/>
    <row r="551" ht="15.75" customHeight="1" s="46"/>
    <row r="552" ht="15.75" customHeight="1" s="46"/>
    <row r="553" ht="15.75" customHeight="1" s="46"/>
    <row r="554" ht="15.75" customHeight="1" s="46"/>
    <row r="555" ht="15.75" customHeight="1" s="46"/>
    <row r="556" ht="15.75" customHeight="1" s="46"/>
    <row r="557" ht="15.75" customHeight="1" s="46"/>
    <row r="558" ht="15.75" customHeight="1" s="46"/>
    <row r="559" ht="15.75" customHeight="1" s="46"/>
    <row r="560" ht="15.75" customHeight="1" s="46"/>
    <row r="561" ht="15.75" customHeight="1" s="46"/>
    <row r="562" ht="15.75" customHeight="1" s="46"/>
    <row r="563" ht="15.75" customHeight="1" s="46"/>
    <row r="564" ht="15.75" customHeight="1" s="46"/>
    <row r="565" ht="15.75" customHeight="1" s="46"/>
    <row r="566" ht="15.75" customHeight="1" s="46"/>
    <row r="567" ht="15.75" customHeight="1" s="46"/>
    <row r="568" ht="15.75" customHeight="1" s="46"/>
    <row r="569" ht="15.75" customHeight="1" s="46"/>
    <row r="570" ht="15.75" customHeight="1" s="46"/>
    <row r="571" ht="15.75" customHeight="1" s="46"/>
    <row r="572" ht="15.75" customHeight="1" s="46"/>
    <row r="573" ht="15.75" customHeight="1" s="46"/>
    <row r="574" ht="15.75" customHeight="1" s="46"/>
    <row r="575" ht="15.75" customHeight="1" s="46"/>
    <row r="576" ht="15.75" customHeight="1" s="46"/>
    <row r="577" ht="15.75" customHeight="1" s="46"/>
    <row r="578" ht="15.75" customHeight="1" s="46"/>
    <row r="579" ht="15.75" customHeight="1" s="46"/>
    <row r="580" ht="15.75" customHeight="1" s="46"/>
    <row r="581" ht="15.75" customHeight="1" s="46"/>
    <row r="582" ht="15.75" customHeight="1" s="46"/>
    <row r="583" ht="15.75" customHeight="1" s="46"/>
    <row r="584" ht="15.75" customHeight="1" s="46"/>
    <row r="585" ht="15.75" customHeight="1" s="46"/>
    <row r="586" ht="15.75" customHeight="1" s="46"/>
    <row r="587" ht="15.75" customHeight="1" s="46"/>
    <row r="588" ht="15.75" customHeight="1" s="46"/>
    <row r="589" ht="15.75" customHeight="1" s="46"/>
    <row r="590" ht="15.75" customHeight="1" s="46"/>
    <row r="591" ht="15.75" customHeight="1" s="46"/>
    <row r="592" ht="15.75" customHeight="1" s="46"/>
    <row r="593" ht="15.75" customHeight="1" s="46"/>
    <row r="594" ht="15.75" customHeight="1" s="46"/>
    <row r="595" ht="15.75" customHeight="1" s="46"/>
    <row r="596" ht="15.75" customHeight="1" s="46"/>
    <row r="597" ht="15.75" customHeight="1" s="46"/>
    <row r="598" ht="15.75" customHeight="1" s="46"/>
    <row r="599" ht="15.75" customHeight="1" s="46"/>
    <row r="600" ht="15.75" customHeight="1" s="46"/>
    <row r="601" ht="15.75" customHeight="1" s="46"/>
    <row r="602" ht="15.75" customHeight="1" s="46"/>
    <row r="603" ht="15.75" customHeight="1" s="46"/>
    <row r="604" ht="15.75" customHeight="1" s="46"/>
    <row r="605" ht="15.75" customHeight="1" s="46"/>
    <row r="606" ht="15.75" customHeight="1" s="46"/>
    <row r="607" ht="15.75" customHeight="1" s="46"/>
    <row r="608" ht="15.75" customHeight="1" s="46"/>
    <row r="609" ht="15.75" customHeight="1" s="46"/>
    <row r="610" ht="15.75" customHeight="1" s="46"/>
    <row r="611" ht="15.75" customHeight="1" s="46"/>
    <row r="612" ht="15.75" customHeight="1" s="46"/>
    <row r="613" ht="15.75" customHeight="1" s="46"/>
    <row r="614" ht="15.75" customHeight="1" s="46"/>
    <row r="615" ht="15.75" customHeight="1" s="46"/>
    <row r="616" ht="15.75" customHeight="1" s="46"/>
    <row r="617" ht="15.75" customHeight="1" s="46"/>
    <row r="618" ht="15.75" customHeight="1" s="46"/>
    <row r="619" ht="15.75" customHeight="1" s="46"/>
    <row r="620" ht="15.75" customHeight="1" s="46"/>
    <row r="621" ht="15.75" customHeight="1" s="46"/>
    <row r="622" ht="15.75" customHeight="1" s="46"/>
    <row r="623" ht="15.75" customHeight="1" s="46"/>
    <row r="624" ht="15.75" customHeight="1" s="46"/>
    <row r="625" ht="15.75" customHeight="1" s="46"/>
    <row r="626" ht="15.75" customHeight="1" s="46"/>
    <row r="627" ht="15.75" customHeight="1" s="46"/>
    <row r="628" ht="15.75" customHeight="1" s="46"/>
    <row r="629" ht="15.75" customHeight="1" s="46"/>
    <row r="630" ht="15.75" customHeight="1" s="46"/>
    <row r="631" ht="15.75" customHeight="1" s="46"/>
    <row r="632" ht="15.75" customHeight="1" s="46"/>
    <row r="633" ht="15.75" customHeight="1" s="46"/>
    <row r="634" ht="15.75" customHeight="1" s="46"/>
    <row r="635" ht="15.75" customHeight="1" s="46"/>
    <row r="636" ht="15.75" customHeight="1" s="46"/>
    <row r="637" ht="15.75" customHeight="1" s="46"/>
    <row r="638" ht="15.75" customHeight="1" s="46"/>
    <row r="639" ht="15.75" customHeight="1" s="46"/>
    <row r="640" ht="15.75" customHeight="1" s="46"/>
    <row r="641" ht="15.75" customHeight="1" s="46"/>
    <row r="642" ht="15.75" customHeight="1" s="46"/>
    <row r="643" ht="15.75" customHeight="1" s="46"/>
    <row r="644" ht="15.75" customHeight="1" s="46"/>
    <row r="645" ht="15.75" customHeight="1" s="46"/>
    <row r="646" ht="15.75" customHeight="1" s="46"/>
    <row r="647" ht="15.75" customHeight="1" s="46"/>
    <row r="648" ht="15.75" customHeight="1" s="46"/>
    <row r="649" ht="15.75" customHeight="1" s="46"/>
    <row r="650" ht="15.75" customHeight="1" s="46"/>
    <row r="651" ht="15.75" customHeight="1" s="46"/>
    <row r="652" ht="15.75" customHeight="1" s="46"/>
    <row r="653" ht="15.75" customHeight="1" s="46"/>
    <row r="654" ht="15.75" customHeight="1" s="46"/>
    <row r="655" ht="15.75" customHeight="1" s="46"/>
    <row r="656" ht="15.75" customHeight="1" s="46"/>
    <row r="657" ht="15.75" customHeight="1" s="46"/>
    <row r="658" ht="15.75" customHeight="1" s="46"/>
    <row r="659" ht="15.75" customHeight="1" s="46"/>
    <row r="660" ht="15.75" customHeight="1" s="46"/>
    <row r="661" ht="15.75" customHeight="1" s="46"/>
    <row r="662" ht="15.75" customHeight="1" s="46"/>
    <row r="663" ht="15.75" customHeight="1" s="46"/>
    <row r="664" ht="15.75" customHeight="1" s="46"/>
    <row r="665" ht="15.75" customHeight="1" s="46"/>
    <row r="666" ht="15.75" customHeight="1" s="46"/>
    <row r="667" ht="15.75" customHeight="1" s="46"/>
    <row r="668" ht="15.75" customHeight="1" s="46"/>
    <row r="669" ht="15.75" customHeight="1" s="46"/>
    <row r="670" ht="15.75" customHeight="1" s="46"/>
    <row r="671" ht="15.75" customHeight="1" s="46"/>
    <row r="672" ht="15.75" customHeight="1" s="46"/>
    <row r="673" ht="15.75" customHeight="1" s="46"/>
    <row r="674" ht="15.75" customHeight="1" s="46"/>
    <row r="675" ht="15.75" customHeight="1" s="46"/>
    <row r="676" ht="15.75" customHeight="1" s="46"/>
    <row r="677" ht="15.75" customHeight="1" s="46"/>
    <row r="678" ht="15.75" customHeight="1" s="46"/>
    <row r="679" ht="15.75" customHeight="1" s="46"/>
    <row r="680" ht="15.75" customHeight="1" s="46"/>
    <row r="681" ht="15.75" customHeight="1" s="46"/>
    <row r="682" ht="15.75" customHeight="1" s="46"/>
    <row r="683" ht="15.75" customHeight="1" s="46"/>
    <row r="684" ht="15.75" customHeight="1" s="46"/>
    <row r="685" ht="15.75" customHeight="1" s="46"/>
    <row r="686" ht="15.75" customHeight="1" s="46"/>
    <row r="687" ht="15.75" customHeight="1" s="46"/>
    <row r="688" ht="15.75" customHeight="1" s="46"/>
    <row r="689" ht="15.75" customHeight="1" s="46"/>
    <row r="690" ht="15.75" customHeight="1" s="46"/>
    <row r="691" ht="15.75" customHeight="1" s="46"/>
    <row r="692" ht="15.75" customHeight="1" s="46"/>
    <row r="693" ht="15.75" customHeight="1" s="46"/>
    <row r="694" ht="15.75" customHeight="1" s="46"/>
    <row r="695" ht="15.75" customHeight="1" s="46"/>
    <row r="696" ht="15.75" customHeight="1" s="46"/>
    <row r="697" ht="15.75" customHeight="1" s="46"/>
    <row r="698" ht="15.75" customHeight="1" s="46"/>
    <row r="699" ht="15.75" customHeight="1" s="46"/>
    <row r="700" ht="15.75" customHeight="1" s="46"/>
    <row r="701" ht="15.75" customHeight="1" s="46"/>
    <row r="702" ht="15.75" customHeight="1" s="46"/>
    <row r="703" ht="15.75" customHeight="1" s="46"/>
    <row r="704" ht="15.75" customHeight="1" s="46"/>
    <row r="705" ht="15.75" customHeight="1" s="46"/>
    <row r="706" ht="15.75" customHeight="1" s="46"/>
    <row r="707" ht="15.75" customHeight="1" s="46"/>
    <row r="708" ht="15.75" customHeight="1" s="46"/>
    <row r="709" ht="15.75" customHeight="1" s="46"/>
    <row r="710" ht="15.75" customHeight="1" s="46"/>
    <row r="711" ht="15.75" customHeight="1" s="46"/>
    <row r="712" ht="15.75" customHeight="1" s="46"/>
    <row r="713" ht="15.75" customHeight="1" s="46"/>
    <row r="714" ht="15.75" customHeight="1" s="46"/>
    <row r="715" ht="15.75" customHeight="1" s="46"/>
    <row r="716" ht="15.75" customHeight="1" s="46"/>
    <row r="717" ht="15.75" customHeight="1" s="46"/>
    <row r="718" ht="15.75" customHeight="1" s="46"/>
    <row r="719" ht="15.75" customHeight="1" s="46"/>
    <row r="720" ht="15.75" customHeight="1" s="46"/>
    <row r="721" ht="15.75" customHeight="1" s="46"/>
    <row r="722" ht="15.75" customHeight="1" s="46"/>
    <row r="723" ht="15.75" customHeight="1" s="46"/>
    <row r="724" ht="15.75" customHeight="1" s="46"/>
    <row r="725" ht="15.75" customHeight="1" s="46"/>
    <row r="726" ht="15.75" customHeight="1" s="46"/>
    <row r="727" ht="15.75" customHeight="1" s="46"/>
    <row r="728" ht="15.75" customHeight="1" s="46"/>
    <row r="729" ht="15.75" customHeight="1" s="46"/>
    <row r="730" ht="15.75" customHeight="1" s="46"/>
    <row r="731" ht="15.75" customHeight="1" s="46"/>
    <row r="732" ht="15.75" customHeight="1" s="46"/>
    <row r="733" ht="15.75" customHeight="1" s="46"/>
    <row r="734" ht="15.75" customHeight="1" s="46"/>
    <row r="735" ht="15.75" customHeight="1" s="46"/>
    <row r="736" ht="15.75" customHeight="1" s="46"/>
    <row r="737" ht="15.75" customHeight="1" s="46"/>
    <row r="738" ht="15.75" customHeight="1" s="46"/>
    <row r="739" ht="15.75" customHeight="1" s="46"/>
    <row r="740" ht="15.75" customHeight="1" s="46"/>
    <row r="741" ht="15.75" customHeight="1" s="46"/>
    <row r="742" ht="15.75" customHeight="1" s="46"/>
    <row r="743" ht="15.75" customHeight="1" s="46"/>
    <row r="744" ht="15.75" customHeight="1" s="46"/>
    <row r="745" ht="15.75" customHeight="1" s="46"/>
    <row r="746" ht="15.75" customHeight="1" s="46"/>
    <row r="747" ht="15.75" customHeight="1" s="46"/>
    <row r="748" ht="15.75" customHeight="1" s="46"/>
    <row r="749" ht="15.75" customHeight="1" s="46"/>
    <row r="750" ht="15.75" customHeight="1" s="46"/>
    <row r="751" ht="15.75" customHeight="1" s="46"/>
    <row r="752" ht="15.75" customHeight="1" s="46"/>
    <row r="753" ht="15.75" customHeight="1" s="46"/>
    <row r="754" ht="15.75" customHeight="1" s="46"/>
    <row r="755" ht="15.75" customHeight="1" s="46"/>
    <row r="756" ht="15.75" customHeight="1" s="46"/>
    <row r="757" ht="15.75" customHeight="1" s="46"/>
    <row r="758" ht="15.75" customHeight="1" s="46"/>
    <row r="759" ht="15.75" customHeight="1" s="46"/>
    <row r="760" ht="15.75" customHeight="1" s="46"/>
    <row r="761" ht="15.75" customHeight="1" s="46"/>
    <row r="762" ht="15.75" customHeight="1" s="46"/>
    <row r="763" ht="15.75" customHeight="1" s="46"/>
    <row r="764" ht="15.75" customHeight="1" s="46"/>
    <row r="765" ht="15.75" customHeight="1" s="46"/>
    <row r="766" ht="15.75" customHeight="1" s="46"/>
    <row r="767" ht="15.75" customHeight="1" s="46"/>
    <row r="768" ht="15.75" customHeight="1" s="46"/>
    <row r="769" ht="15.75" customHeight="1" s="46"/>
    <row r="770" ht="15.75" customHeight="1" s="46"/>
    <row r="771" ht="15.75" customHeight="1" s="46"/>
    <row r="772" ht="15.75" customHeight="1" s="46"/>
    <row r="773" ht="15.75" customHeight="1" s="46"/>
    <row r="774" ht="15.75" customHeight="1" s="46"/>
    <row r="775" ht="15.75" customHeight="1" s="46"/>
    <row r="776" ht="15.75" customHeight="1" s="46"/>
    <row r="777" ht="15.75" customHeight="1" s="46"/>
    <row r="778" ht="15.75" customHeight="1" s="46"/>
    <row r="779" ht="15.75" customHeight="1" s="46"/>
    <row r="780" ht="15.75" customHeight="1" s="46"/>
    <row r="781" ht="15.75" customHeight="1" s="46"/>
    <row r="782" ht="15.75" customHeight="1" s="46"/>
    <row r="783" ht="15.75" customHeight="1" s="46"/>
    <row r="784" ht="15.75" customHeight="1" s="46"/>
    <row r="785" ht="15.75" customHeight="1" s="46"/>
    <row r="786" ht="15.75" customHeight="1" s="46"/>
    <row r="787" ht="15.75" customHeight="1" s="46"/>
    <row r="788" ht="15.75" customHeight="1" s="46"/>
    <row r="789" ht="15.75" customHeight="1" s="46"/>
    <row r="790" ht="15.75" customHeight="1" s="46"/>
    <row r="791" ht="15.75" customHeight="1" s="46"/>
    <row r="792" ht="15.75" customHeight="1" s="46"/>
    <row r="793" ht="15.75" customHeight="1" s="46"/>
    <row r="794" ht="15.75" customHeight="1" s="46"/>
    <row r="795" ht="15.75" customHeight="1" s="46"/>
    <row r="796" ht="15.75" customHeight="1" s="46"/>
    <row r="797" ht="15.75" customHeight="1" s="46"/>
    <row r="798" ht="15.75" customHeight="1" s="46"/>
    <row r="799" ht="15.75" customHeight="1" s="46"/>
    <row r="800" ht="15.75" customHeight="1" s="46"/>
    <row r="801" ht="15.75" customHeight="1" s="46"/>
    <row r="802" ht="15.75" customHeight="1" s="46"/>
    <row r="803" ht="15.75" customHeight="1" s="46"/>
    <row r="804" ht="15.75" customHeight="1" s="46"/>
    <row r="805" ht="15.75" customHeight="1" s="46"/>
    <row r="806" ht="15.75" customHeight="1" s="46"/>
    <row r="807" ht="15.75" customHeight="1" s="46"/>
    <row r="808" ht="15.75" customHeight="1" s="46"/>
    <row r="809" ht="15.75" customHeight="1" s="46"/>
    <row r="810" ht="15.75" customHeight="1" s="46"/>
    <row r="811" ht="15.75" customHeight="1" s="46"/>
    <row r="812" ht="15.75" customHeight="1" s="46"/>
    <row r="813" ht="15.75" customHeight="1" s="46"/>
    <row r="814" ht="15.75" customHeight="1" s="46"/>
    <row r="815" ht="15.75" customHeight="1" s="46"/>
    <row r="816" ht="15.75" customHeight="1" s="46"/>
    <row r="817" ht="15.75" customHeight="1" s="46"/>
    <row r="818" ht="15.75" customHeight="1" s="46"/>
    <row r="819" ht="15.75" customHeight="1" s="46"/>
    <row r="820" ht="15.75" customHeight="1" s="46"/>
    <row r="821" ht="15.75" customHeight="1" s="46"/>
    <row r="822" ht="15.75" customHeight="1" s="46"/>
    <row r="823" ht="15.75" customHeight="1" s="46"/>
    <row r="824" ht="15.75" customHeight="1" s="46"/>
    <row r="825" ht="15.75" customHeight="1" s="46"/>
    <row r="826" ht="15.75" customHeight="1" s="46"/>
    <row r="827" ht="15.75" customHeight="1" s="46"/>
    <row r="828" ht="15.75" customHeight="1" s="46"/>
    <row r="829" ht="15.75" customHeight="1" s="46"/>
    <row r="830" ht="15.75" customHeight="1" s="46"/>
    <row r="831" ht="15.75" customHeight="1" s="46"/>
    <row r="832" ht="15.75" customHeight="1" s="46"/>
    <row r="833" ht="15.75" customHeight="1" s="46"/>
    <row r="834" ht="15.75" customHeight="1" s="46"/>
    <row r="835" ht="15.75" customHeight="1" s="46"/>
    <row r="836" ht="15.75" customHeight="1" s="46"/>
    <row r="837" ht="15.75" customHeight="1" s="46"/>
    <row r="838" ht="15.75" customHeight="1" s="46"/>
    <row r="839" ht="15.75" customHeight="1" s="46"/>
    <row r="840" ht="15.75" customHeight="1" s="46"/>
    <row r="841" ht="15.75" customHeight="1" s="46"/>
    <row r="842" ht="15.75" customHeight="1" s="46"/>
    <row r="843" ht="15.75" customHeight="1" s="46"/>
    <row r="844" ht="15.75" customHeight="1" s="46"/>
    <row r="845" ht="15.75" customHeight="1" s="46"/>
    <row r="846" ht="15.75" customHeight="1" s="46"/>
    <row r="847" ht="15.75" customHeight="1" s="46"/>
    <row r="848" ht="15.75" customHeight="1" s="46"/>
    <row r="849" ht="15.75" customHeight="1" s="46"/>
    <row r="850" ht="15.75" customHeight="1" s="46"/>
    <row r="851" ht="15.75" customHeight="1" s="46"/>
    <row r="852" ht="15.75" customHeight="1" s="46"/>
    <row r="853" ht="15.75" customHeight="1" s="46"/>
    <row r="854" ht="15.75" customHeight="1" s="46"/>
    <row r="855" ht="15.75" customHeight="1" s="46"/>
    <row r="856" ht="15.75" customHeight="1" s="46"/>
    <row r="857" ht="15.75" customHeight="1" s="46"/>
    <row r="858" ht="15.75" customHeight="1" s="46"/>
    <row r="859" ht="15.75" customHeight="1" s="46"/>
    <row r="860" ht="15.75" customHeight="1" s="46"/>
    <row r="861" ht="15.75" customHeight="1" s="46"/>
    <row r="862" ht="15.75" customHeight="1" s="46"/>
    <row r="863" ht="15.75" customHeight="1" s="46"/>
    <row r="864" ht="15.75" customHeight="1" s="46"/>
    <row r="865" ht="15.75" customHeight="1" s="46"/>
    <row r="866" ht="15.75" customHeight="1" s="46"/>
    <row r="867" ht="15.75" customHeight="1" s="46"/>
    <row r="868" ht="15.75" customHeight="1" s="46"/>
    <row r="869" ht="15.75" customHeight="1" s="46"/>
    <row r="870" ht="15.75" customHeight="1" s="46"/>
    <row r="871" ht="15.75" customHeight="1" s="46"/>
    <row r="872" ht="15.75" customHeight="1" s="46"/>
    <row r="873" ht="15.75" customHeight="1" s="46"/>
    <row r="874" ht="15.75" customHeight="1" s="46"/>
    <row r="875" ht="15.75" customHeight="1" s="46"/>
    <row r="876" ht="15.75" customHeight="1" s="46"/>
    <row r="877" ht="15.75" customHeight="1" s="46"/>
    <row r="878" ht="15.75" customHeight="1" s="46"/>
    <row r="879" ht="15.75" customHeight="1" s="46"/>
    <row r="880" ht="15.75" customHeight="1" s="46"/>
    <row r="881" ht="15.75" customHeight="1" s="46"/>
    <row r="882" ht="15.75" customHeight="1" s="46"/>
    <row r="883" ht="15.75" customHeight="1" s="46"/>
    <row r="884" ht="15.75" customHeight="1" s="46"/>
    <row r="885" ht="15.75" customHeight="1" s="46"/>
    <row r="886" ht="15.75" customHeight="1" s="46"/>
    <row r="887" ht="15.75" customHeight="1" s="46"/>
    <row r="888" ht="15.75" customHeight="1" s="46"/>
    <row r="889" ht="15.75" customHeight="1" s="46"/>
    <row r="890" ht="15.75" customHeight="1" s="46"/>
    <row r="891" ht="15.75" customHeight="1" s="46"/>
    <row r="892" ht="15.75" customHeight="1" s="46"/>
    <row r="893" ht="15.75" customHeight="1" s="46"/>
    <row r="894" ht="15.75" customHeight="1" s="46"/>
    <row r="895" ht="15.75" customHeight="1" s="46"/>
    <row r="896" ht="15.75" customHeight="1" s="46"/>
    <row r="897" ht="15.75" customHeight="1" s="46"/>
    <row r="898" ht="15.75" customHeight="1" s="46"/>
    <row r="899" ht="15.75" customHeight="1" s="46"/>
    <row r="900" ht="15.75" customHeight="1" s="46"/>
    <row r="901" ht="15.75" customHeight="1" s="46"/>
    <row r="902" ht="15.75" customHeight="1" s="46"/>
    <row r="903" ht="15.75" customHeight="1" s="46"/>
    <row r="904" ht="15.75" customHeight="1" s="46"/>
    <row r="905" ht="15.75" customHeight="1" s="46"/>
    <row r="906" ht="15.75" customHeight="1" s="46"/>
    <row r="907" ht="15.75" customHeight="1" s="46"/>
    <row r="908" ht="15.75" customHeight="1" s="46"/>
    <row r="909" ht="15.75" customHeight="1" s="46"/>
    <row r="910" ht="15.75" customHeight="1" s="46"/>
    <row r="911" ht="15.75" customHeight="1" s="46"/>
    <row r="912" ht="15.75" customHeight="1" s="46"/>
    <row r="913" ht="15.75" customHeight="1" s="46"/>
    <row r="914" ht="15.75" customHeight="1" s="46"/>
    <row r="915" ht="15.75" customHeight="1" s="46"/>
    <row r="916" ht="15.75" customHeight="1" s="46"/>
    <row r="917" ht="15.75" customHeight="1" s="46"/>
    <row r="918" ht="15.75" customHeight="1" s="46"/>
    <row r="919" ht="15.75" customHeight="1" s="46"/>
    <row r="920" ht="15.75" customHeight="1" s="46"/>
    <row r="921" ht="15.75" customHeight="1" s="46"/>
    <row r="922" ht="15.75" customHeight="1" s="46"/>
    <row r="923" ht="15.75" customHeight="1" s="46"/>
    <row r="924" ht="15.75" customHeight="1" s="46"/>
    <row r="925" ht="15.75" customHeight="1" s="46"/>
    <row r="926" ht="15.75" customHeight="1" s="46"/>
    <row r="927" ht="15.75" customHeight="1" s="46"/>
    <row r="928" ht="15.75" customHeight="1" s="46"/>
    <row r="929" ht="15.75" customHeight="1" s="46"/>
    <row r="930" ht="15.75" customHeight="1" s="46"/>
    <row r="931" ht="15.75" customHeight="1" s="46"/>
    <row r="932" ht="15.75" customHeight="1" s="46"/>
    <row r="933" ht="15.75" customHeight="1" s="46"/>
    <row r="934" ht="15.75" customHeight="1" s="46"/>
    <row r="935" ht="15.75" customHeight="1" s="46"/>
    <row r="936" ht="15.75" customHeight="1" s="46"/>
    <row r="937" ht="15.75" customHeight="1" s="46"/>
    <row r="938" ht="15.75" customHeight="1" s="46"/>
    <row r="939" ht="15.75" customHeight="1" s="46"/>
    <row r="940" ht="15.75" customHeight="1" s="46"/>
    <row r="941" ht="15.75" customHeight="1" s="46"/>
    <row r="942" ht="15.75" customHeight="1" s="46"/>
    <row r="943" ht="15.75" customHeight="1" s="46"/>
    <row r="944" ht="15.75" customHeight="1" s="46"/>
    <row r="945" ht="15.75" customHeight="1" s="46"/>
    <row r="946" ht="15.75" customHeight="1" s="46"/>
    <row r="947" ht="15.75" customHeight="1" s="46"/>
    <row r="948" ht="15.75" customHeight="1" s="46"/>
    <row r="949" ht="15.75" customHeight="1" s="46"/>
    <row r="950" ht="15.75" customHeight="1" s="46"/>
    <row r="951" ht="15.75" customHeight="1" s="46"/>
    <row r="952" ht="15.75" customHeight="1" s="46"/>
    <row r="953" ht="15.75" customHeight="1" s="46"/>
    <row r="954" ht="15.75" customHeight="1" s="46"/>
    <row r="955" ht="15.75" customHeight="1" s="46"/>
    <row r="956" ht="15.75" customHeight="1" s="46"/>
    <row r="957" ht="15.75" customHeight="1" s="46"/>
    <row r="958" ht="15.75" customHeight="1" s="46"/>
    <row r="959" ht="15.75" customHeight="1" s="46"/>
    <row r="960" ht="15.75" customHeight="1" s="46"/>
    <row r="961" ht="15.75" customHeight="1" s="46"/>
    <row r="962" ht="15.75" customHeight="1" s="46"/>
    <row r="963" ht="15.75" customHeight="1" s="46"/>
    <row r="964" ht="15.75" customHeight="1" s="46"/>
    <row r="965" ht="15.75" customHeight="1" s="46"/>
    <row r="966" ht="15.75" customHeight="1" s="46"/>
    <row r="967" ht="15.75" customHeight="1" s="46"/>
    <row r="968" ht="15.75" customHeight="1" s="46"/>
    <row r="969" ht="15.75" customHeight="1" s="46"/>
    <row r="970" ht="15.75" customHeight="1" s="46"/>
    <row r="971" ht="15.75" customHeight="1" s="46"/>
    <row r="972" ht="15.75" customHeight="1" s="46"/>
    <row r="973" ht="15.75" customHeight="1" s="46"/>
    <row r="974" ht="15.75" customHeight="1" s="46"/>
    <row r="975" ht="15.75" customHeight="1" s="46"/>
    <row r="976" ht="15.75" customHeight="1" s="46"/>
    <row r="977" ht="15.75" customHeight="1" s="46"/>
    <row r="978" ht="15.75" customHeight="1" s="46"/>
    <row r="979" ht="15.75" customHeight="1" s="46"/>
    <row r="980" ht="15.75" customHeight="1" s="46"/>
    <row r="981" ht="15.75" customHeight="1" s="46"/>
    <row r="982" ht="15.75" customHeight="1" s="46"/>
    <row r="983" ht="15.75" customHeight="1" s="46"/>
    <row r="984" ht="15.75" customHeight="1" s="46"/>
    <row r="985" ht="15.75" customHeight="1" s="46"/>
    <row r="986" ht="15.75" customHeight="1" s="46"/>
    <row r="987" ht="15.75" customHeight="1" s="46"/>
    <row r="988" ht="15.75" customHeight="1" s="46"/>
    <row r="989" ht="15.75" customHeight="1" s="46"/>
    <row r="990" ht="15.75" customHeight="1" s="46"/>
    <row r="991" ht="15.75" customHeight="1" s="46"/>
    <row r="992" ht="15.75" customHeight="1" s="46"/>
    <row r="993" ht="15.75" customHeight="1" s="46"/>
    <row r="994" ht="15.75" customHeight="1" s="46"/>
    <row r="995" ht="15.75" customHeight="1" s="46"/>
    <row r="996" ht="15.75" customHeight="1" s="46"/>
    <row r="997" ht="15.75" customHeight="1" s="46"/>
    <row r="998" ht="15.75" customHeight="1" s="46"/>
    <row r="999" ht="15.75" customHeight="1" s="46"/>
    <row r="1000" ht="15.75" customHeight="1" s="46"/>
  </sheetData>
  <mergeCells count="14">
    <mergeCell ref="A21:E21"/>
    <mergeCell ref="A39:E39"/>
    <mergeCell ref="N25:Q25"/>
    <mergeCell ref="A25:E25"/>
    <mergeCell ref="A2:N2"/>
    <mergeCell ref="A41:N45"/>
    <mergeCell ref="A24:AG24"/>
    <mergeCell ref="R25:U25"/>
    <mergeCell ref="V25:Y25"/>
    <mergeCell ref="Z25:AC25"/>
    <mergeCell ref="F25:I25"/>
    <mergeCell ref="J25:M25"/>
    <mergeCell ref="AD25:AG25"/>
    <mergeCell ref="A1:N1"/>
  </mergeCells>
  <pageMargins left="0.75" right="0.75" top="1" bottom="1" header="0" footer="0"/>
  <pageSetup orientation="landscape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G45"/>
  <sheetViews>
    <sheetView workbookViewId="0">
      <selection activeCell="A1" sqref="A1"/>
    </sheetView>
  </sheetViews>
  <sheetFormatPr baseColWidth="8" defaultColWidth="14.43" defaultRowHeight="15" customHeight="1"/>
  <cols>
    <col width="4" customWidth="1" style="46" min="1" max="1"/>
    <col width="10" customWidth="1" style="46" min="2" max="2"/>
    <col width="32" customWidth="1" style="46" min="3" max="3"/>
    <col width="26" customWidth="1" style="46" min="4" max="4"/>
    <col width="28" customWidth="1" style="46" min="5" max="5"/>
    <col width="14" customWidth="1" style="46" min="6" max="7"/>
    <col width="15" customWidth="1" style="46" min="8" max="9"/>
    <col width="16" customWidth="1" style="46" min="10" max="11"/>
    <col width="14" customWidth="1" style="46" min="12" max="12"/>
    <col width="15" customWidth="1" style="46" min="13" max="13"/>
    <col width="24" customWidth="1" style="46" min="14" max="14"/>
    <col width="14" customWidth="1" style="46" min="15" max="33"/>
  </cols>
  <sheetData>
    <row r="1" ht="24.75" customHeight="1" s="46">
      <c r="A1" s="47" t="inlineStr">
        <is>
          <t>CONTROL SEMANAL DE RENDIMIENTO DE MAQUINARIA (SEMANA 33)</t>
        </is>
      </c>
    </row>
    <row r="2" ht="18" customHeight="1" s="46">
      <c r="A2" s="48" t="inlineStr">
        <is>
          <t>OBRA: CARRETERA LIBRE MÉXICO-TOLUCA | PERIODO: 10/Ago/2026 - 15/Ago/2026</t>
        </is>
      </c>
    </row>
    <row r="4">
      <c r="A4" s="5" t="inlineStr">
        <is>
          <t>1. PARÁMETROS:</t>
        </is>
      </c>
      <c r="B4" s="5" t="inlineStr">
        <is>
          <t>PESO VOLUMÉTRICO ASFALTO (Ton/m³):</t>
        </is>
      </c>
      <c r="E4" s="7" t="n">
        <v>1.742</v>
      </c>
    </row>
    <row r="5">
      <c r="A5" s="5" t="inlineStr">
        <is>
          <t>2. FRESADO SEMANAL:</t>
        </is>
      </c>
      <c r="B5" s="8" t="inlineStr">
        <is>
          <t>Viajes de Fresado:</t>
        </is>
      </c>
      <c r="C5" s="41" t="n">
        <v>116</v>
      </c>
      <c r="D5" s="8" t="inlineStr">
        <is>
          <t>Volumen Fresado (m³):</t>
        </is>
      </c>
      <c r="E5" s="42" t="n">
        <v>1582</v>
      </c>
    </row>
    <row r="6">
      <c r="A6" s="5" t="inlineStr">
        <is>
          <t>3. CARPETA SEMANAL:</t>
        </is>
      </c>
      <c r="B6" s="8" t="inlineStr">
        <is>
          <t>Viajes de Mezcla:</t>
        </is>
      </c>
      <c r="C6" s="41" t="n">
        <v>52</v>
      </c>
      <c r="D6" s="8" t="inlineStr">
        <is>
          <t>Volumen Carpeta (m³):</t>
        </is>
      </c>
      <c r="E6" s="42" t="n">
        <v>728</v>
      </c>
      <c r="F6" s="8" t="inlineStr">
        <is>
          <t>Toneladas Carpeta (Ton):</t>
        </is>
      </c>
      <c r="G6" s="17">
        <f>E6*$E$4</f>
        <v/>
      </c>
    </row>
    <row r="8" ht="27.75" customHeight="1" s="46">
      <c r="A8" s="10" t="inlineStr">
        <is>
          <t>No.</t>
        </is>
      </c>
      <c r="B8" s="10" t="inlineStr">
        <is>
          <t>Económico</t>
        </is>
      </c>
      <c r="C8" s="10" t="inlineStr">
        <is>
          <t>Equipo / Maquinaria</t>
        </is>
      </c>
      <c r="D8" s="10" t="inlineStr">
        <is>
          <t>Operador Asignado</t>
        </is>
      </c>
      <c r="E8" s="10" t="inlineStr">
        <is>
          <t>Concepto de Trabajo</t>
        </is>
      </c>
      <c r="F8" s="10" t="inlineStr">
        <is>
          <t>Viajes Asignados</t>
        </is>
      </c>
      <c r="G8" s="10" t="inlineStr">
        <is>
          <t>Volumen (m³)</t>
        </is>
      </c>
      <c r="H8" s="10" t="inlineStr">
        <is>
          <t>Toneladas (Ton)</t>
        </is>
      </c>
      <c r="I8" s="10" t="inlineStr">
        <is>
          <t>Diésel Surtido (L)</t>
        </is>
      </c>
      <c r="J8" s="10" t="inlineStr">
        <is>
          <t>Rendimiento Real (L/Ton)</t>
        </is>
      </c>
      <c r="K8" s="10" t="inlineStr">
        <is>
          <t>Rendimiento Real (L/m³)</t>
        </is>
      </c>
      <c r="L8" s="10" t="inlineStr">
        <is>
          <t>Rend. Base (L/h)</t>
        </is>
      </c>
      <c r="M8" s="10" t="inlineStr">
        <is>
          <t>Horas Est. Operación</t>
        </is>
      </c>
      <c r="N8" s="10" t="inlineStr">
        <is>
          <t>Estatus Operativo</t>
        </is>
      </c>
    </row>
    <row r="9" ht="19.5" customHeight="1" s="46">
      <c r="A9" s="12" t="n">
        <v>1</v>
      </c>
      <c r="B9" s="12" t="inlineStr">
        <is>
          <t>PRR-01</t>
        </is>
      </c>
      <c r="C9" s="13" t="inlineStr">
        <is>
          <t>PERFILADORA WIRTGEN W200i</t>
        </is>
      </c>
      <c r="D9" s="13" t="inlineStr">
        <is>
          <t>JAVIER PAREDES CORTE</t>
        </is>
      </c>
      <c r="E9" s="13" t="inlineStr">
        <is>
          <t>Fresado de Pavimento</t>
        </is>
      </c>
      <c r="F9" s="14">
        <f>$C$5</f>
        <v/>
      </c>
      <c r="G9" s="37">
        <f>$E$5</f>
        <v/>
      </c>
      <c r="H9" s="18" t="inlineStr">
        <is>
          <t>-</t>
        </is>
      </c>
      <c r="I9" s="37" t="n">
        <v>1220</v>
      </c>
      <c r="J9" s="19" t="inlineStr">
        <is>
          <t>-</t>
        </is>
      </c>
      <c r="K9" s="20">
        <f>IF(G9&gt;0, I9/G9, 0)</f>
        <v/>
      </c>
      <c r="L9" s="21" t="n">
        <v>67.2</v>
      </c>
      <c r="M9" s="22">
        <f>IF(L9&gt;0, I9/L9, 0)</f>
        <v/>
      </c>
      <c r="N9" s="12">
        <f>IF(I9=0, "SIN CONSUMO (Inactiva)", IF(A9=1, IF(K9&lt;=0.85, "DENTRO DE RENDIMIENTO BASE", "EXCEDE RENDIMIENTO BASE"), IF(A9=2, IF(J9&lt;=0.38, "DENTRO DE RENDIMIENTO BASE", "EXCEDE RENDIMIENTO BASE"), IF(OR(A9=3,A9=4,A9=5,A9=6), IF(J9&lt;=0.08, "DENTRO DE RENDIMIENTO BASE", "EXCEDE RENDIMIENTO BASE"), IF(A9=7, IF(J9&lt;=0.07, "DENTRO DE RENDIMIENTO BASE", "EXCEDE RENDIMIENTO BASE"), IF(A9=8, IF(K9&lt;=0.22, "DENTRO DE RENDIMIENTO BASE", "EXCEDE RENDIMIENTO BASE"), IF(A9=9, IF(J9&lt;=0.075, "DENTRO DE RENDIMIENTO BASE", "EXCEDE RENDIMIENTO BASE"), "APOYO PUNTUAL")))))))</f>
        <v/>
      </c>
    </row>
    <row r="10" ht="19.5" customHeight="1" s="46">
      <c r="A10" s="12" t="n">
        <v>2</v>
      </c>
      <c r="B10" s="12" t="inlineStr">
        <is>
          <t>VG-01</t>
        </is>
      </c>
      <c r="C10" s="13" t="inlineStr">
        <is>
          <t>PAVIMENTADORA VÖGELE SUPER 1800-3i</t>
        </is>
      </c>
      <c r="D10" s="13" t="inlineStr">
        <is>
          <t>ERWIN CUTEÑO HERNANDEZ</t>
        </is>
      </c>
      <c r="E10" s="13" t="inlineStr">
        <is>
          <t>Tendido de Mezcla Asfáltica</t>
        </is>
      </c>
      <c r="F10" s="14">
        <f>$C$6</f>
        <v/>
      </c>
      <c r="G10" s="37">
        <f>$E$6</f>
        <v/>
      </c>
      <c r="H10" s="16">
        <f>G10*$E$4</f>
        <v/>
      </c>
      <c r="I10" s="37" t="n">
        <v>700</v>
      </c>
      <c r="J10" s="20">
        <f>IF(H10&gt;0, I10/H10, 0)</f>
        <v/>
      </c>
      <c r="K10" s="20">
        <f>IF(G10&gt;0, I10/G10, 0)</f>
        <v/>
      </c>
      <c r="L10" s="21" t="n">
        <v>16.24</v>
      </c>
      <c r="M10" s="22">
        <f>IF(L10&gt;0, I10/L10, 0)</f>
        <v/>
      </c>
      <c r="N10" s="12">
        <f>IF(I10=0, "SIN CONSUMO (Inactiva)", IF(A10=1, IF(K10&lt;=0.85, "DENTRO DE RENDIMIENTO BASE", "EXCEDE RENDIMIENTO BASE"), IF(A10=2, IF(J10&lt;=0.38, "DENTRO DE RENDIMIENTO BASE", "EXCEDE RENDIMIENTO BASE"), IF(OR(A10=3,A10=4,A10=5,A10=6), IF(J10&lt;=0.08, "DENTRO DE RENDIMIENTO BASE", "EXCEDE RENDIMIENTO BASE"), IF(A10=7, IF(J10&lt;=0.07, "DENTRO DE RENDIMIENTO BASE", "EXCEDE RENDIMIENTO BASE"), IF(A10=8, IF(K10&lt;=0.22, "DENTRO DE RENDIMIENTO BASE", "EXCEDE RENDIMIENTO BASE"), IF(A10=9, IF(J10&lt;=0.075, "DENTRO DE RENDIMIENTO BASE", "EXCEDE RENDIMIENTO BASE"), "APOYO PUNTUAL")))))))</f>
        <v/>
      </c>
    </row>
    <row r="11" ht="19.5" customHeight="1" s="46">
      <c r="A11" s="12" t="n">
        <v>3</v>
      </c>
      <c r="B11" s="12" t="inlineStr">
        <is>
          <t>DR-01</t>
        </is>
      </c>
      <c r="C11" s="13" t="inlineStr">
        <is>
          <t>COMPACTADOR TÁNDEM HAMM-HD120 VV</t>
        </is>
      </c>
      <c r="D11" s="13" t="inlineStr">
        <is>
          <t>JOEL ALBERTO RIVERA RIVAS</t>
        </is>
      </c>
      <c r="E11" s="13" t="inlineStr">
        <is>
          <t>Compactación Tándem Primaria</t>
        </is>
      </c>
      <c r="F11" s="14">
        <f>$C$6</f>
        <v/>
      </c>
      <c r="G11" s="37">
        <f>$E$6</f>
        <v/>
      </c>
      <c r="H11" s="16">
        <f>G11*$E$4</f>
        <v/>
      </c>
      <c r="I11" s="37" t="n">
        <v>148</v>
      </c>
      <c r="J11" s="20">
        <f>IF(H11&gt;0, I11/H11, 0)</f>
        <v/>
      </c>
      <c r="K11" s="20">
        <f>IF(G11&gt;0, I11/G11, 0)</f>
        <v/>
      </c>
      <c r="L11" s="21" t="n">
        <v>14.3</v>
      </c>
      <c r="M11" s="22">
        <f>IF(L11&gt;0, I11/L11, 0)</f>
        <v/>
      </c>
      <c r="N11" s="12">
        <f>IF(I11=0, "SIN CONSUMO (Inactiva)", IF(A11=1, IF(K11&lt;=0.85, "DENTRO DE RENDIMIENTO BASE", "EXCEDE RENDIMIENTO BASE"), IF(A11=2, IF(J11&lt;=0.38, "DENTRO DE RENDIMIENTO BASE", "EXCEDE RENDIMIENTO BASE"), IF(OR(A11=3,A11=4,A11=5,A11=6), IF(J11&lt;=0.08, "DENTRO DE RENDIMIENTO BASE", "EXCEDE RENDIMIENTO BASE"), IF(A11=7, IF(J11&lt;=0.07, "DENTRO DE RENDIMIENTO BASE", "EXCEDE RENDIMIENTO BASE"), IF(A11=8, IF(K11&lt;=0.22, "DENTRO DE RENDIMIENTO BASE", "EXCEDE RENDIMIENTO BASE"), IF(A11=9, IF(J11&lt;=0.075, "DENTRO DE RENDIMIENTO BASE", "EXCEDE RENDIMIENTO BASE"), "APOYO PUNTUAL")))))))</f>
        <v/>
      </c>
    </row>
    <row r="12" ht="19.5" customHeight="1" s="46">
      <c r="A12" s="12" t="n">
        <v>4</v>
      </c>
      <c r="B12" s="12" t="inlineStr">
        <is>
          <t>DR-02</t>
        </is>
      </c>
      <c r="C12" s="13" t="inlineStr">
        <is>
          <t>COMPACTADOR TÁNDEM HAMM-HD140</t>
        </is>
      </c>
      <c r="D12" s="13" t="inlineStr">
        <is>
          <t>ALEXIS RENDON DOMINGUEZ</t>
        </is>
      </c>
      <c r="E12" s="13" t="inlineStr">
        <is>
          <t>Compactación Tándem Pesada</t>
        </is>
      </c>
      <c r="F12" s="14">
        <f>$C$6</f>
        <v/>
      </c>
      <c r="G12" s="37">
        <f>$E$6</f>
        <v/>
      </c>
      <c r="H12" s="16">
        <f>G12*$E$4</f>
        <v/>
      </c>
      <c r="I12" s="37" t="n">
        <v>50</v>
      </c>
      <c r="J12" s="20">
        <f>IF(H12&gt;0, I12/H12, 0)</f>
        <v/>
      </c>
      <c r="K12" s="20">
        <f>IF(G12&gt;0, I12/G12, 0)</f>
        <v/>
      </c>
      <c r="L12" s="21" t="n">
        <v>14.3</v>
      </c>
      <c r="M12" s="22">
        <f>IF(L12&gt;0, I12/L12, 0)</f>
        <v/>
      </c>
      <c r="N12" s="12">
        <f>IF(I12=0, "SIN CONSUMO (Inactiva)", IF(A12=1, IF(K12&lt;=0.85, "DENTRO DE RENDIMIENTO BASE", "EXCEDE RENDIMIENTO BASE"), IF(A12=2, IF(J12&lt;=0.38, "DENTRO DE RENDIMIENTO BASE", "EXCEDE RENDIMIENTO BASE"), IF(OR(A12=3,A12=4,A12=5,A12=6), IF(J12&lt;=0.08, "DENTRO DE RENDIMIENTO BASE", "EXCEDE RENDIMIENTO BASE"), IF(A12=7, IF(J12&lt;=0.07, "DENTRO DE RENDIMIENTO BASE", "EXCEDE RENDIMIENTO BASE"), IF(A12=8, IF(K12&lt;=0.22, "DENTRO DE RENDIMIENTO BASE", "EXCEDE RENDIMIENTO BASE"), IF(A12=9, IF(J12&lt;=0.075, "DENTRO DE RENDIMIENTO BASE", "EXCEDE RENDIMIENTO BASE"), "APOYO PUNTUAL")))))))</f>
        <v/>
      </c>
    </row>
    <row r="13" ht="19.5" customHeight="1" s="46">
      <c r="A13" s="12" t="n">
        <v>5</v>
      </c>
      <c r="B13" s="12" t="inlineStr">
        <is>
          <t>NM-01</t>
        </is>
      </c>
      <c r="C13" s="13" t="inlineStr">
        <is>
          <t>COMPACTADOR NEUMÁTICO DYNAPAC CP271</t>
        </is>
      </c>
      <c r="D13" s="13" t="inlineStr">
        <is>
          <t>JOSE CARLOS ROMERO TELLEZ</t>
        </is>
      </c>
      <c r="E13" s="13" t="inlineStr">
        <is>
          <t>Compactación Neumática / Sellado</t>
        </is>
      </c>
      <c r="F13" s="14">
        <f>$C$6</f>
        <v/>
      </c>
      <c r="G13" s="37">
        <f>$E$6</f>
        <v/>
      </c>
      <c r="H13" s="16">
        <f>G13*$E$4</f>
        <v/>
      </c>
      <c r="I13" s="37" t="n">
        <v>34</v>
      </c>
      <c r="J13" s="20">
        <f>IF(H13&gt;0, I13/H13, 0)</f>
        <v/>
      </c>
      <c r="K13" s="20">
        <f>IF(G13&gt;0, I13/G13, 0)</f>
        <v/>
      </c>
      <c r="L13" s="21" t="n">
        <v>11.44</v>
      </c>
      <c r="M13" s="22">
        <f>IF(L13&gt;0, I13/L13, 0)</f>
        <v/>
      </c>
      <c r="N13" s="12">
        <f>IF(I13=0, "SIN CONSUMO (Inactiva)", IF(A13=1, IF(K13&lt;=0.85, "DENTRO DE RENDIMIENTO BASE", "EXCEDE RENDIMIENTO BASE"), IF(A13=2, IF(J13&lt;=0.38, "DENTRO DE RENDIMIENTO BASE", "EXCEDE RENDIMIENTO BASE"), IF(OR(A13=3,A13=4,A13=5,A13=6), IF(J13&lt;=0.08, "DENTRO DE RENDIMIENTO BASE", "EXCEDE RENDIMIENTO BASE"), IF(A13=7, IF(J13&lt;=0.07, "DENTRO DE RENDIMIENTO BASE", "EXCEDE RENDIMIENTO BASE"), IF(A13=8, IF(K13&lt;=0.22, "DENTRO DE RENDIMIENTO BASE", "EXCEDE RENDIMIENTO BASE"), IF(A13=9, IF(J13&lt;=0.075, "DENTRO DE RENDIMIENTO BASE", "EXCEDE RENDIMIENTO BASE"), "APOYO PUNTUAL")))))))</f>
        <v/>
      </c>
    </row>
    <row r="14" ht="19.5" customHeight="1" s="46">
      <c r="A14" s="12" t="n">
        <v>6</v>
      </c>
      <c r="B14" s="12" t="inlineStr">
        <is>
          <t>NM-09</t>
        </is>
      </c>
      <c r="C14" s="13" t="inlineStr">
        <is>
          <t>COMPACTADOR NEUMÁTICO HAMM 208</t>
        </is>
      </c>
      <c r="D14" s="13" t="inlineStr">
        <is>
          <t>NOLVIN DE JESUS PEREZ GOMEZ</t>
        </is>
      </c>
      <c r="E14" s="13" t="inlineStr">
        <is>
          <t>Compactación Neumática / Acabado</t>
        </is>
      </c>
      <c r="F14" s="14">
        <f>$C$6</f>
        <v/>
      </c>
      <c r="G14" s="37">
        <f>$E$6</f>
        <v/>
      </c>
      <c r="H14" s="16">
        <f>G14*$E$4</f>
        <v/>
      </c>
      <c r="I14" s="37" t="n">
        <v>147</v>
      </c>
      <c r="J14" s="20">
        <f>IF(H14&gt;0, I14/H14, 0)</f>
        <v/>
      </c>
      <c r="K14" s="20">
        <f>IF(G14&gt;0, I14/G14, 0)</f>
        <v/>
      </c>
      <c r="L14" s="21" t="n">
        <v>10.96</v>
      </c>
      <c r="M14" s="22">
        <f>IF(L14&gt;0, I14/L14, 0)</f>
        <v/>
      </c>
      <c r="N14" s="12">
        <f>IF(I14=0, "SIN CONSUMO (Inactiva)", IF(A14=1, IF(K14&lt;=0.85, "DENTRO DE RENDIMIENTO BASE", "EXCEDE RENDIMIENTO BASE"), IF(A14=2, IF(J14&lt;=0.38, "DENTRO DE RENDIMIENTO BASE", "EXCEDE RENDIMIENTO BASE"), IF(OR(A14=3,A14=4,A14=5,A14=6), IF(J14&lt;=0.08, "DENTRO DE RENDIMIENTO BASE", "EXCEDE RENDIMIENTO BASE"), IF(A14=7, IF(J14&lt;=0.07, "DENTRO DE RENDIMIENTO BASE", "EXCEDE RENDIMIENTO BASE"), IF(A14=8, IF(K14&lt;=0.22, "DENTRO DE RENDIMIENTO BASE", "EXCEDE RENDIMIENTO BASE"), IF(A14=9, IF(J14&lt;=0.075, "DENTRO DE RENDIMIENTO BASE", "EXCEDE RENDIMIENTO BASE"), "APOYO PUNTUAL")))))))</f>
        <v/>
      </c>
    </row>
    <row r="15" ht="19.5" customHeight="1" s="46">
      <c r="A15" s="12" t="n">
        <v>7</v>
      </c>
      <c r="B15" s="12" t="inlineStr">
        <is>
          <t>BR-01</t>
        </is>
      </c>
      <c r="C15" s="13" t="inlineStr">
        <is>
          <t>BARREDORA INDUSTRIAL BROCE BROOM-350</t>
        </is>
      </c>
      <c r="D15" s="13" t="inlineStr">
        <is>
          <t>EDGAR ROSALES MARTINEZ</t>
        </is>
      </c>
      <c r="E15" s="13" t="inlineStr">
        <is>
          <t>Limpieza y Barrido Previo</t>
        </is>
      </c>
      <c r="F15" s="14">
        <f>$C$6</f>
        <v/>
      </c>
      <c r="G15" s="37">
        <f>$E$6</f>
        <v/>
      </c>
      <c r="H15" s="16">
        <f>G15*$E$4</f>
        <v/>
      </c>
      <c r="I15" s="37" t="n">
        <v>111</v>
      </c>
      <c r="J15" s="20">
        <f>IF(H15&gt;0, I15/H15, 0)</f>
        <v/>
      </c>
      <c r="K15" s="20">
        <f>IF(G15&gt;0, I15/G15, 0)</f>
        <v/>
      </c>
      <c r="L15" s="21" t="n">
        <v>8.94</v>
      </c>
      <c r="M15" s="22">
        <f>IF(L15&gt;0, I15/L15, 0)</f>
        <v/>
      </c>
      <c r="N15" s="12">
        <f>IF(I15=0, "SIN CONSUMO (Inactiva)", IF(A15=1, IF(K15&lt;=0.85, "DENTRO DE RENDIMIENTO BASE", "EXCEDE RENDIMIENTO BASE"), IF(A15=2, IF(J15&lt;=0.38, "DENTRO DE RENDIMIENTO BASE", "EXCEDE RENDIMIENTO BASE"), IF(OR(A15=3,A15=4,A15=5,A15=6), IF(J15&lt;=0.08, "DENTRO DE RENDIMIENTO BASE", "EXCEDE RENDIMIENTO BASE"), IF(A15=7, IF(J15&lt;=0.07, "DENTRO DE RENDIMIENTO BASE", "EXCEDE RENDIMIENTO BASE"), IF(A15=8, IF(K15&lt;=0.22, "DENTRO DE RENDIMIENTO BASE", "EXCEDE RENDIMIENTO BASE"), IF(A15=9, IF(J15&lt;=0.075, "DENTRO DE RENDIMIENTO BASE", "EXCEDE RENDIMIENTO BASE"), "APOYO PUNTUAL")))))))</f>
        <v/>
      </c>
    </row>
    <row r="16" ht="19.5" customHeight="1" s="46">
      <c r="A16" s="12" t="n">
        <v>8</v>
      </c>
      <c r="B16" s="12" t="inlineStr">
        <is>
          <t>RT-05</t>
        </is>
      </c>
      <c r="C16" s="13" t="inlineStr">
        <is>
          <t>RETROEXCAVADORA JOHN DEERE 310SK</t>
        </is>
      </c>
      <c r="D16" s="13" t="inlineStr">
        <is>
          <t>ADOLFO NAVA LOPEZ</t>
        </is>
      </c>
      <c r="E16" s="13" t="inlineStr">
        <is>
          <t>Carga Fresado y Derrumbes</t>
        </is>
      </c>
      <c r="F16" s="14">
        <f>$C$5</f>
        <v/>
      </c>
      <c r="G16" s="37">
        <f>$E$5</f>
        <v/>
      </c>
      <c r="H16" s="18" t="inlineStr">
        <is>
          <t>-</t>
        </is>
      </c>
      <c r="I16" s="37" t="n">
        <v>500</v>
      </c>
      <c r="J16" s="19" t="inlineStr">
        <is>
          <t>-</t>
        </is>
      </c>
      <c r="K16" s="20">
        <f>IF(G16&gt;0, I16/G16, 0)</f>
        <v/>
      </c>
      <c r="L16" s="21" t="n">
        <v>7.44</v>
      </c>
      <c r="M16" s="22">
        <f>IF(L16&gt;0, I16/L16, 0)</f>
        <v/>
      </c>
      <c r="N16" s="12">
        <f>IF(I16=0, "SIN CONSUMO (Inactiva)", IF(A16=1, IF(K16&lt;=0.85, "DENTRO DE RENDIMIENTO BASE", "EXCEDE RENDIMIENTO BASE"), IF(A16=2, IF(J16&lt;=0.38, "DENTRO DE RENDIMIENTO BASE", "EXCEDE RENDIMIENTO BASE"), IF(OR(A16=3,A16=4,A16=5,A16=6), IF(J16&lt;=0.08, "DENTRO DE RENDIMIENTO BASE", "EXCEDE RENDIMIENTO BASE"), IF(A16=7, IF(J16&lt;=0.07, "DENTRO DE RENDIMIENTO BASE", "EXCEDE RENDIMIENTO BASE"), IF(A16=8, IF(K16&lt;=0.22, "DENTRO DE RENDIMIENTO BASE", "EXCEDE RENDIMIENTO BASE"), IF(A16=9, IF(J16&lt;=0.075, "DENTRO DE RENDIMIENTO BASE", "EXCEDE RENDIMIENTO BASE"), "APOYO PUNTUAL")))))))</f>
        <v/>
      </c>
    </row>
    <row r="17" ht="19.5" customHeight="1" s="46">
      <c r="A17" s="12" t="n">
        <v>9</v>
      </c>
      <c r="B17" s="12" t="inlineStr">
        <is>
          <t>PT-01</t>
        </is>
      </c>
      <c r="C17" s="13" t="inlineStr">
        <is>
          <t>PETROLIZADORA INTERNATIONAL / FORD F800</t>
        </is>
      </c>
      <c r="D17" s="13" t="inlineStr">
        <is>
          <t>ELTHON EDUARDO MARTINEZ GOMORA</t>
        </is>
      </c>
      <c r="E17" s="13" t="inlineStr">
        <is>
          <t>Riego de Liga / Emulsión</t>
        </is>
      </c>
      <c r="F17" s="14">
        <f>$C$6</f>
        <v/>
      </c>
      <c r="G17" s="37">
        <f>$E$6</f>
        <v/>
      </c>
      <c r="H17" s="16">
        <f>G17*$E$4</f>
        <v/>
      </c>
      <c r="I17" s="37" t="n">
        <v>270</v>
      </c>
      <c r="J17" s="20">
        <f>IF(H17&gt;0, I17/H17, 0)</f>
        <v/>
      </c>
      <c r="K17" s="20">
        <f>IF(G17&gt;0, I17/G17, 0)</f>
        <v/>
      </c>
      <c r="L17" s="21" t="n">
        <v>12.76</v>
      </c>
      <c r="M17" s="22">
        <f>IF(L17&gt;0, I17/L17, 0)</f>
        <v/>
      </c>
      <c r="N17" s="12">
        <f>IF(I17=0, "SIN CONSUMO (Inactiva)", IF(A17=1, IF(K17&lt;=0.85, "DENTRO DE RENDIMIENTO BASE", "EXCEDE RENDIMIENTO BASE"), IF(A17=2, IF(J17&lt;=0.38, "DENTRO DE RENDIMIENTO BASE", "EXCEDE RENDIMIENTO BASE"), IF(OR(A17=3,A17=4,A17=5,A17=6), IF(J17&lt;=0.08, "DENTRO DE RENDIMIENTO BASE", "EXCEDE RENDIMIENTO BASE"), IF(A17=7, IF(J17&lt;=0.07, "DENTRO DE RENDIMIENTO BASE", "EXCEDE RENDIMIENTO BASE"), IF(A17=8, IF(K17&lt;=0.22, "DENTRO DE RENDIMIENTO BASE", "EXCEDE RENDIMIENTO BASE"), IF(A17=9, IF(J17&lt;=0.075, "DENTRO DE RENDIMIENTO BASE", "EXCEDE RENDIMIENTO BASE"), "APOYO PUNTUAL")))))))</f>
        <v/>
      </c>
    </row>
    <row r="18" ht="19.5" customHeight="1" s="46">
      <c r="A18" s="12" t="n">
        <v>10</v>
      </c>
      <c r="B18" s="12" t="inlineStr">
        <is>
          <t>CPR-01</t>
        </is>
      </c>
      <c r="C18" s="13" t="inlineStr">
        <is>
          <t>COMPRESOR DE AIRE INGERSOLL RAND IR185</t>
        </is>
      </c>
      <c r="D18" s="13" t="inlineStr">
        <is>
          <t>CUADRILLA DE LIMPIEZA</t>
        </is>
      </c>
      <c r="E18" s="13" t="inlineStr">
        <is>
          <t>Sopleteado de Juntas</t>
        </is>
      </c>
      <c r="F18" s="14" t="n">
        <v>0</v>
      </c>
      <c r="G18" s="37" t="n">
        <v>0</v>
      </c>
      <c r="H18" s="16" t="n">
        <v>0</v>
      </c>
      <c r="I18" s="37" t="n">
        <v>0</v>
      </c>
      <c r="J18" s="20" t="n">
        <v>0</v>
      </c>
      <c r="K18" s="20" t="n">
        <v>0</v>
      </c>
      <c r="L18" s="21" t="n">
        <v>9.970000000000001</v>
      </c>
      <c r="M18" s="22">
        <f>IF(L18&gt;0, I18/L18, 0)</f>
        <v/>
      </c>
      <c r="N18" s="12">
        <f>IF(I18=0, "SIN CONSUMO (Inactiva)", IF(A18=1, IF(K18&lt;=0.85, "DENTRO DE RENDIMIENTO BASE", "EXCEDE RENDIMIENTO BASE"), IF(A18=2, IF(J18&lt;=0.38, "DENTRO DE RENDIMIENTO BASE", "EXCEDE RENDIMIENTO BASE"), IF(OR(A18=3,A18=4,A18=5,A18=6), IF(J18&lt;=0.08, "DENTRO DE RENDIMIENTO BASE", "EXCEDE RENDIMIENTO BASE"), IF(A18=7, IF(J18&lt;=0.07, "DENTRO DE RENDIMIENTO BASE", "EXCEDE RENDIMIENTO BASE"), IF(A18=8, IF(K18&lt;=0.22, "DENTRO DE RENDIMIENTO BASE", "EXCEDE RENDIMIENTO BASE"), IF(A18=9, IF(J18&lt;=0.075, "DENTRO DE RENDIMIENTO BASE", "EXCEDE RENDIMIENTO BASE"), "APOYO PUNTUAL")))))))</f>
        <v/>
      </c>
    </row>
    <row r="19" ht="19.5" customHeight="1" s="46">
      <c r="A19" s="12" t="n">
        <v>11</v>
      </c>
      <c r="B19" s="12" t="inlineStr">
        <is>
          <t>PP-01</t>
        </is>
      </c>
      <c r="C19" s="13" t="inlineStr">
        <is>
          <t>CAMIÓN IMPACTO / PIPA DE AGUA FORD</t>
        </is>
      </c>
      <c r="D19" s="13" t="inlineStr">
        <is>
          <t>CUADRILLA DE AGUA</t>
        </is>
      </c>
      <c r="E19" s="13" t="inlineStr">
        <is>
          <t>Enfriamiento Rodillos / Riego</t>
        </is>
      </c>
      <c r="F19" s="14" t="n">
        <v>0</v>
      </c>
      <c r="G19" s="37" t="n">
        <v>0</v>
      </c>
      <c r="H19" s="16" t="n">
        <v>0</v>
      </c>
      <c r="I19" s="37" t="n">
        <v>0</v>
      </c>
      <c r="J19" s="20" t="n">
        <v>0</v>
      </c>
      <c r="K19" s="20" t="n">
        <v>0</v>
      </c>
      <c r="L19" s="21" t="n">
        <v>3.03</v>
      </c>
      <c r="M19" s="22">
        <f>IF(L19&gt;0, I19/L19, 0)</f>
        <v/>
      </c>
      <c r="N19" s="12">
        <f>IF(I19=0, "SIN CONSUMO (Inactiva)", IF(A19=1, IF(K19&lt;=0.85, "DENTRO DE RENDIMIENTO BASE", "EXCEDE RENDIMIENTO BASE"), IF(A19=2, IF(J19&lt;=0.38, "DENTRO DE RENDIMIENTO BASE", "EXCEDE RENDIMIENTO BASE"), IF(OR(A19=3,A19=4,A19=5,A19=6), IF(J19&lt;=0.08, "DENTRO DE RENDIMIENTO BASE", "EXCEDE RENDIMIENTO BASE"), IF(A19=7, IF(J19&lt;=0.07, "DENTRO DE RENDIMIENTO BASE", "EXCEDE RENDIMIENTO BASE"), IF(A19=8, IF(K19&lt;=0.22, "DENTRO DE RENDIMIENTO BASE", "EXCEDE RENDIMIENTO BASE"), IF(A19=9, IF(J19&lt;=0.075, "DENTRO DE RENDIMIENTO BASE", "EXCEDE RENDIMIENTO BASE"), "APOYO PUNTUAL")))))))</f>
        <v/>
      </c>
    </row>
    <row r="20" ht="19.5" customHeight="1" s="46">
      <c r="A20" s="12" t="n">
        <v>12</v>
      </c>
      <c r="B20" s="12" t="inlineStr">
        <is>
          <t>TL-01</t>
        </is>
      </c>
      <c r="C20" s="13" t="inlineStr">
        <is>
          <t>TORRE DE LUZ MAXILIGHT 4X1000W</t>
        </is>
      </c>
      <c r="D20" s="13" t="inlineStr">
        <is>
          <t>CUADRILLA NOCTURNA</t>
        </is>
      </c>
      <c r="E20" s="13" t="inlineStr">
        <is>
          <t>Iluminación Nocturna</t>
        </is>
      </c>
      <c r="F20" s="14" t="n">
        <v>0</v>
      </c>
      <c r="G20" s="37" t="n">
        <v>0</v>
      </c>
      <c r="H20" s="16" t="n">
        <v>0</v>
      </c>
      <c r="I20" s="37" t="n">
        <v>0</v>
      </c>
      <c r="J20" s="20" t="n">
        <v>0</v>
      </c>
      <c r="K20" s="20" t="n">
        <v>0</v>
      </c>
      <c r="L20" s="21" t="n">
        <v>2.41</v>
      </c>
      <c r="M20" s="22">
        <f>IF(L20&gt;0, I20/L20, 0)</f>
        <v/>
      </c>
      <c r="N20" s="12">
        <f>IF(I20=0, "SIN CONSUMO (Inactiva)", IF(A20=1, IF(K20&lt;=0.85, "DENTRO DE RENDIMIENTO BASE", "EXCEDE RENDIMIENTO BASE"), IF(A20=2, IF(J20&lt;=0.38, "DENTRO DE RENDIMIENTO BASE", "EXCEDE RENDIMIENTO BASE"), IF(OR(A20=3,A20=4,A20=5,A20=6), IF(J20&lt;=0.08, "DENTRO DE RENDIMIENTO BASE", "EXCEDE RENDIMIENTO BASE"), IF(A20=7, IF(J20&lt;=0.07, "DENTRO DE RENDIMIENTO BASE", "EXCEDE RENDIMIENTO BASE"), IF(A20=8, IF(K20&lt;=0.22, "DENTRO DE RENDIMIENTO BASE", "EXCEDE RENDIMIENTO BASE"), IF(A20=9, IF(J20&lt;=0.075, "DENTRO DE RENDIMIENTO BASE", "EXCEDE RENDIMIENTO BASE"), "APOYO PUNTUAL")))))))</f>
        <v/>
      </c>
    </row>
    <row r="21" ht="21.75" customHeight="1" s="46">
      <c r="A21" s="30" t="inlineStr">
        <is>
          <t>TOTAL SEMANA 33 (OBRA CARRETERA MÉXICO-TOLUCA)</t>
        </is>
      </c>
      <c r="B21" s="50" t="n"/>
      <c r="C21" s="50" t="n"/>
      <c r="D21" s="50" t="n"/>
      <c r="E21" s="51" t="n"/>
      <c r="F21" s="26">
        <f>C5+C6</f>
        <v/>
      </c>
      <c r="G21" s="27">
        <f>E5+E6</f>
        <v/>
      </c>
      <c r="H21" s="28">
        <f>G6</f>
        <v/>
      </c>
      <c r="I21" s="27">
        <f>SUM(I9:I20)</f>
        <v/>
      </c>
      <c r="J21" s="29">
        <f>IF(H21&gt;0, I21/H21, 0)</f>
        <v/>
      </c>
      <c r="K21" s="29">
        <f>IF(G21&gt;0, I21/G21, 0)</f>
        <v/>
      </c>
      <c r="L21" s="30" t="inlineStr">
        <is>
          <t>—</t>
        </is>
      </c>
      <c r="M21" s="31">
        <f>SUM(M9:M20)</f>
        <v/>
      </c>
      <c r="N21" s="30" t="inlineStr">
        <is>
          <t>SEMANA REGISTRADA</t>
        </is>
      </c>
    </row>
    <row r="22" ht="15.75" customHeight="1" s="46"/>
    <row r="23" ht="15.75" customHeight="1" s="46"/>
    <row r="24" ht="24" customHeight="1" s="46">
      <c r="A24" s="96" t="inlineStr">
        <is>
          <t>DESGLOSE DIARIO DE COMBUSTIBLE, VOLUMEN, TONELAJE Y RENDIMIENTO — SEMANA 33</t>
        </is>
      </c>
    </row>
    <row r="25" ht="19.5" customHeight="1" s="46">
      <c r="A25" s="48" t="inlineStr">
        <is>
          <t>DATOS DEL EQUIPO</t>
        </is>
      </c>
      <c r="F25" s="48" t="inlineStr">
        <is>
          <t>LUNES</t>
        </is>
      </c>
      <c r="J25" s="48" t="inlineStr">
        <is>
          <t>MARTES</t>
        </is>
      </c>
      <c r="N25" s="48" t="inlineStr">
        <is>
          <t>MIÉRCOLES</t>
        </is>
      </c>
      <c r="R25" s="48" t="inlineStr">
        <is>
          <t>JUEVES</t>
        </is>
      </c>
      <c r="V25" s="48" t="inlineStr">
        <is>
          <t>VIERNES</t>
        </is>
      </c>
      <c r="Z25" s="48" t="inlineStr">
        <is>
          <t>SÁBADO</t>
        </is>
      </c>
      <c r="AD25" s="97" t="inlineStr">
        <is>
          <t>TOTAL SEMANAL</t>
        </is>
      </c>
    </row>
    <row r="26" ht="25.5" customHeight="1" s="46">
      <c r="A26" s="34" t="inlineStr">
        <is>
          <t>No.</t>
        </is>
      </c>
      <c r="B26" s="34" t="inlineStr">
        <is>
          <t>Económico</t>
        </is>
      </c>
      <c r="C26" s="34" t="inlineStr">
        <is>
          <t>Equipo / Maquinaria</t>
        </is>
      </c>
      <c r="D26" s="34" t="inlineStr">
        <is>
          <t>Operador Asignado</t>
        </is>
      </c>
      <c r="E26" s="34" t="inlineStr">
        <is>
          <t>Concepto de Trabajo</t>
        </is>
      </c>
      <c r="F26" s="34" t="inlineStr">
        <is>
          <t>Diésel (L)</t>
        </is>
      </c>
      <c r="G26" s="34" t="inlineStr">
        <is>
          <t>Volumen (m³)</t>
        </is>
      </c>
      <c r="H26" s="34" t="inlineStr">
        <is>
          <t>Toneladas (Ton)</t>
        </is>
      </c>
      <c r="I26" s="34" t="inlineStr">
        <is>
          <t>Rendimiento Real</t>
        </is>
      </c>
      <c r="J26" s="34" t="inlineStr">
        <is>
          <t>Diésel (L)</t>
        </is>
      </c>
      <c r="K26" s="34" t="inlineStr">
        <is>
          <t>Volumen (m³)</t>
        </is>
      </c>
      <c r="L26" s="34" t="inlineStr">
        <is>
          <t>Toneladas (Ton)</t>
        </is>
      </c>
      <c r="M26" s="34" t="inlineStr">
        <is>
          <t>Rendimiento Real</t>
        </is>
      </c>
      <c r="N26" s="34" t="inlineStr">
        <is>
          <t>Diésel (L)</t>
        </is>
      </c>
      <c r="O26" s="34" t="inlineStr">
        <is>
          <t>Volumen (m³)</t>
        </is>
      </c>
      <c r="P26" s="34" t="inlineStr">
        <is>
          <t>Toneladas (Ton)</t>
        </is>
      </c>
      <c r="Q26" s="34" t="inlineStr">
        <is>
          <t>Rendimiento Real</t>
        </is>
      </c>
      <c r="R26" s="34" t="inlineStr">
        <is>
          <t>Diésel (L)</t>
        </is>
      </c>
      <c r="S26" s="34" t="inlineStr">
        <is>
          <t>Volumen (m³)</t>
        </is>
      </c>
      <c r="T26" s="34" t="inlineStr">
        <is>
          <t>Toneladas (Ton)</t>
        </is>
      </c>
      <c r="U26" s="34" t="inlineStr">
        <is>
          <t>Rendimiento Real</t>
        </is>
      </c>
      <c r="V26" s="34" t="inlineStr">
        <is>
          <t>Diésel (L)</t>
        </is>
      </c>
      <c r="W26" s="34" t="inlineStr">
        <is>
          <t>Volumen (m³)</t>
        </is>
      </c>
      <c r="X26" s="34" t="inlineStr">
        <is>
          <t>Toneladas (Ton)</t>
        </is>
      </c>
      <c r="Y26" s="34" t="inlineStr">
        <is>
          <t>Rendimiento Real</t>
        </is>
      </c>
      <c r="Z26" s="34" t="inlineStr">
        <is>
          <t>Diésel (L)</t>
        </is>
      </c>
      <c r="AA26" s="34" t="inlineStr">
        <is>
          <t>Volumen (m³)</t>
        </is>
      </c>
      <c r="AB26" s="34" t="inlineStr">
        <is>
          <t>Toneladas (Ton)</t>
        </is>
      </c>
      <c r="AC26" s="34" t="inlineStr">
        <is>
          <t>Rendimiento Real</t>
        </is>
      </c>
      <c r="AD26" s="35" t="inlineStr">
        <is>
          <t>Total Diésel (L)</t>
        </is>
      </c>
      <c r="AE26" s="35" t="inlineStr">
        <is>
          <t>Total Vol (m³)</t>
        </is>
      </c>
      <c r="AF26" s="35" t="inlineStr">
        <is>
          <t>Total Ton (Ton)</t>
        </is>
      </c>
      <c r="AG26" s="35" t="inlineStr">
        <is>
          <t>Rend. Promedio</t>
        </is>
      </c>
    </row>
    <row r="27" ht="18.75" customHeight="1" s="46">
      <c r="A27" s="12" t="n">
        <v>1</v>
      </c>
      <c r="B27" s="12" t="inlineStr">
        <is>
          <t>PRR-01</t>
        </is>
      </c>
      <c r="C27" s="13" t="inlineStr">
        <is>
          <t>PERFILADORA WIRTGEN W200i</t>
        </is>
      </c>
      <c r="D27" s="13" t="inlineStr">
        <is>
          <t>JAVIER PAREDES CORTE</t>
        </is>
      </c>
      <c r="E27" s="13" t="inlineStr">
        <is>
          <t>Fresado de Pavimento</t>
        </is>
      </c>
      <c r="F27" s="37" t="n">
        <v>400</v>
      </c>
      <c r="G27" s="37" t="n">
        <v>203</v>
      </c>
      <c r="H27" s="16">
        <f>G27*$E$4</f>
        <v/>
      </c>
      <c r="I27" s="20">
        <f>IF(G27&gt;0, F27/G27, 0)</f>
        <v/>
      </c>
      <c r="J27" s="37" t="n">
        <v>120</v>
      </c>
      <c r="K27" s="37" t="n">
        <v>203</v>
      </c>
      <c r="L27" s="16">
        <f>K27*$E$4</f>
        <v/>
      </c>
      <c r="M27" s="20">
        <f>IF(K27&gt;0, J27/K27, 0)</f>
        <v/>
      </c>
      <c r="N27" s="37" t="n">
        <v>300</v>
      </c>
      <c r="O27" s="37" t="n">
        <v>245</v>
      </c>
      <c r="P27" s="16">
        <f>O27*$E$4</f>
        <v/>
      </c>
      <c r="Q27" s="20">
        <f>IF(O27&gt;0, N27/O27, 0)</f>
        <v/>
      </c>
      <c r="R27" s="37" t="n">
        <v>0</v>
      </c>
      <c r="S27" s="37" t="n">
        <v>441</v>
      </c>
      <c r="T27" s="16">
        <f>S27*$E$4</f>
        <v/>
      </c>
      <c r="U27" s="20">
        <f>IF(S27&gt;0, R27/S27, 0)</f>
        <v/>
      </c>
      <c r="V27" s="37" t="n">
        <v>400</v>
      </c>
      <c r="W27" s="37" t="n">
        <v>441</v>
      </c>
      <c r="X27" s="16">
        <f>W27*$E$4</f>
        <v/>
      </c>
      <c r="Y27" s="20">
        <f>IF(W27&gt;0, V27/W27, 0)</f>
        <v/>
      </c>
      <c r="Z27" s="37" t="n">
        <v>0</v>
      </c>
      <c r="AA27" s="37" t="n">
        <v>49</v>
      </c>
      <c r="AB27" s="16">
        <f>AA27*$E$4</f>
        <v/>
      </c>
      <c r="AC27" s="20">
        <f>IF(AA27&gt;0, Z27/AA27, 0)</f>
        <v/>
      </c>
      <c r="AD27" s="37">
        <f>F27+J27+N27+R27+V27+Z27</f>
        <v/>
      </c>
      <c r="AE27" s="37">
        <f>G27+K27+O27+S27+W27+AA27</f>
        <v/>
      </c>
      <c r="AF27" s="16">
        <f>H27+L27+P27+T27+X27+AB27</f>
        <v/>
      </c>
      <c r="AG27" s="20">
        <f>IF(AE27&gt;0, AD27/AE27, 0)</f>
        <v/>
      </c>
    </row>
    <row r="28" ht="18.75" customHeight="1" s="46">
      <c r="A28" s="12" t="n">
        <v>2</v>
      </c>
      <c r="B28" s="12" t="inlineStr">
        <is>
          <t>VG-01</t>
        </is>
      </c>
      <c r="C28" s="13" t="inlineStr">
        <is>
          <t>PAVIMENTADORA VÖGELE SUPER 1800-3i</t>
        </is>
      </c>
      <c r="D28" s="13" t="inlineStr">
        <is>
          <t>ERWIN CUTEÑO HERNANDEZ</t>
        </is>
      </c>
      <c r="E28" s="13" t="inlineStr">
        <is>
          <t>Tendido de Mezcla Asfáltica</t>
        </is>
      </c>
      <c r="F28" s="37" t="n">
        <v>150</v>
      </c>
      <c r="G28" s="37" t="n">
        <v>84</v>
      </c>
      <c r="H28" s="16">
        <f>G28*$E$4</f>
        <v/>
      </c>
      <c r="I28" s="20">
        <f>IF(H28&gt;0, F28/H28, 0)</f>
        <v/>
      </c>
      <c r="J28" s="37" t="n">
        <v>230</v>
      </c>
      <c r="K28" s="37" t="n">
        <v>126</v>
      </c>
      <c r="L28" s="16">
        <f>K28*$E$4</f>
        <v/>
      </c>
      <c r="M28" s="20">
        <f>IF(L28&gt;0, J28/L28, 0)</f>
        <v/>
      </c>
      <c r="N28" s="37" t="n">
        <v>160</v>
      </c>
      <c r="O28" s="37" t="n">
        <v>42</v>
      </c>
      <c r="P28" s="16">
        <f>O28*$E$4</f>
        <v/>
      </c>
      <c r="Q28" s="20">
        <f>IF(P28&gt;0, N28/P28, 0)</f>
        <v/>
      </c>
      <c r="R28" s="37" t="n">
        <v>0</v>
      </c>
      <c r="S28" s="37" t="n">
        <v>98</v>
      </c>
      <c r="T28" s="16">
        <f>S28*$E$4</f>
        <v/>
      </c>
      <c r="U28" s="20">
        <f>IF(T28&gt;0, R28/T28, 0)</f>
        <v/>
      </c>
      <c r="V28" s="37" t="n">
        <v>160</v>
      </c>
      <c r="W28" s="37" t="n">
        <v>196</v>
      </c>
      <c r="X28" s="16">
        <f>W28*$E$4</f>
        <v/>
      </c>
      <c r="Y28" s="20">
        <f>IF(X28&gt;0, V28/X28, 0)</f>
        <v/>
      </c>
      <c r="Z28" s="37" t="n">
        <v>0</v>
      </c>
      <c r="AA28" s="37" t="n">
        <v>182</v>
      </c>
      <c r="AB28" s="16">
        <f>AA28*$E$4</f>
        <v/>
      </c>
      <c r="AC28" s="20">
        <f>IF(AB28&gt;0, Z28/AB28, 0)</f>
        <v/>
      </c>
      <c r="AD28" s="37">
        <f>F28+J28+N28+R28+V28+Z28</f>
        <v/>
      </c>
      <c r="AE28" s="37">
        <f>G28+K28+O28+S28+W28+AA28</f>
        <v/>
      </c>
      <c r="AF28" s="16">
        <f>H28+L28+P28+T28+X28+AB28</f>
        <v/>
      </c>
      <c r="AG28" s="20">
        <f>IF(AF28&gt;0, AD28/AF28, 0)</f>
        <v/>
      </c>
    </row>
    <row r="29" ht="18.75" customHeight="1" s="46">
      <c r="A29" s="12" t="n">
        <v>3</v>
      </c>
      <c r="B29" s="12" t="inlineStr">
        <is>
          <t>DR-01</t>
        </is>
      </c>
      <c r="C29" s="13" t="inlineStr">
        <is>
          <t>COMPACTADOR TÁNDEM HAMM-HD120 VV</t>
        </is>
      </c>
      <c r="D29" s="13" t="inlineStr">
        <is>
          <t>JOEL ALBERTO RIVERA RIVAS</t>
        </is>
      </c>
      <c r="E29" s="13" t="inlineStr">
        <is>
          <t>Compactación Tándem Primaria</t>
        </is>
      </c>
      <c r="F29" s="37" t="n">
        <v>50</v>
      </c>
      <c r="G29" s="37" t="n">
        <v>84</v>
      </c>
      <c r="H29" s="16">
        <f>G29*$E$4</f>
        <v/>
      </c>
      <c r="I29" s="20">
        <f>IF(H29&gt;0, F29/H29, 0)</f>
        <v/>
      </c>
      <c r="J29" s="37" t="n">
        <v>0</v>
      </c>
      <c r="K29" s="37" t="n">
        <v>126</v>
      </c>
      <c r="L29" s="16">
        <f>K29*$E$4</f>
        <v/>
      </c>
      <c r="M29" s="20">
        <f>IF(L29&gt;0, J29/L29, 0)</f>
        <v/>
      </c>
      <c r="N29" s="37" t="n">
        <v>50</v>
      </c>
      <c r="O29" s="37" t="n">
        <v>42</v>
      </c>
      <c r="P29" s="16">
        <f>O29*$E$4</f>
        <v/>
      </c>
      <c r="Q29" s="20">
        <f>IF(P29&gt;0, N29/P29, 0)</f>
        <v/>
      </c>
      <c r="R29" s="37" t="n">
        <v>0</v>
      </c>
      <c r="S29" s="37" t="n">
        <v>98</v>
      </c>
      <c r="T29" s="16">
        <f>S29*$E$4</f>
        <v/>
      </c>
      <c r="U29" s="20">
        <f>IF(T29&gt;0, R29/T29, 0)</f>
        <v/>
      </c>
      <c r="V29" s="37" t="n">
        <v>48</v>
      </c>
      <c r="W29" s="37" t="n">
        <v>196</v>
      </c>
      <c r="X29" s="16">
        <f>W29*$E$4</f>
        <v/>
      </c>
      <c r="Y29" s="20">
        <f>IF(X29&gt;0, V29/X29, 0)</f>
        <v/>
      </c>
      <c r="Z29" s="37" t="n">
        <v>0</v>
      </c>
      <c r="AA29" s="37" t="n">
        <v>182</v>
      </c>
      <c r="AB29" s="16">
        <f>AA29*$E$4</f>
        <v/>
      </c>
      <c r="AC29" s="20">
        <f>IF(AB29&gt;0, Z29/AB29, 0)</f>
        <v/>
      </c>
      <c r="AD29" s="37">
        <f>F29+J29+N29+R29+V29+Z29</f>
        <v/>
      </c>
      <c r="AE29" s="37">
        <f>G29+K29+O29+S29+W29+AA29</f>
        <v/>
      </c>
      <c r="AF29" s="16">
        <f>H29+L29+P29+T29+X29+AB29</f>
        <v/>
      </c>
      <c r="AG29" s="20">
        <f>IF(AF29&gt;0, AD29/AF29, 0)</f>
        <v/>
      </c>
    </row>
    <row r="30" ht="18.75" customHeight="1" s="46">
      <c r="A30" s="12" t="n">
        <v>4</v>
      </c>
      <c r="B30" s="12" t="inlineStr">
        <is>
          <t>DR-02</t>
        </is>
      </c>
      <c r="C30" s="13" t="inlineStr">
        <is>
          <t>COMPACTADOR TÁNDEM HAMM-HD140</t>
        </is>
      </c>
      <c r="D30" s="13" t="inlineStr">
        <is>
          <t>ALEXIS RENDON DOMINGUEZ</t>
        </is>
      </c>
      <c r="E30" s="13" t="inlineStr">
        <is>
          <t>Compactación Tándem Pesada</t>
        </is>
      </c>
      <c r="F30" s="37" t="n">
        <v>0</v>
      </c>
      <c r="G30" s="37" t="n">
        <v>84</v>
      </c>
      <c r="H30" s="16">
        <f>G30*$E$4</f>
        <v/>
      </c>
      <c r="I30" s="20">
        <f>IF(H30&gt;0, F30/H30, 0)</f>
        <v/>
      </c>
      <c r="J30" s="37" t="n">
        <v>50</v>
      </c>
      <c r="K30" s="37" t="n">
        <v>126</v>
      </c>
      <c r="L30" s="16">
        <f>K30*$E$4</f>
        <v/>
      </c>
      <c r="M30" s="20">
        <f>IF(L30&gt;0, J30/L30, 0)</f>
        <v/>
      </c>
      <c r="N30" s="37" t="n">
        <v>0</v>
      </c>
      <c r="O30" s="37" t="n">
        <v>42</v>
      </c>
      <c r="P30" s="16">
        <f>O30*$E$4</f>
        <v/>
      </c>
      <c r="Q30" s="20">
        <f>IF(P30&gt;0, N30/P30, 0)</f>
        <v/>
      </c>
      <c r="R30" s="37" t="n">
        <v>0</v>
      </c>
      <c r="S30" s="37" t="n">
        <v>98</v>
      </c>
      <c r="T30" s="16">
        <f>S30*$E$4</f>
        <v/>
      </c>
      <c r="U30" s="20">
        <f>IF(T30&gt;0, R30/T30, 0)</f>
        <v/>
      </c>
      <c r="V30" s="37" t="n">
        <v>0</v>
      </c>
      <c r="W30" s="37" t="n">
        <v>196</v>
      </c>
      <c r="X30" s="16">
        <f>W30*$E$4</f>
        <v/>
      </c>
      <c r="Y30" s="20">
        <f>IF(X30&gt;0, V30/X30, 0)</f>
        <v/>
      </c>
      <c r="Z30" s="37" t="n">
        <v>0</v>
      </c>
      <c r="AA30" s="37" t="n">
        <v>182</v>
      </c>
      <c r="AB30" s="16">
        <f>AA30*$E$4</f>
        <v/>
      </c>
      <c r="AC30" s="20">
        <f>IF(AB30&gt;0, Z30/AB30, 0)</f>
        <v/>
      </c>
      <c r="AD30" s="37">
        <f>F30+J30+N30+R30+V30+Z30</f>
        <v/>
      </c>
      <c r="AE30" s="37">
        <f>G30+K30+O30+S30+W30+AA30</f>
        <v/>
      </c>
      <c r="AF30" s="16">
        <f>H30+L30+P30+T30+X30+AB30</f>
        <v/>
      </c>
      <c r="AG30" s="20">
        <f>IF(AF30&gt;0, AD30/AF30, 0)</f>
        <v/>
      </c>
    </row>
    <row r="31" ht="18.75" customHeight="1" s="46">
      <c r="A31" s="12" t="n">
        <v>5</v>
      </c>
      <c r="B31" s="12" t="inlineStr">
        <is>
          <t>NM-01</t>
        </is>
      </c>
      <c r="C31" s="13" t="inlineStr">
        <is>
          <t>COMPACTADOR NEUMÁTICO DYNAPAC CP271</t>
        </is>
      </c>
      <c r="D31" s="13" t="inlineStr">
        <is>
          <t>JOSE CARLOS ROMERO TELLEZ</t>
        </is>
      </c>
      <c r="E31" s="13" t="inlineStr">
        <is>
          <t>Compactación Neumática / Sellado</t>
        </is>
      </c>
      <c r="F31" s="37" t="n">
        <v>0</v>
      </c>
      <c r="G31" s="37" t="n">
        <v>84</v>
      </c>
      <c r="H31" s="16">
        <f>G31*$E$4</f>
        <v/>
      </c>
      <c r="I31" s="20">
        <f>IF(H31&gt;0, F31/H31, 0)</f>
        <v/>
      </c>
      <c r="J31" s="37" t="n">
        <v>34</v>
      </c>
      <c r="K31" s="37" t="n">
        <v>126</v>
      </c>
      <c r="L31" s="16">
        <f>K31*$E$4</f>
        <v/>
      </c>
      <c r="M31" s="20">
        <f>IF(L31&gt;0, J31/L31, 0)</f>
        <v/>
      </c>
      <c r="N31" s="37" t="n">
        <v>0</v>
      </c>
      <c r="O31" s="37" t="n">
        <v>42</v>
      </c>
      <c r="P31" s="16">
        <f>O31*$E$4</f>
        <v/>
      </c>
      <c r="Q31" s="20">
        <f>IF(P31&gt;0, N31/P31, 0)</f>
        <v/>
      </c>
      <c r="R31" s="37" t="n">
        <v>0</v>
      </c>
      <c r="S31" s="37" t="n">
        <v>98</v>
      </c>
      <c r="T31" s="16">
        <f>S31*$E$4</f>
        <v/>
      </c>
      <c r="U31" s="20">
        <f>IF(T31&gt;0, R31/T31, 0)</f>
        <v/>
      </c>
      <c r="V31" s="37" t="n">
        <v>0</v>
      </c>
      <c r="W31" s="37" t="n">
        <v>196</v>
      </c>
      <c r="X31" s="16">
        <f>W31*$E$4</f>
        <v/>
      </c>
      <c r="Y31" s="20">
        <f>IF(X31&gt;0, V31/X31, 0)</f>
        <v/>
      </c>
      <c r="Z31" s="37" t="n">
        <v>0</v>
      </c>
      <c r="AA31" s="37" t="n">
        <v>182</v>
      </c>
      <c r="AB31" s="16">
        <f>AA31*$E$4</f>
        <v/>
      </c>
      <c r="AC31" s="20">
        <f>IF(AB31&gt;0, Z31/AB31, 0)</f>
        <v/>
      </c>
      <c r="AD31" s="37">
        <f>F31+J31+N31+R31+V31+Z31</f>
        <v/>
      </c>
      <c r="AE31" s="37">
        <f>G31+K31+O31+S31+W31+AA31</f>
        <v/>
      </c>
      <c r="AF31" s="16">
        <f>H31+L31+P31+T31+X31+AB31</f>
        <v/>
      </c>
      <c r="AG31" s="20">
        <f>IF(AF31&gt;0, AD31/AF31, 0)</f>
        <v/>
      </c>
    </row>
    <row r="32" ht="18.75" customHeight="1" s="46">
      <c r="A32" s="12" t="n">
        <v>6</v>
      </c>
      <c r="B32" s="12" t="inlineStr">
        <is>
          <t>NM-09</t>
        </is>
      </c>
      <c r="C32" s="13" t="inlineStr">
        <is>
          <t>COMPACTADOR NEUMÁTICO HAMM 208</t>
        </is>
      </c>
      <c r="D32" s="13" t="inlineStr">
        <is>
          <t>NOLVIN DE JESUS PEREZ GOMEZ</t>
        </is>
      </c>
      <c r="E32" s="13" t="inlineStr">
        <is>
          <t>Compactación Neumática / Acabado</t>
        </is>
      </c>
      <c r="F32" s="37" t="n">
        <v>48</v>
      </c>
      <c r="G32" s="37" t="n">
        <v>84</v>
      </c>
      <c r="H32" s="16">
        <f>G32*$E$4</f>
        <v/>
      </c>
      <c r="I32" s="20">
        <f>IF(H32&gt;0, F32/H32, 0)</f>
        <v/>
      </c>
      <c r="J32" s="37" t="n">
        <v>0</v>
      </c>
      <c r="K32" s="37" t="n">
        <v>126</v>
      </c>
      <c r="L32" s="16">
        <f>K32*$E$4</f>
        <v/>
      </c>
      <c r="M32" s="20">
        <f>IF(L32&gt;0, J32/L32, 0)</f>
        <v/>
      </c>
      <c r="N32" s="37" t="n">
        <v>49</v>
      </c>
      <c r="O32" s="37" t="n">
        <v>42</v>
      </c>
      <c r="P32" s="16">
        <f>O32*$E$4</f>
        <v/>
      </c>
      <c r="Q32" s="20">
        <f>IF(P32&gt;0, N32/P32, 0)</f>
        <v/>
      </c>
      <c r="R32" s="37" t="n">
        <v>0</v>
      </c>
      <c r="S32" s="37" t="n">
        <v>98</v>
      </c>
      <c r="T32" s="16">
        <f>S32*$E$4</f>
        <v/>
      </c>
      <c r="U32" s="20">
        <f>IF(T32&gt;0, R32/T32, 0)</f>
        <v/>
      </c>
      <c r="V32" s="37" t="n">
        <v>50</v>
      </c>
      <c r="W32" s="37" t="n">
        <v>196</v>
      </c>
      <c r="X32" s="16">
        <f>W32*$E$4</f>
        <v/>
      </c>
      <c r="Y32" s="20">
        <f>IF(X32&gt;0, V32/X32, 0)</f>
        <v/>
      </c>
      <c r="Z32" s="37" t="n">
        <v>0</v>
      </c>
      <c r="AA32" s="37" t="n">
        <v>182</v>
      </c>
      <c r="AB32" s="16">
        <f>AA32*$E$4</f>
        <v/>
      </c>
      <c r="AC32" s="20">
        <f>IF(AB32&gt;0, Z32/AB32, 0)</f>
        <v/>
      </c>
      <c r="AD32" s="37">
        <f>F32+J32+N32+R32+V32+Z32</f>
        <v/>
      </c>
      <c r="AE32" s="37">
        <f>G32+K32+O32+S32+W32+AA32</f>
        <v/>
      </c>
      <c r="AF32" s="16">
        <f>H32+L32+P32+T32+X32+AB32</f>
        <v/>
      </c>
      <c r="AG32" s="20">
        <f>IF(AF32&gt;0, AD32/AF32, 0)</f>
        <v/>
      </c>
    </row>
    <row r="33" ht="18.75" customHeight="1" s="46">
      <c r="A33" s="12" t="n">
        <v>7</v>
      </c>
      <c r="B33" s="12" t="inlineStr">
        <is>
          <t>BR-01</t>
        </is>
      </c>
      <c r="C33" s="13" t="inlineStr">
        <is>
          <t>BARREDORA INDUSTRIAL BROCE BROOM-350</t>
        </is>
      </c>
      <c r="D33" s="13" t="inlineStr">
        <is>
          <t>EDGAR ROSALES MARTINEZ</t>
        </is>
      </c>
      <c r="E33" s="13" t="inlineStr">
        <is>
          <t>Limpieza y Barrido Previo</t>
        </is>
      </c>
      <c r="F33" s="37" t="n">
        <v>20</v>
      </c>
      <c r="G33" s="37" t="n">
        <v>84</v>
      </c>
      <c r="H33" s="16">
        <f>G33*$E$4</f>
        <v/>
      </c>
      <c r="I33" s="20">
        <f>IF(H33&gt;0, F33/H33, 0)</f>
        <v/>
      </c>
      <c r="J33" s="37" t="n">
        <v>30</v>
      </c>
      <c r="K33" s="37" t="n">
        <v>126</v>
      </c>
      <c r="L33" s="16">
        <f>K33*$E$4</f>
        <v/>
      </c>
      <c r="M33" s="20">
        <f>IF(L33&gt;0, J33/L33, 0)</f>
        <v/>
      </c>
      <c r="N33" s="37" t="n">
        <v>24</v>
      </c>
      <c r="O33" s="37" t="n">
        <v>42</v>
      </c>
      <c r="P33" s="16">
        <f>O33*$E$4</f>
        <v/>
      </c>
      <c r="Q33" s="20">
        <f>IF(P33&gt;0, N33/P33, 0)</f>
        <v/>
      </c>
      <c r="R33" s="37" t="n">
        <v>0</v>
      </c>
      <c r="S33" s="37" t="n">
        <v>98</v>
      </c>
      <c r="T33" s="16">
        <f>S33*$E$4</f>
        <v/>
      </c>
      <c r="U33" s="20">
        <f>IF(T33&gt;0, R33/T33, 0)</f>
        <v/>
      </c>
      <c r="V33" s="37" t="n">
        <v>37</v>
      </c>
      <c r="W33" s="37" t="n">
        <v>196</v>
      </c>
      <c r="X33" s="16">
        <f>W33*$E$4</f>
        <v/>
      </c>
      <c r="Y33" s="20">
        <f>IF(X33&gt;0, V33/X33, 0)</f>
        <v/>
      </c>
      <c r="Z33" s="37" t="n">
        <v>0</v>
      </c>
      <c r="AA33" s="37" t="n">
        <v>182</v>
      </c>
      <c r="AB33" s="16">
        <f>AA33*$E$4</f>
        <v/>
      </c>
      <c r="AC33" s="20">
        <f>IF(AB33&gt;0, Z33/AB33, 0)</f>
        <v/>
      </c>
      <c r="AD33" s="37">
        <f>F33+J33+N33+R33+V33+Z33</f>
        <v/>
      </c>
      <c r="AE33" s="37">
        <f>G33+K33+O33+S33+W33+AA33</f>
        <v/>
      </c>
      <c r="AF33" s="16">
        <f>H33+L33+P33+T33+X33+AB33</f>
        <v/>
      </c>
      <c r="AG33" s="20">
        <f>IF(AF33&gt;0, AD33/AF33, 0)</f>
        <v/>
      </c>
    </row>
    <row r="34" ht="18.75" customHeight="1" s="46">
      <c r="A34" s="12" t="n">
        <v>8</v>
      </c>
      <c r="B34" s="12" t="inlineStr">
        <is>
          <t>RT-05</t>
        </is>
      </c>
      <c r="C34" s="13" t="inlineStr">
        <is>
          <t>RETROEXCAVADORA JOHN DEERE 310SK</t>
        </is>
      </c>
      <c r="D34" s="13" t="inlineStr">
        <is>
          <t>ADOLFO NAVA LOPEZ</t>
        </is>
      </c>
      <c r="E34" s="13" t="inlineStr">
        <is>
          <t>Carga Fresado y Derrumbes</t>
        </is>
      </c>
      <c r="F34" s="37" t="n">
        <v>60</v>
      </c>
      <c r="G34" s="37" t="n">
        <v>203</v>
      </c>
      <c r="H34" s="16">
        <f>G34*$E$4</f>
        <v/>
      </c>
      <c r="I34" s="20">
        <f>IF(G34&gt;0, F34/G34, 0)</f>
        <v/>
      </c>
      <c r="J34" s="37" t="n">
        <v>50</v>
      </c>
      <c r="K34" s="37" t="n">
        <v>203</v>
      </c>
      <c r="L34" s="16">
        <f>K34*$E$4</f>
        <v/>
      </c>
      <c r="M34" s="20">
        <f>IF(K34&gt;0, J34/K34, 0)</f>
        <v/>
      </c>
      <c r="N34" s="37" t="n">
        <v>60</v>
      </c>
      <c r="O34" s="37" t="n">
        <v>245</v>
      </c>
      <c r="P34" s="16">
        <f>O34*$E$4</f>
        <v/>
      </c>
      <c r="Q34" s="20">
        <f>IF(O34&gt;0, N34/O34, 0)</f>
        <v/>
      </c>
      <c r="R34" s="37" t="n">
        <v>120</v>
      </c>
      <c r="S34" s="37" t="n">
        <v>441</v>
      </c>
      <c r="T34" s="16">
        <f>S34*$E$4</f>
        <v/>
      </c>
      <c r="U34" s="20">
        <f>IF(S34&gt;0, R34/S34, 0)</f>
        <v/>
      </c>
      <c r="V34" s="37" t="n">
        <v>170</v>
      </c>
      <c r="W34" s="37" t="n">
        <v>441</v>
      </c>
      <c r="X34" s="16">
        <f>W34*$E$4</f>
        <v/>
      </c>
      <c r="Y34" s="20">
        <f>IF(W34&gt;0, V34/W34, 0)</f>
        <v/>
      </c>
      <c r="Z34" s="37" t="n">
        <v>40</v>
      </c>
      <c r="AA34" s="37" t="n">
        <v>49</v>
      </c>
      <c r="AB34" s="16">
        <f>AA34*$E$4</f>
        <v/>
      </c>
      <c r="AC34" s="20">
        <f>IF(AA34&gt;0, Z34/AA34, 0)</f>
        <v/>
      </c>
      <c r="AD34" s="37">
        <f>F34+J34+N34+R34+V34+Z34</f>
        <v/>
      </c>
      <c r="AE34" s="37">
        <f>G34+K34+O34+S34+W34+AA34</f>
        <v/>
      </c>
      <c r="AF34" s="16">
        <f>H34+L34+P34+T34+X34+AB34</f>
        <v/>
      </c>
      <c r="AG34" s="20">
        <f>IF(AE34&gt;0, AD34/AE34, 0)</f>
        <v/>
      </c>
    </row>
    <row r="35" ht="18.75" customHeight="1" s="46">
      <c r="A35" s="12" t="n">
        <v>9</v>
      </c>
      <c r="B35" s="12" t="inlineStr">
        <is>
          <t>PT-01</t>
        </is>
      </c>
      <c r="C35" s="13" t="inlineStr">
        <is>
          <t>PETROLIZADORA INTERNATIONAL / FORD F800</t>
        </is>
      </c>
      <c r="D35" s="13" t="inlineStr">
        <is>
          <t>ELTHON EDUARDO MARTINEZ GOMORA</t>
        </is>
      </c>
      <c r="E35" s="13" t="inlineStr">
        <is>
          <t>Riego de Liga / Emulsión</t>
        </is>
      </c>
      <c r="F35" s="37" t="n">
        <v>60</v>
      </c>
      <c r="G35" s="37" t="n">
        <v>84</v>
      </c>
      <c r="H35" s="16">
        <f>G35*$E$4</f>
        <v/>
      </c>
      <c r="I35" s="20">
        <f>IF(H35&gt;0, F35/H35, 0)</f>
        <v/>
      </c>
      <c r="J35" s="37" t="n">
        <v>0</v>
      </c>
      <c r="K35" s="37" t="n">
        <v>126</v>
      </c>
      <c r="L35" s="16">
        <f>K35*$E$4</f>
        <v/>
      </c>
      <c r="M35" s="20">
        <f>IF(L35&gt;0, J35/L35, 0)</f>
        <v/>
      </c>
      <c r="N35" s="37" t="n">
        <v>120</v>
      </c>
      <c r="O35" s="37" t="n">
        <v>42</v>
      </c>
      <c r="P35" s="16">
        <f>O35*$E$4</f>
        <v/>
      </c>
      <c r="Q35" s="20">
        <f>IF(P35&gt;0, N35/P35, 0)</f>
        <v/>
      </c>
      <c r="R35" s="37" t="n">
        <v>30</v>
      </c>
      <c r="S35" s="37" t="n">
        <v>98</v>
      </c>
      <c r="T35" s="16">
        <f>S35*$E$4</f>
        <v/>
      </c>
      <c r="U35" s="20">
        <f>IF(T35&gt;0, R35/T35, 0)</f>
        <v/>
      </c>
      <c r="V35" s="37" t="n">
        <v>60</v>
      </c>
      <c r="W35" s="37" t="n">
        <v>196</v>
      </c>
      <c r="X35" s="16">
        <f>W35*$E$4</f>
        <v/>
      </c>
      <c r="Y35" s="20">
        <f>IF(X35&gt;0, V35/X35, 0)</f>
        <v/>
      </c>
      <c r="Z35" s="37" t="n">
        <v>0</v>
      </c>
      <c r="AA35" s="37" t="n">
        <v>182</v>
      </c>
      <c r="AB35" s="16">
        <f>AA35*$E$4</f>
        <v/>
      </c>
      <c r="AC35" s="20">
        <f>IF(AB35&gt;0, Z35/AB35, 0)</f>
        <v/>
      </c>
      <c r="AD35" s="37">
        <f>F35+J35+N35+R35+V35+Z35</f>
        <v/>
      </c>
      <c r="AE35" s="37">
        <f>G35+K35+O35+S35+W35+AA35</f>
        <v/>
      </c>
      <c r="AF35" s="16">
        <f>H35+L35+P35+T35+X35+AB35</f>
        <v/>
      </c>
      <c r="AG35" s="20">
        <f>IF(AF35&gt;0, AD35/AF35, 0)</f>
        <v/>
      </c>
    </row>
    <row r="36" ht="18.75" customHeight="1" s="46">
      <c r="A36" s="12" t="n">
        <v>10</v>
      </c>
      <c r="B36" s="12" t="inlineStr">
        <is>
          <t>CPR-01</t>
        </is>
      </c>
      <c r="C36" s="13" t="inlineStr">
        <is>
          <t>COMPRESOR DE AIRE INGERSOLL RAND IR185</t>
        </is>
      </c>
      <c r="D36" s="13" t="inlineStr">
        <is>
          <t>CUADRILLA DE LIMPIEZA</t>
        </is>
      </c>
      <c r="E36" s="13" t="inlineStr">
        <is>
          <t>Sopleteado de Juntas</t>
        </is>
      </c>
      <c r="F36" s="37" t="n">
        <v>0</v>
      </c>
      <c r="G36" s="37" t="n">
        <v>0</v>
      </c>
      <c r="H36" s="16">
        <f>G36*$E$4</f>
        <v/>
      </c>
      <c r="I36" s="20" t="n">
        <v>0</v>
      </c>
      <c r="J36" s="37" t="n">
        <v>0</v>
      </c>
      <c r="K36" s="37" t="n">
        <v>0</v>
      </c>
      <c r="L36" s="16">
        <f>K36*$E$4</f>
        <v/>
      </c>
      <c r="M36" s="20" t="n">
        <v>0</v>
      </c>
      <c r="N36" s="37" t="n">
        <v>0</v>
      </c>
      <c r="O36" s="37" t="n">
        <v>0</v>
      </c>
      <c r="P36" s="16">
        <f>O36*$E$4</f>
        <v/>
      </c>
      <c r="Q36" s="20" t="n">
        <v>0</v>
      </c>
      <c r="R36" s="37" t="n">
        <v>0</v>
      </c>
      <c r="S36" s="37" t="n">
        <v>0</v>
      </c>
      <c r="T36" s="16">
        <f>S36*$E$4</f>
        <v/>
      </c>
      <c r="U36" s="20" t="n">
        <v>0</v>
      </c>
      <c r="V36" s="37" t="n">
        <v>0</v>
      </c>
      <c r="W36" s="37" t="n">
        <v>0</v>
      </c>
      <c r="X36" s="16">
        <f>W36*$E$4</f>
        <v/>
      </c>
      <c r="Y36" s="20" t="n">
        <v>0</v>
      </c>
      <c r="Z36" s="37" t="n">
        <v>0</v>
      </c>
      <c r="AA36" s="37" t="n">
        <v>0</v>
      </c>
      <c r="AB36" s="16">
        <f>AA36*$E$4</f>
        <v/>
      </c>
      <c r="AC36" s="20" t="n">
        <v>0</v>
      </c>
      <c r="AD36" s="37">
        <f>F36+J36+N36+R36+V36+Z36</f>
        <v/>
      </c>
      <c r="AE36" s="37">
        <f>G36+K36+O36+S36+W36+AA36</f>
        <v/>
      </c>
      <c r="AF36" s="16">
        <f>H36+L36+P36+T36+X36+AB36</f>
        <v/>
      </c>
      <c r="AG36" s="20" t="n">
        <v>0</v>
      </c>
    </row>
    <row r="37" ht="18.75" customHeight="1" s="46">
      <c r="A37" s="12" t="n">
        <v>11</v>
      </c>
      <c r="B37" s="12" t="inlineStr">
        <is>
          <t>PP-01</t>
        </is>
      </c>
      <c r="C37" s="13" t="inlineStr">
        <is>
          <t>CAMIÓN IMPACTO / PIPA DE AGUA FORD</t>
        </is>
      </c>
      <c r="D37" s="13" t="inlineStr">
        <is>
          <t>CUADRILLA DE AGUA</t>
        </is>
      </c>
      <c r="E37" s="13" t="inlineStr">
        <is>
          <t>Enfriamiento Rodillos / Riego</t>
        </is>
      </c>
      <c r="F37" s="37" t="n">
        <v>0</v>
      </c>
      <c r="G37" s="37" t="n">
        <v>0</v>
      </c>
      <c r="H37" s="16">
        <f>G37*$E$4</f>
        <v/>
      </c>
      <c r="I37" s="20" t="n">
        <v>0</v>
      </c>
      <c r="J37" s="37" t="n">
        <v>0</v>
      </c>
      <c r="K37" s="37" t="n">
        <v>0</v>
      </c>
      <c r="L37" s="16">
        <f>K37*$E$4</f>
        <v/>
      </c>
      <c r="M37" s="20" t="n">
        <v>0</v>
      </c>
      <c r="N37" s="37" t="n">
        <v>0</v>
      </c>
      <c r="O37" s="37" t="n">
        <v>0</v>
      </c>
      <c r="P37" s="16">
        <f>O37*$E$4</f>
        <v/>
      </c>
      <c r="Q37" s="20" t="n">
        <v>0</v>
      </c>
      <c r="R37" s="37" t="n">
        <v>0</v>
      </c>
      <c r="S37" s="37" t="n">
        <v>0</v>
      </c>
      <c r="T37" s="16">
        <f>S37*$E$4</f>
        <v/>
      </c>
      <c r="U37" s="20" t="n">
        <v>0</v>
      </c>
      <c r="V37" s="37" t="n">
        <v>0</v>
      </c>
      <c r="W37" s="37" t="n">
        <v>0</v>
      </c>
      <c r="X37" s="16">
        <f>W37*$E$4</f>
        <v/>
      </c>
      <c r="Y37" s="20" t="n">
        <v>0</v>
      </c>
      <c r="Z37" s="37" t="n">
        <v>0</v>
      </c>
      <c r="AA37" s="37" t="n">
        <v>0</v>
      </c>
      <c r="AB37" s="16">
        <f>AA37*$E$4</f>
        <v/>
      </c>
      <c r="AC37" s="20" t="n">
        <v>0</v>
      </c>
      <c r="AD37" s="37">
        <f>F37+J37+N37+R37+V37+Z37</f>
        <v/>
      </c>
      <c r="AE37" s="37">
        <f>G37+K37+O37+S37+W37+AA37</f>
        <v/>
      </c>
      <c r="AF37" s="16">
        <f>H37+L37+P37+T37+X37+AB37</f>
        <v/>
      </c>
      <c r="AG37" s="20" t="n">
        <v>0</v>
      </c>
    </row>
    <row r="38" ht="18.75" customHeight="1" s="46">
      <c r="A38" s="12" t="n">
        <v>12</v>
      </c>
      <c r="B38" s="12" t="inlineStr">
        <is>
          <t>TL-01</t>
        </is>
      </c>
      <c r="C38" s="13" t="inlineStr">
        <is>
          <t>TORRE DE LUZ MAXILIGHT 4X1000W</t>
        </is>
      </c>
      <c r="D38" s="13" t="inlineStr">
        <is>
          <t>CUADRILLA NOCTURNA</t>
        </is>
      </c>
      <c r="E38" s="13" t="inlineStr">
        <is>
          <t>Iluminación Nocturna</t>
        </is>
      </c>
      <c r="F38" s="37" t="n">
        <v>0</v>
      </c>
      <c r="G38" s="37" t="n">
        <v>0</v>
      </c>
      <c r="H38" s="16">
        <f>G38*$E$4</f>
        <v/>
      </c>
      <c r="I38" s="20" t="n">
        <v>0</v>
      </c>
      <c r="J38" s="37" t="n">
        <v>0</v>
      </c>
      <c r="K38" s="37" t="n">
        <v>0</v>
      </c>
      <c r="L38" s="16">
        <f>K38*$E$4</f>
        <v/>
      </c>
      <c r="M38" s="20" t="n">
        <v>0</v>
      </c>
      <c r="N38" s="37" t="n">
        <v>0</v>
      </c>
      <c r="O38" s="37" t="n">
        <v>0</v>
      </c>
      <c r="P38" s="16">
        <f>O38*$E$4</f>
        <v/>
      </c>
      <c r="Q38" s="20" t="n">
        <v>0</v>
      </c>
      <c r="R38" s="37" t="n">
        <v>0</v>
      </c>
      <c r="S38" s="37" t="n">
        <v>0</v>
      </c>
      <c r="T38" s="16">
        <f>S38*$E$4</f>
        <v/>
      </c>
      <c r="U38" s="20" t="n">
        <v>0</v>
      </c>
      <c r="V38" s="37" t="n">
        <v>0</v>
      </c>
      <c r="W38" s="37" t="n">
        <v>0</v>
      </c>
      <c r="X38" s="16">
        <f>W38*$E$4</f>
        <v/>
      </c>
      <c r="Y38" s="20" t="n">
        <v>0</v>
      </c>
      <c r="Z38" s="37" t="n">
        <v>0</v>
      </c>
      <c r="AA38" s="37" t="n">
        <v>0</v>
      </c>
      <c r="AB38" s="16">
        <f>AA38*$E$4</f>
        <v/>
      </c>
      <c r="AC38" s="20" t="n">
        <v>0</v>
      </c>
      <c r="AD38" s="37">
        <f>F38+J38+N38+R38+V38+Z38</f>
        <v/>
      </c>
      <c r="AE38" s="37">
        <f>G38+K38+O38+S38+W38+AA38</f>
        <v/>
      </c>
      <c r="AF38" s="16">
        <f>H38+L38+P38+T38+X38+AB38</f>
        <v/>
      </c>
      <c r="AG38" s="20" t="n">
        <v>0</v>
      </c>
    </row>
    <row r="39" ht="21.75" customHeight="1" s="46">
      <c r="A39" s="30" t="inlineStr">
        <is>
          <t>TOTAL DIARIO CONSOLIDADO (OBRA MÉXICO-TOLUCA)</t>
        </is>
      </c>
      <c r="B39" s="50" t="n"/>
      <c r="C39" s="50" t="n"/>
      <c r="D39" s="50" t="n"/>
      <c r="E39" s="51" t="n"/>
      <c r="F39" s="27">
        <f>SUM(F27:F38)</f>
        <v/>
      </c>
      <c r="G39" s="27">
        <f>MAX(G27:G38)</f>
        <v/>
      </c>
      <c r="H39" s="28">
        <f>G39*$E$4</f>
        <v/>
      </c>
      <c r="I39" s="29">
        <f>IF(H39&gt;0, F39/H39, 0)</f>
        <v/>
      </c>
      <c r="J39" s="27">
        <f>SUM(J27:J38)</f>
        <v/>
      </c>
      <c r="K39" s="27">
        <f>MAX(K27:K38)</f>
        <v/>
      </c>
      <c r="L39" s="28">
        <f>K39*$E$4</f>
        <v/>
      </c>
      <c r="M39" s="29">
        <f>IF(L39&gt;0, J39/L39, 0)</f>
        <v/>
      </c>
      <c r="N39" s="27">
        <f>SUM(N27:N38)</f>
        <v/>
      </c>
      <c r="O39" s="27">
        <f>MAX(O27:O38)</f>
        <v/>
      </c>
      <c r="P39" s="28">
        <f>O39*$E$4</f>
        <v/>
      </c>
      <c r="Q39" s="29">
        <f>IF(P39&gt;0, N39/P39, 0)</f>
        <v/>
      </c>
      <c r="R39" s="27">
        <f>SUM(R27:R38)</f>
        <v/>
      </c>
      <c r="S39" s="27">
        <f>MAX(S27:S38)</f>
        <v/>
      </c>
      <c r="T39" s="28">
        <f>S39*$E$4</f>
        <v/>
      </c>
      <c r="U39" s="29">
        <f>IF(T39&gt;0, R39/T39, 0)</f>
        <v/>
      </c>
      <c r="V39" s="27">
        <f>SUM(V27:V38)</f>
        <v/>
      </c>
      <c r="W39" s="27">
        <f>MAX(W27:W38)</f>
        <v/>
      </c>
      <c r="X39" s="28">
        <f>W39*$E$4</f>
        <v/>
      </c>
      <c r="Y39" s="29">
        <f>IF(X39&gt;0, V39/X39, 0)</f>
        <v/>
      </c>
      <c r="Z39" s="27">
        <f>SUM(Z27:Z38)</f>
        <v/>
      </c>
      <c r="AA39" s="27">
        <f>MAX(AA27:AA38)</f>
        <v/>
      </c>
      <c r="AB39" s="28">
        <f>AA39*$E$4</f>
        <v/>
      </c>
      <c r="AC39" s="29">
        <f>IF(AB39&gt;0, Z39/AB39, 0)</f>
        <v/>
      </c>
      <c r="AD39" s="27">
        <f>SUM(AD27:AD38)</f>
        <v/>
      </c>
      <c r="AE39" s="27">
        <f>SUM(AE27:AE38)</f>
        <v/>
      </c>
      <c r="AF39" s="28">
        <f>SUM(AF27:AF38)</f>
        <v/>
      </c>
      <c r="AG39" s="29">
        <f>IF(AF39&gt;0, AD39/AF39, 0)</f>
        <v/>
      </c>
    </row>
    <row r="40" ht="15.75" customHeight="1" s="46"/>
    <row r="41" ht="15.75" customHeight="1" s="46">
      <c r="A41" s="40" t="inlineStr">
        <is>
          <t>NOTA TÉCNICA Y CRITERIOS DE CONTROL DE RENDIMIENTO — OBRA MÉXICO-TOLUCA:
1. Peso Volumétrico Oficial del Asfalto: 1.742 Ton/m³ (Toneladas = m³ Carpeta × 1.742).
2. Rendimiento Base (L/h): Consumo nominal de fabricante ajustado con 1.2% anual de desgaste por antigüedad al 2026.
3. Rendimiento Real: Diésel Surtido / Toneladas Tendidas (L/Ton) o Diésel Surtido / Volumen Fresado (L/m³).
4. Estatus Operativo: DENTRO DE RENDIMIENTO BASE (Verde) / EXCEDE RENDIMIENTO BASE (Rojo) / SIN CONSUMO (Gris).</t>
        </is>
      </c>
    </row>
    <row r="42" ht="15.75" customHeight="1" s="46"/>
    <row r="43" ht="15.75" customHeight="1" s="46"/>
    <row r="44" ht="15.75" customHeight="1" s="46"/>
    <row r="45" ht="15.75" customHeight="1" s="46"/>
    <row r="46" ht="15.75" customHeight="1" s="46"/>
    <row r="47" ht="15.75" customHeight="1" s="46"/>
    <row r="48" ht="15.75" customHeight="1" s="46"/>
    <row r="49" ht="15.75" customHeight="1" s="46"/>
    <row r="50" ht="15.75" customHeight="1" s="46"/>
    <row r="51" ht="15.75" customHeight="1" s="46"/>
    <row r="52" ht="15.75" customHeight="1" s="46"/>
    <row r="53" ht="15.75" customHeight="1" s="46"/>
    <row r="54" ht="15.75" customHeight="1" s="46"/>
    <row r="55" ht="15.75" customHeight="1" s="46"/>
    <row r="56" ht="15.75" customHeight="1" s="46"/>
    <row r="57" ht="15.75" customHeight="1" s="46"/>
    <row r="58" ht="15.75" customHeight="1" s="46"/>
    <row r="59" ht="15.75" customHeight="1" s="46"/>
    <row r="60" ht="15.75" customHeight="1" s="46"/>
    <row r="61" ht="15.75" customHeight="1" s="46"/>
    <row r="62" ht="15.75" customHeight="1" s="46"/>
    <row r="63" ht="15.75" customHeight="1" s="46"/>
    <row r="64" ht="15.75" customHeight="1" s="46"/>
    <row r="65" ht="15.75" customHeight="1" s="46"/>
    <row r="66" ht="15.75" customHeight="1" s="46"/>
    <row r="67" ht="15.75" customHeight="1" s="46"/>
    <row r="68" ht="15.75" customHeight="1" s="46"/>
    <row r="69" ht="15.75" customHeight="1" s="46"/>
    <row r="70" ht="15.75" customHeight="1" s="46"/>
    <row r="71" ht="15.75" customHeight="1" s="46"/>
    <row r="72" ht="15.75" customHeight="1" s="46"/>
    <row r="73" ht="15.75" customHeight="1" s="46"/>
    <row r="74" ht="15.75" customHeight="1" s="46"/>
    <row r="75" ht="15.75" customHeight="1" s="46"/>
    <row r="76" ht="15.75" customHeight="1" s="46"/>
    <row r="77" ht="15.75" customHeight="1" s="46"/>
    <row r="78" ht="15.75" customHeight="1" s="46"/>
    <row r="79" ht="15.75" customHeight="1" s="46"/>
    <row r="80" ht="15.75" customHeight="1" s="46"/>
    <row r="81" ht="15.75" customHeight="1" s="46"/>
    <row r="82" ht="15.75" customHeight="1" s="46"/>
    <row r="83" ht="15.75" customHeight="1" s="46"/>
    <row r="84" ht="15.75" customHeight="1" s="46"/>
    <row r="85" ht="15.75" customHeight="1" s="46"/>
    <row r="86" ht="15.75" customHeight="1" s="46"/>
    <row r="87" ht="15.75" customHeight="1" s="46"/>
    <row r="88" ht="15.75" customHeight="1" s="46"/>
    <row r="89" ht="15.75" customHeight="1" s="46"/>
    <row r="90" ht="15.75" customHeight="1" s="46"/>
    <row r="91" ht="15.75" customHeight="1" s="46"/>
    <row r="92" ht="15.75" customHeight="1" s="46"/>
    <row r="93" ht="15.75" customHeight="1" s="46"/>
    <row r="94" ht="15.75" customHeight="1" s="46"/>
    <row r="95" ht="15.75" customHeight="1" s="46"/>
    <row r="96" ht="15.75" customHeight="1" s="46"/>
    <row r="97" ht="15.75" customHeight="1" s="46"/>
    <row r="98" ht="15.75" customHeight="1" s="46"/>
    <row r="99" ht="15.75" customHeight="1" s="46"/>
    <row r="100" ht="15.75" customHeight="1" s="46"/>
    <row r="101" ht="15.75" customHeight="1" s="46"/>
    <row r="102" ht="15.75" customHeight="1" s="46"/>
    <row r="103" ht="15.75" customHeight="1" s="46"/>
    <row r="104" ht="15.75" customHeight="1" s="46"/>
    <row r="105" ht="15.75" customHeight="1" s="46"/>
    <row r="106" ht="15.75" customHeight="1" s="46"/>
    <row r="107" ht="15.75" customHeight="1" s="46"/>
    <row r="108" ht="15.75" customHeight="1" s="46"/>
    <row r="109" ht="15.75" customHeight="1" s="46"/>
    <row r="110" ht="15.75" customHeight="1" s="46"/>
    <row r="111" ht="15.75" customHeight="1" s="46"/>
    <row r="112" ht="15.75" customHeight="1" s="46"/>
    <row r="113" ht="15.75" customHeight="1" s="46"/>
    <row r="114" ht="15.75" customHeight="1" s="46"/>
    <row r="115" ht="15.75" customHeight="1" s="46"/>
    <row r="116" ht="15.75" customHeight="1" s="46"/>
    <row r="117" ht="15.75" customHeight="1" s="46"/>
    <row r="118" ht="15.75" customHeight="1" s="46"/>
    <row r="119" ht="15.75" customHeight="1" s="46"/>
    <row r="120" ht="15.75" customHeight="1" s="46"/>
    <row r="121" ht="15.75" customHeight="1" s="46"/>
    <row r="122" ht="15.75" customHeight="1" s="46"/>
    <row r="123" ht="15.75" customHeight="1" s="46"/>
    <row r="124" ht="15.75" customHeight="1" s="46"/>
    <row r="125" ht="15.75" customHeight="1" s="46"/>
    <row r="126" ht="15.75" customHeight="1" s="46"/>
    <row r="127" ht="15.75" customHeight="1" s="46"/>
    <row r="128" ht="15.75" customHeight="1" s="46"/>
    <row r="129" ht="15.75" customHeight="1" s="46"/>
    <row r="130" ht="15.75" customHeight="1" s="46"/>
    <row r="131" ht="15.75" customHeight="1" s="46"/>
    <row r="132" ht="15.75" customHeight="1" s="46"/>
    <row r="133" ht="15.75" customHeight="1" s="46"/>
    <row r="134" ht="15.75" customHeight="1" s="46"/>
    <row r="135" ht="15.75" customHeight="1" s="46"/>
    <row r="136" ht="15.75" customHeight="1" s="46"/>
    <row r="137" ht="15.75" customHeight="1" s="46"/>
    <row r="138" ht="15.75" customHeight="1" s="46"/>
    <row r="139" ht="15.75" customHeight="1" s="46"/>
    <row r="140" ht="15.75" customHeight="1" s="46"/>
    <row r="141" ht="15.75" customHeight="1" s="46"/>
    <row r="142" ht="15.75" customHeight="1" s="46"/>
    <row r="143" ht="15.75" customHeight="1" s="46"/>
    <row r="144" ht="15.75" customHeight="1" s="46"/>
    <row r="145" ht="15.75" customHeight="1" s="46"/>
    <row r="146" ht="15.75" customHeight="1" s="46"/>
    <row r="147" ht="15.75" customHeight="1" s="46"/>
    <row r="148" ht="15.75" customHeight="1" s="46"/>
    <row r="149" ht="15.75" customHeight="1" s="46"/>
    <row r="150" ht="15.75" customHeight="1" s="46"/>
    <row r="151" ht="15.75" customHeight="1" s="46"/>
    <row r="152" ht="15.75" customHeight="1" s="46"/>
    <row r="153" ht="15.75" customHeight="1" s="46"/>
    <row r="154" ht="15.75" customHeight="1" s="46"/>
    <row r="155" ht="15.75" customHeight="1" s="46"/>
    <row r="156" ht="15.75" customHeight="1" s="46"/>
    <row r="157" ht="15.75" customHeight="1" s="46"/>
    <row r="158" ht="15.75" customHeight="1" s="46"/>
    <row r="159" ht="15.75" customHeight="1" s="46"/>
    <row r="160" ht="15.75" customHeight="1" s="46"/>
    <row r="161" ht="15.75" customHeight="1" s="46"/>
    <row r="162" ht="15.75" customHeight="1" s="46"/>
    <row r="163" ht="15.75" customHeight="1" s="46"/>
    <row r="164" ht="15.75" customHeight="1" s="46"/>
    <row r="165" ht="15.75" customHeight="1" s="46"/>
    <row r="166" ht="15.75" customHeight="1" s="46"/>
    <row r="167" ht="15.75" customHeight="1" s="46"/>
    <row r="168" ht="15.75" customHeight="1" s="46"/>
    <row r="169" ht="15.75" customHeight="1" s="46"/>
    <row r="170" ht="15.75" customHeight="1" s="46"/>
    <row r="171" ht="15.75" customHeight="1" s="46"/>
    <row r="172" ht="15.75" customHeight="1" s="46"/>
    <row r="173" ht="15.75" customHeight="1" s="46"/>
    <row r="174" ht="15.75" customHeight="1" s="46"/>
    <row r="175" ht="15.75" customHeight="1" s="46"/>
    <row r="176" ht="15.75" customHeight="1" s="46"/>
    <row r="177" ht="15.75" customHeight="1" s="46"/>
    <row r="178" ht="15.75" customHeight="1" s="46"/>
    <row r="179" ht="15.75" customHeight="1" s="46"/>
    <row r="180" ht="15.75" customHeight="1" s="46"/>
    <row r="181" ht="15.75" customHeight="1" s="46"/>
    <row r="182" ht="15.75" customHeight="1" s="46"/>
    <row r="183" ht="15.75" customHeight="1" s="46"/>
    <row r="184" ht="15.75" customHeight="1" s="46"/>
    <row r="185" ht="15.75" customHeight="1" s="46"/>
    <row r="186" ht="15.75" customHeight="1" s="46"/>
    <row r="187" ht="15.75" customHeight="1" s="46"/>
    <row r="188" ht="15.75" customHeight="1" s="46"/>
    <row r="189" ht="15.75" customHeight="1" s="46"/>
    <row r="190" ht="15.75" customHeight="1" s="46"/>
    <row r="191" ht="15.75" customHeight="1" s="46"/>
    <row r="192" ht="15.75" customHeight="1" s="46"/>
    <row r="193" ht="15.75" customHeight="1" s="46"/>
    <row r="194" ht="15.75" customHeight="1" s="46"/>
    <row r="195" ht="15.75" customHeight="1" s="46"/>
    <row r="196" ht="15.75" customHeight="1" s="46"/>
    <row r="197" ht="15.75" customHeight="1" s="46"/>
    <row r="198" ht="15.75" customHeight="1" s="46"/>
    <row r="199" ht="15.75" customHeight="1" s="46"/>
    <row r="200" ht="15.75" customHeight="1" s="46"/>
    <row r="201" ht="15.75" customHeight="1" s="46"/>
    <row r="202" ht="15.75" customHeight="1" s="46"/>
    <row r="203" ht="15.75" customHeight="1" s="46"/>
    <row r="204" ht="15.75" customHeight="1" s="46"/>
    <row r="205" ht="15.75" customHeight="1" s="46"/>
    <row r="206" ht="15.75" customHeight="1" s="46"/>
    <row r="207" ht="15.75" customHeight="1" s="46"/>
    <row r="208" ht="15.75" customHeight="1" s="46"/>
    <row r="209" ht="15.75" customHeight="1" s="46"/>
    <row r="210" ht="15.75" customHeight="1" s="46"/>
    <row r="211" ht="15.75" customHeight="1" s="46"/>
    <row r="212" ht="15.75" customHeight="1" s="46"/>
    <row r="213" ht="15.75" customHeight="1" s="46"/>
    <row r="214" ht="15.75" customHeight="1" s="46"/>
    <row r="215" ht="15.75" customHeight="1" s="46"/>
    <row r="216" ht="15.75" customHeight="1" s="46"/>
    <row r="217" ht="15.75" customHeight="1" s="46"/>
    <row r="218" ht="15.75" customHeight="1" s="46"/>
    <row r="219" ht="15.75" customHeight="1" s="46"/>
    <row r="220" ht="15.75" customHeight="1" s="46"/>
    <row r="221" ht="15.75" customHeight="1" s="46"/>
    <row r="222" ht="15.75" customHeight="1" s="46"/>
    <row r="223" ht="15.75" customHeight="1" s="46"/>
    <row r="224" ht="15.75" customHeight="1" s="46"/>
    <row r="225" ht="15.75" customHeight="1" s="46"/>
    <row r="226" ht="15.75" customHeight="1" s="46"/>
    <row r="227" ht="15.75" customHeight="1" s="46"/>
    <row r="228" ht="15.75" customHeight="1" s="46"/>
    <row r="229" ht="15.75" customHeight="1" s="46"/>
    <row r="230" ht="15.75" customHeight="1" s="46"/>
    <row r="231" ht="15.75" customHeight="1" s="46"/>
    <row r="232" ht="15.75" customHeight="1" s="46"/>
    <row r="233" ht="15.75" customHeight="1" s="46"/>
    <row r="234" ht="15.75" customHeight="1" s="46"/>
    <row r="235" ht="15.75" customHeight="1" s="46"/>
    <row r="236" ht="15.75" customHeight="1" s="46"/>
    <row r="237" ht="15.75" customHeight="1" s="46"/>
    <row r="238" ht="15.75" customHeight="1" s="46"/>
    <row r="239" ht="15.75" customHeight="1" s="46"/>
    <row r="240" ht="15.75" customHeight="1" s="46"/>
    <row r="241" ht="15.75" customHeight="1" s="46"/>
    <row r="242" ht="15.75" customHeight="1" s="46"/>
    <row r="243" ht="15.75" customHeight="1" s="46"/>
    <row r="244" ht="15.75" customHeight="1" s="46"/>
    <row r="245" ht="15.75" customHeight="1" s="46"/>
    <row r="246" ht="15.75" customHeight="1" s="46"/>
    <row r="247" ht="15.75" customHeight="1" s="46"/>
    <row r="248" ht="15.75" customHeight="1" s="46"/>
    <row r="249" ht="15.75" customHeight="1" s="46"/>
    <row r="250" ht="15.75" customHeight="1" s="46"/>
    <row r="251" ht="15.75" customHeight="1" s="46"/>
    <row r="252" ht="15.75" customHeight="1" s="46"/>
    <row r="253" ht="15.75" customHeight="1" s="46"/>
    <row r="254" ht="15.75" customHeight="1" s="46"/>
    <row r="255" ht="15.75" customHeight="1" s="46"/>
    <row r="256" ht="15.75" customHeight="1" s="46"/>
    <row r="257" ht="15.75" customHeight="1" s="46"/>
    <row r="258" ht="15.75" customHeight="1" s="46"/>
    <row r="259" ht="15.75" customHeight="1" s="46"/>
    <row r="260" ht="15.75" customHeight="1" s="46"/>
    <row r="261" ht="15.75" customHeight="1" s="46"/>
    <row r="262" ht="15.75" customHeight="1" s="46"/>
    <row r="263" ht="15.75" customHeight="1" s="46"/>
    <row r="264" ht="15.75" customHeight="1" s="46"/>
    <row r="265" ht="15.75" customHeight="1" s="46"/>
    <row r="266" ht="15.75" customHeight="1" s="46"/>
    <row r="267" ht="15.75" customHeight="1" s="46"/>
    <row r="268" ht="15.75" customHeight="1" s="46"/>
    <row r="269" ht="15.75" customHeight="1" s="46"/>
    <row r="270" ht="15.75" customHeight="1" s="46"/>
    <row r="271" ht="15.75" customHeight="1" s="46"/>
    <row r="272" ht="15.75" customHeight="1" s="46"/>
    <row r="273" ht="15.75" customHeight="1" s="46"/>
    <row r="274" ht="15.75" customHeight="1" s="46"/>
    <row r="275" ht="15.75" customHeight="1" s="46"/>
    <row r="276" ht="15.75" customHeight="1" s="46"/>
    <row r="277" ht="15.75" customHeight="1" s="46"/>
    <row r="278" ht="15.75" customHeight="1" s="46"/>
    <row r="279" ht="15.75" customHeight="1" s="46"/>
    <row r="280" ht="15.75" customHeight="1" s="46"/>
    <row r="281" ht="15.75" customHeight="1" s="46"/>
    <row r="282" ht="15.75" customHeight="1" s="46"/>
    <row r="283" ht="15.75" customHeight="1" s="46"/>
    <row r="284" ht="15.75" customHeight="1" s="46"/>
    <row r="285" ht="15.75" customHeight="1" s="46"/>
    <row r="286" ht="15.75" customHeight="1" s="46"/>
    <row r="287" ht="15.75" customHeight="1" s="46"/>
    <row r="288" ht="15.75" customHeight="1" s="46"/>
    <row r="289" ht="15.75" customHeight="1" s="46"/>
    <row r="290" ht="15.75" customHeight="1" s="46"/>
    <row r="291" ht="15.75" customHeight="1" s="46"/>
    <row r="292" ht="15.75" customHeight="1" s="46"/>
    <row r="293" ht="15.75" customHeight="1" s="46"/>
    <row r="294" ht="15.75" customHeight="1" s="46"/>
    <row r="295" ht="15.75" customHeight="1" s="46"/>
    <row r="296" ht="15.75" customHeight="1" s="46"/>
    <row r="297" ht="15.75" customHeight="1" s="46"/>
    <row r="298" ht="15.75" customHeight="1" s="46"/>
    <row r="299" ht="15.75" customHeight="1" s="46"/>
    <row r="300" ht="15.75" customHeight="1" s="46"/>
    <row r="301" ht="15.75" customHeight="1" s="46"/>
    <row r="302" ht="15.75" customHeight="1" s="46"/>
    <row r="303" ht="15.75" customHeight="1" s="46"/>
    <row r="304" ht="15.75" customHeight="1" s="46"/>
    <row r="305" ht="15.75" customHeight="1" s="46"/>
    <row r="306" ht="15.75" customHeight="1" s="46"/>
    <row r="307" ht="15.75" customHeight="1" s="46"/>
    <row r="308" ht="15.75" customHeight="1" s="46"/>
    <row r="309" ht="15.75" customHeight="1" s="46"/>
    <row r="310" ht="15.75" customHeight="1" s="46"/>
    <row r="311" ht="15.75" customHeight="1" s="46"/>
    <row r="312" ht="15.75" customHeight="1" s="46"/>
    <row r="313" ht="15.75" customHeight="1" s="46"/>
    <row r="314" ht="15.75" customHeight="1" s="46"/>
    <row r="315" ht="15.75" customHeight="1" s="46"/>
    <row r="316" ht="15.75" customHeight="1" s="46"/>
    <row r="317" ht="15.75" customHeight="1" s="46"/>
    <row r="318" ht="15.75" customHeight="1" s="46"/>
    <row r="319" ht="15.75" customHeight="1" s="46"/>
    <row r="320" ht="15.75" customHeight="1" s="46"/>
    <row r="321" ht="15.75" customHeight="1" s="46"/>
    <row r="322" ht="15.75" customHeight="1" s="46"/>
    <row r="323" ht="15.75" customHeight="1" s="46"/>
    <row r="324" ht="15.75" customHeight="1" s="46"/>
    <row r="325" ht="15.75" customHeight="1" s="46"/>
    <row r="326" ht="15.75" customHeight="1" s="46"/>
    <row r="327" ht="15.75" customHeight="1" s="46"/>
    <row r="328" ht="15.75" customHeight="1" s="46"/>
    <row r="329" ht="15.75" customHeight="1" s="46"/>
    <row r="330" ht="15.75" customHeight="1" s="46"/>
    <row r="331" ht="15.75" customHeight="1" s="46"/>
    <row r="332" ht="15.75" customHeight="1" s="46"/>
    <row r="333" ht="15.75" customHeight="1" s="46"/>
    <row r="334" ht="15.75" customHeight="1" s="46"/>
    <row r="335" ht="15.75" customHeight="1" s="46"/>
    <row r="336" ht="15.75" customHeight="1" s="46"/>
    <row r="337" ht="15.75" customHeight="1" s="46"/>
    <row r="338" ht="15.75" customHeight="1" s="46"/>
    <row r="339" ht="15.75" customHeight="1" s="46"/>
    <row r="340" ht="15.75" customHeight="1" s="46"/>
    <row r="341" ht="15.75" customHeight="1" s="46"/>
    <row r="342" ht="15.75" customHeight="1" s="46"/>
    <row r="343" ht="15.75" customHeight="1" s="46"/>
    <row r="344" ht="15.75" customHeight="1" s="46"/>
    <row r="345" ht="15.75" customHeight="1" s="46"/>
    <row r="346" ht="15.75" customHeight="1" s="46"/>
    <row r="347" ht="15.75" customHeight="1" s="46"/>
    <row r="348" ht="15.75" customHeight="1" s="46"/>
    <row r="349" ht="15.75" customHeight="1" s="46"/>
    <row r="350" ht="15.75" customHeight="1" s="46"/>
    <row r="351" ht="15.75" customHeight="1" s="46"/>
    <row r="352" ht="15.75" customHeight="1" s="46"/>
    <row r="353" ht="15.75" customHeight="1" s="46"/>
    <row r="354" ht="15.75" customHeight="1" s="46"/>
    <row r="355" ht="15.75" customHeight="1" s="46"/>
    <row r="356" ht="15.75" customHeight="1" s="46"/>
    <row r="357" ht="15.75" customHeight="1" s="46"/>
    <row r="358" ht="15.75" customHeight="1" s="46"/>
    <row r="359" ht="15.75" customHeight="1" s="46"/>
    <row r="360" ht="15.75" customHeight="1" s="46"/>
    <row r="361" ht="15.75" customHeight="1" s="46"/>
    <row r="362" ht="15.75" customHeight="1" s="46"/>
    <row r="363" ht="15.75" customHeight="1" s="46"/>
    <row r="364" ht="15.75" customHeight="1" s="46"/>
    <row r="365" ht="15.75" customHeight="1" s="46"/>
    <row r="366" ht="15.75" customHeight="1" s="46"/>
    <row r="367" ht="15.75" customHeight="1" s="46"/>
    <row r="368" ht="15.75" customHeight="1" s="46"/>
    <row r="369" ht="15.75" customHeight="1" s="46"/>
    <row r="370" ht="15.75" customHeight="1" s="46"/>
    <row r="371" ht="15.75" customHeight="1" s="46"/>
    <row r="372" ht="15.75" customHeight="1" s="46"/>
    <row r="373" ht="15.75" customHeight="1" s="46"/>
    <row r="374" ht="15.75" customHeight="1" s="46"/>
    <row r="375" ht="15.75" customHeight="1" s="46"/>
    <row r="376" ht="15.75" customHeight="1" s="46"/>
    <row r="377" ht="15.75" customHeight="1" s="46"/>
    <row r="378" ht="15.75" customHeight="1" s="46"/>
    <row r="379" ht="15.75" customHeight="1" s="46"/>
    <row r="380" ht="15.75" customHeight="1" s="46"/>
    <row r="381" ht="15.75" customHeight="1" s="46"/>
    <row r="382" ht="15.75" customHeight="1" s="46"/>
    <row r="383" ht="15.75" customHeight="1" s="46"/>
    <row r="384" ht="15.75" customHeight="1" s="46"/>
    <row r="385" ht="15.75" customHeight="1" s="46"/>
    <row r="386" ht="15.75" customHeight="1" s="46"/>
    <row r="387" ht="15.75" customHeight="1" s="46"/>
    <row r="388" ht="15.75" customHeight="1" s="46"/>
    <row r="389" ht="15.75" customHeight="1" s="46"/>
    <row r="390" ht="15.75" customHeight="1" s="46"/>
    <row r="391" ht="15.75" customHeight="1" s="46"/>
    <row r="392" ht="15.75" customHeight="1" s="46"/>
    <row r="393" ht="15.75" customHeight="1" s="46"/>
    <row r="394" ht="15.75" customHeight="1" s="46"/>
    <row r="395" ht="15.75" customHeight="1" s="46"/>
    <row r="396" ht="15.75" customHeight="1" s="46"/>
    <row r="397" ht="15.75" customHeight="1" s="46"/>
    <row r="398" ht="15.75" customHeight="1" s="46"/>
    <row r="399" ht="15.75" customHeight="1" s="46"/>
    <row r="400" ht="15.75" customHeight="1" s="46"/>
    <row r="401" ht="15.75" customHeight="1" s="46"/>
    <row r="402" ht="15.75" customHeight="1" s="46"/>
    <row r="403" ht="15.75" customHeight="1" s="46"/>
    <row r="404" ht="15.75" customHeight="1" s="46"/>
    <row r="405" ht="15.75" customHeight="1" s="46"/>
    <row r="406" ht="15.75" customHeight="1" s="46"/>
    <row r="407" ht="15.75" customHeight="1" s="46"/>
    <row r="408" ht="15.75" customHeight="1" s="46"/>
    <row r="409" ht="15.75" customHeight="1" s="46"/>
    <row r="410" ht="15.75" customHeight="1" s="46"/>
    <row r="411" ht="15.75" customHeight="1" s="46"/>
    <row r="412" ht="15.75" customHeight="1" s="46"/>
    <row r="413" ht="15.75" customHeight="1" s="46"/>
    <row r="414" ht="15.75" customHeight="1" s="46"/>
    <row r="415" ht="15.75" customHeight="1" s="46"/>
    <row r="416" ht="15.75" customHeight="1" s="46"/>
    <row r="417" ht="15.75" customHeight="1" s="46"/>
    <row r="418" ht="15.75" customHeight="1" s="46"/>
    <row r="419" ht="15.75" customHeight="1" s="46"/>
    <row r="420" ht="15.75" customHeight="1" s="46"/>
    <row r="421" ht="15.75" customHeight="1" s="46"/>
    <row r="422" ht="15.75" customHeight="1" s="46"/>
    <row r="423" ht="15.75" customHeight="1" s="46"/>
    <row r="424" ht="15.75" customHeight="1" s="46"/>
    <row r="425" ht="15.75" customHeight="1" s="46"/>
    <row r="426" ht="15.75" customHeight="1" s="46"/>
    <row r="427" ht="15.75" customHeight="1" s="46"/>
    <row r="428" ht="15.75" customHeight="1" s="46"/>
    <row r="429" ht="15.75" customHeight="1" s="46"/>
    <row r="430" ht="15.75" customHeight="1" s="46"/>
    <row r="431" ht="15.75" customHeight="1" s="46"/>
    <row r="432" ht="15.75" customHeight="1" s="46"/>
    <row r="433" ht="15.75" customHeight="1" s="46"/>
    <row r="434" ht="15.75" customHeight="1" s="46"/>
    <row r="435" ht="15.75" customHeight="1" s="46"/>
    <row r="436" ht="15.75" customHeight="1" s="46"/>
    <row r="437" ht="15.75" customHeight="1" s="46"/>
    <row r="438" ht="15.75" customHeight="1" s="46"/>
    <row r="439" ht="15.75" customHeight="1" s="46"/>
    <row r="440" ht="15.75" customHeight="1" s="46"/>
    <row r="441" ht="15.75" customHeight="1" s="46"/>
    <row r="442" ht="15.75" customHeight="1" s="46"/>
    <row r="443" ht="15.75" customHeight="1" s="46"/>
    <row r="444" ht="15.75" customHeight="1" s="46"/>
    <row r="445" ht="15.75" customHeight="1" s="46"/>
    <row r="446" ht="15.75" customHeight="1" s="46"/>
    <row r="447" ht="15.75" customHeight="1" s="46"/>
    <row r="448" ht="15.75" customHeight="1" s="46"/>
    <row r="449" ht="15.75" customHeight="1" s="46"/>
    <row r="450" ht="15.75" customHeight="1" s="46"/>
    <row r="451" ht="15.75" customHeight="1" s="46"/>
    <row r="452" ht="15.75" customHeight="1" s="46"/>
    <row r="453" ht="15.75" customHeight="1" s="46"/>
    <row r="454" ht="15.75" customHeight="1" s="46"/>
    <row r="455" ht="15.75" customHeight="1" s="46"/>
    <row r="456" ht="15.75" customHeight="1" s="46"/>
    <row r="457" ht="15.75" customHeight="1" s="46"/>
    <row r="458" ht="15.75" customHeight="1" s="46"/>
    <row r="459" ht="15.75" customHeight="1" s="46"/>
    <row r="460" ht="15.75" customHeight="1" s="46"/>
    <row r="461" ht="15.75" customHeight="1" s="46"/>
    <row r="462" ht="15.75" customHeight="1" s="46"/>
    <row r="463" ht="15.75" customHeight="1" s="46"/>
    <row r="464" ht="15.75" customHeight="1" s="46"/>
    <row r="465" ht="15.75" customHeight="1" s="46"/>
    <row r="466" ht="15.75" customHeight="1" s="46"/>
    <row r="467" ht="15.75" customHeight="1" s="46"/>
    <row r="468" ht="15.75" customHeight="1" s="46"/>
    <row r="469" ht="15.75" customHeight="1" s="46"/>
    <row r="470" ht="15.75" customHeight="1" s="46"/>
    <row r="471" ht="15.75" customHeight="1" s="46"/>
    <row r="472" ht="15.75" customHeight="1" s="46"/>
    <row r="473" ht="15.75" customHeight="1" s="46"/>
    <row r="474" ht="15.75" customHeight="1" s="46"/>
    <row r="475" ht="15.75" customHeight="1" s="46"/>
    <row r="476" ht="15.75" customHeight="1" s="46"/>
    <row r="477" ht="15.75" customHeight="1" s="46"/>
    <row r="478" ht="15.75" customHeight="1" s="46"/>
    <row r="479" ht="15.75" customHeight="1" s="46"/>
    <row r="480" ht="15.75" customHeight="1" s="46"/>
    <row r="481" ht="15.75" customHeight="1" s="46"/>
    <row r="482" ht="15.75" customHeight="1" s="46"/>
    <row r="483" ht="15.75" customHeight="1" s="46"/>
    <row r="484" ht="15.75" customHeight="1" s="46"/>
    <row r="485" ht="15.75" customHeight="1" s="46"/>
    <row r="486" ht="15.75" customHeight="1" s="46"/>
    <row r="487" ht="15.75" customHeight="1" s="46"/>
    <row r="488" ht="15.75" customHeight="1" s="46"/>
    <row r="489" ht="15.75" customHeight="1" s="46"/>
    <row r="490" ht="15.75" customHeight="1" s="46"/>
    <row r="491" ht="15.75" customHeight="1" s="46"/>
    <row r="492" ht="15.75" customHeight="1" s="46"/>
    <row r="493" ht="15.75" customHeight="1" s="46"/>
    <row r="494" ht="15.75" customHeight="1" s="46"/>
    <row r="495" ht="15.75" customHeight="1" s="46"/>
    <row r="496" ht="15.75" customHeight="1" s="46"/>
    <row r="497" ht="15.75" customHeight="1" s="46"/>
    <row r="498" ht="15.75" customHeight="1" s="46"/>
    <row r="499" ht="15.75" customHeight="1" s="46"/>
    <row r="500" ht="15.75" customHeight="1" s="46"/>
    <row r="501" ht="15.75" customHeight="1" s="46"/>
    <row r="502" ht="15.75" customHeight="1" s="46"/>
    <row r="503" ht="15.75" customHeight="1" s="46"/>
    <row r="504" ht="15.75" customHeight="1" s="46"/>
    <row r="505" ht="15.75" customHeight="1" s="46"/>
    <row r="506" ht="15.75" customHeight="1" s="46"/>
    <row r="507" ht="15.75" customHeight="1" s="46"/>
    <row r="508" ht="15.75" customHeight="1" s="46"/>
    <row r="509" ht="15.75" customHeight="1" s="46"/>
    <row r="510" ht="15.75" customHeight="1" s="46"/>
    <row r="511" ht="15.75" customHeight="1" s="46"/>
    <row r="512" ht="15.75" customHeight="1" s="46"/>
    <row r="513" ht="15.75" customHeight="1" s="46"/>
    <row r="514" ht="15.75" customHeight="1" s="46"/>
    <row r="515" ht="15.75" customHeight="1" s="46"/>
    <row r="516" ht="15.75" customHeight="1" s="46"/>
    <row r="517" ht="15.75" customHeight="1" s="46"/>
    <row r="518" ht="15.75" customHeight="1" s="46"/>
    <row r="519" ht="15.75" customHeight="1" s="46"/>
    <row r="520" ht="15.75" customHeight="1" s="46"/>
    <row r="521" ht="15.75" customHeight="1" s="46"/>
    <row r="522" ht="15.75" customHeight="1" s="46"/>
    <row r="523" ht="15.75" customHeight="1" s="46"/>
    <row r="524" ht="15.75" customHeight="1" s="46"/>
    <row r="525" ht="15.75" customHeight="1" s="46"/>
    <row r="526" ht="15.75" customHeight="1" s="46"/>
    <row r="527" ht="15.75" customHeight="1" s="46"/>
    <row r="528" ht="15.75" customHeight="1" s="46"/>
    <row r="529" ht="15.75" customHeight="1" s="46"/>
    <row r="530" ht="15.75" customHeight="1" s="46"/>
    <row r="531" ht="15.75" customHeight="1" s="46"/>
    <row r="532" ht="15.75" customHeight="1" s="46"/>
    <row r="533" ht="15.75" customHeight="1" s="46"/>
    <row r="534" ht="15.75" customHeight="1" s="46"/>
    <row r="535" ht="15.75" customHeight="1" s="46"/>
    <row r="536" ht="15.75" customHeight="1" s="46"/>
    <row r="537" ht="15.75" customHeight="1" s="46"/>
    <row r="538" ht="15.75" customHeight="1" s="46"/>
    <row r="539" ht="15.75" customHeight="1" s="46"/>
    <row r="540" ht="15.75" customHeight="1" s="46"/>
    <row r="541" ht="15.75" customHeight="1" s="46"/>
    <row r="542" ht="15.75" customHeight="1" s="46"/>
    <row r="543" ht="15.75" customHeight="1" s="46"/>
    <row r="544" ht="15.75" customHeight="1" s="46"/>
    <row r="545" ht="15.75" customHeight="1" s="46"/>
    <row r="546" ht="15.75" customHeight="1" s="46"/>
    <row r="547" ht="15.75" customHeight="1" s="46"/>
    <row r="548" ht="15.75" customHeight="1" s="46"/>
    <row r="549" ht="15.75" customHeight="1" s="46"/>
    <row r="550" ht="15.75" customHeight="1" s="46"/>
    <row r="551" ht="15.75" customHeight="1" s="46"/>
    <row r="552" ht="15.75" customHeight="1" s="46"/>
    <row r="553" ht="15.75" customHeight="1" s="46"/>
    <row r="554" ht="15.75" customHeight="1" s="46"/>
    <row r="555" ht="15.75" customHeight="1" s="46"/>
    <row r="556" ht="15.75" customHeight="1" s="46"/>
    <row r="557" ht="15.75" customHeight="1" s="46"/>
    <row r="558" ht="15.75" customHeight="1" s="46"/>
    <row r="559" ht="15.75" customHeight="1" s="46"/>
    <row r="560" ht="15.75" customHeight="1" s="46"/>
    <row r="561" ht="15.75" customHeight="1" s="46"/>
    <row r="562" ht="15.75" customHeight="1" s="46"/>
    <row r="563" ht="15.75" customHeight="1" s="46"/>
    <row r="564" ht="15.75" customHeight="1" s="46"/>
    <row r="565" ht="15.75" customHeight="1" s="46"/>
    <row r="566" ht="15.75" customHeight="1" s="46"/>
    <row r="567" ht="15.75" customHeight="1" s="46"/>
    <row r="568" ht="15.75" customHeight="1" s="46"/>
    <row r="569" ht="15.75" customHeight="1" s="46"/>
    <row r="570" ht="15.75" customHeight="1" s="46"/>
    <row r="571" ht="15.75" customHeight="1" s="46"/>
    <row r="572" ht="15.75" customHeight="1" s="46"/>
    <row r="573" ht="15.75" customHeight="1" s="46"/>
    <row r="574" ht="15.75" customHeight="1" s="46"/>
    <row r="575" ht="15.75" customHeight="1" s="46"/>
    <row r="576" ht="15.75" customHeight="1" s="46"/>
    <row r="577" ht="15.75" customHeight="1" s="46"/>
    <row r="578" ht="15.75" customHeight="1" s="46"/>
    <row r="579" ht="15.75" customHeight="1" s="46"/>
    <row r="580" ht="15.75" customHeight="1" s="46"/>
    <row r="581" ht="15.75" customHeight="1" s="46"/>
    <row r="582" ht="15.75" customHeight="1" s="46"/>
    <row r="583" ht="15.75" customHeight="1" s="46"/>
    <row r="584" ht="15.75" customHeight="1" s="46"/>
    <row r="585" ht="15.75" customHeight="1" s="46"/>
    <row r="586" ht="15.75" customHeight="1" s="46"/>
    <row r="587" ht="15.75" customHeight="1" s="46"/>
    <row r="588" ht="15.75" customHeight="1" s="46"/>
    <row r="589" ht="15.75" customHeight="1" s="46"/>
    <row r="590" ht="15.75" customHeight="1" s="46"/>
    <row r="591" ht="15.75" customHeight="1" s="46"/>
    <row r="592" ht="15.75" customHeight="1" s="46"/>
    <row r="593" ht="15.75" customHeight="1" s="46"/>
    <row r="594" ht="15.75" customHeight="1" s="46"/>
    <row r="595" ht="15.75" customHeight="1" s="46"/>
    <row r="596" ht="15.75" customHeight="1" s="46"/>
    <row r="597" ht="15.75" customHeight="1" s="46"/>
    <row r="598" ht="15.75" customHeight="1" s="46"/>
    <row r="599" ht="15.75" customHeight="1" s="46"/>
    <row r="600" ht="15.75" customHeight="1" s="46"/>
    <row r="601" ht="15.75" customHeight="1" s="46"/>
    <row r="602" ht="15.75" customHeight="1" s="46"/>
    <row r="603" ht="15.75" customHeight="1" s="46"/>
    <row r="604" ht="15.75" customHeight="1" s="46"/>
    <row r="605" ht="15.75" customHeight="1" s="46"/>
    <row r="606" ht="15.75" customHeight="1" s="46"/>
    <row r="607" ht="15.75" customHeight="1" s="46"/>
    <row r="608" ht="15.75" customHeight="1" s="46"/>
    <row r="609" ht="15.75" customHeight="1" s="46"/>
    <row r="610" ht="15.75" customHeight="1" s="46"/>
    <row r="611" ht="15.75" customHeight="1" s="46"/>
    <row r="612" ht="15.75" customHeight="1" s="46"/>
    <row r="613" ht="15.75" customHeight="1" s="46"/>
    <row r="614" ht="15.75" customHeight="1" s="46"/>
    <row r="615" ht="15.75" customHeight="1" s="46"/>
    <row r="616" ht="15.75" customHeight="1" s="46"/>
    <row r="617" ht="15.75" customHeight="1" s="46"/>
    <row r="618" ht="15.75" customHeight="1" s="46"/>
    <row r="619" ht="15.75" customHeight="1" s="46"/>
    <row r="620" ht="15.75" customHeight="1" s="46"/>
    <row r="621" ht="15.75" customHeight="1" s="46"/>
    <row r="622" ht="15.75" customHeight="1" s="46"/>
    <row r="623" ht="15.75" customHeight="1" s="46"/>
    <row r="624" ht="15.75" customHeight="1" s="46"/>
    <row r="625" ht="15.75" customHeight="1" s="46"/>
    <row r="626" ht="15.75" customHeight="1" s="46"/>
    <row r="627" ht="15.75" customHeight="1" s="46"/>
    <row r="628" ht="15.75" customHeight="1" s="46"/>
    <row r="629" ht="15.75" customHeight="1" s="46"/>
    <row r="630" ht="15.75" customHeight="1" s="46"/>
    <row r="631" ht="15.75" customHeight="1" s="46"/>
    <row r="632" ht="15.75" customHeight="1" s="46"/>
    <row r="633" ht="15.75" customHeight="1" s="46"/>
    <row r="634" ht="15.75" customHeight="1" s="46"/>
    <row r="635" ht="15.75" customHeight="1" s="46"/>
    <row r="636" ht="15.75" customHeight="1" s="46"/>
    <row r="637" ht="15.75" customHeight="1" s="46"/>
    <row r="638" ht="15.75" customHeight="1" s="46"/>
    <row r="639" ht="15.75" customHeight="1" s="46"/>
    <row r="640" ht="15.75" customHeight="1" s="46"/>
    <row r="641" ht="15.75" customHeight="1" s="46"/>
    <row r="642" ht="15.75" customHeight="1" s="46"/>
    <row r="643" ht="15.75" customHeight="1" s="46"/>
    <row r="644" ht="15.75" customHeight="1" s="46"/>
    <row r="645" ht="15.75" customHeight="1" s="46"/>
    <row r="646" ht="15.75" customHeight="1" s="46"/>
    <row r="647" ht="15.75" customHeight="1" s="46"/>
    <row r="648" ht="15.75" customHeight="1" s="46"/>
    <row r="649" ht="15.75" customHeight="1" s="46"/>
    <row r="650" ht="15.75" customHeight="1" s="46"/>
    <row r="651" ht="15.75" customHeight="1" s="46"/>
    <row r="652" ht="15.75" customHeight="1" s="46"/>
    <row r="653" ht="15.75" customHeight="1" s="46"/>
    <row r="654" ht="15.75" customHeight="1" s="46"/>
    <row r="655" ht="15.75" customHeight="1" s="46"/>
    <row r="656" ht="15.75" customHeight="1" s="46"/>
    <row r="657" ht="15.75" customHeight="1" s="46"/>
    <row r="658" ht="15.75" customHeight="1" s="46"/>
    <row r="659" ht="15.75" customHeight="1" s="46"/>
    <row r="660" ht="15.75" customHeight="1" s="46"/>
    <row r="661" ht="15.75" customHeight="1" s="46"/>
    <row r="662" ht="15.75" customHeight="1" s="46"/>
    <row r="663" ht="15.75" customHeight="1" s="46"/>
    <row r="664" ht="15.75" customHeight="1" s="46"/>
    <row r="665" ht="15.75" customHeight="1" s="46"/>
    <row r="666" ht="15.75" customHeight="1" s="46"/>
    <row r="667" ht="15.75" customHeight="1" s="46"/>
    <row r="668" ht="15.75" customHeight="1" s="46"/>
    <row r="669" ht="15.75" customHeight="1" s="46"/>
    <row r="670" ht="15.75" customHeight="1" s="46"/>
    <row r="671" ht="15.75" customHeight="1" s="46"/>
    <row r="672" ht="15.75" customHeight="1" s="46"/>
    <row r="673" ht="15.75" customHeight="1" s="46"/>
    <row r="674" ht="15.75" customHeight="1" s="46"/>
    <row r="675" ht="15.75" customHeight="1" s="46"/>
    <row r="676" ht="15.75" customHeight="1" s="46"/>
    <row r="677" ht="15.75" customHeight="1" s="46"/>
    <row r="678" ht="15.75" customHeight="1" s="46"/>
    <row r="679" ht="15.75" customHeight="1" s="46"/>
    <row r="680" ht="15.75" customHeight="1" s="46"/>
    <row r="681" ht="15.75" customHeight="1" s="46"/>
    <row r="682" ht="15.75" customHeight="1" s="46"/>
    <row r="683" ht="15.75" customHeight="1" s="46"/>
    <row r="684" ht="15.75" customHeight="1" s="46"/>
    <row r="685" ht="15.75" customHeight="1" s="46"/>
    <row r="686" ht="15.75" customHeight="1" s="46"/>
    <row r="687" ht="15.75" customHeight="1" s="46"/>
    <row r="688" ht="15.75" customHeight="1" s="46"/>
    <row r="689" ht="15.75" customHeight="1" s="46"/>
    <row r="690" ht="15.75" customHeight="1" s="46"/>
    <row r="691" ht="15.75" customHeight="1" s="46"/>
    <row r="692" ht="15.75" customHeight="1" s="46"/>
    <row r="693" ht="15.75" customHeight="1" s="46"/>
    <row r="694" ht="15.75" customHeight="1" s="46"/>
    <row r="695" ht="15.75" customHeight="1" s="46"/>
    <row r="696" ht="15.75" customHeight="1" s="46"/>
    <row r="697" ht="15.75" customHeight="1" s="46"/>
    <row r="698" ht="15.75" customHeight="1" s="46"/>
    <row r="699" ht="15.75" customHeight="1" s="46"/>
    <row r="700" ht="15.75" customHeight="1" s="46"/>
    <row r="701" ht="15.75" customHeight="1" s="46"/>
    <row r="702" ht="15.75" customHeight="1" s="46"/>
    <row r="703" ht="15.75" customHeight="1" s="46"/>
    <row r="704" ht="15.75" customHeight="1" s="46"/>
    <row r="705" ht="15.75" customHeight="1" s="46"/>
    <row r="706" ht="15.75" customHeight="1" s="46"/>
    <row r="707" ht="15.75" customHeight="1" s="46"/>
    <row r="708" ht="15.75" customHeight="1" s="46"/>
    <row r="709" ht="15.75" customHeight="1" s="46"/>
    <row r="710" ht="15.75" customHeight="1" s="46"/>
    <row r="711" ht="15.75" customHeight="1" s="46"/>
    <row r="712" ht="15.75" customHeight="1" s="46"/>
    <row r="713" ht="15.75" customHeight="1" s="46"/>
    <row r="714" ht="15.75" customHeight="1" s="46"/>
    <row r="715" ht="15.75" customHeight="1" s="46"/>
    <row r="716" ht="15.75" customHeight="1" s="46"/>
    <row r="717" ht="15.75" customHeight="1" s="46"/>
    <row r="718" ht="15.75" customHeight="1" s="46"/>
    <row r="719" ht="15.75" customHeight="1" s="46"/>
    <row r="720" ht="15.75" customHeight="1" s="46"/>
    <row r="721" ht="15.75" customHeight="1" s="46"/>
    <row r="722" ht="15.75" customHeight="1" s="46"/>
    <row r="723" ht="15.75" customHeight="1" s="46"/>
    <row r="724" ht="15.75" customHeight="1" s="46"/>
    <row r="725" ht="15.75" customHeight="1" s="46"/>
    <row r="726" ht="15.75" customHeight="1" s="46"/>
    <row r="727" ht="15.75" customHeight="1" s="46"/>
    <row r="728" ht="15.75" customHeight="1" s="46"/>
    <row r="729" ht="15.75" customHeight="1" s="46"/>
    <row r="730" ht="15.75" customHeight="1" s="46"/>
    <row r="731" ht="15.75" customHeight="1" s="46"/>
    <row r="732" ht="15.75" customHeight="1" s="46"/>
    <row r="733" ht="15.75" customHeight="1" s="46"/>
    <row r="734" ht="15.75" customHeight="1" s="46"/>
    <row r="735" ht="15.75" customHeight="1" s="46"/>
    <row r="736" ht="15.75" customHeight="1" s="46"/>
    <row r="737" ht="15.75" customHeight="1" s="46"/>
    <row r="738" ht="15.75" customHeight="1" s="46"/>
    <row r="739" ht="15.75" customHeight="1" s="46"/>
    <row r="740" ht="15.75" customHeight="1" s="46"/>
    <row r="741" ht="15.75" customHeight="1" s="46"/>
    <row r="742" ht="15.75" customHeight="1" s="46"/>
    <row r="743" ht="15.75" customHeight="1" s="46"/>
    <row r="744" ht="15.75" customHeight="1" s="46"/>
    <row r="745" ht="15.75" customHeight="1" s="46"/>
    <row r="746" ht="15.75" customHeight="1" s="46"/>
    <row r="747" ht="15.75" customHeight="1" s="46"/>
    <row r="748" ht="15.75" customHeight="1" s="46"/>
    <row r="749" ht="15.75" customHeight="1" s="46"/>
    <row r="750" ht="15.75" customHeight="1" s="46"/>
    <row r="751" ht="15.75" customHeight="1" s="46"/>
    <row r="752" ht="15.75" customHeight="1" s="46"/>
    <row r="753" ht="15.75" customHeight="1" s="46"/>
    <row r="754" ht="15.75" customHeight="1" s="46"/>
    <row r="755" ht="15.75" customHeight="1" s="46"/>
    <row r="756" ht="15.75" customHeight="1" s="46"/>
    <row r="757" ht="15.75" customHeight="1" s="46"/>
    <row r="758" ht="15.75" customHeight="1" s="46"/>
    <row r="759" ht="15.75" customHeight="1" s="46"/>
    <row r="760" ht="15.75" customHeight="1" s="46"/>
    <row r="761" ht="15.75" customHeight="1" s="46"/>
    <row r="762" ht="15.75" customHeight="1" s="46"/>
    <row r="763" ht="15.75" customHeight="1" s="46"/>
    <row r="764" ht="15.75" customHeight="1" s="46"/>
    <row r="765" ht="15.75" customHeight="1" s="46"/>
    <row r="766" ht="15.75" customHeight="1" s="46"/>
    <row r="767" ht="15.75" customHeight="1" s="46"/>
    <row r="768" ht="15.75" customHeight="1" s="46"/>
    <row r="769" ht="15.75" customHeight="1" s="46"/>
    <row r="770" ht="15.75" customHeight="1" s="46"/>
    <row r="771" ht="15.75" customHeight="1" s="46"/>
    <row r="772" ht="15.75" customHeight="1" s="46"/>
    <row r="773" ht="15.75" customHeight="1" s="46"/>
    <row r="774" ht="15.75" customHeight="1" s="46"/>
    <row r="775" ht="15.75" customHeight="1" s="46"/>
    <row r="776" ht="15.75" customHeight="1" s="46"/>
    <row r="777" ht="15.75" customHeight="1" s="46"/>
    <row r="778" ht="15.75" customHeight="1" s="46"/>
    <row r="779" ht="15.75" customHeight="1" s="46"/>
    <row r="780" ht="15.75" customHeight="1" s="46"/>
    <row r="781" ht="15.75" customHeight="1" s="46"/>
    <row r="782" ht="15.75" customHeight="1" s="46"/>
    <row r="783" ht="15.75" customHeight="1" s="46"/>
    <row r="784" ht="15.75" customHeight="1" s="46"/>
    <row r="785" ht="15.75" customHeight="1" s="46"/>
    <row r="786" ht="15.75" customHeight="1" s="46"/>
    <row r="787" ht="15.75" customHeight="1" s="46"/>
    <row r="788" ht="15.75" customHeight="1" s="46"/>
    <row r="789" ht="15.75" customHeight="1" s="46"/>
    <row r="790" ht="15.75" customHeight="1" s="46"/>
    <row r="791" ht="15.75" customHeight="1" s="46"/>
    <row r="792" ht="15.75" customHeight="1" s="46"/>
    <row r="793" ht="15.75" customHeight="1" s="46"/>
    <row r="794" ht="15.75" customHeight="1" s="46"/>
    <row r="795" ht="15.75" customHeight="1" s="46"/>
    <row r="796" ht="15.75" customHeight="1" s="46"/>
    <row r="797" ht="15.75" customHeight="1" s="46"/>
    <row r="798" ht="15.75" customHeight="1" s="46"/>
    <row r="799" ht="15.75" customHeight="1" s="46"/>
    <row r="800" ht="15.75" customHeight="1" s="46"/>
    <row r="801" ht="15.75" customHeight="1" s="46"/>
    <row r="802" ht="15.75" customHeight="1" s="46"/>
    <row r="803" ht="15.75" customHeight="1" s="46"/>
    <row r="804" ht="15.75" customHeight="1" s="46"/>
    <row r="805" ht="15.75" customHeight="1" s="46"/>
    <row r="806" ht="15.75" customHeight="1" s="46"/>
    <row r="807" ht="15.75" customHeight="1" s="46"/>
    <row r="808" ht="15.75" customHeight="1" s="46"/>
    <row r="809" ht="15.75" customHeight="1" s="46"/>
    <row r="810" ht="15.75" customHeight="1" s="46"/>
    <row r="811" ht="15.75" customHeight="1" s="46"/>
    <row r="812" ht="15.75" customHeight="1" s="46"/>
    <row r="813" ht="15.75" customHeight="1" s="46"/>
    <row r="814" ht="15.75" customHeight="1" s="46"/>
    <row r="815" ht="15.75" customHeight="1" s="46"/>
    <row r="816" ht="15.75" customHeight="1" s="46"/>
    <row r="817" ht="15.75" customHeight="1" s="46"/>
    <row r="818" ht="15.75" customHeight="1" s="46"/>
    <row r="819" ht="15.75" customHeight="1" s="46"/>
    <row r="820" ht="15.75" customHeight="1" s="46"/>
    <row r="821" ht="15.75" customHeight="1" s="46"/>
    <row r="822" ht="15.75" customHeight="1" s="46"/>
    <row r="823" ht="15.75" customHeight="1" s="46"/>
    <row r="824" ht="15.75" customHeight="1" s="46"/>
    <row r="825" ht="15.75" customHeight="1" s="46"/>
    <row r="826" ht="15.75" customHeight="1" s="46"/>
    <row r="827" ht="15.75" customHeight="1" s="46"/>
    <row r="828" ht="15.75" customHeight="1" s="46"/>
    <row r="829" ht="15.75" customHeight="1" s="46"/>
    <row r="830" ht="15.75" customHeight="1" s="46"/>
    <row r="831" ht="15.75" customHeight="1" s="46"/>
    <row r="832" ht="15.75" customHeight="1" s="46"/>
    <row r="833" ht="15.75" customHeight="1" s="46"/>
    <row r="834" ht="15.75" customHeight="1" s="46"/>
    <row r="835" ht="15.75" customHeight="1" s="46"/>
    <row r="836" ht="15.75" customHeight="1" s="46"/>
    <row r="837" ht="15.75" customHeight="1" s="46"/>
    <row r="838" ht="15.75" customHeight="1" s="46"/>
    <row r="839" ht="15.75" customHeight="1" s="46"/>
    <row r="840" ht="15.75" customHeight="1" s="46"/>
    <row r="841" ht="15.75" customHeight="1" s="46"/>
    <row r="842" ht="15.75" customHeight="1" s="46"/>
    <row r="843" ht="15.75" customHeight="1" s="46"/>
    <row r="844" ht="15.75" customHeight="1" s="46"/>
    <row r="845" ht="15.75" customHeight="1" s="46"/>
    <row r="846" ht="15.75" customHeight="1" s="46"/>
    <row r="847" ht="15.75" customHeight="1" s="46"/>
    <row r="848" ht="15.75" customHeight="1" s="46"/>
    <row r="849" ht="15.75" customHeight="1" s="46"/>
    <row r="850" ht="15.75" customHeight="1" s="46"/>
    <row r="851" ht="15.75" customHeight="1" s="46"/>
    <row r="852" ht="15.75" customHeight="1" s="46"/>
    <row r="853" ht="15.75" customHeight="1" s="46"/>
    <row r="854" ht="15.75" customHeight="1" s="46"/>
    <row r="855" ht="15.75" customHeight="1" s="46"/>
    <row r="856" ht="15.75" customHeight="1" s="46"/>
    <row r="857" ht="15.75" customHeight="1" s="46"/>
    <row r="858" ht="15.75" customHeight="1" s="46"/>
    <row r="859" ht="15.75" customHeight="1" s="46"/>
    <row r="860" ht="15.75" customHeight="1" s="46"/>
    <row r="861" ht="15.75" customHeight="1" s="46"/>
    <row r="862" ht="15.75" customHeight="1" s="46"/>
    <row r="863" ht="15.75" customHeight="1" s="46"/>
    <row r="864" ht="15.75" customHeight="1" s="46"/>
    <row r="865" ht="15.75" customHeight="1" s="46"/>
    <row r="866" ht="15.75" customHeight="1" s="46"/>
    <row r="867" ht="15.75" customHeight="1" s="46"/>
    <row r="868" ht="15.75" customHeight="1" s="46"/>
    <row r="869" ht="15.75" customHeight="1" s="46"/>
    <row r="870" ht="15.75" customHeight="1" s="46"/>
    <row r="871" ht="15.75" customHeight="1" s="46"/>
    <row r="872" ht="15.75" customHeight="1" s="46"/>
    <row r="873" ht="15.75" customHeight="1" s="46"/>
    <row r="874" ht="15.75" customHeight="1" s="46"/>
    <row r="875" ht="15.75" customHeight="1" s="46"/>
    <row r="876" ht="15.75" customHeight="1" s="46"/>
    <row r="877" ht="15.75" customHeight="1" s="46"/>
    <row r="878" ht="15.75" customHeight="1" s="46"/>
    <row r="879" ht="15.75" customHeight="1" s="46"/>
    <row r="880" ht="15.75" customHeight="1" s="46"/>
    <row r="881" ht="15.75" customHeight="1" s="46"/>
    <row r="882" ht="15.75" customHeight="1" s="46"/>
    <row r="883" ht="15.75" customHeight="1" s="46"/>
    <row r="884" ht="15.75" customHeight="1" s="46"/>
    <row r="885" ht="15.75" customHeight="1" s="46"/>
    <row r="886" ht="15.75" customHeight="1" s="46"/>
    <row r="887" ht="15.75" customHeight="1" s="46"/>
    <row r="888" ht="15.75" customHeight="1" s="46"/>
    <row r="889" ht="15.75" customHeight="1" s="46"/>
    <row r="890" ht="15.75" customHeight="1" s="46"/>
    <row r="891" ht="15.75" customHeight="1" s="46"/>
    <row r="892" ht="15.75" customHeight="1" s="46"/>
    <row r="893" ht="15.75" customHeight="1" s="46"/>
    <row r="894" ht="15.75" customHeight="1" s="46"/>
    <row r="895" ht="15.75" customHeight="1" s="46"/>
    <row r="896" ht="15.75" customHeight="1" s="46"/>
    <row r="897" ht="15.75" customHeight="1" s="46"/>
    <row r="898" ht="15.75" customHeight="1" s="46"/>
    <row r="899" ht="15.75" customHeight="1" s="46"/>
    <row r="900" ht="15.75" customHeight="1" s="46"/>
    <row r="901" ht="15.75" customHeight="1" s="46"/>
    <row r="902" ht="15.75" customHeight="1" s="46"/>
    <row r="903" ht="15.75" customHeight="1" s="46"/>
    <row r="904" ht="15.75" customHeight="1" s="46"/>
    <row r="905" ht="15.75" customHeight="1" s="46"/>
    <row r="906" ht="15.75" customHeight="1" s="46"/>
    <row r="907" ht="15.75" customHeight="1" s="46"/>
    <row r="908" ht="15.75" customHeight="1" s="46"/>
    <row r="909" ht="15.75" customHeight="1" s="46"/>
    <row r="910" ht="15.75" customHeight="1" s="46"/>
    <row r="911" ht="15.75" customHeight="1" s="46"/>
    <row r="912" ht="15.75" customHeight="1" s="46"/>
    <row r="913" ht="15.75" customHeight="1" s="46"/>
    <row r="914" ht="15.75" customHeight="1" s="46"/>
    <row r="915" ht="15.75" customHeight="1" s="46"/>
    <row r="916" ht="15.75" customHeight="1" s="46"/>
    <row r="917" ht="15.75" customHeight="1" s="46"/>
    <row r="918" ht="15.75" customHeight="1" s="46"/>
    <row r="919" ht="15.75" customHeight="1" s="46"/>
    <row r="920" ht="15.75" customHeight="1" s="46"/>
    <row r="921" ht="15.75" customHeight="1" s="46"/>
    <row r="922" ht="15.75" customHeight="1" s="46"/>
    <row r="923" ht="15.75" customHeight="1" s="46"/>
    <row r="924" ht="15.75" customHeight="1" s="46"/>
    <row r="925" ht="15.75" customHeight="1" s="46"/>
    <row r="926" ht="15.75" customHeight="1" s="46"/>
    <row r="927" ht="15.75" customHeight="1" s="46"/>
    <row r="928" ht="15.75" customHeight="1" s="46"/>
    <row r="929" ht="15.75" customHeight="1" s="46"/>
    <row r="930" ht="15.75" customHeight="1" s="46"/>
    <row r="931" ht="15.75" customHeight="1" s="46"/>
    <row r="932" ht="15.75" customHeight="1" s="46"/>
    <row r="933" ht="15.75" customHeight="1" s="46"/>
    <row r="934" ht="15.75" customHeight="1" s="46"/>
    <row r="935" ht="15.75" customHeight="1" s="46"/>
    <row r="936" ht="15.75" customHeight="1" s="46"/>
    <row r="937" ht="15.75" customHeight="1" s="46"/>
    <row r="938" ht="15.75" customHeight="1" s="46"/>
    <row r="939" ht="15.75" customHeight="1" s="46"/>
    <row r="940" ht="15.75" customHeight="1" s="46"/>
    <row r="941" ht="15.75" customHeight="1" s="46"/>
    <row r="942" ht="15.75" customHeight="1" s="46"/>
    <row r="943" ht="15.75" customHeight="1" s="46"/>
    <row r="944" ht="15.75" customHeight="1" s="46"/>
    <row r="945" ht="15.75" customHeight="1" s="46"/>
    <row r="946" ht="15.75" customHeight="1" s="46"/>
    <row r="947" ht="15.75" customHeight="1" s="46"/>
    <row r="948" ht="15.75" customHeight="1" s="46"/>
    <row r="949" ht="15.75" customHeight="1" s="46"/>
    <row r="950" ht="15.75" customHeight="1" s="46"/>
    <row r="951" ht="15.75" customHeight="1" s="46"/>
    <row r="952" ht="15.75" customHeight="1" s="46"/>
    <row r="953" ht="15.75" customHeight="1" s="46"/>
    <row r="954" ht="15.75" customHeight="1" s="46"/>
    <row r="955" ht="15.75" customHeight="1" s="46"/>
    <row r="956" ht="15.75" customHeight="1" s="46"/>
    <row r="957" ht="15.75" customHeight="1" s="46"/>
    <row r="958" ht="15.75" customHeight="1" s="46"/>
    <row r="959" ht="15.75" customHeight="1" s="46"/>
    <row r="960" ht="15.75" customHeight="1" s="46"/>
    <row r="961" ht="15.75" customHeight="1" s="46"/>
    <row r="962" ht="15.75" customHeight="1" s="46"/>
    <row r="963" ht="15.75" customHeight="1" s="46"/>
    <row r="964" ht="15.75" customHeight="1" s="46"/>
    <row r="965" ht="15.75" customHeight="1" s="46"/>
    <row r="966" ht="15.75" customHeight="1" s="46"/>
    <row r="967" ht="15.75" customHeight="1" s="46"/>
    <row r="968" ht="15.75" customHeight="1" s="46"/>
    <row r="969" ht="15.75" customHeight="1" s="46"/>
    <row r="970" ht="15.75" customHeight="1" s="46"/>
    <row r="971" ht="15.75" customHeight="1" s="46"/>
    <row r="972" ht="15.75" customHeight="1" s="46"/>
    <row r="973" ht="15.75" customHeight="1" s="46"/>
    <row r="974" ht="15.75" customHeight="1" s="46"/>
    <row r="975" ht="15.75" customHeight="1" s="46"/>
    <row r="976" ht="15.75" customHeight="1" s="46"/>
    <row r="977" ht="15.75" customHeight="1" s="46"/>
    <row r="978" ht="15.75" customHeight="1" s="46"/>
    <row r="979" ht="15.75" customHeight="1" s="46"/>
    <row r="980" ht="15.75" customHeight="1" s="46"/>
    <row r="981" ht="15.75" customHeight="1" s="46"/>
    <row r="982" ht="15.75" customHeight="1" s="46"/>
    <row r="983" ht="15.75" customHeight="1" s="46"/>
    <row r="984" ht="15.75" customHeight="1" s="46"/>
    <row r="985" ht="15.75" customHeight="1" s="46"/>
    <row r="986" ht="15.75" customHeight="1" s="46"/>
    <row r="987" ht="15.75" customHeight="1" s="46"/>
    <row r="988" ht="15.75" customHeight="1" s="46"/>
    <row r="989" ht="15.75" customHeight="1" s="46"/>
    <row r="990" ht="15.75" customHeight="1" s="46"/>
    <row r="991" ht="15.75" customHeight="1" s="46"/>
    <row r="992" ht="15.75" customHeight="1" s="46"/>
    <row r="993" ht="15.75" customHeight="1" s="46"/>
    <row r="994" ht="15.75" customHeight="1" s="46"/>
    <row r="995" ht="15.75" customHeight="1" s="46"/>
    <row r="996" ht="15.75" customHeight="1" s="46"/>
    <row r="997" ht="15.75" customHeight="1" s="46"/>
    <row r="998" ht="15.75" customHeight="1" s="46"/>
    <row r="999" ht="15.75" customHeight="1" s="46"/>
    <row r="1000" ht="15.75" customHeight="1" s="46"/>
  </sheetData>
  <mergeCells count="14">
    <mergeCell ref="A21:E21"/>
    <mergeCell ref="A39:E39"/>
    <mergeCell ref="N25:Q25"/>
    <mergeCell ref="A25:E25"/>
    <mergeCell ref="A2:N2"/>
    <mergeCell ref="A41:N45"/>
    <mergeCell ref="A24:AG24"/>
    <mergeCell ref="R25:U25"/>
    <mergeCell ref="V25:Y25"/>
    <mergeCell ref="Z25:AC25"/>
    <mergeCell ref="F25:I25"/>
    <mergeCell ref="J25:M25"/>
    <mergeCell ref="AD25:AG25"/>
    <mergeCell ref="A1:N1"/>
  </mergeCells>
  <pageMargins left="0.75" right="0.75" top="1" bottom="1" header="0" footer="0"/>
  <pageSetup orientation="landscape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G45"/>
  <sheetViews>
    <sheetView workbookViewId="0">
      <selection activeCell="A1" sqref="A1"/>
    </sheetView>
  </sheetViews>
  <sheetFormatPr baseColWidth="8" defaultColWidth="14.43" defaultRowHeight="15" customHeight="1"/>
  <cols>
    <col width="4" customWidth="1" style="46" min="1" max="1"/>
    <col width="10" customWidth="1" style="46" min="2" max="2"/>
    <col width="32" customWidth="1" style="46" min="3" max="3"/>
    <col width="26" customWidth="1" style="46" min="4" max="4"/>
    <col width="28" customWidth="1" style="46" min="5" max="5"/>
    <col width="14" customWidth="1" style="46" min="6" max="7"/>
    <col width="15" customWidth="1" style="46" min="8" max="9"/>
    <col width="16" customWidth="1" style="46" min="10" max="11"/>
    <col width="14" customWidth="1" style="46" min="12" max="12"/>
    <col width="15" customWidth="1" style="46" min="13" max="13"/>
    <col width="24" customWidth="1" style="46" min="14" max="14"/>
    <col width="14" customWidth="1" style="46" min="15" max="33"/>
  </cols>
  <sheetData>
    <row r="1" ht="24.75" customHeight="1" s="46">
      <c r="A1" s="47" t="inlineStr">
        <is>
          <t>CONTROL SEMANAL DE RENDIMIENTO DE MAQUINARIA (SEMANA 34)</t>
        </is>
      </c>
    </row>
    <row r="2" ht="18" customHeight="1" s="46">
      <c r="A2" s="48" t="inlineStr">
        <is>
          <t>OBRA: CARRETERA LIBRE MÉXICO-TOLUCA | PERIODO: 17/Ago/2026 - 22/Ago/2026</t>
        </is>
      </c>
    </row>
    <row r="4">
      <c r="A4" s="5" t="inlineStr">
        <is>
          <t>1. PARÁMETROS:</t>
        </is>
      </c>
      <c r="B4" s="5" t="inlineStr">
        <is>
          <t>PESO VOLUMÉTRICO ASFALTO (Ton/m³):</t>
        </is>
      </c>
      <c r="E4" s="7" t="n">
        <v>1.742</v>
      </c>
    </row>
    <row r="5">
      <c r="A5" s="5" t="inlineStr">
        <is>
          <t>2. FRESADO SEMANAL:</t>
        </is>
      </c>
      <c r="B5" s="8" t="inlineStr">
        <is>
          <t>Viajes de Fresado:</t>
        </is>
      </c>
      <c r="C5" s="41" t="n">
        <v>148</v>
      </c>
      <c r="D5" s="8" t="inlineStr">
        <is>
          <t>Volumen Fresado (m³):</t>
        </is>
      </c>
      <c r="E5" s="42" t="n">
        <v>2023</v>
      </c>
    </row>
    <row r="6">
      <c r="A6" s="5" t="inlineStr">
        <is>
          <t>3. CARPETA SEMANAL:</t>
        </is>
      </c>
      <c r="B6" s="8" t="inlineStr">
        <is>
          <t>Viajes de Mezcla:</t>
        </is>
      </c>
      <c r="C6" s="41" t="n">
        <v>56</v>
      </c>
      <c r="D6" s="8" t="inlineStr">
        <is>
          <t>Volumen Carpeta (m³):</t>
        </is>
      </c>
      <c r="E6" s="42" t="n">
        <v>792</v>
      </c>
      <c r="F6" s="8" t="inlineStr">
        <is>
          <t>Toneladas Carpeta (Ton):</t>
        </is>
      </c>
      <c r="G6" s="17">
        <f>E6*$E$4</f>
        <v/>
      </c>
    </row>
    <row r="8" ht="27.75" customHeight="1" s="46">
      <c r="A8" s="10" t="inlineStr">
        <is>
          <t>No.</t>
        </is>
      </c>
      <c r="B8" s="10" t="inlineStr">
        <is>
          <t>Económico</t>
        </is>
      </c>
      <c r="C8" s="10" t="inlineStr">
        <is>
          <t>Equipo / Maquinaria</t>
        </is>
      </c>
      <c r="D8" s="10" t="inlineStr">
        <is>
          <t>Operador Asignado</t>
        </is>
      </c>
      <c r="E8" s="10" t="inlineStr">
        <is>
          <t>Concepto de Trabajo</t>
        </is>
      </c>
      <c r="F8" s="10" t="inlineStr">
        <is>
          <t>Viajes Asignados</t>
        </is>
      </c>
      <c r="G8" s="10" t="inlineStr">
        <is>
          <t>Volumen (m³)</t>
        </is>
      </c>
      <c r="H8" s="10" t="inlineStr">
        <is>
          <t>Toneladas (Ton)</t>
        </is>
      </c>
      <c r="I8" s="10" t="inlineStr">
        <is>
          <t>Diésel Surtido (L)</t>
        </is>
      </c>
      <c r="J8" s="10" t="inlineStr">
        <is>
          <t>Rendimiento Real (L/Ton)</t>
        </is>
      </c>
      <c r="K8" s="10" t="inlineStr">
        <is>
          <t>Rendimiento Real (L/m³)</t>
        </is>
      </c>
      <c r="L8" s="10" t="inlineStr">
        <is>
          <t>Rend. Base (L/h)</t>
        </is>
      </c>
      <c r="M8" s="10" t="inlineStr">
        <is>
          <t>Horas Est. Operación</t>
        </is>
      </c>
      <c r="N8" s="10" t="inlineStr">
        <is>
          <t>Estatus Operativo</t>
        </is>
      </c>
    </row>
    <row r="9" ht="19.5" customHeight="1" s="46">
      <c r="A9" s="12" t="n">
        <v>1</v>
      </c>
      <c r="B9" s="12" t="inlineStr">
        <is>
          <t>PRR-01</t>
        </is>
      </c>
      <c r="C9" s="13" t="inlineStr">
        <is>
          <t>PERFILADORA WIRTGEN W200i</t>
        </is>
      </c>
      <c r="D9" s="13" t="inlineStr">
        <is>
          <t>JAVIER PAREDES CORTE</t>
        </is>
      </c>
      <c r="E9" s="13" t="inlineStr">
        <is>
          <t>Fresado de Pavimento</t>
        </is>
      </c>
      <c r="F9" s="14">
        <f>$C$5</f>
        <v/>
      </c>
      <c r="G9" s="37">
        <f>$E$5</f>
        <v/>
      </c>
      <c r="H9" s="18" t="inlineStr">
        <is>
          <t>-</t>
        </is>
      </c>
      <c r="I9" s="37" t="n">
        <v>1200</v>
      </c>
      <c r="J9" s="19" t="inlineStr">
        <is>
          <t>-</t>
        </is>
      </c>
      <c r="K9" s="20">
        <f>IF(G9&gt;0, I9/G9, 0)</f>
        <v/>
      </c>
      <c r="L9" s="21" t="n">
        <v>67.2</v>
      </c>
      <c r="M9" s="22">
        <f>IF(L9&gt;0, I9/L9, 0)</f>
        <v/>
      </c>
      <c r="N9" s="12">
        <f>IF(I9=0, "SIN CONSUMO (Inactiva)", IF(A9=1, IF(K9&lt;=0.85, "DENTRO DE RENDIMIENTO BASE", "EXCEDE RENDIMIENTO BASE"), IF(A9=2, IF(J9&lt;=0.38, "DENTRO DE RENDIMIENTO BASE", "EXCEDE RENDIMIENTO BASE"), IF(OR(A9=3,A9=4,A9=5,A9=6), IF(J9&lt;=0.08, "DENTRO DE RENDIMIENTO BASE", "EXCEDE RENDIMIENTO BASE"), IF(A9=7, IF(J9&lt;=0.07, "DENTRO DE RENDIMIENTO BASE", "EXCEDE RENDIMIENTO BASE"), IF(A9=8, IF(K9&lt;=0.22, "DENTRO DE RENDIMIENTO BASE", "EXCEDE RENDIMIENTO BASE"), IF(A9=9, IF(J9&lt;=0.075, "DENTRO DE RENDIMIENTO BASE", "EXCEDE RENDIMIENTO BASE"), "APOYO PUNTUAL")))))))</f>
        <v/>
      </c>
    </row>
    <row r="10" ht="19.5" customHeight="1" s="46">
      <c r="A10" s="12" t="n">
        <v>2</v>
      </c>
      <c r="B10" s="12" t="inlineStr">
        <is>
          <t>VG-01</t>
        </is>
      </c>
      <c r="C10" s="13" t="inlineStr">
        <is>
          <t>PAVIMENTADORA VÖGELE SUPER 1800-3i</t>
        </is>
      </c>
      <c r="D10" s="13" t="inlineStr">
        <is>
          <t>ERWIN CUTEÑO HERNANDEZ</t>
        </is>
      </c>
      <c r="E10" s="13" t="inlineStr">
        <is>
          <t>Tendido de Mezcla Asfáltica</t>
        </is>
      </c>
      <c r="F10" s="14">
        <f>$C$6</f>
        <v/>
      </c>
      <c r="G10" s="37">
        <f>$E$6</f>
        <v/>
      </c>
      <c r="H10" s="16">
        <f>G10*$E$4</f>
        <v/>
      </c>
      <c r="I10" s="37" t="n">
        <v>580</v>
      </c>
      <c r="J10" s="20">
        <f>IF(H10&gt;0, I10/H10, 0)</f>
        <v/>
      </c>
      <c r="K10" s="20">
        <f>IF(G10&gt;0, I10/G10, 0)</f>
        <v/>
      </c>
      <c r="L10" s="21" t="n">
        <v>16.24</v>
      </c>
      <c r="M10" s="22">
        <f>IF(L10&gt;0, I10/L10, 0)</f>
        <v/>
      </c>
      <c r="N10" s="12">
        <f>IF(I10=0, "SIN CONSUMO (Inactiva)", IF(A10=1, IF(K10&lt;=0.85, "DENTRO DE RENDIMIENTO BASE", "EXCEDE RENDIMIENTO BASE"), IF(A10=2, IF(J10&lt;=0.38, "DENTRO DE RENDIMIENTO BASE", "EXCEDE RENDIMIENTO BASE"), IF(OR(A10=3,A10=4,A10=5,A10=6), IF(J10&lt;=0.08, "DENTRO DE RENDIMIENTO BASE", "EXCEDE RENDIMIENTO BASE"), IF(A10=7, IF(J10&lt;=0.07, "DENTRO DE RENDIMIENTO BASE", "EXCEDE RENDIMIENTO BASE"), IF(A10=8, IF(K10&lt;=0.22, "DENTRO DE RENDIMIENTO BASE", "EXCEDE RENDIMIENTO BASE"), IF(A10=9, IF(J10&lt;=0.075, "DENTRO DE RENDIMIENTO BASE", "EXCEDE RENDIMIENTO BASE"), "APOYO PUNTUAL")))))))</f>
        <v/>
      </c>
    </row>
    <row r="11" ht="19.5" customHeight="1" s="46">
      <c r="A11" s="12" t="n">
        <v>3</v>
      </c>
      <c r="B11" s="12" t="inlineStr">
        <is>
          <t>DR-01</t>
        </is>
      </c>
      <c r="C11" s="13" t="inlineStr">
        <is>
          <t>COMPACTADOR TÁNDEM HAMM-HD120 VV</t>
        </is>
      </c>
      <c r="D11" s="13" t="inlineStr">
        <is>
          <t>JOEL ALBERTO RIVERA RIVAS</t>
        </is>
      </c>
      <c r="E11" s="13" t="inlineStr">
        <is>
          <t>Compactación Tándem Primaria</t>
        </is>
      </c>
      <c r="F11" s="14">
        <f>$C$6</f>
        <v/>
      </c>
      <c r="G11" s="37">
        <f>$E$6</f>
        <v/>
      </c>
      <c r="H11" s="16">
        <f>G11*$E$4</f>
        <v/>
      </c>
      <c r="I11" s="37" t="n">
        <v>150</v>
      </c>
      <c r="J11" s="20">
        <f>IF(H11&gt;0, I11/H11, 0)</f>
        <v/>
      </c>
      <c r="K11" s="20">
        <f>IF(G11&gt;0, I11/G11, 0)</f>
        <v/>
      </c>
      <c r="L11" s="21" t="n">
        <v>14.3</v>
      </c>
      <c r="M11" s="22">
        <f>IF(L11&gt;0, I11/L11, 0)</f>
        <v/>
      </c>
      <c r="N11" s="12">
        <f>IF(I11=0, "SIN CONSUMO (Inactiva)", IF(A11=1, IF(K11&lt;=0.85, "DENTRO DE RENDIMIENTO BASE", "EXCEDE RENDIMIENTO BASE"), IF(A11=2, IF(J11&lt;=0.38, "DENTRO DE RENDIMIENTO BASE", "EXCEDE RENDIMIENTO BASE"), IF(OR(A11=3,A11=4,A11=5,A11=6), IF(J11&lt;=0.08, "DENTRO DE RENDIMIENTO BASE", "EXCEDE RENDIMIENTO BASE"), IF(A11=7, IF(J11&lt;=0.07, "DENTRO DE RENDIMIENTO BASE", "EXCEDE RENDIMIENTO BASE"), IF(A11=8, IF(K11&lt;=0.22, "DENTRO DE RENDIMIENTO BASE", "EXCEDE RENDIMIENTO BASE"), IF(A11=9, IF(J11&lt;=0.075, "DENTRO DE RENDIMIENTO BASE", "EXCEDE RENDIMIENTO BASE"), "APOYO PUNTUAL")))))))</f>
        <v/>
      </c>
    </row>
    <row r="12" ht="19.5" customHeight="1" s="46">
      <c r="A12" s="12" t="n">
        <v>4</v>
      </c>
      <c r="B12" s="12" t="inlineStr">
        <is>
          <t>DR-02</t>
        </is>
      </c>
      <c r="C12" s="13" t="inlineStr">
        <is>
          <t>COMPACTADOR TÁNDEM HAMM-HD140</t>
        </is>
      </c>
      <c r="D12" s="13" t="inlineStr">
        <is>
          <t>ALEXIS RENDON DOMINGUEZ</t>
        </is>
      </c>
      <c r="E12" s="13" t="inlineStr">
        <is>
          <t>Compactación Tándem Pesada</t>
        </is>
      </c>
      <c r="F12" s="14">
        <f>$C$6</f>
        <v/>
      </c>
      <c r="G12" s="37">
        <f>$E$6</f>
        <v/>
      </c>
      <c r="H12" s="16">
        <f>G12*$E$4</f>
        <v/>
      </c>
      <c r="I12" s="37" t="n">
        <v>150</v>
      </c>
      <c r="J12" s="20">
        <f>IF(H12&gt;0, I12/H12, 0)</f>
        <v/>
      </c>
      <c r="K12" s="20">
        <f>IF(G12&gt;0, I12/G12, 0)</f>
        <v/>
      </c>
      <c r="L12" s="21" t="n">
        <v>14.3</v>
      </c>
      <c r="M12" s="22">
        <f>IF(L12&gt;0, I12/L12, 0)</f>
        <v/>
      </c>
      <c r="N12" s="12">
        <f>IF(I12=0, "SIN CONSUMO (Inactiva)", IF(A12=1, IF(K12&lt;=0.85, "DENTRO DE RENDIMIENTO BASE", "EXCEDE RENDIMIENTO BASE"), IF(A12=2, IF(J12&lt;=0.38, "DENTRO DE RENDIMIENTO BASE", "EXCEDE RENDIMIENTO BASE"), IF(OR(A12=3,A12=4,A12=5,A12=6), IF(J12&lt;=0.08, "DENTRO DE RENDIMIENTO BASE", "EXCEDE RENDIMIENTO BASE"), IF(A12=7, IF(J12&lt;=0.07, "DENTRO DE RENDIMIENTO BASE", "EXCEDE RENDIMIENTO BASE"), IF(A12=8, IF(K12&lt;=0.22, "DENTRO DE RENDIMIENTO BASE", "EXCEDE RENDIMIENTO BASE"), IF(A12=9, IF(J12&lt;=0.075, "DENTRO DE RENDIMIENTO BASE", "EXCEDE RENDIMIENTO BASE"), "APOYO PUNTUAL")))))))</f>
        <v/>
      </c>
    </row>
    <row r="13" ht="19.5" customHeight="1" s="46">
      <c r="A13" s="12" t="n">
        <v>5</v>
      </c>
      <c r="B13" s="12" t="inlineStr">
        <is>
          <t>NM-01</t>
        </is>
      </c>
      <c r="C13" s="13" t="inlineStr">
        <is>
          <t>COMPACTADOR NEUMÁTICO DYNAPAC CP271</t>
        </is>
      </c>
      <c r="D13" s="13" t="inlineStr">
        <is>
          <t>JOSE CARLOS ROMERO TELLEZ</t>
        </is>
      </c>
      <c r="E13" s="13" t="inlineStr">
        <is>
          <t>Compactación Neumática / Sellado</t>
        </is>
      </c>
      <c r="F13" s="14">
        <f>$C$6</f>
        <v/>
      </c>
      <c r="G13" s="37">
        <f>$E$6</f>
        <v/>
      </c>
      <c r="H13" s="16">
        <f>G13*$E$4</f>
        <v/>
      </c>
      <c r="I13" s="37" t="n">
        <v>71</v>
      </c>
      <c r="J13" s="20">
        <f>IF(H13&gt;0, I13/H13, 0)</f>
        <v/>
      </c>
      <c r="K13" s="20">
        <f>IF(G13&gt;0, I13/G13, 0)</f>
        <v/>
      </c>
      <c r="L13" s="21" t="n">
        <v>11.44</v>
      </c>
      <c r="M13" s="22">
        <f>IF(L13&gt;0, I13/L13, 0)</f>
        <v/>
      </c>
      <c r="N13" s="12">
        <f>IF(I13=0, "SIN CONSUMO (Inactiva)", IF(A13=1, IF(K13&lt;=0.85, "DENTRO DE RENDIMIENTO BASE", "EXCEDE RENDIMIENTO BASE"), IF(A13=2, IF(J13&lt;=0.38, "DENTRO DE RENDIMIENTO BASE", "EXCEDE RENDIMIENTO BASE"), IF(OR(A13=3,A13=4,A13=5,A13=6), IF(J13&lt;=0.08, "DENTRO DE RENDIMIENTO BASE", "EXCEDE RENDIMIENTO BASE"), IF(A13=7, IF(J13&lt;=0.07, "DENTRO DE RENDIMIENTO BASE", "EXCEDE RENDIMIENTO BASE"), IF(A13=8, IF(K13&lt;=0.22, "DENTRO DE RENDIMIENTO BASE", "EXCEDE RENDIMIENTO BASE"), IF(A13=9, IF(J13&lt;=0.075, "DENTRO DE RENDIMIENTO BASE", "EXCEDE RENDIMIENTO BASE"), "APOYO PUNTUAL")))))))</f>
        <v/>
      </c>
    </row>
    <row r="14" ht="19.5" customHeight="1" s="46">
      <c r="A14" s="12" t="n">
        <v>6</v>
      </c>
      <c r="B14" s="12" t="inlineStr">
        <is>
          <t>NM-09</t>
        </is>
      </c>
      <c r="C14" s="13" t="inlineStr">
        <is>
          <t>COMPACTADOR NEUMÁTICO HAMM 208</t>
        </is>
      </c>
      <c r="D14" s="13" t="inlineStr">
        <is>
          <t>NOLVIN DE JESUS PEREZ GOMEZ</t>
        </is>
      </c>
      <c r="E14" s="13" t="inlineStr">
        <is>
          <t>Compactación Neumática / Acabado</t>
        </is>
      </c>
      <c r="F14" s="14">
        <f>$C$6</f>
        <v/>
      </c>
      <c r="G14" s="37">
        <f>$E$6</f>
        <v/>
      </c>
      <c r="H14" s="16">
        <f>G14*$E$4</f>
        <v/>
      </c>
      <c r="I14" s="37" t="n">
        <v>150</v>
      </c>
      <c r="J14" s="20">
        <f>IF(H14&gt;0, I14/H14, 0)</f>
        <v/>
      </c>
      <c r="K14" s="20">
        <f>IF(G14&gt;0, I14/G14, 0)</f>
        <v/>
      </c>
      <c r="L14" s="21" t="n">
        <v>10.96</v>
      </c>
      <c r="M14" s="22">
        <f>IF(L14&gt;0, I14/L14, 0)</f>
        <v/>
      </c>
      <c r="N14" s="12">
        <f>IF(I14=0, "SIN CONSUMO (Inactiva)", IF(A14=1, IF(K14&lt;=0.85, "DENTRO DE RENDIMIENTO BASE", "EXCEDE RENDIMIENTO BASE"), IF(A14=2, IF(J14&lt;=0.38, "DENTRO DE RENDIMIENTO BASE", "EXCEDE RENDIMIENTO BASE"), IF(OR(A14=3,A14=4,A14=5,A14=6), IF(J14&lt;=0.08, "DENTRO DE RENDIMIENTO BASE", "EXCEDE RENDIMIENTO BASE"), IF(A14=7, IF(J14&lt;=0.07, "DENTRO DE RENDIMIENTO BASE", "EXCEDE RENDIMIENTO BASE"), IF(A14=8, IF(K14&lt;=0.22, "DENTRO DE RENDIMIENTO BASE", "EXCEDE RENDIMIENTO BASE"), IF(A14=9, IF(J14&lt;=0.075, "DENTRO DE RENDIMIENTO BASE", "EXCEDE RENDIMIENTO BASE"), "APOYO PUNTUAL")))))))</f>
        <v/>
      </c>
    </row>
    <row r="15" ht="19.5" customHeight="1" s="46">
      <c r="A15" s="12" t="n">
        <v>7</v>
      </c>
      <c r="B15" s="12" t="inlineStr">
        <is>
          <t>BR-01</t>
        </is>
      </c>
      <c r="C15" s="13" t="inlineStr">
        <is>
          <t>BARREDORA INDUSTRIAL BROCE BROOM-350</t>
        </is>
      </c>
      <c r="D15" s="13" t="inlineStr">
        <is>
          <t>EDGAR ROSALES MARTINEZ</t>
        </is>
      </c>
      <c r="E15" s="13" t="inlineStr">
        <is>
          <t>Limpieza y Barrido Previo</t>
        </is>
      </c>
      <c r="F15" s="14">
        <f>$C$6</f>
        <v/>
      </c>
      <c r="G15" s="37">
        <f>$E$6</f>
        <v/>
      </c>
      <c r="H15" s="16">
        <f>G15*$E$4</f>
        <v/>
      </c>
      <c r="I15" s="37" t="n">
        <v>120</v>
      </c>
      <c r="J15" s="20">
        <f>IF(H15&gt;0, I15/H15, 0)</f>
        <v/>
      </c>
      <c r="K15" s="20">
        <f>IF(G15&gt;0, I15/G15, 0)</f>
        <v/>
      </c>
      <c r="L15" s="21" t="n">
        <v>8.94</v>
      </c>
      <c r="M15" s="22">
        <f>IF(L15&gt;0, I15/L15, 0)</f>
        <v/>
      </c>
      <c r="N15" s="12">
        <f>IF(I15=0, "SIN CONSUMO (Inactiva)", IF(A15=1, IF(K15&lt;=0.85, "DENTRO DE RENDIMIENTO BASE", "EXCEDE RENDIMIENTO BASE"), IF(A15=2, IF(J15&lt;=0.38, "DENTRO DE RENDIMIENTO BASE", "EXCEDE RENDIMIENTO BASE"), IF(OR(A15=3,A15=4,A15=5,A15=6), IF(J15&lt;=0.08, "DENTRO DE RENDIMIENTO BASE", "EXCEDE RENDIMIENTO BASE"), IF(A15=7, IF(J15&lt;=0.07, "DENTRO DE RENDIMIENTO BASE", "EXCEDE RENDIMIENTO BASE"), IF(A15=8, IF(K15&lt;=0.22, "DENTRO DE RENDIMIENTO BASE", "EXCEDE RENDIMIENTO BASE"), IF(A15=9, IF(J15&lt;=0.075, "DENTRO DE RENDIMIENTO BASE", "EXCEDE RENDIMIENTO BASE"), "APOYO PUNTUAL")))))))</f>
        <v/>
      </c>
    </row>
    <row r="16" ht="19.5" customHeight="1" s="46">
      <c r="A16" s="12" t="n">
        <v>8</v>
      </c>
      <c r="B16" s="12" t="inlineStr">
        <is>
          <t>RT-05</t>
        </is>
      </c>
      <c r="C16" s="13" t="inlineStr">
        <is>
          <t>RETROEXCAVADORA JOHN DEERE 310SK</t>
        </is>
      </c>
      <c r="D16" s="13" t="inlineStr">
        <is>
          <t>ADOLFO NAVA LOPEZ</t>
        </is>
      </c>
      <c r="E16" s="13" t="inlineStr">
        <is>
          <t>Carga Fresado y Derrumbes</t>
        </is>
      </c>
      <c r="F16" s="14">
        <f>$C$5</f>
        <v/>
      </c>
      <c r="G16" s="37">
        <f>$E$5</f>
        <v/>
      </c>
      <c r="H16" s="18" t="inlineStr">
        <is>
          <t>-</t>
        </is>
      </c>
      <c r="I16" s="37" t="n">
        <v>435</v>
      </c>
      <c r="J16" s="19" t="inlineStr">
        <is>
          <t>-</t>
        </is>
      </c>
      <c r="K16" s="20">
        <f>IF(G16&gt;0, I16/G16, 0)</f>
        <v/>
      </c>
      <c r="L16" s="21" t="n">
        <v>7.44</v>
      </c>
      <c r="M16" s="22">
        <f>IF(L16&gt;0, I16/L16, 0)</f>
        <v/>
      </c>
      <c r="N16" s="12">
        <f>IF(I16=0, "SIN CONSUMO (Inactiva)", IF(A16=1, IF(K16&lt;=0.85, "DENTRO DE RENDIMIENTO BASE", "EXCEDE RENDIMIENTO BASE"), IF(A16=2, IF(J16&lt;=0.38, "DENTRO DE RENDIMIENTO BASE", "EXCEDE RENDIMIENTO BASE"), IF(OR(A16=3,A16=4,A16=5,A16=6), IF(J16&lt;=0.08, "DENTRO DE RENDIMIENTO BASE", "EXCEDE RENDIMIENTO BASE"), IF(A16=7, IF(J16&lt;=0.07, "DENTRO DE RENDIMIENTO BASE", "EXCEDE RENDIMIENTO BASE"), IF(A16=8, IF(K16&lt;=0.22, "DENTRO DE RENDIMIENTO BASE", "EXCEDE RENDIMIENTO BASE"), IF(A16=9, IF(J16&lt;=0.075, "DENTRO DE RENDIMIENTO BASE", "EXCEDE RENDIMIENTO BASE"), "APOYO PUNTUAL")))))))</f>
        <v/>
      </c>
    </row>
    <row r="17" ht="19.5" customHeight="1" s="46">
      <c r="A17" s="12" t="n">
        <v>9</v>
      </c>
      <c r="B17" s="12" t="inlineStr">
        <is>
          <t>PT-01</t>
        </is>
      </c>
      <c r="C17" s="13" t="inlineStr">
        <is>
          <t>PETROLIZADORA INTERNATIONAL / FORD F800</t>
        </is>
      </c>
      <c r="D17" s="13" t="inlineStr">
        <is>
          <t>ELTHON EDUARDO MARTINEZ GOMORA</t>
        </is>
      </c>
      <c r="E17" s="13" t="inlineStr">
        <is>
          <t>Riego de Liga / Emulsión</t>
        </is>
      </c>
      <c r="F17" s="14">
        <f>$C$6</f>
        <v/>
      </c>
      <c r="G17" s="37">
        <f>$E$6</f>
        <v/>
      </c>
      <c r="H17" s="16">
        <f>G17*$E$4</f>
        <v/>
      </c>
      <c r="I17" s="37" t="n">
        <v>60</v>
      </c>
      <c r="J17" s="20">
        <f>IF(H17&gt;0, I17/H17, 0)</f>
        <v/>
      </c>
      <c r="K17" s="20">
        <f>IF(G17&gt;0, I17/G17, 0)</f>
        <v/>
      </c>
      <c r="L17" s="21" t="n">
        <v>12.76</v>
      </c>
      <c r="M17" s="22">
        <f>IF(L17&gt;0, I17/L17, 0)</f>
        <v/>
      </c>
      <c r="N17" s="12">
        <f>IF(I17=0, "SIN CONSUMO (Inactiva)", IF(A17=1, IF(K17&lt;=0.85, "DENTRO DE RENDIMIENTO BASE", "EXCEDE RENDIMIENTO BASE"), IF(A17=2, IF(J17&lt;=0.38, "DENTRO DE RENDIMIENTO BASE", "EXCEDE RENDIMIENTO BASE"), IF(OR(A17=3,A17=4,A17=5,A17=6), IF(J17&lt;=0.08, "DENTRO DE RENDIMIENTO BASE", "EXCEDE RENDIMIENTO BASE"), IF(A17=7, IF(J17&lt;=0.07, "DENTRO DE RENDIMIENTO BASE", "EXCEDE RENDIMIENTO BASE"), IF(A17=8, IF(K17&lt;=0.22, "DENTRO DE RENDIMIENTO BASE", "EXCEDE RENDIMIENTO BASE"), IF(A17=9, IF(J17&lt;=0.075, "DENTRO DE RENDIMIENTO BASE", "EXCEDE RENDIMIENTO BASE"), "APOYO PUNTUAL")))))))</f>
        <v/>
      </c>
    </row>
    <row r="18" ht="19.5" customHeight="1" s="46">
      <c r="A18" s="12" t="n">
        <v>10</v>
      </c>
      <c r="B18" s="12" t="inlineStr">
        <is>
          <t>CPR-01</t>
        </is>
      </c>
      <c r="C18" s="13" t="inlineStr">
        <is>
          <t>COMPRESOR DE AIRE INGERSOLL RAND IR185</t>
        </is>
      </c>
      <c r="D18" s="13" t="inlineStr">
        <is>
          <t>CUADRILLA DE LIMPIEZA</t>
        </is>
      </c>
      <c r="E18" s="13" t="inlineStr">
        <is>
          <t>Sopleteado de Juntas</t>
        </is>
      </c>
      <c r="F18" s="14" t="n">
        <v>0</v>
      </c>
      <c r="G18" s="37" t="n">
        <v>0</v>
      </c>
      <c r="H18" s="16" t="n">
        <v>0</v>
      </c>
      <c r="I18" s="37" t="n">
        <v>0</v>
      </c>
      <c r="J18" s="20" t="n">
        <v>0</v>
      </c>
      <c r="K18" s="20" t="n">
        <v>0</v>
      </c>
      <c r="L18" s="21" t="n">
        <v>9.970000000000001</v>
      </c>
      <c r="M18" s="22">
        <f>IF(L18&gt;0, I18/L18, 0)</f>
        <v/>
      </c>
      <c r="N18" s="12">
        <f>IF(I18=0, "SIN CONSUMO (Inactiva)", IF(A18=1, IF(K18&lt;=0.85, "DENTRO DE RENDIMIENTO BASE", "EXCEDE RENDIMIENTO BASE"), IF(A18=2, IF(J18&lt;=0.38, "DENTRO DE RENDIMIENTO BASE", "EXCEDE RENDIMIENTO BASE"), IF(OR(A18=3,A18=4,A18=5,A18=6), IF(J18&lt;=0.08, "DENTRO DE RENDIMIENTO BASE", "EXCEDE RENDIMIENTO BASE"), IF(A18=7, IF(J18&lt;=0.07, "DENTRO DE RENDIMIENTO BASE", "EXCEDE RENDIMIENTO BASE"), IF(A18=8, IF(K18&lt;=0.22, "DENTRO DE RENDIMIENTO BASE", "EXCEDE RENDIMIENTO BASE"), IF(A18=9, IF(J18&lt;=0.075, "DENTRO DE RENDIMIENTO BASE", "EXCEDE RENDIMIENTO BASE"), "APOYO PUNTUAL")))))))</f>
        <v/>
      </c>
    </row>
    <row r="19" ht="19.5" customHeight="1" s="46">
      <c r="A19" s="12" t="n">
        <v>11</v>
      </c>
      <c r="B19" s="12" t="inlineStr">
        <is>
          <t>PP-01</t>
        </is>
      </c>
      <c r="C19" s="13" t="inlineStr">
        <is>
          <t>CAMIÓN IMPACTO / PIPA DE AGUA FORD</t>
        </is>
      </c>
      <c r="D19" s="13" t="inlineStr">
        <is>
          <t>CUADRILLA DE AGUA</t>
        </is>
      </c>
      <c r="E19" s="13" t="inlineStr">
        <is>
          <t>Enfriamiento Rodillos / Riego</t>
        </is>
      </c>
      <c r="F19" s="14" t="n">
        <v>0</v>
      </c>
      <c r="G19" s="37" t="n">
        <v>0</v>
      </c>
      <c r="H19" s="16" t="n">
        <v>0</v>
      </c>
      <c r="I19" s="37" t="n">
        <v>0</v>
      </c>
      <c r="J19" s="20" t="n">
        <v>0</v>
      </c>
      <c r="K19" s="20" t="n">
        <v>0</v>
      </c>
      <c r="L19" s="21" t="n">
        <v>3.03</v>
      </c>
      <c r="M19" s="22">
        <f>IF(L19&gt;0, I19/L19, 0)</f>
        <v/>
      </c>
      <c r="N19" s="12">
        <f>IF(I19=0, "SIN CONSUMO (Inactiva)", IF(A19=1, IF(K19&lt;=0.85, "DENTRO DE RENDIMIENTO BASE", "EXCEDE RENDIMIENTO BASE"), IF(A19=2, IF(J19&lt;=0.38, "DENTRO DE RENDIMIENTO BASE", "EXCEDE RENDIMIENTO BASE"), IF(OR(A19=3,A19=4,A19=5,A19=6), IF(J19&lt;=0.08, "DENTRO DE RENDIMIENTO BASE", "EXCEDE RENDIMIENTO BASE"), IF(A19=7, IF(J19&lt;=0.07, "DENTRO DE RENDIMIENTO BASE", "EXCEDE RENDIMIENTO BASE"), IF(A19=8, IF(K19&lt;=0.22, "DENTRO DE RENDIMIENTO BASE", "EXCEDE RENDIMIENTO BASE"), IF(A19=9, IF(J19&lt;=0.075, "DENTRO DE RENDIMIENTO BASE", "EXCEDE RENDIMIENTO BASE"), "APOYO PUNTUAL")))))))</f>
        <v/>
      </c>
    </row>
    <row r="20" ht="19.5" customHeight="1" s="46">
      <c r="A20" s="12" t="n">
        <v>12</v>
      </c>
      <c r="B20" s="12" t="inlineStr">
        <is>
          <t>TL-01</t>
        </is>
      </c>
      <c r="C20" s="13" t="inlineStr">
        <is>
          <t>TORRE DE LUZ MAXILIGHT 4X1000W</t>
        </is>
      </c>
      <c r="D20" s="13" t="inlineStr">
        <is>
          <t>CUADRILLA NOCTURNA</t>
        </is>
      </c>
      <c r="E20" s="13" t="inlineStr">
        <is>
          <t>Iluminación Nocturna</t>
        </is>
      </c>
      <c r="F20" s="14" t="n">
        <v>0</v>
      </c>
      <c r="G20" s="37" t="n">
        <v>0</v>
      </c>
      <c r="H20" s="16" t="n">
        <v>0</v>
      </c>
      <c r="I20" s="37" t="n">
        <v>0</v>
      </c>
      <c r="J20" s="20" t="n">
        <v>0</v>
      </c>
      <c r="K20" s="20" t="n">
        <v>0</v>
      </c>
      <c r="L20" s="21" t="n">
        <v>2.41</v>
      </c>
      <c r="M20" s="22">
        <f>IF(L20&gt;0, I20/L20, 0)</f>
        <v/>
      </c>
      <c r="N20" s="12">
        <f>IF(I20=0, "SIN CONSUMO (Inactiva)", IF(A20=1, IF(K20&lt;=0.85, "DENTRO DE RENDIMIENTO BASE", "EXCEDE RENDIMIENTO BASE"), IF(A20=2, IF(J20&lt;=0.38, "DENTRO DE RENDIMIENTO BASE", "EXCEDE RENDIMIENTO BASE"), IF(OR(A20=3,A20=4,A20=5,A20=6), IF(J20&lt;=0.08, "DENTRO DE RENDIMIENTO BASE", "EXCEDE RENDIMIENTO BASE"), IF(A20=7, IF(J20&lt;=0.07, "DENTRO DE RENDIMIENTO BASE", "EXCEDE RENDIMIENTO BASE"), IF(A20=8, IF(K20&lt;=0.22, "DENTRO DE RENDIMIENTO BASE", "EXCEDE RENDIMIENTO BASE"), IF(A20=9, IF(J20&lt;=0.075, "DENTRO DE RENDIMIENTO BASE", "EXCEDE RENDIMIENTO BASE"), "APOYO PUNTUAL")))))))</f>
        <v/>
      </c>
    </row>
    <row r="21" ht="21.75" customHeight="1" s="46">
      <c r="A21" s="30" t="inlineStr">
        <is>
          <t>TOTAL SEMANA 34 (OBRA CARRETERA MÉXICO-TOLUCA)</t>
        </is>
      </c>
      <c r="B21" s="50" t="n"/>
      <c r="C21" s="50" t="n"/>
      <c r="D21" s="50" t="n"/>
      <c r="E21" s="51" t="n"/>
      <c r="F21" s="26">
        <f>C5+C6</f>
        <v/>
      </c>
      <c r="G21" s="27">
        <f>E5+E6</f>
        <v/>
      </c>
      <c r="H21" s="28">
        <f>G6</f>
        <v/>
      </c>
      <c r="I21" s="27">
        <f>SUM(I9:I20)</f>
        <v/>
      </c>
      <c r="J21" s="29">
        <f>IF(H21&gt;0, I21/H21, 0)</f>
        <v/>
      </c>
      <c r="K21" s="29">
        <f>IF(G21&gt;0, I21/G21, 0)</f>
        <v/>
      </c>
      <c r="L21" s="30" t="inlineStr">
        <is>
          <t>—</t>
        </is>
      </c>
      <c r="M21" s="31">
        <f>SUM(M9:M20)</f>
        <v/>
      </c>
      <c r="N21" s="30" t="inlineStr">
        <is>
          <t>SEMANA REGISTRADA</t>
        </is>
      </c>
    </row>
    <row r="22" ht="15.75" customHeight="1" s="46"/>
    <row r="23" ht="15.75" customHeight="1" s="46"/>
    <row r="24" ht="24" customHeight="1" s="46">
      <c r="A24" s="96" t="inlineStr">
        <is>
          <t>DESGLOSE DIARIO DE COMBUSTIBLE, VOLUMEN, TONELAJE Y RENDIMIENTO — SEMANA 34</t>
        </is>
      </c>
    </row>
    <row r="25" ht="19.5" customHeight="1" s="46">
      <c r="A25" s="48" t="inlineStr">
        <is>
          <t>DATOS DEL EQUIPO</t>
        </is>
      </c>
      <c r="F25" s="48" t="inlineStr">
        <is>
          <t>LUNES</t>
        </is>
      </c>
      <c r="J25" s="48" t="inlineStr">
        <is>
          <t>MARTES</t>
        </is>
      </c>
      <c r="N25" s="48" t="inlineStr">
        <is>
          <t>MIÉRCOLES</t>
        </is>
      </c>
      <c r="R25" s="48" t="inlineStr">
        <is>
          <t>JUEVES</t>
        </is>
      </c>
      <c r="V25" s="48" t="inlineStr">
        <is>
          <t>VIERNES</t>
        </is>
      </c>
      <c r="Z25" s="48" t="inlineStr">
        <is>
          <t>SÁBADO</t>
        </is>
      </c>
      <c r="AD25" s="97" t="inlineStr">
        <is>
          <t>TOTAL SEMANAL</t>
        </is>
      </c>
    </row>
    <row r="26" ht="25.5" customHeight="1" s="46">
      <c r="A26" s="34" t="inlineStr">
        <is>
          <t>No.</t>
        </is>
      </c>
      <c r="B26" s="34" t="inlineStr">
        <is>
          <t>Económico</t>
        </is>
      </c>
      <c r="C26" s="34" t="inlineStr">
        <is>
          <t>Equipo / Maquinaria</t>
        </is>
      </c>
      <c r="D26" s="34" t="inlineStr">
        <is>
          <t>Operador Asignado</t>
        </is>
      </c>
      <c r="E26" s="34" t="inlineStr">
        <is>
          <t>Concepto de Trabajo</t>
        </is>
      </c>
      <c r="F26" s="34" t="inlineStr">
        <is>
          <t>Diésel (L)</t>
        </is>
      </c>
      <c r="G26" s="34" t="inlineStr">
        <is>
          <t>Volumen (m³)</t>
        </is>
      </c>
      <c r="H26" s="34" t="inlineStr">
        <is>
          <t>Toneladas (Ton)</t>
        </is>
      </c>
      <c r="I26" s="34" t="inlineStr">
        <is>
          <t>Rendimiento Real</t>
        </is>
      </c>
      <c r="J26" s="34" t="inlineStr">
        <is>
          <t>Diésel (L)</t>
        </is>
      </c>
      <c r="K26" s="34" t="inlineStr">
        <is>
          <t>Volumen (m³)</t>
        </is>
      </c>
      <c r="L26" s="34" t="inlineStr">
        <is>
          <t>Toneladas (Ton)</t>
        </is>
      </c>
      <c r="M26" s="34" t="inlineStr">
        <is>
          <t>Rendimiento Real</t>
        </is>
      </c>
      <c r="N26" s="34" t="inlineStr">
        <is>
          <t>Diésel (L)</t>
        </is>
      </c>
      <c r="O26" s="34" t="inlineStr">
        <is>
          <t>Volumen (m³)</t>
        </is>
      </c>
      <c r="P26" s="34" t="inlineStr">
        <is>
          <t>Toneladas (Ton)</t>
        </is>
      </c>
      <c r="Q26" s="34" t="inlineStr">
        <is>
          <t>Rendimiento Real</t>
        </is>
      </c>
      <c r="R26" s="34" t="inlineStr">
        <is>
          <t>Diésel (L)</t>
        </is>
      </c>
      <c r="S26" s="34" t="inlineStr">
        <is>
          <t>Volumen (m³)</t>
        </is>
      </c>
      <c r="T26" s="34" t="inlineStr">
        <is>
          <t>Toneladas (Ton)</t>
        </is>
      </c>
      <c r="U26" s="34" t="inlineStr">
        <is>
          <t>Rendimiento Real</t>
        </is>
      </c>
      <c r="V26" s="34" t="inlineStr">
        <is>
          <t>Diésel (L)</t>
        </is>
      </c>
      <c r="W26" s="34" t="inlineStr">
        <is>
          <t>Volumen (m³)</t>
        </is>
      </c>
      <c r="X26" s="34" t="inlineStr">
        <is>
          <t>Toneladas (Ton)</t>
        </is>
      </c>
      <c r="Y26" s="34" t="inlineStr">
        <is>
          <t>Rendimiento Real</t>
        </is>
      </c>
      <c r="Z26" s="34" t="inlineStr">
        <is>
          <t>Diésel (L)</t>
        </is>
      </c>
      <c r="AA26" s="34" t="inlineStr">
        <is>
          <t>Volumen (m³)</t>
        </is>
      </c>
      <c r="AB26" s="34" t="inlineStr">
        <is>
          <t>Toneladas (Ton)</t>
        </is>
      </c>
      <c r="AC26" s="34" t="inlineStr">
        <is>
          <t>Rendimiento Real</t>
        </is>
      </c>
      <c r="AD26" s="35" t="inlineStr">
        <is>
          <t>Total Diésel (L)</t>
        </is>
      </c>
      <c r="AE26" s="35" t="inlineStr">
        <is>
          <t>Total Vol (m³)</t>
        </is>
      </c>
      <c r="AF26" s="35" t="inlineStr">
        <is>
          <t>Total Ton (Ton)</t>
        </is>
      </c>
      <c r="AG26" s="35" t="inlineStr">
        <is>
          <t>Rend. Promedio</t>
        </is>
      </c>
    </row>
    <row r="27" ht="18.75" customHeight="1" s="46">
      <c r="A27" s="12" t="n">
        <v>1</v>
      </c>
      <c r="B27" s="12" t="inlineStr">
        <is>
          <t>PRR-01</t>
        </is>
      </c>
      <c r="C27" s="13" t="inlineStr">
        <is>
          <t>PERFILADORA WIRTGEN W200i</t>
        </is>
      </c>
      <c r="D27" s="13" t="inlineStr">
        <is>
          <t>JAVIER PAREDES CORTE</t>
        </is>
      </c>
      <c r="E27" s="13" t="inlineStr">
        <is>
          <t>Fresado de Pavimento</t>
        </is>
      </c>
      <c r="F27" s="37" t="n">
        <v>400</v>
      </c>
      <c r="G27" s="37" t="n">
        <v>315</v>
      </c>
      <c r="H27" s="16">
        <f>G27*$E$4</f>
        <v/>
      </c>
      <c r="I27" s="20">
        <f>IF(G27&gt;0, F27/G27, 0)</f>
        <v/>
      </c>
      <c r="J27" s="37" t="n">
        <v>0</v>
      </c>
      <c r="K27" s="37" t="n">
        <v>413</v>
      </c>
      <c r="L27" s="16">
        <f>K27*$E$4</f>
        <v/>
      </c>
      <c r="M27" s="20">
        <f>IF(K27&gt;0, J27/K27, 0)</f>
        <v/>
      </c>
      <c r="N27" s="37" t="n">
        <v>400</v>
      </c>
      <c r="O27" s="37" t="n">
        <v>455</v>
      </c>
      <c r="P27" s="16">
        <f>O27*$E$4</f>
        <v/>
      </c>
      <c r="Q27" s="20">
        <f>IF(O27&gt;0, N27/O27, 0)</f>
        <v/>
      </c>
      <c r="R27" s="37" t="n">
        <v>0</v>
      </c>
      <c r="S27" s="37" t="n">
        <v>322</v>
      </c>
      <c r="T27" s="16">
        <f>S27*$E$4</f>
        <v/>
      </c>
      <c r="U27" s="20">
        <f>IF(S27&gt;0, R27/S27, 0)</f>
        <v/>
      </c>
      <c r="V27" s="37" t="n">
        <v>400</v>
      </c>
      <c r="W27" s="37" t="n">
        <v>427</v>
      </c>
      <c r="X27" s="16">
        <f>W27*$E$4</f>
        <v/>
      </c>
      <c r="Y27" s="20">
        <f>IF(W27&gt;0, V27/W27, 0)</f>
        <v/>
      </c>
      <c r="Z27" s="37" t="n">
        <v>0</v>
      </c>
      <c r="AA27" s="37" t="n">
        <v>91</v>
      </c>
      <c r="AB27" s="16">
        <f>AA27*$E$4</f>
        <v/>
      </c>
      <c r="AC27" s="20">
        <f>IF(AA27&gt;0, Z27/AA27, 0)</f>
        <v/>
      </c>
      <c r="AD27" s="37">
        <f>F27+J27+N27+R27+V27+Z27</f>
        <v/>
      </c>
      <c r="AE27" s="37">
        <f>G27+K27+O27+S27+W27+AA27</f>
        <v/>
      </c>
      <c r="AF27" s="16">
        <f>H27+L27+P27+T27+X27+AB27</f>
        <v/>
      </c>
      <c r="AG27" s="20">
        <f>IF(AE27&gt;0, AD27/AE27, 0)</f>
        <v/>
      </c>
    </row>
    <row r="28" ht="18.75" customHeight="1" s="46">
      <c r="A28" s="12" t="n">
        <v>2</v>
      </c>
      <c r="B28" s="12" t="inlineStr">
        <is>
          <t>VG-01</t>
        </is>
      </c>
      <c r="C28" s="13" t="inlineStr">
        <is>
          <t>PAVIMENTADORA VÖGELE SUPER 1800-3i</t>
        </is>
      </c>
      <c r="D28" s="13" t="inlineStr">
        <is>
          <t>ERWIN CUTEÑO HERNANDEZ</t>
        </is>
      </c>
      <c r="E28" s="13" t="inlineStr">
        <is>
          <t>Tendido de Mezcla Asfáltica</t>
        </is>
      </c>
      <c r="F28" s="37" t="n">
        <v>160</v>
      </c>
      <c r="G28" s="37" t="n">
        <v>210</v>
      </c>
      <c r="H28" s="16">
        <f>G28*$E$4</f>
        <v/>
      </c>
      <c r="I28" s="20">
        <f>IF(H28&gt;0, F28/H28, 0)</f>
        <v/>
      </c>
      <c r="J28" s="37" t="n">
        <v>0</v>
      </c>
      <c r="K28" s="37" t="n">
        <v>210</v>
      </c>
      <c r="L28" s="16">
        <f>K28*$E$4</f>
        <v/>
      </c>
      <c r="M28" s="20">
        <f>IF(L28&gt;0, J28/L28, 0)</f>
        <v/>
      </c>
      <c r="N28" s="37" t="n">
        <v>200</v>
      </c>
      <c r="O28" s="37" t="n">
        <v>210</v>
      </c>
      <c r="P28" s="16">
        <f>O28*$E$4</f>
        <v/>
      </c>
      <c r="Q28" s="20">
        <f>IF(P28&gt;0, N28/P28, 0)</f>
        <v/>
      </c>
      <c r="R28" s="37" t="n">
        <v>0</v>
      </c>
      <c r="S28" s="37" t="n">
        <v>162</v>
      </c>
      <c r="T28" s="16">
        <f>S28*$E$4</f>
        <v/>
      </c>
      <c r="U28" s="20">
        <f>IF(T28&gt;0, R28/T28, 0)</f>
        <v/>
      </c>
      <c r="V28" s="37" t="n">
        <v>220</v>
      </c>
      <c r="W28" s="37" t="n">
        <v>0</v>
      </c>
      <c r="X28" s="16">
        <f>W28*$E$4</f>
        <v/>
      </c>
      <c r="Y28" s="20">
        <f>IF(X28&gt;0, V28/X28, 0)</f>
        <v/>
      </c>
      <c r="Z28" s="37" t="n">
        <v>0</v>
      </c>
      <c r="AA28" s="37" t="n">
        <v>0</v>
      </c>
      <c r="AB28" s="16">
        <f>AA28*$E$4</f>
        <v/>
      </c>
      <c r="AC28" s="20">
        <f>IF(AB28&gt;0, Z28/AB28, 0)</f>
        <v/>
      </c>
      <c r="AD28" s="37">
        <f>F28+J28+N28+R28+V28+Z28</f>
        <v/>
      </c>
      <c r="AE28" s="37">
        <f>G28+K28+O28+S28+W28+AA28</f>
        <v/>
      </c>
      <c r="AF28" s="16">
        <f>H28+L28+P28+T28+X28+AB28</f>
        <v/>
      </c>
      <c r="AG28" s="20">
        <f>IF(AF28&gt;0, AD28/AF28, 0)</f>
        <v/>
      </c>
    </row>
    <row r="29" ht="18.75" customHeight="1" s="46">
      <c r="A29" s="12" t="n">
        <v>3</v>
      </c>
      <c r="B29" s="12" t="inlineStr">
        <is>
          <t>DR-01</t>
        </is>
      </c>
      <c r="C29" s="13" t="inlineStr">
        <is>
          <t>COMPACTADOR TÁNDEM HAMM-HD120 VV</t>
        </is>
      </c>
      <c r="D29" s="13" t="inlineStr">
        <is>
          <t>JOEL ALBERTO RIVERA RIVAS</t>
        </is>
      </c>
      <c r="E29" s="13" t="inlineStr">
        <is>
          <t>Compactación Tándem Primaria</t>
        </is>
      </c>
      <c r="F29" s="37" t="n">
        <v>50</v>
      </c>
      <c r="G29" s="37" t="n">
        <v>210</v>
      </c>
      <c r="H29" s="16">
        <f>G29*$E$4</f>
        <v/>
      </c>
      <c r="I29" s="20">
        <f>IF(H29&gt;0, F29/H29, 0)</f>
        <v/>
      </c>
      <c r="J29" s="37" t="n">
        <v>0</v>
      </c>
      <c r="K29" s="37" t="n">
        <v>210</v>
      </c>
      <c r="L29" s="16">
        <f>K29*$E$4</f>
        <v/>
      </c>
      <c r="M29" s="20">
        <f>IF(L29&gt;0, J29/L29, 0)</f>
        <v/>
      </c>
      <c r="N29" s="37" t="n">
        <v>50</v>
      </c>
      <c r="O29" s="37" t="n">
        <v>210</v>
      </c>
      <c r="P29" s="16">
        <f>O29*$E$4</f>
        <v/>
      </c>
      <c r="Q29" s="20">
        <f>IF(P29&gt;0, N29/P29, 0)</f>
        <v/>
      </c>
      <c r="R29" s="37" t="n">
        <v>0</v>
      </c>
      <c r="S29" s="37" t="n">
        <v>162</v>
      </c>
      <c r="T29" s="16">
        <f>S29*$E$4</f>
        <v/>
      </c>
      <c r="U29" s="20">
        <f>IF(T29&gt;0, R29/T29, 0)</f>
        <v/>
      </c>
      <c r="V29" s="37" t="n">
        <v>0</v>
      </c>
      <c r="W29" s="37" t="n">
        <v>0</v>
      </c>
      <c r="X29" s="16">
        <f>W29*$E$4</f>
        <v/>
      </c>
      <c r="Y29" s="20">
        <f>IF(X29&gt;0, V29/X29, 0)</f>
        <v/>
      </c>
      <c r="Z29" s="37" t="n">
        <v>50</v>
      </c>
      <c r="AA29" s="37" t="n">
        <v>0</v>
      </c>
      <c r="AB29" s="16">
        <f>AA29*$E$4</f>
        <v/>
      </c>
      <c r="AC29" s="20">
        <f>IF(AB29&gt;0, Z29/AB29, 0)</f>
        <v/>
      </c>
      <c r="AD29" s="37">
        <f>F29+J29+N29+R29+V29+Z29</f>
        <v/>
      </c>
      <c r="AE29" s="37">
        <f>G29+K29+O29+S29+W29+AA29</f>
        <v/>
      </c>
      <c r="AF29" s="16">
        <f>H29+L29+P29+T29+X29+AB29</f>
        <v/>
      </c>
      <c r="AG29" s="20">
        <f>IF(AF29&gt;0, AD29/AF29, 0)</f>
        <v/>
      </c>
    </row>
    <row r="30" ht="18.75" customHeight="1" s="46">
      <c r="A30" s="12" t="n">
        <v>4</v>
      </c>
      <c r="B30" s="12" t="inlineStr">
        <is>
          <t>DR-02</t>
        </is>
      </c>
      <c r="C30" s="13" t="inlineStr">
        <is>
          <t>COMPACTADOR TÁNDEM HAMM-HD140</t>
        </is>
      </c>
      <c r="D30" s="13" t="inlineStr">
        <is>
          <t>ALEXIS RENDON DOMINGUEZ</t>
        </is>
      </c>
      <c r="E30" s="13" t="inlineStr">
        <is>
          <t>Compactación Tándem Pesada</t>
        </is>
      </c>
      <c r="F30" s="37" t="n">
        <v>50</v>
      </c>
      <c r="G30" s="37" t="n">
        <v>210</v>
      </c>
      <c r="H30" s="16">
        <f>G30*$E$4</f>
        <v/>
      </c>
      <c r="I30" s="20">
        <f>IF(H30&gt;0, F30/H30, 0)</f>
        <v/>
      </c>
      <c r="J30" s="37" t="n">
        <v>0</v>
      </c>
      <c r="K30" s="37" t="n">
        <v>210</v>
      </c>
      <c r="L30" s="16">
        <f>K30*$E$4</f>
        <v/>
      </c>
      <c r="M30" s="20">
        <f>IF(L30&gt;0, J30/L30, 0)</f>
        <v/>
      </c>
      <c r="N30" s="37" t="n">
        <v>50</v>
      </c>
      <c r="O30" s="37" t="n">
        <v>210</v>
      </c>
      <c r="P30" s="16">
        <f>O30*$E$4</f>
        <v/>
      </c>
      <c r="Q30" s="20">
        <f>IF(P30&gt;0, N30/P30, 0)</f>
        <v/>
      </c>
      <c r="R30" s="37" t="n">
        <v>0</v>
      </c>
      <c r="S30" s="37" t="n">
        <v>162</v>
      </c>
      <c r="T30" s="16">
        <f>S30*$E$4</f>
        <v/>
      </c>
      <c r="U30" s="20">
        <f>IF(T30&gt;0, R30/T30, 0)</f>
        <v/>
      </c>
      <c r="V30" s="37" t="n">
        <v>0</v>
      </c>
      <c r="W30" s="37" t="n">
        <v>0</v>
      </c>
      <c r="X30" s="16">
        <f>W30*$E$4</f>
        <v/>
      </c>
      <c r="Y30" s="20">
        <f>IF(X30&gt;0, V30/X30, 0)</f>
        <v/>
      </c>
      <c r="Z30" s="37" t="n">
        <v>50</v>
      </c>
      <c r="AA30" s="37" t="n">
        <v>0</v>
      </c>
      <c r="AB30" s="16">
        <f>AA30*$E$4</f>
        <v/>
      </c>
      <c r="AC30" s="20">
        <f>IF(AB30&gt;0, Z30/AB30, 0)</f>
        <v/>
      </c>
      <c r="AD30" s="37">
        <f>F30+J30+N30+R30+V30+Z30</f>
        <v/>
      </c>
      <c r="AE30" s="37">
        <f>G30+K30+O30+S30+W30+AA30</f>
        <v/>
      </c>
      <c r="AF30" s="16">
        <f>H30+L30+P30+T30+X30+AB30</f>
        <v/>
      </c>
      <c r="AG30" s="20">
        <f>IF(AF30&gt;0, AD30/AF30, 0)</f>
        <v/>
      </c>
    </row>
    <row r="31" ht="18.75" customHeight="1" s="46">
      <c r="A31" s="12" t="n">
        <v>5</v>
      </c>
      <c r="B31" s="12" t="inlineStr">
        <is>
          <t>NM-01</t>
        </is>
      </c>
      <c r="C31" s="13" t="inlineStr">
        <is>
          <t>COMPACTADOR NEUMÁTICO DYNAPAC CP271</t>
        </is>
      </c>
      <c r="D31" s="13" t="inlineStr">
        <is>
          <t>JOSE CARLOS ROMERO TELLEZ</t>
        </is>
      </c>
      <c r="E31" s="13" t="inlineStr">
        <is>
          <t>Compactación Neumática / Sellado</t>
        </is>
      </c>
      <c r="F31" s="37" t="n">
        <v>21</v>
      </c>
      <c r="G31" s="37" t="n">
        <v>210</v>
      </c>
      <c r="H31" s="16">
        <f>G31*$E$4</f>
        <v/>
      </c>
      <c r="I31" s="20">
        <f>IF(H31&gt;0, F31/H31, 0)</f>
        <v/>
      </c>
      <c r="J31" s="37" t="n">
        <v>0</v>
      </c>
      <c r="K31" s="37" t="n">
        <v>210</v>
      </c>
      <c r="L31" s="16">
        <f>K31*$E$4</f>
        <v/>
      </c>
      <c r="M31" s="20">
        <f>IF(L31&gt;0, J31/L31, 0)</f>
        <v/>
      </c>
      <c r="N31" s="37" t="n">
        <v>0</v>
      </c>
      <c r="O31" s="37" t="n">
        <v>210</v>
      </c>
      <c r="P31" s="16">
        <f>O31*$E$4</f>
        <v/>
      </c>
      <c r="Q31" s="20">
        <f>IF(P31&gt;0, N31/P31, 0)</f>
        <v/>
      </c>
      <c r="R31" s="37" t="n">
        <v>0</v>
      </c>
      <c r="S31" s="37" t="n">
        <v>162</v>
      </c>
      <c r="T31" s="16">
        <f>S31*$E$4</f>
        <v/>
      </c>
      <c r="U31" s="20">
        <f>IF(T31&gt;0, R31/T31, 0)</f>
        <v/>
      </c>
      <c r="V31" s="37" t="n">
        <v>0</v>
      </c>
      <c r="W31" s="37" t="n">
        <v>0</v>
      </c>
      <c r="X31" s="16">
        <f>W31*$E$4</f>
        <v/>
      </c>
      <c r="Y31" s="20">
        <f>IF(X31&gt;0, V31/X31, 0)</f>
        <v/>
      </c>
      <c r="Z31" s="37" t="n">
        <v>50</v>
      </c>
      <c r="AA31" s="37" t="n">
        <v>0</v>
      </c>
      <c r="AB31" s="16">
        <f>AA31*$E$4</f>
        <v/>
      </c>
      <c r="AC31" s="20">
        <f>IF(AB31&gt;0, Z31/AB31, 0)</f>
        <v/>
      </c>
      <c r="AD31" s="37">
        <f>F31+J31+N31+R31+V31+Z31</f>
        <v/>
      </c>
      <c r="AE31" s="37">
        <f>G31+K31+O31+S31+W31+AA31</f>
        <v/>
      </c>
      <c r="AF31" s="16">
        <f>H31+L31+P31+T31+X31+AB31</f>
        <v/>
      </c>
      <c r="AG31" s="20">
        <f>IF(AF31&gt;0, AD31/AF31, 0)</f>
        <v/>
      </c>
    </row>
    <row r="32" ht="18.75" customHeight="1" s="46">
      <c r="A32" s="12" t="n">
        <v>6</v>
      </c>
      <c r="B32" s="12" t="inlineStr">
        <is>
          <t>NM-09</t>
        </is>
      </c>
      <c r="C32" s="13" t="inlineStr">
        <is>
          <t>COMPACTADOR NEUMÁTICO HAMM 208</t>
        </is>
      </c>
      <c r="D32" s="13" t="inlineStr">
        <is>
          <t>NOLVIN DE JESUS PEREZ GOMEZ</t>
        </is>
      </c>
      <c r="E32" s="13" t="inlineStr">
        <is>
          <t>Compactación Neumática / Acabado</t>
        </is>
      </c>
      <c r="F32" s="37" t="n">
        <v>50</v>
      </c>
      <c r="G32" s="37" t="n">
        <v>210</v>
      </c>
      <c r="H32" s="16">
        <f>G32*$E$4</f>
        <v/>
      </c>
      <c r="I32" s="20">
        <f>IF(H32&gt;0, F32/H32, 0)</f>
        <v/>
      </c>
      <c r="J32" s="37" t="n">
        <v>0</v>
      </c>
      <c r="K32" s="37" t="n">
        <v>210</v>
      </c>
      <c r="L32" s="16">
        <f>K32*$E$4</f>
        <v/>
      </c>
      <c r="M32" s="20">
        <f>IF(L32&gt;0, J32/L32, 0)</f>
        <v/>
      </c>
      <c r="N32" s="37" t="n">
        <v>50</v>
      </c>
      <c r="O32" s="37" t="n">
        <v>210</v>
      </c>
      <c r="P32" s="16">
        <f>O32*$E$4</f>
        <v/>
      </c>
      <c r="Q32" s="20">
        <f>IF(P32&gt;0, N32/P32, 0)</f>
        <v/>
      </c>
      <c r="R32" s="37" t="n">
        <v>0</v>
      </c>
      <c r="S32" s="37" t="n">
        <v>162</v>
      </c>
      <c r="T32" s="16">
        <f>S32*$E$4</f>
        <v/>
      </c>
      <c r="U32" s="20">
        <f>IF(T32&gt;0, R32/T32, 0)</f>
        <v/>
      </c>
      <c r="V32" s="37" t="n">
        <v>0</v>
      </c>
      <c r="W32" s="37" t="n">
        <v>0</v>
      </c>
      <c r="X32" s="16">
        <f>W32*$E$4</f>
        <v/>
      </c>
      <c r="Y32" s="20">
        <f>IF(X32&gt;0, V32/X32, 0)</f>
        <v/>
      </c>
      <c r="Z32" s="37" t="n">
        <v>50</v>
      </c>
      <c r="AA32" s="37" t="n">
        <v>0</v>
      </c>
      <c r="AB32" s="16">
        <f>AA32*$E$4</f>
        <v/>
      </c>
      <c r="AC32" s="20">
        <f>IF(AB32&gt;0, Z32/AB32, 0)</f>
        <v/>
      </c>
      <c r="AD32" s="37">
        <f>F32+J32+N32+R32+V32+Z32</f>
        <v/>
      </c>
      <c r="AE32" s="37">
        <f>G32+K32+O32+S32+W32+AA32</f>
        <v/>
      </c>
      <c r="AF32" s="16">
        <f>H32+L32+P32+T32+X32+AB32</f>
        <v/>
      </c>
      <c r="AG32" s="20">
        <f>IF(AF32&gt;0, AD32/AF32, 0)</f>
        <v/>
      </c>
    </row>
    <row r="33" ht="18.75" customHeight="1" s="46">
      <c r="A33" s="12" t="n">
        <v>7</v>
      </c>
      <c r="B33" s="12" t="inlineStr">
        <is>
          <t>BR-01</t>
        </is>
      </c>
      <c r="C33" s="13" t="inlineStr">
        <is>
          <t>BARREDORA INDUSTRIAL BROCE BROOM-350</t>
        </is>
      </c>
      <c r="D33" s="13" t="inlineStr">
        <is>
          <t>EDGAR ROSALES MARTINEZ</t>
        </is>
      </c>
      <c r="E33" s="13" t="inlineStr">
        <is>
          <t>Limpieza y Barrido Previo</t>
        </is>
      </c>
      <c r="F33" s="37" t="n">
        <v>40</v>
      </c>
      <c r="G33" s="37" t="n">
        <v>210</v>
      </c>
      <c r="H33" s="16">
        <f>G33*$E$4</f>
        <v/>
      </c>
      <c r="I33" s="20">
        <f>IF(H33&gt;0, F33/H33, 0)</f>
        <v/>
      </c>
      <c r="J33" s="37" t="n">
        <v>0</v>
      </c>
      <c r="K33" s="37" t="n">
        <v>210</v>
      </c>
      <c r="L33" s="16">
        <f>K33*$E$4</f>
        <v/>
      </c>
      <c r="M33" s="20">
        <f>IF(L33&gt;0, J33/L33, 0)</f>
        <v/>
      </c>
      <c r="N33" s="37" t="n">
        <v>40</v>
      </c>
      <c r="O33" s="37" t="n">
        <v>210</v>
      </c>
      <c r="P33" s="16">
        <f>O33*$E$4</f>
        <v/>
      </c>
      <c r="Q33" s="20">
        <f>IF(P33&gt;0, N33/P33, 0)</f>
        <v/>
      </c>
      <c r="R33" s="37" t="n">
        <v>0</v>
      </c>
      <c r="S33" s="37" t="n">
        <v>162</v>
      </c>
      <c r="T33" s="16">
        <f>S33*$E$4</f>
        <v/>
      </c>
      <c r="U33" s="20">
        <f>IF(T33&gt;0, R33/T33, 0)</f>
        <v/>
      </c>
      <c r="V33" s="37" t="n">
        <v>0</v>
      </c>
      <c r="W33" s="37" t="n">
        <v>0</v>
      </c>
      <c r="X33" s="16">
        <f>W33*$E$4</f>
        <v/>
      </c>
      <c r="Y33" s="20">
        <f>IF(X33&gt;0, V33/X33, 0)</f>
        <v/>
      </c>
      <c r="Z33" s="37" t="n">
        <v>40</v>
      </c>
      <c r="AA33" s="37" t="n">
        <v>0</v>
      </c>
      <c r="AB33" s="16">
        <f>AA33*$E$4</f>
        <v/>
      </c>
      <c r="AC33" s="20">
        <f>IF(AB33&gt;0, Z33/AB33, 0)</f>
        <v/>
      </c>
      <c r="AD33" s="37">
        <f>F33+J33+N33+R33+V33+Z33</f>
        <v/>
      </c>
      <c r="AE33" s="37">
        <f>G33+K33+O33+S33+W33+AA33</f>
        <v/>
      </c>
      <c r="AF33" s="16">
        <f>H33+L33+P33+T33+X33+AB33</f>
        <v/>
      </c>
      <c r="AG33" s="20">
        <f>IF(AF33&gt;0, AD33/AF33, 0)</f>
        <v/>
      </c>
    </row>
    <row r="34" ht="18.75" customHeight="1" s="46">
      <c r="A34" s="12" t="n">
        <v>8</v>
      </c>
      <c r="B34" s="12" t="inlineStr">
        <is>
          <t>RT-05</t>
        </is>
      </c>
      <c r="C34" s="13" t="inlineStr">
        <is>
          <t>RETROEXCAVADORA JOHN DEERE 310SK</t>
        </is>
      </c>
      <c r="D34" s="13" t="inlineStr">
        <is>
          <t>ADOLFO NAVA LOPEZ</t>
        </is>
      </c>
      <c r="E34" s="13" t="inlineStr">
        <is>
          <t>Carga Fresado y Derrumbes</t>
        </is>
      </c>
      <c r="F34" s="37" t="n">
        <v>60</v>
      </c>
      <c r="G34" s="37" t="n">
        <v>315</v>
      </c>
      <c r="H34" s="16">
        <f>G34*$E$4</f>
        <v/>
      </c>
      <c r="I34" s="20">
        <f>IF(G34&gt;0, F34/G34, 0)</f>
        <v/>
      </c>
      <c r="J34" s="37" t="n">
        <v>120</v>
      </c>
      <c r="K34" s="37" t="n">
        <v>413</v>
      </c>
      <c r="L34" s="16">
        <f>K34*$E$4</f>
        <v/>
      </c>
      <c r="M34" s="20">
        <f>IF(K34&gt;0, J34/K34, 0)</f>
        <v/>
      </c>
      <c r="N34" s="37" t="n">
        <v>60</v>
      </c>
      <c r="O34" s="37" t="n">
        <v>455</v>
      </c>
      <c r="P34" s="16">
        <f>O34*$E$4</f>
        <v/>
      </c>
      <c r="Q34" s="20">
        <f>IF(O34&gt;0, N34/O34, 0)</f>
        <v/>
      </c>
      <c r="R34" s="37" t="n">
        <v>0</v>
      </c>
      <c r="S34" s="37" t="n">
        <v>322</v>
      </c>
      <c r="T34" s="16">
        <f>S34*$E$4</f>
        <v/>
      </c>
      <c r="U34" s="20">
        <f>IF(S34&gt;0, R34/S34, 0)</f>
        <v/>
      </c>
      <c r="V34" s="37" t="n">
        <v>195</v>
      </c>
      <c r="W34" s="37" t="n">
        <v>427</v>
      </c>
      <c r="X34" s="16">
        <f>W34*$E$4</f>
        <v/>
      </c>
      <c r="Y34" s="20">
        <f>IF(W34&gt;0, V34/W34, 0)</f>
        <v/>
      </c>
      <c r="Z34" s="37" t="n">
        <v>0</v>
      </c>
      <c r="AA34" s="37" t="n">
        <v>91</v>
      </c>
      <c r="AB34" s="16">
        <f>AA34*$E$4</f>
        <v/>
      </c>
      <c r="AC34" s="20">
        <f>IF(AA34&gt;0, Z34/AA34, 0)</f>
        <v/>
      </c>
      <c r="AD34" s="37">
        <f>F34+J34+N34+R34+V34+Z34</f>
        <v/>
      </c>
      <c r="AE34" s="37">
        <f>G34+K34+O34+S34+W34+AA34</f>
        <v/>
      </c>
      <c r="AF34" s="16">
        <f>H34+L34+P34+T34+X34+AB34</f>
        <v/>
      </c>
      <c r="AG34" s="20">
        <f>IF(AE34&gt;0, AD34/AE34, 0)</f>
        <v/>
      </c>
    </row>
    <row r="35" ht="18.75" customHeight="1" s="46">
      <c r="A35" s="12" t="n">
        <v>9</v>
      </c>
      <c r="B35" s="12" t="inlineStr">
        <is>
          <t>PT-01</t>
        </is>
      </c>
      <c r="C35" s="13" t="inlineStr">
        <is>
          <t>PETROLIZADORA INTERNATIONAL / FORD F800</t>
        </is>
      </c>
      <c r="D35" s="13" t="inlineStr">
        <is>
          <t>ELTHON EDUARDO MARTINEZ GOMORA</t>
        </is>
      </c>
      <c r="E35" s="13" t="inlineStr">
        <is>
          <t>Riego de Liga / Emulsión</t>
        </is>
      </c>
      <c r="F35" s="37" t="n">
        <v>60</v>
      </c>
      <c r="G35" s="37" t="n">
        <v>210</v>
      </c>
      <c r="H35" s="16">
        <f>G35*$E$4</f>
        <v/>
      </c>
      <c r="I35" s="20">
        <f>IF(H35&gt;0, F35/H35, 0)</f>
        <v/>
      </c>
      <c r="J35" s="37" t="n">
        <v>0</v>
      </c>
      <c r="K35" s="37" t="n">
        <v>210</v>
      </c>
      <c r="L35" s="16">
        <f>K35*$E$4</f>
        <v/>
      </c>
      <c r="M35" s="20">
        <f>IF(L35&gt;0, J35/L35, 0)</f>
        <v/>
      </c>
      <c r="N35" s="37" t="n">
        <v>0</v>
      </c>
      <c r="O35" s="37" t="n">
        <v>210</v>
      </c>
      <c r="P35" s="16">
        <f>O35*$E$4</f>
        <v/>
      </c>
      <c r="Q35" s="20">
        <f>IF(P35&gt;0, N35/P35, 0)</f>
        <v/>
      </c>
      <c r="R35" s="37" t="n">
        <v>0</v>
      </c>
      <c r="S35" s="37" t="n">
        <v>162</v>
      </c>
      <c r="T35" s="16">
        <f>S35*$E$4</f>
        <v/>
      </c>
      <c r="U35" s="20">
        <f>IF(T35&gt;0, R35/T35, 0)</f>
        <v/>
      </c>
      <c r="V35" s="37" t="n">
        <v>0</v>
      </c>
      <c r="W35" s="37" t="n">
        <v>0</v>
      </c>
      <c r="X35" s="16">
        <f>W35*$E$4</f>
        <v/>
      </c>
      <c r="Y35" s="20">
        <f>IF(X35&gt;0, V35/X35, 0)</f>
        <v/>
      </c>
      <c r="Z35" s="37" t="n">
        <v>0</v>
      </c>
      <c r="AA35" s="37" t="n">
        <v>0</v>
      </c>
      <c r="AB35" s="16">
        <f>AA35*$E$4</f>
        <v/>
      </c>
      <c r="AC35" s="20">
        <f>IF(AB35&gt;0, Z35/AB35, 0)</f>
        <v/>
      </c>
      <c r="AD35" s="37">
        <f>F35+J35+N35+R35+V35+Z35</f>
        <v/>
      </c>
      <c r="AE35" s="37">
        <f>G35+K35+O35+S35+W35+AA35</f>
        <v/>
      </c>
      <c r="AF35" s="16">
        <f>H35+L35+P35+T35+X35+AB35</f>
        <v/>
      </c>
      <c r="AG35" s="20">
        <f>IF(AF35&gt;0, AD35/AF35, 0)</f>
        <v/>
      </c>
    </row>
    <row r="36" ht="18.75" customHeight="1" s="46">
      <c r="A36" s="12" t="n">
        <v>10</v>
      </c>
      <c r="B36" s="12" t="inlineStr">
        <is>
          <t>CPR-01</t>
        </is>
      </c>
      <c r="C36" s="13" t="inlineStr">
        <is>
          <t>COMPRESOR DE AIRE INGERSOLL RAND IR185</t>
        </is>
      </c>
      <c r="D36" s="13" t="inlineStr">
        <is>
          <t>CUADRILLA DE LIMPIEZA</t>
        </is>
      </c>
      <c r="E36" s="13" t="inlineStr">
        <is>
          <t>Sopleteado de Juntas</t>
        </is>
      </c>
      <c r="F36" s="37" t="n">
        <v>0</v>
      </c>
      <c r="G36" s="37" t="n">
        <v>0</v>
      </c>
      <c r="H36" s="16">
        <f>G36*$E$4</f>
        <v/>
      </c>
      <c r="I36" s="20" t="n">
        <v>0</v>
      </c>
      <c r="J36" s="37" t="n">
        <v>0</v>
      </c>
      <c r="K36" s="37" t="n">
        <v>0</v>
      </c>
      <c r="L36" s="16">
        <f>K36*$E$4</f>
        <v/>
      </c>
      <c r="M36" s="20" t="n">
        <v>0</v>
      </c>
      <c r="N36" s="37" t="n">
        <v>0</v>
      </c>
      <c r="O36" s="37" t="n">
        <v>0</v>
      </c>
      <c r="P36" s="16">
        <f>O36*$E$4</f>
        <v/>
      </c>
      <c r="Q36" s="20" t="n">
        <v>0</v>
      </c>
      <c r="R36" s="37" t="n">
        <v>0</v>
      </c>
      <c r="S36" s="37" t="n">
        <v>0</v>
      </c>
      <c r="T36" s="16">
        <f>S36*$E$4</f>
        <v/>
      </c>
      <c r="U36" s="20" t="n">
        <v>0</v>
      </c>
      <c r="V36" s="37" t="n">
        <v>0</v>
      </c>
      <c r="W36" s="37" t="n">
        <v>0</v>
      </c>
      <c r="X36" s="16">
        <f>W36*$E$4</f>
        <v/>
      </c>
      <c r="Y36" s="20" t="n">
        <v>0</v>
      </c>
      <c r="Z36" s="37" t="n">
        <v>0</v>
      </c>
      <c r="AA36" s="37" t="n">
        <v>0</v>
      </c>
      <c r="AB36" s="16">
        <f>AA36*$E$4</f>
        <v/>
      </c>
      <c r="AC36" s="20" t="n">
        <v>0</v>
      </c>
      <c r="AD36" s="37">
        <f>F36+J36+N36+R36+V36+Z36</f>
        <v/>
      </c>
      <c r="AE36" s="37">
        <f>G36+K36+O36+S36+W36+AA36</f>
        <v/>
      </c>
      <c r="AF36" s="16">
        <f>H36+L36+P36+T36+X36+AB36</f>
        <v/>
      </c>
      <c r="AG36" s="20" t="n">
        <v>0</v>
      </c>
    </row>
    <row r="37" ht="18.75" customHeight="1" s="46">
      <c r="A37" s="12" t="n">
        <v>11</v>
      </c>
      <c r="B37" s="12" t="inlineStr">
        <is>
          <t>PP-01</t>
        </is>
      </c>
      <c r="C37" s="13" t="inlineStr">
        <is>
          <t>CAMIÓN IMPACTO / PIPA DE AGUA FORD</t>
        </is>
      </c>
      <c r="D37" s="13" t="inlineStr">
        <is>
          <t>CUADRILLA DE AGUA</t>
        </is>
      </c>
      <c r="E37" s="13" t="inlineStr">
        <is>
          <t>Enfriamiento Rodillos / Riego</t>
        </is>
      </c>
      <c r="F37" s="37" t="n">
        <v>0</v>
      </c>
      <c r="G37" s="37" t="n">
        <v>0</v>
      </c>
      <c r="H37" s="16">
        <f>G37*$E$4</f>
        <v/>
      </c>
      <c r="I37" s="20" t="n">
        <v>0</v>
      </c>
      <c r="J37" s="37" t="n">
        <v>0</v>
      </c>
      <c r="K37" s="37" t="n">
        <v>0</v>
      </c>
      <c r="L37" s="16">
        <f>K37*$E$4</f>
        <v/>
      </c>
      <c r="M37" s="20" t="n">
        <v>0</v>
      </c>
      <c r="N37" s="37" t="n">
        <v>0</v>
      </c>
      <c r="O37" s="37" t="n">
        <v>0</v>
      </c>
      <c r="P37" s="16">
        <f>O37*$E$4</f>
        <v/>
      </c>
      <c r="Q37" s="20" t="n">
        <v>0</v>
      </c>
      <c r="R37" s="37" t="n">
        <v>0</v>
      </c>
      <c r="S37" s="37" t="n">
        <v>0</v>
      </c>
      <c r="T37" s="16">
        <f>S37*$E$4</f>
        <v/>
      </c>
      <c r="U37" s="20" t="n">
        <v>0</v>
      </c>
      <c r="V37" s="37" t="n">
        <v>0</v>
      </c>
      <c r="W37" s="37" t="n">
        <v>0</v>
      </c>
      <c r="X37" s="16">
        <f>W37*$E$4</f>
        <v/>
      </c>
      <c r="Y37" s="20" t="n">
        <v>0</v>
      </c>
      <c r="Z37" s="37" t="n">
        <v>0</v>
      </c>
      <c r="AA37" s="37" t="n">
        <v>0</v>
      </c>
      <c r="AB37" s="16">
        <f>AA37*$E$4</f>
        <v/>
      </c>
      <c r="AC37" s="20" t="n">
        <v>0</v>
      </c>
      <c r="AD37" s="37">
        <f>F37+J37+N37+R37+V37+Z37</f>
        <v/>
      </c>
      <c r="AE37" s="37">
        <f>G37+K37+O37+S37+W37+AA37</f>
        <v/>
      </c>
      <c r="AF37" s="16">
        <f>H37+L37+P37+T37+X37+AB37</f>
        <v/>
      </c>
      <c r="AG37" s="20" t="n">
        <v>0</v>
      </c>
    </row>
    <row r="38" ht="18.75" customHeight="1" s="46">
      <c r="A38" s="12" t="n">
        <v>12</v>
      </c>
      <c r="B38" s="12" t="inlineStr">
        <is>
          <t>TL-01</t>
        </is>
      </c>
      <c r="C38" s="13" t="inlineStr">
        <is>
          <t>TORRE DE LUZ MAXILIGHT 4X1000W</t>
        </is>
      </c>
      <c r="D38" s="13" t="inlineStr">
        <is>
          <t>CUADRILLA NOCTURNA</t>
        </is>
      </c>
      <c r="E38" s="13" t="inlineStr">
        <is>
          <t>Iluminación Nocturna</t>
        </is>
      </c>
      <c r="F38" s="37" t="n">
        <v>0</v>
      </c>
      <c r="G38" s="37" t="n">
        <v>0</v>
      </c>
      <c r="H38" s="16">
        <f>G38*$E$4</f>
        <v/>
      </c>
      <c r="I38" s="20" t="n">
        <v>0</v>
      </c>
      <c r="J38" s="37" t="n">
        <v>0</v>
      </c>
      <c r="K38" s="37" t="n">
        <v>0</v>
      </c>
      <c r="L38" s="16">
        <f>K38*$E$4</f>
        <v/>
      </c>
      <c r="M38" s="20" t="n">
        <v>0</v>
      </c>
      <c r="N38" s="37" t="n">
        <v>0</v>
      </c>
      <c r="O38" s="37" t="n">
        <v>0</v>
      </c>
      <c r="P38" s="16">
        <f>O38*$E$4</f>
        <v/>
      </c>
      <c r="Q38" s="20" t="n">
        <v>0</v>
      </c>
      <c r="R38" s="37" t="n">
        <v>0</v>
      </c>
      <c r="S38" s="37" t="n">
        <v>0</v>
      </c>
      <c r="T38" s="16">
        <f>S38*$E$4</f>
        <v/>
      </c>
      <c r="U38" s="20" t="n">
        <v>0</v>
      </c>
      <c r="V38" s="37" t="n">
        <v>0</v>
      </c>
      <c r="W38" s="37" t="n">
        <v>0</v>
      </c>
      <c r="X38" s="16">
        <f>W38*$E$4</f>
        <v/>
      </c>
      <c r="Y38" s="20" t="n">
        <v>0</v>
      </c>
      <c r="Z38" s="37" t="n">
        <v>0</v>
      </c>
      <c r="AA38" s="37" t="n">
        <v>0</v>
      </c>
      <c r="AB38" s="16">
        <f>AA38*$E$4</f>
        <v/>
      </c>
      <c r="AC38" s="20" t="n">
        <v>0</v>
      </c>
      <c r="AD38" s="37">
        <f>F38+J38+N38+R38+V38+Z38</f>
        <v/>
      </c>
      <c r="AE38" s="37">
        <f>G38+K38+O38+S38+W38+AA38</f>
        <v/>
      </c>
      <c r="AF38" s="16">
        <f>H38+L38+P38+T38+X38+AB38</f>
        <v/>
      </c>
      <c r="AG38" s="20" t="n">
        <v>0</v>
      </c>
    </row>
    <row r="39" ht="21.75" customHeight="1" s="46">
      <c r="A39" s="30" t="inlineStr">
        <is>
          <t>TOTAL DIARIO CONSOLIDADO (OBRA MÉXICO-TOLUCA)</t>
        </is>
      </c>
      <c r="B39" s="50" t="n"/>
      <c r="C39" s="50" t="n"/>
      <c r="D39" s="50" t="n"/>
      <c r="E39" s="51" t="n"/>
      <c r="F39" s="27">
        <f>SUM(F27:F38)</f>
        <v/>
      </c>
      <c r="G39" s="27">
        <f>MAX(G27:G38)</f>
        <v/>
      </c>
      <c r="H39" s="28">
        <f>G39*$E$4</f>
        <v/>
      </c>
      <c r="I39" s="29">
        <f>IF(H39&gt;0, F39/H39, 0)</f>
        <v/>
      </c>
      <c r="J39" s="27">
        <f>SUM(J27:J38)</f>
        <v/>
      </c>
      <c r="K39" s="27">
        <f>MAX(K27:K38)</f>
        <v/>
      </c>
      <c r="L39" s="28">
        <f>K39*$E$4</f>
        <v/>
      </c>
      <c r="M39" s="29">
        <f>IF(L39&gt;0, J39/L39, 0)</f>
        <v/>
      </c>
      <c r="N39" s="27">
        <f>SUM(N27:N38)</f>
        <v/>
      </c>
      <c r="O39" s="27">
        <f>MAX(O27:O38)</f>
        <v/>
      </c>
      <c r="P39" s="28">
        <f>O39*$E$4</f>
        <v/>
      </c>
      <c r="Q39" s="29">
        <f>IF(P39&gt;0, N39/P39, 0)</f>
        <v/>
      </c>
      <c r="R39" s="27">
        <f>SUM(R27:R38)</f>
        <v/>
      </c>
      <c r="S39" s="27">
        <f>MAX(S27:S38)</f>
        <v/>
      </c>
      <c r="T39" s="28">
        <f>S39*$E$4</f>
        <v/>
      </c>
      <c r="U39" s="29">
        <f>IF(T39&gt;0, R39/T39, 0)</f>
        <v/>
      </c>
      <c r="V39" s="27">
        <f>SUM(V27:V38)</f>
        <v/>
      </c>
      <c r="W39" s="27">
        <f>MAX(W27:W38)</f>
        <v/>
      </c>
      <c r="X39" s="28">
        <f>W39*$E$4</f>
        <v/>
      </c>
      <c r="Y39" s="29">
        <f>IF(X39&gt;0, V39/X39, 0)</f>
        <v/>
      </c>
      <c r="Z39" s="27">
        <f>SUM(Z27:Z38)</f>
        <v/>
      </c>
      <c r="AA39" s="27">
        <f>MAX(AA27:AA38)</f>
        <v/>
      </c>
      <c r="AB39" s="28">
        <f>AA39*$E$4</f>
        <v/>
      </c>
      <c r="AC39" s="29">
        <f>IF(AB39&gt;0, Z39/AB39, 0)</f>
        <v/>
      </c>
      <c r="AD39" s="27">
        <f>SUM(AD27:AD38)</f>
        <v/>
      </c>
      <c r="AE39" s="27">
        <f>SUM(AE27:AE38)</f>
        <v/>
      </c>
      <c r="AF39" s="28">
        <f>SUM(AF27:AF38)</f>
        <v/>
      </c>
      <c r="AG39" s="29">
        <f>IF(AF39&gt;0, AD39/AF39, 0)</f>
        <v/>
      </c>
    </row>
    <row r="40" ht="15.75" customHeight="1" s="46"/>
    <row r="41" ht="15.75" customHeight="1" s="46">
      <c r="A41" s="40" t="inlineStr">
        <is>
          <t>NOTA TÉCNICA Y CRITERIOS DE CONTROL DE RENDIMIENTO — OBRA MÉXICO-TOLUCA:
1. Peso Volumétrico Oficial del Asfalto: 1.742 Ton/m³ (Toneladas = m³ Carpeta × 1.742).
2. Rendimiento Base (L/h): Consumo nominal de fabricante ajustado con 1.2% anual de desgaste por antigüedad al 2026.
3. Rendimiento Real: Diésel Surtido / Toneladas Tendidas (L/Ton) o Diésel Surtido / Volumen Fresado (L/m³).
4. Estatus Operativo: DENTRO DE RENDIMIENTO BASE (Verde) / EXCEDE RENDIMIENTO BASE (Rojo) / SIN CONSUMO (Gris).</t>
        </is>
      </c>
    </row>
    <row r="42" ht="15.75" customHeight="1" s="46"/>
    <row r="43" ht="15.75" customHeight="1" s="46"/>
    <row r="44" ht="15.75" customHeight="1" s="46"/>
    <row r="45" ht="15.75" customHeight="1" s="46"/>
    <row r="46" ht="15.75" customHeight="1" s="46"/>
    <row r="47" ht="15.75" customHeight="1" s="46"/>
    <row r="48" ht="15.75" customHeight="1" s="46"/>
    <row r="49" ht="15.75" customHeight="1" s="46"/>
    <row r="50" ht="15.75" customHeight="1" s="46"/>
    <row r="51" ht="15.75" customHeight="1" s="46"/>
    <row r="52" ht="15.75" customHeight="1" s="46"/>
    <row r="53" ht="15.75" customHeight="1" s="46"/>
    <row r="54" ht="15.75" customHeight="1" s="46"/>
    <row r="55" ht="15.75" customHeight="1" s="46"/>
    <row r="56" ht="15.75" customHeight="1" s="46"/>
    <row r="57" ht="15.75" customHeight="1" s="46"/>
    <row r="58" ht="15.75" customHeight="1" s="46"/>
    <row r="59" ht="15.75" customHeight="1" s="46"/>
    <row r="60" ht="15.75" customHeight="1" s="46"/>
    <row r="61" ht="15.75" customHeight="1" s="46"/>
    <row r="62" ht="15.75" customHeight="1" s="46"/>
    <row r="63" ht="15.75" customHeight="1" s="46"/>
    <row r="64" ht="15.75" customHeight="1" s="46"/>
    <row r="65" ht="15.75" customHeight="1" s="46"/>
    <row r="66" ht="15.75" customHeight="1" s="46"/>
    <row r="67" ht="15.75" customHeight="1" s="46"/>
    <row r="68" ht="15.75" customHeight="1" s="46"/>
    <row r="69" ht="15.75" customHeight="1" s="46"/>
    <row r="70" ht="15.75" customHeight="1" s="46"/>
    <row r="71" ht="15.75" customHeight="1" s="46"/>
    <row r="72" ht="15.75" customHeight="1" s="46"/>
    <row r="73" ht="15.75" customHeight="1" s="46"/>
    <row r="74" ht="15.75" customHeight="1" s="46"/>
    <row r="75" ht="15.75" customHeight="1" s="46"/>
    <row r="76" ht="15.75" customHeight="1" s="46"/>
    <row r="77" ht="15.75" customHeight="1" s="46"/>
    <row r="78" ht="15.75" customHeight="1" s="46"/>
    <row r="79" ht="15.75" customHeight="1" s="46"/>
    <row r="80" ht="15.75" customHeight="1" s="46"/>
    <row r="81" ht="15.75" customHeight="1" s="46"/>
    <row r="82" ht="15.75" customHeight="1" s="46"/>
    <row r="83" ht="15.75" customHeight="1" s="46"/>
    <row r="84" ht="15.75" customHeight="1" s="46"/>
    <row r="85" ht="15.75" customHeight="1" s="46"/>
    <row r="86" ht="15.75" customHeight="1" s="46"/>
    <row r="87" ht="15.75" customHeight="1" s="46"/>
    <row r="88" ht="15.75" customHeight="1" s="46"/>
    <row r="89" ht="15.75" customHeight="1" s="46"/>
    <row r="90" ht="15.75" customHeight="1" s="46"/>
    <row r="91" ht="15.75" customHeight="1" s="46"/>
    <row r="92" ht="15.75" customHeight="1" s="46"/>
    <row r="93" ht="15.75" customHeight="1" s="46"/>
    <row r="94" ht="15.75" customHeight="1" s="46"/>
    <row r="95" ht="15.75" customHeight="1" s="46"/>
    <row r="96" ht="15.75" customHeight="1" s="46"/>
    <row r="97" ht="15.75" customHeight="1" s="46"/>
    <row r="98" ht="15.75" customHeight="1" s="46"/>
    <row r="99" ht="15.75" customHeight="1" s="46"/>
    <row r="100" ht="15.75" customHeight="1" s="46"/>
    <row r="101" ht="15.75" customHeight="1" s="46"/>
    <row r="102" ht="15.75" customHeight="1" s="46"/>
    <row r="103" ht="15.75" customHeight="1" s="46"/>
    <row r="104" ht="15.75" customHeight="1" s="46"/>
    <row r="105" ht="15.75" customHeight="1" s="46"/>
    <row r="106" ht="15.75" customHeight="1" s="46"/>
    <row r="107" ht="15.75" customHeight="1" s="46"/>
    <row r="108" ht="15.75" customHeight="1" s="46"/>
    <row r="109" ht="15.75" customHeight="1" s="46"/>
    <row r="110" ht="15.75" customHeight="1" s="46"/>
    <row r="111" ht="15.75" customHeight="1" s="46"/>
    <row r="112" ht="15.75" customHeight="1" s="46"/>
    <row r="113" ht="15.75" customHeight="1" s="46"/>
    <row r="114" ht="15.75" customHeight="1" s="46"/>
    <row r="115" ht="15.75" customHeight="1" s="46"/>
    <row r="116" ht="15.75" customHeight="1" s="46"/>
    <row r="117" ht="15.75" customHeight="1" s="46"/>
    <row r="118" ht="15.75" customHeight="1" s="46"/>
    <row r="119" ht="15.75" customHeight="1" s="46"/>
    <row r="120" ht="15.75" customHeight="1" s="46"/>
    <row r="121" ht="15.75" customHeight="1" s="46"/>
    <row r="122" ht="15.75" customHeight="1" s="46"/>
    <row r="123" ht="15.75" customHeight="1" s="46"/>
    <row r="124" ht="15.75" customHeight="1" s="46"/>
    <row r="125" ht="15.75" customHeight="1" s="46"/>
    <row r="126" ht="15.75" customHeight="1" s="46"/>
    <row r="127" ht="15.75" customHeight="1" s="46"/>
    <row r="128" ht="15.75" customHeight="1" s="46"/>
    <row r="129" ht="15.75" customHeight="1" s="46"/>
    <row r="130" ht="15.75" customHeight="1" s="46"/>
    <row r="131" ht="15.75" customHeight="1" s="46"/>
    <row r="132" ht="15.75" customHeight="1" s="46"/>
    <row r="133" ht="15.75" customHeight="1" s="46"/>
    <row r="134" ht="15.75" customHeight="1" s="46"/>
    <row r="135" ht="15.75" customHeight="1" s="46"/>
    <row r="136" ht="15.75" customHeight="1" s="46"/>
    <row r="137" ht="15.75" customHeight="1" s="46"/>
    <row r="138" ht="15.75" customHeight="1" s="46"/>
    <row r="139" ht="15.75" customHeight="1" s="46"/>
    <row r="140" ht="15.75" customHeight="1" s="46"/>
    <row r="141" ht="15.75" customHeight="1" s="46"/>
    <row r="142" ht="15.75" customHeight="1" s="46"/>
    <row r="143" ht="15.75" customHeight="1" s="46"/>
    <row r="144" ht="15.75" customHeight="1" s="46"/>
    <row r="145" ht="15.75" customHeight="1" s="46"/>
    <row r="146" ht="15.75" customHeight="1" s="46"/>
    <row r="147" ht="15.75" customHeight="1" s="46"/>
    <row r="148" ht="15.75" customHeight="1" s="46"/>
    <row r="149" ht="15.75" customHeight="1" s="46"/>
    <row r="150" ht="15.75" customHeight="1" s="46"/>
    <row r="151" ht="15.75" customHeight="1" s="46"/>
    <row r="152" ht="15.75" customHeight="1" s="46"/>
    <row r="153" ht="15.75" customHeight="1" s="46"/>
    <row r="154" ht="15.75" customHeight="1" s="46"/>
    <row r="155" ht="15.75" customHeight="1" s="46"/>
    <row r="156" ht="15.75" customHeight="1" s="46"/>
    <row r="157" ht="15.75" customHeight="1" s="46"/>
    <row r="158" ht="15.75" customHeight="1" s="46"/>
    <row r="159" ht="15.75" customHeight="1" s="46"/>
    <row r="160" ht="15.75" customHeight="1" s="46"/>
    <row r="161" ht="15.75" customHeight="1" s="46"/>
    <row r="162" ht="15.75" customHeight="1" s="46"/>
    <row r="163" ht="15.75" customHeight="1" s="46"/>
    <row r="164" ht="15.75" customHeight="1" s="46"/>
    <row r="165" ht="15.75" customHeight="1" s="46"/>
    <row r="166" ht="15.75" customHeight="1" s="46"/>
    <row r="167" ht="15.75" customHeight="1" s="46"/>
    <row r="168" ht="15.75" customHeight="1" s="46"/>
    <row r="169" ht="15.75" customHeight="1" s="46"/>
    <row r="170" ht="15.75" customHeight="1" s="46"/>
    <row r="171" ht="15.75" customHeight="1" s="46"/>
    <row r="172" ht="15.75" customHeight="1" s="46"/>
    <row r="173" ht="15.75" customHeight="1" s="46"/>
    <row r="174" ht="15.75" customHeight="1" s="46"/>
    <row r="175" ht="15.75" customHeight="1" s="46"/>
    <row r="176" ht="15.75" customHeight="1" s="46"/>
    <row r="177" ht="15.75" customHeight="1" s="46"/>
    <row r="178" ht="15.75" customHeight="1" s="46"/>
    <row r="179" ht="15.75" customHeight="1" s="46"/>
    <row r="180" ht="15.75" customHeight="1" s="46"/>
    <row r="181" ht="15.75" customHeight="1" s="46"/>
    <row r="182" ht="15.75" customHeight="1" s="46"/>
    <row r="183" ht="15.75" customHeight="1" s="46"/>
    <row r="184" ht="15.75" customHeight="1" s="46"/>
    <row r="185" ht="15.75" customHeight="1" s="46"/>
    <row r="186" ht="15.75" customHeight="1" s="46"/>
    <row r="187" ht="15.75" customHeight="1" s="46"/>
    <row r="188" ht="15.75" customHeight="1" s="46"/>
    <row r="189" ht="15.75" customHeight="1" s="46"/>
    <row r="190" ht="15.75" customHeight="1" s="46"/>
    <row r="191" ht="15.75" customHeight="1" s="46"/>
    <row r="192" ht="15.75" customHeight="1" s="46"/>
    <row r="193" ht="15.75" customHeight="1" s="46"/>
    <row r="194" ht="15.75" customHeight="1" s="46"/>
    <row r="195" ht="15.75" customHeight="1" s="46"/>
    <row r="196" ht="15.75" customHeight="1" s="46"/>
    <row r="197" ht="15.75" customHeight="1" s="46"/>
    <row r="198" ht="15.75" customHeight="1" s="46"/>
    <row r="199" ht="15.75" customHeight="1" s="46"/>
    <row r="200" ht="15.75" customHeight="1" s="46"/>
    <row r="201" ht="15.75" customHeight="1" s="46"/>
    <row r="202" ht="15.75" customHeight="1" s="46"/>
    <row r="203" ht="15.75" customHeight="1" s="46"/>
    <row r="204" ht="15.75" customHeight="1" s="46"/>
    <row r="205" ht="15.75" customHeight="1" s="46"/>
    <row r="206" ht="15.75" customHeight="1" s="46"/>
    <row r="207" ht="15.75" customHeight="1" s="46"/>
    <row r="208" ht="15.75" customHeight="1" s="46"/>
    <row r="209" ht="15.75" customHeight="1" s="46"/>
    <row r="210" ht="15.75" customHeight="1" s="46"/>
    <row r="211" ht="15.75" customHeight="1" s="46"/>
    <row r="212" ht="15.75" customHeight="1" s="46"/>
    <row r="213" ht="15.75" customHeight="1" s="46"/>
    <row r="214" ht="15.75" customHeight="1" s="46"/>
    <row r="215" ht="15.75" customHeight="1" s="46"/>
    <row r="216" ht="15.75" customHeight="1" s="46"/>
    <row r="217" ht="15.75" customHeight="1" s="46"/>
    <row r="218" ht="15.75" customHeight="1" s="46"/>
    <row r="219" ht="15.75" customHeight="1" s="46"/>
    <row r="220" ht="15.75" customHeight="1" s="46"/>
    <row r="221" ht="15.75" customHeight="1" s="46"/>
    <row r="222" ht="15.75" customHeight="1" s="46"/>
    <row r="223" ht="15.75" customHeight="1" s="46"/>
    <row r="224" ht="15.75" customHeight="1" s="46"/>
    <row r="225" ht="15.75" customHeight="1" s="46"/>
    <row r="226" ht="15.75" customHeight="1" s="46"/>
    <row r="227" ht="15.75" customHeight="1" s="46"/>
    <row r="228" ht="15.75" customHeight="1" s="46"/>
    <row r="229" ht="15.75" customHeight="1" s="46"/>
    <row r="230" ht="15.75" customHeight="1" s="46"/>
    <row r="231" ht="15.75" customHeight="1" s="46"/>
    <row r="232" ht="15.75" customHeight="1" s="46"/>
    <row r="233" ht="15.75" customHeight="1" s="46"/>
    <row r="234" ht="15.75" customHeight="1" s="46"/>
    <row r="235" ht="15.75" customHeight="1" s="46"/>
    <row r="236" ht="15.75" customHeight="1" s="46"/>
    <row r="237" ht="15.75" customHeight="1" s="46"/>
    <row r="238" ht="15.75" customHeight="1" s="46"/>
    <row r="239" ht="15.75" customHeight="1" s="46"/>
    <row r="240" ht="15.75" customHeight="1" s="46"/>
    <row r="241" ht="15.75" customHeight="1" s="46"/>
    <row r="242" ht="15.75" customHeight="1" s="46"/>
    <row r="243" ht="15.75" customHeight="1" s="46"/>
    <row r="244" ht="15.75" customHeight="1" s="46"/>
    <row r="245" ht="15.75" customHeight="1" s="46"/>
    <row r="246" ht="15.75" customHeight="1" s="46"/>
    <row r="247" ht="15.75" customHeight="1" s="46"/>
    <row r="248" ht="15.75" customHeight="1" s="46"/>
    <row r="249" ht="15.75" customHeight="1" s="46"/>
    <row r="250" ht="15.75" customHeight="1" s="46"/>
    <row r="251" ht="15.75" customHeight="1" s="46"/>
    <row r="252" ht="15.75" customHeight="1" s="46"/>
    <row r="253" ht="15.75" customHeight="1" s="46"/>
    <row r="254" ht="15.75" customHeight="1" s="46"/>
    <row r="255" ht="15.75" customHeight="1" s="46"/>
    <row r="256" ht="15.75" customHeight="1" s="46"/>
    <row r="257" ht="15.75" customHeight="1" s="46"/>
    <row r="258" ht="15.75" customHeight="1" s="46"/>
    <row r="259" ht="15.75" customHeight="1" s="46"/>
    <row r="260" ht="15.75" customHeight="1" s="46"/>
    <row r="261" ht="15.75" customHeight="1" s="46"/>
    <row r="262" ht="15.75" customHeight="1" s="46"/>
    <row r="263" ht="15.75" customHeight="1" s="46"/>
    <row r="264" ht="15.75" customHeight="1" s="46"/>
    <row r="265" ht="15.75" customHeight="1" s="46"/>
    <row r="266" ht="15.75" customHeight="1" s="46"/>
    <row r="267" ht="15.75" customHeight="1" s="46"/>
    <row r="268" ht="15.75" customHeight="1" s="46"/>
    <row r="269" ht="15.75" customHeight="1" s="46"/>
    <row r="270" ht="15.75" customHeight="1" s="46"/>
    <row r="271" ht="15.75" customHeight="1" s="46"/>
    <row r="272" ht="15.75" customHeight="1" s="46"/>
    <row r="273" ht="15.75" customHeight="1" s="46"/>
    <row r="274" ht="15.75" customHeight="1" s="46"/>
    <row r="275" ht="15.75" customHeight="1" s="46"/>
    <row r="276" ht="15.75" customHeight="1" s="46"/>
    <row r="277" ht="15.75" customHeight="1" s="46"/>
    <row r="278" ht="15.75" customHeight="1" s="46"/>
    <row r="279" ht="15.75" customHeight="1" s="46"/>
    <row r="280" ht="15.75" customHeight="1" s="46"/>
    <row r="281" ht="15.75" customHeight="1" s="46"/>
    <row r="282" ht="15.75" customHeight="1" s="46"/>
    <row r="283" ht="15.75" customHeight="1" s="46"/>
    <row r="284" ht="15.75" customHeight="1" s="46"/>
    <row r="285" ht="15.75" customHeight="1" s="46"/>
    <row r="286" ht="15.75" customHeight="1" s="46"/>
    <row r="287" ht="15.75" customHeight="1" s="46"/>
    <row r="288" ht="15.75" customHeight="1" s="46"/>
    <row r="289" ht="15.75" customHeight="1" s="46"/>
    <row r="290" ht="15.75" customHeight="1" s="46"/>
    <row r="291" ht="15.75" customHeight="1" s="46"/>
    <row r="292" ht="15.75" customHeight="1" s="46"/>
    <row r="293" ht="15.75" customHeight="1" s="46"/>
    <row r="294" ht="15.75" customHeight="1" s="46"/>
    <row r="295" ht="15.75" customHeight="1" s="46"/>
    <row r="296" ht="15.75" customHeight="1" s="46"/>
    <row r="297" ht="15.75" customHeight="1" s="46"/>
    <row r="298" ht="15.75" customHeight="1" s="46"/>
    <row r="299" ht="15.75" customHeight="1" s="46"/>
    <row r="300" ht="15.75" customHeight="1" s="46"/>
    <row r="301" ht="15.75" customHeight="1" s="46"/>
    <row r="302" ht="15.75" customHeight="1" s="46"/>
    <row r="303" ht="15.75" customHeight="1" s="46"/>
    <row r="304" ht="15.75" customHeight="1" s="46"/>
    <row r="305" ht="15.75" customHeight="1" s="46"/>
    <row r="306" ht="15.75" customHeight="1" s="46"/>
    <row r="307" ht="15.75" customHeight="1" s="46"/>
    <row r="308" ht="15.75" customHeight="1" s="46"/>
    <row r="309" ht="15.75" customHeight="1" s="46"/>
    <row r="310" ht="15.75" customHeight="1" s="46"/>
    <row r="311" ht="15.75" customHeight="1" s="46"/>
    <row r="312" ht="15.75" customHeight="1" s="46"/>
    <row r="313" ht="15.75" customHeight="1" s="46"/>
    <row r="314" ht="15.75" customHeight="1" s="46"/>
    <row r="315" ht="15.75" customHeight="1" s="46"/>
    <row r="316" ht="15.75" customHeight="1" s="46"/>
    <row r="317" ht="15.75" customHeight="1" s="46"/>
    <row r="318" ht="15.75" customHeight="1" s="46"/>
    <row r="319" ht="15.75" customHeight="1" s="46"/>
    <row r="320" ht="15.75" customHeight="1" s="46"/>
    <row r="321" ht="15.75" customHeight="1" s="46"/>
    <row r="322" ht="15.75" customHeight="1" s="46"/>
    <row r="323" ht="15.75" customHeight="1" s="46"/>
    <row r="324" ht="15.75" customHeight="1" s="46"/>
    <row r="325" ht="15.75" customHeight="1" s="46"/>
    <row r="326" ht="15.75" customHeight="1" s="46"/>
    <row r="327" ht="15.75" customHeight="1" s="46"/>
    <row r="328" ht="15.75" customHeight="1" s="46"/>
    <row r="329" ht="15.75" customHeight="1" s="46"/>
    <row r="330" ht="15.75" customHeight="1" s="46"/>
    <row r="331" ht="15.75" customHeight="1" s="46"/>
    <row r="332" ht="15.75" customHeight="1" s="46"/>
    <row r="333" ht="15.75" customHeight="1" s="46"/>
    <row r="334" ht="15.75" customHeight="1" s="46"/>
    <row r="335" ht="15.75" customHeight="1" s="46"/>
    <row r="336" ht="15.75" customHeight="1" s="46"/>
    <row r="337" ht="15.75" customHeight="1" s="46"/>
    <row r="338" ht="15.75" customHeight="1" s="46"/>
    <row r="339" ht="15.75" customHeight="1" s="46"/>
    <row r="340" ht="15.75" customHeight="1" s="46"/>
    <row r="341" ht="15.75" customHeight="1" s="46"/>
    <row r="342" ht="15.75" customHeight="1" s="46"/>
    <row r="343" ht="15.75" customHeight="1" s="46"/>
    <row r="344" ht="15.75" customHeight="1" s="46"/>
    <row r="345" ht="15.75" customHeight="1" s="46"/>
    <row r="346" ht="15.75" customHeight="1" s="46"/>
    <row r="347" ht="15.75" customHeight="1" s="46"/>
    <row r="348" ht="15.75" customHeight="1" s="46"/>
    <row r="349" ht="15.75" customHeight="1" s="46"/>
    <row r="350" ht="15.75" customHeight="1" s="46"/>
    <row r="351" ht="15.75" customHeight="1" s="46"/>
    <row r="352" ht="15.75" customHeight="1" s="46"/>
    <row r="353" ht="15.75" customHeight="1" s="46"/>
    <row r="354" ht="15.75" customHeight="1" s="46"/>
    <row r="355" ht="15.75" customHeight="1" s="46"/>
    <row r="356" ht="15.75" customHeight="1" s="46"/>
    <row r="357" ht="15.75" customHeight="1" s="46"/>
    <row r="358" ht="15.75" customHeight="1" s="46"/>
    <row r="359" ht="15.75" customHeight="1" s="46"/>
    <row r="360" ht="15.75" customHeight="1" s="46"/>
    <row r="361" ht="15.75" customHeight="1" s="46"/>
    <row r="362" ht="15.75" customHeight="1" s="46"/>
    <row r="363" ht="15.75" customHeight="1" s="46"/>
    <row r="364" ht="15.75" customHeight="1" s="46"/>
    <row r="365" ht="15.75" customHeight="1" s="46"/>
    <row r="366" ht="15.75" customHeight="1" s="46"/>
    <row r="367" ht="15.75" customHeight="1" s="46"/>
    <row r="368" ht="15.75" customHeight="1" s="46"/>
    <row r="369" ht="15.75" customHeight="1" s="46"/>
    <row r="370" ht="15.75" customHeight="1" s="46"/>
    <row r="371" ht="15.75" customHeight="1" s="46"/>
    <row r="372" ht="15.75" customHeight="1" s="46"/>
    <row r="373" ht="15.75" customHeight="1" s="46"/>
    <row r="374" ht="15.75" customHeight="1" s="46"/>
    <row r="375" ht="15.75" customHeight="1" s="46"/>
    <row r="376" ht="15.75" customHeight="1" s="46"/>
    <row r="377" ht="15.75" customHeight="1" s="46"/>
    <row r="378" ht="15.75" customHeight="1" s="46"/>
    <row r="379" ht="15.75" customHeight="1" s="46"/>
    <row r="380" ht="15.75" customHeight="1" s="46"/>
    <row r="381" ht="15.75" customHeight="1" s="46"/>
    <row r="382" ht="15.75" customHeight="1" s="46"/>
    <row r="383" ht="15.75" customHeight="1" s="46"/>
    <row r="384" ht="15.75" customHeight="1" s="46"/>
    <row r="385" ht="15.75" customHeight="1" s="46"/>
    <row r="386" ht="15.75" customHeight="1" s="46"/>
    <row r="387" ht="15.75" customHeight="1" s="46"/>
    <row r="388" ht="15.75" customHeight="1" s="46"/>
    <row r="389" ht="15.75" customHeight="1" s="46"/>
    <row r="390" ht="15.75" customHeight="1" s="46"/>
    <row r="391" ht="15.75" customHeight="1" s="46"/>
    <row r="392" ht="15.75" customHeight="1" s="46"/>
    <row r="393" ht="15.75" customHeight="1" s="46"/>
    <row r="394" ht="15.75" customHeight="1" s="46"/>
    <row r="395" ht="15.75" customHeight="1" s="46"/>
    <row r="396" ht="15.75" customHeight="1" s="46"/>
    <row r="397" ht="15.75" customHeight="1" s="46"/>
    <row r="398" ht="15.75" customHeight="1" s="46"/>
    <row r="399" ht="15.75" customHeight="1" s="46"/>
    <row r="400" ht="15.75" customHeight="1" s="46"/>
    <row r="401" ht="15.75" customHeight="1" s="46"/>
    <row r="402" ht="15.75" customHeight="1" s="46"/>
    <row r="403" ht="15.75" customHeight="1" s="46"/>
    <row r="404" ht="15.75" customHeight="1" s="46"/>
    <row r="405" ht="15.75" customHeight="1" s="46"/>
    <row r="406" ht="15.75" customHeight="1" s="46"/>
    <row r="407" ht="15.75" customHeight="1" s="46"/>
    <row r="408" ht="15.75" customHeight="1" s="46"/>
    <row r="409" ht="15.75" customHeight="1" s="46"/>
    <row r="410" ht="15.75" customHeight="1" s="46"/>
    <row r="411" ht="15.75" customHeight="1" s="46"/>
    <row r="412" ht="15.75" customHeight="1" s="46"/>
    <row r="413" ht="15.75" customHeight="1" s="46"/>
    <row r="414" ht="15.75" customHeight="1" s="46"/>
    <row r="415" ht="15.75" customHeight="1" s="46"/>
    <row r="416" ht="15.75" customHeight="1" s="46"/>
    <row r="417" ht="15.75" customHeight="1" s="46"/>
    <row r="418" ht="15.75" customHeight="1" s="46"/>
    <row r="419" ht="15.75" customHeight="1" s="46"/>
    <row r="420" ht="15.75" customHeight="1" s="46"/>
    <row r="421" ht="15.75" customHeight="1" s="46"/>
    <row r="422" ht="15.75" customHeight="1" s="46"/>
    <row r="423" ht="15.75" customHeight="1" s="46"/>
    <row r="424" ht="15.75" customHeight="1" s="46"/>
    <row r="425" ht="15.75" customHeight="1" s="46"/>
    <row r="426" ht="15.75" customHeight="1" s="46"/>
    <row r="427" ht="15.75" customHeight="1" s="46"/>
    <row r="428" ht="15.75" customHeight="1" s="46"/>
    <row r="429" ht="15.75" customHeight="1" s="46"/>
    <row r="430" ht="15.75" customHeight="1" s="46"/>
    <row r="431" ht="15.75" customHeight="1" s="46"/>
    <row r="432" ht="15.75" customHeight="1" s="46"/>
    <row r="433" ht="15.75" customHeight="1" s="46"/>
    <row r="434" ht="15.75" customHeight="1" s="46"/>
    <row r="435" ht="15.75" customHeight="1" s="46"/>
    <row r="436" ht="15.75" customHeight="1" s="46"/>
    <row r="437" ht="15.75" customHeight="1" s="46"/>
    <row r="438" ht="15.75" customHeight="1" s="46"/>
    <row r="439" ht="15.75" customHeight="1" s="46"/>
    <row r="440" ht="15.75" customHeight="1" s="46"/>
    <row r="441" ht="15.75" customHeight="1" s="46"/>
    <row r="442" ht="15.75" customHeight="1" s="46"/>
    <row r="443" ht="15.75" customHeight="1" s="46"/>
    <row r="444" ht="15.75" customHeight="1" s="46"/>
    <row r="445" ht="15.75" customHeight="1" s="46"/>
    <row r="446" ht="15.75" customHeight="1" s="46"/>
    <row r="447" ht="15.75" customHeight="1" s="46"/>
    <row r="448" ht="15.75" customHeight="1" s="46"/>
    <row r="449" ht="15.75" customHeight="1" s="46"/>
    <row r="450" ht="15.75" customHeight="1" s="46"/>
    <row r="451" ht="15.75" customHeight="1" s="46"/>
    <row r="452" ht="15.75" customHeight="1" s="46"/>
    <row r="453" ht="15.75" customHeight="1" s="46"/>
    <row r="454" ht="15.75" customHeight="1" s="46"/>
    <row r="455" ht="15.75" customHeight="1" s="46"/>
    <row r="456" ht="15.75" customHeight="1" s="46"/>
    <row r="457" ht="15.75" customHeight="1" s="46"/>
    <row r="458" ht="15.75" customHeight="1" s="46"/>
    <row r="459" ht="15.75" customHeight="1" s="46"/>
    <row r="460" ht="15.75" customHeight="1" s="46"/>
    <row r="461" ht="15.75" customHeight="1" s="46"/>
    <row r="462" ht="15.75" customHeight="1" s="46"/>
    <row r="463" ht="15.75" customHeight="1" s="46"/>
    <row r="464" ht="15.75" customHeight="1" s="46"/>
    <row r="465" ht="15.75" customHeight="1" s="46"/>
    <row r="466" ht="15.75" customHeight="1" s="46"/>
    <row r="467" ht="15.75" customHeight="1" s="46"/>
    <row r="468" ht="15.75" customHeight="1" s="46"/>
    <row r="469" ht="15.75" customHeight="1" s="46"/>
    <row r="470" ht="15.75" customHeight="1" s="46"/>
    <row r="471" ht="15.75" customHeight="1" s="46"/>
    <row r="472" ht="15.75" customHeight="1" s="46"/>
    <row r="473" ht="15.75" customHeight="1" s="46"/>
    <row r="474" ht="15.75" customHeight="1" s="46"/>
    <row r="475" ht="15.75" customHeight="1" s="46"/>
    <row r="476" ht="15.75" customHeight="1" s="46"/>
    <row r="477" ht="15.75" customHeight="1" s="46"/>
    <row r="478" ht="15.75" customHeight="1" s="46"/>
    <row r="479" ht="15.75" customHeight="1" s="46"/>
    <row r="480" ht="15.75" customHeight="1" s="46"/>
    <row r="481" ht="15.75" customHeight="1" s="46"/>
    <row r="482" ht="15.75" customHeight="1" s="46"/>
    <row r="483" ht="15.75" customHeight="1" s="46"/>
    <row r="484" ht="15.75" customHeight="1" s="46"/>
    <row r="485" ht="15.75" customHeight="1" s="46"/>
    <row r="486" ht="15.75" customHeight="1" s="46"/>
    <row r="487" ht="15.75" customHeight="1" s="46"/>
    <row r="488" ht="15.75" customHeight="1" s="46"/>
    <row r="489" ht="15.75" customHeight="1" s="46"/>
    <row r="490" ht="15.75" customHeight="1" s="46"/>
    <row r="491" ht="15.75" customHeight="1" s="46"/>
    <row r="492" ht="15.75" customHeight="1" s="46"/>
    <row r="493" ht="15.75" customHeight="1" s="46"/>
    <row r="494" ht="15.75" customHeight="1" s="46"/>
    <row r="495" ht="15.75" customHeight="1" s="46"/>
    <row r="496" ht="15.75" customHeight="1" s="46"/>
    <row r="497" ht="15.75" customHeight="1" s="46"/>
    <row r="498" ht="15.75" customHeight="1" s="46"/>
    <row r="499" ht="15.75" customHeight="1" s="46"/>
    <row r="500" ht="15.75" customHeight="1" s="46"/>
    <row r="501" ht="15.75" customHeight="1" s="46"/>
    <row r="502" ht="15.75" customHeight="1" s="46"/>
    <row r="503" ht="15.75" customHeight="1" s="46"/>
    <row r="504" ht="15.75" customHeight="1" s="46"/>
    <row r="505" ht="15.75" customHeight="1" s="46"/>
    <row r="506" ht="15.75" customHeight="1" s="46"/>
    <row r="507" ht="15.75" customHeight="1" s="46"/>
    <row r="508" ht="15.75" customHeight="1" s="46"/>
    <row r="509" ht="15.75" customHeight="1" s="46"/>
    <row r="510" ht="15.75" customHeight="1" s="46"/>
    <row r="511" ht="15.75" customHeight="1" s="46"/>
    <row r="512" ht="15.75" customHeight="1" s="46"/>
    <row r="513" ht="15.75" customHeight="1" s="46"/>
    <row r="514" ht="15.75" customHeight="1" s="46"/>
    <row r="515" ht="15.75" customHeight="1" s="46"/>
    <row r="516" ht="15.75" customHeight="1" s="46"/>
    <row r="517" ht="15.75" customHeight="1" s="46"/>
    <row r="518" ht="15.75" customHeight="1" s="46"/>
    <row r="519" ht="15.75" customHeight="1" s="46"/>
    <row r="520" ht="15.75" customHeight="1" s="46"/>
    <row r="521" ht="15.75" customHeight="1" s="46"/>
    <row r="522" ht="15.75" customHeight="1" s="46"/>
    <row r="523" ht="15.75" customHeight="1" s="46"/>
    <row r="524" ht="15.75" customHeight="1" s="46"/>
    <row r="525" ht="15.75" customHeight="1" s="46"/>
    <row r="526" ht="15.75" customHeight="1" s="46"/>
    <row r="527" ht="15.75" customHeight="1" s="46"/>
    <row r="528" ht="15.75" customHeight="1" s="46"/>
    <row r="529" ht="15.75" customHeight="1" s="46"/>
    <row r="530" ht="15.75" customHeight="1" s="46"/>
    <row r="531" ht="15.75" customHeight="1" s="46"/>
    <row r="532" ht="15.75" customHeight="1" s="46"/>
    <row r="533" ht="15.75" customHeight="1" s="46"/>
    <row r="534" ht="15.75" customHeight="1" s="46"/>
    <row r="535" ht="15.75" customHeight="1" s="46"/>
    <row r="536" ht="15.75" customHeight="1" s="46"/>
    <row r="537" ht="15.75" customHeight="1" s="46"/>
    <row r="538" ht="15.75" customHeight="1" s="46"/>
    <row r="539" ht="15.75" customHeight="1" s="46"/>
    <row r="540" ht="15.75" customHeight="1" s="46"/>
    <row r="541" ht="15.75" customHeight="1" s="46"/>
    <row r="542" ht="15.75" customHeight="1" s="46"/>
    <row r="543" ht="15.75" customHeight="1" s="46"/>
    <row r="544" ht="15.75" customHeight="1" s="46"/>
    <row r="545" ht="15.75" customHeight="1" s="46"/>
    <row r="546" ht="15.75" customHeight="1" s="46"/>
    <row r="547" ht="15.75" customHeight="1" s="46"/>
    <row r="548" ht="15.75" customHeight="1" s="46"/>
    <row r="549" ht="15.75" customHeight="1" s="46"/>
    <row r="550" ht="15.75" customHeight="1" s="46"/>
    <row r="551" ht="15.75" customHeight="1" s="46"/>
    <row r="552" ht="15.75" customHeight="1" s="46"/>
    <row r="553" ht="15.75" customHeight="1" s="46"/>
    <row r="554" ht="15.75" customHeight="1" s="46"/>
    <row r="555" ht="15.75" customHeight="1" s="46"/>
    <row r="556" ht="15.75" customHeight="1" s="46"/>
    <row r="557" ht="15.75" customHeight="1" s="46"/>
    <row r="558" ht="15.75" customHeight="1" s="46"/>
    <row r="559" ht="15.75" customHeight="1" s="46"/>
    <row r="560" ht="15.75" customHeight="1" s="46"/>
    <row r="561" ht="15.75" customHeight="1" s="46"/>
    <row r="562" ht="15.75" customHeight="1" s="46"/>
    <row r="563" ht="15.75" customHeight="1" s="46"/>
    <row r="564" ht="15.75" customHeight="1" s="46"/>
    <row r="565" ht="15.75" customHeight="1" s="46"/>
    <row r="566" ht="15.75" customHeight="1" s="46"/>
    <row r="567" ht="15.75" customHeight="1" s="46"/>
    <row r="568" ht="15.75" customHeight="1" s="46"/>
    <row r="569" ht="15.75" customHeight="1" s="46"/>
    <row r="570" ht="15.75" customHeight="1" s="46"/>
    <row r="571" ht="15.75" customHeight="1" s="46"/>
    <row r="572" ht="15.75" customHeight="1" s="46"/>
    <row r="573" ht="15.75" customHeight="1" s="46"/>
    <row r="574" ht="15.75" customHeight="1" s="46"/>
    <row r="575" ht="15.75" customHeight="1" s="46"/>
    <row r="576" ht="15.75" customHeight="1" s="46"/>
    <row r="577" ht="15.75" customHeight="1" s="46"/>
    <row r="578" ht="15.75" customHeight="1" s="46"/>
    <row r="579" ht="15.75" customHeight="1" s="46"/>
    <row r="580" ht="15.75" customHeight="1" s="46"/>
    <row r="581" ht="15.75" customHeight="1" s="46"/>
    <row r="582" ht="15.75" customHeight="1" s="46"/>
    <row r="583" ht="15.75" customHeight="1" s="46"/>
    <row r="584" ht="15.75" customHeight="1" s="46"/>
    <row r="585" ht="15.75" customHeight="1" s="46"/>
    <row r="586" ht="15.75" customHeight="1" s="46"/>
    <row r="587" ht="15.75" customHeight="1" s="46"/>
    <row r="588" ht="15.75" customHeight="1" s="46"/>
    <row r="589" ht="15.75" customHeight="1" s="46"/>
    <row r="590" ht="15.75" customHeight="1" s="46"/>
    <row r="591" ht="15.75" customHeight="1" s="46"/>
    <row r="592" ht="15.75" customHeight="1" s="46"/>
    <row r="593" ht="15.75" customHeight="1" s="46"/>
    <row r="594" ht="15.75" customHeight="1" s="46"/>
    <row r="595" ht="15.75" customHeight="1" s="46"/>
    <row r="596" ht="15.75" customHeight="1" s="46"/>
    <row r="597" ht="15.75" customHeight="1" s="46"/>
    <row r="598" ht="15.75" customHeight="1" s="46"/>
    <row r="599" ht="15.75" customHeight="1" s="46"/>
    <row r="600" ht="15.75" customHeight="1" s="46"/>
    <row r="601" ht="15.75" customHeight="1" s="46"/>
    <row r="602" ht="15.75" customHeight="1" s="46"/>
    <row r="603" ht="15.75" customHeight="1" s="46"/>
    <row r="604" ht="15.75" customHeight="1" s="46"/>
    <row r="605" ht="15.75" customHeight="1" s="46"/>
    <row r="606" ht="15.75" customHeight="1" s="46"/>
    <row r="607" ht="15.75" customHeight="1" s="46"/>
    <row r="608" ht="15.75" customHeight="1" s="46"/>
    <row r="609" ht="15.75" customHeight="1" s="46"/>
    <row r="610" ht="15.75" customHeight="1" s="46"/>
    <row r="611" ht="15.75" customHeight="1" s="46"/>
    <row r="612" ht="15.75" customHeight="1" s="46"/>
    <row r="613" ht="15.75" customHeight="1" s="46"/>
    <row r="614" ht="15.75" customHeight="1" s="46"/>
    <row r="615" ht="15.75" customHeight="1" s="46"/>
    <row r="616" ht="15.75" customHeight="1" s="46"/>
    <row r="617" ht="15.75" customHeight="1" s="46"/>
    <row r="618" ht="15.75" customHeight="1" s="46"/>
    <row r="619" ht="15.75" customHeight="1" s="46"/>
    <row r="620" ht="15.75" customHeight="1" s="46"/>
    <row r="621" ht="15.75" customHeight="1" s="46"/>
    <row r="622" ht="15.75" customHeight="1" s="46"/>
    <row r="623" ht="15.75" customHeight="1" s="46"/>
    <row r="624" ht="15.75" customHeight="1" s="46"/>
    <row r="625" ht="15.75" customHeight="1" s="46"/>
    <row r="626" ht="15.75" customHeight="1" s="46"/>
    <row r="627" ht="15.75" customHeight="1" s="46"/>
    <row r="628" ht="15.75" customHeight="1" s="46"/>
    <row r="629" ht="15.75" customHeight="1" s="46"/>
    <row r="630" ht="15.75" customHeight="1" s="46"/>
    <row r="631" ht="15.75" customHeight="1" s="46"/>
    <row r="632" ht="15.75" customHeight="1" s="46"/>
    <row r="633" ht="15.75" customHeight="1" s="46"/>
    <row r="634" ht="15.75" customHeight="1" s="46"/>
    <row r="635" ht="15.75" customHeight="1" s="46"/>
    <row r="636" ht="15.75" customHeight="1" s="46"/>
    <row r="637" ht="15.75" customHeight="1" s="46"/>
    <row r="638" ht="15.75" customHeight="1" s="46"/>
    <row r="639" ht="15.75" customHeight="1" s="46"/>
    <row r="640" ht="15.75" customHeight="1" s="46"/>
    <row r="641" ht="15.75" customHeight="1" s="46"/>
    <row r="642" ht="15.75" customHeight="1" s="46"/>
    <row r="643" ht="15.75" customHeight="1" s="46"/>
    <row r="644" ht="15.75" customHeight="1" s="46"/>
    <row r="645" ht="15.75" customHeight="1" s="46"/>
    <row r="646" ht="15.75" customHeight="1" s="46"/>
    <row r="647" ht="15.75" customHeight="1" s="46"/>
    <row r="648" ht="15.75" customHeight="1" s="46"/>
    <row r="649" ht="15.75" customHeight="1" s="46"/>
    <row r="650" ht="15.75" customHeight="1" s="46"/>
    <row r="651" ht="15.75" customHeight="1" s="46"/>
    <row r="652" ht="15.75" customHeight="1" s="46"/>
    <row r="653" ht="15.75" customHeight="1" s="46"/>
    <row r="654" ht="15.75" customHeight="1" s="46"/>
    <row r="655" ht="15.75" customHeight="1" s="46"/>
    <row r="656" ht="15.75" customHeight="1" s="46"/>
    <row r="657" ht="15.75" customHeight="1" s="46"/>
    <row r="658" ht="15.75" customHeight="1" s="46"/>
    <row r="659" ht="15.75" customHeight="1" s="46"/>
    <row r="660" ht="15.75" customHeight="1" s="46"/>
    <row r="661" ht="15.75" customHeight="1" s="46"/>
    <row r="662" ht="15.75" customHeight="1" s="46"/>
    <row r="663" ht="15.75" customHeight="1" s="46"/>
    <row r="664" ht="15.75" customHeight="1" s="46"/>
    <row r="665" ht="15.75" customHeight="1" s="46"/>
    <row r="666" ht="15.75" customHeight="1" s="46"/>
    <row r="667" ht="15.75" customHeight="1" s="46"/>
    <row r="668" ht="15.75" customHeight="1" s="46"/>
    <row r="669" ht="15.75" customHeight="1" s="46"/>
    <row r="670" ht="15.75" customHeight="1" s="46"/>
    <row r="671" ht="15.75" customHeight="1" s="46"/>
    <row r="672" ht="15.75" customHeight="1" s="46"/>
    <row r="673" ht="15.75" customHeight="1" s="46"/>
    <row r="674" ht="15.75" customHeight="1" s="46"/>
    <row r="675" ht="15.75" customHeight="1" s="46"/>
    <row r="676" ht="15.75" customHeight="1" s="46"/>
    <row r="677" ht="15.75" customHeight="1" s="46"/>
    <row r="678" ht="15.75" customHeight="1" s="46"/>
    <row r="679" ht="15.75" customHeight="1" s="46"/>
    <row r="680" ht="15.75" customHeight="1" s="46"/>
    <row r="681" ht="15.75" customHeight="1" s="46"/>
    <row r="682" ht="15.75" customHeight="1" s="46"/>
    <row r="683" ht="15.75" customHeight="1" s="46"/>
    <row r="684" ht="15.75" customHeight="1" s="46"/>
    <row r="685" ht="15.75" customHeight="1" s="46"/>
    <row r="686" ht="15.75" customHeight="1" s="46"/>
    <row r="687" ht="15.75" customHeight="1" s="46"/>
    <row r="688" ht="15.75" customHeight="1" s="46"/>
    <row r="689" ht="15.75" customHeight="1" s="46"/>
    <row r="690" ht="15.75" customHeight="1" s="46"/>
    <row r="691" ht="15.75" customHeight="1" s="46"/>
    <row r="692" ht="15.75" customHeight="1" s="46"/>
    <row r="693" ht="15.75" customHeight="1" s="46"/>
    <row r="694" ht="15.75" customHeight="1" s="46"/>
    <row r="695" ht="15.75" customHeight="1" s="46"/>
    <row r="696" ht="15.75" customHeight="1" s="46"/>
    <row r="697" ht="15.75" customHeight="1" s="46"/>
    <row r="698" ht="15.75" customHeight="1" s="46"/>
    <row r="699" ht="15.75" customHeight="1" s="46"/>
    <row r="700" ht="15.75" customHeight="1" s="46"/>
    <row r="701" ht="15.75" customHeight="1" s="46"/>
    <row r="702" ht="15.75" customHeight="1" s="46"/>
    <row r="703" ht="15.75" customHeight="1" s="46"/>
    <row r="704" ht="15.75" customHeight="1" s="46"/>
    <row r="705" ht="15.75" customHeight="1" s="46"/>
    <row r="706" ht="15.75" customHeight="1" s="46"/>
    <row r="707" ht="15.75" customHeight="1" s="46"/>
    <row r="708" ht="15.75" customHeight="1" s="46"/>
    <row r="709" ht="15.75" customHeight="1" s="46"/>
    <row r="710" ht="15.75" customHeight="1" s="46"/>
    <row r="711" ht="15.75" customHeight="1" s="46"/>
    <row r="712" ht="15.75" customHeight="1" s="46"/>
    <row r="713" ht="15.75" customHeight="1" s="46"/>
    <row r="714" ht="15.75" customHeight="1" s="46"/>
    <row r="715" ht="15.75" customHeight="1" s="46"/>
    <row r="716" ht="15.75" customHeight="1" s="46"/>
    <row r="717" ht="15.75" customHeight="1" s="46"/>
    <row r="718" ht="15.75" customHeight="1" s="46"/>
    <row r="719" ht="15.75" customHeight="1" s="46"/>
    <row r="720" ht="15.75" customHeight="1" s="46"/>
    <row r="721" ht="15.75" customHeight="1" s="46"/>
    <row r="722" ht="15.75" customHeight="1" s="46"/>
    <row r="723" ht="15.75" customHeight="1" s="46"/>
    <row r="724" ht="15.75" customHeight="1" s="46"/>
    <row r="725" ht="15.75" customHeight="1" s="46"/>
    <row r="726" ht="15.75" customHeight="1" s="46"/>
    <row r="727" ht="15.75" customHeight="1" s="46"/>
    <row r="728" ht="15.75" customHeight="1" s="46"/>
    <row r="729" ht="15.75" customHeight="1" s="46"/>
    <row r="730" ht="15.75" customHeight="1" s="46"/>
    <row r="731" ht="15.75" customHeight="1" s="46"/>
    <row r="732" ht="15.75" customHeight="1" s="46"/>
    <row r="733" ht="15.75" customHeight="1" s="46"/>
    <row r="734" ht="15.75" customHeight="1" s="46"/>
    <row r="735" ht="15.75" customHeight="1" s="46"/>
    <row r="736" ht="15.75" customHeight="1" s="46"/>
    <row r="737" ht="15.75" customHeight="1" s="46"/>
    <row r="738" ht="15.75" customHeight="1" s="46"/>
    <row r="739" ht="15.75" customHeight="1" s="46"/>
    <row r="740" ht="15.75" customHeight="1" s="46"/>
    <row r="741" ht="15.75" customHeight="1" s="46"/>
    <row r="742" ht="15.75" customHeight="1" s="46"/>
    <row r="743" ht="15.75" customHeight="1" s="46"/>
    <row r="744" ht="15.75" customHeight="1" s="46"/>
    <row r="745" ht="15.75" customHeight="1" s="46"/>
    <row r="746" ht="15.75" customHeight="1" s="46"/>
    <row r="747" ht="15.75" customHeight="1" s="46"/>
    <row r="748" ht="15.75" customHeight="1" s="46"/>
    <row r="749" ht="15.75" customHeight="1" s="46"/>
    <row r="750" ht="15.75" customHeight="1" s="46"/>
    <row r="751" ht="15.75" customHeight="1" s="46"/>
    <row r="752" ht="15.75" customHeight="1" s="46"/>
    <row r="753" ht="15.75" customHeight="1" s="46"/>
    <row r="754" ht="15.75" customHeight="1" s="46"/>
    <row r="755" ht="15.75" customHeight="1" s="46"/>
    <row r="756" ht="15.75" customHeight="1" s="46"/>
    <row r="757" ht="15.75" customHeight="1" s="46"/>
    <row r="758" ht="15.75" customHeight="1" s="46"/>
    <row r="759" ht="15.75" customHeight="1" s="46"/>
    <row r="760" ht="15.75" customHeight="1" s="46"/>
    <row r="761" ht="15.75" customHeight="1" s="46"/>
    <row r="762" ht="15.75" customHeight="1" s="46"/>
    <row r="763" ht="15.75" customHeight="1" s="46"/>
    <row r="764" ht="15.75" customHeight="1" s="46"/>
    <row r="765" ht="15.75" customHeight="1" s="46"/>
    <row r="766" ht="15.75" customHeight="1" s="46"/>
    <row r="767" ht="15.75" customHeight="1" s="46"/>
    <row r="768" ht="15.75" customHeight="1" s="46"/>
    <row r="769" ht="15.75" customHeight="1" s="46"/>
    <row r="770" ht="15.75" customHeight="1" s="46"/>
    <row r="771" ht="15.75" customHeight="1" s="46"/>
    <row r="772" ht="15.75" customHeight="1" s="46"/>
    <row r="773" ht="15.75" customHeight="1" s="46"/>
    <row r="774" ht="15.75" customHeight="1" s="46"/>
    <row r="775" ht="15.75" customHeight="1" s="46"/>
    <row r="776" ht="15.75" customHeight="1" s="46"/>
    <row r="777" ht="15.75" customHeight="1" s="46"/>
    <row r="778" ht="15.75" customHeight="1" s="46"/>
    <row r="779" ht="15.75" customHeight="1" s="46"/>
    <row r="780" ht="15.75" customHeight="1" s="46"/>
    <row r="781" ht="15.75" customHeight="1" s="46"/>
    <row r="782" ht="15.75" customHeight="1" s="46"/>
    <row r="783" ht="15.75" customHeight="1" s="46"/>
    <row r="784" ht="15.75" customHeight="1" s="46"/>
    <row r="785" ht="15.75" customHeight="1" s="46"/>
    <row r="786" ht="15.75" customHeight="1" s="46"/>
    <row r="787" ht="15.75" customHeight="1" s="46"/>
    <row r="788" ht="15.75" customHeight="1" s="46"/>
    <row r="789" ht="15.75" customHeight="1" s="46"/>
    <row r="790" ht="15.75" customHeight="1" s="46"/>
    <row r="791" ht="15.75" customHeight="1" s="46"/>
    <row r="792" ht="15.75" customHeight="1" s="46"/>
    <row r="793" ht="15.75" customHeight="1" s="46"/>
    <row r="794" ht="15.75" customHeight="1" s="46"/>
    <row r="795" ht="15.75" customHeight="1" s="46"/>
    <row r="796" ht="15.75" customHeight="1" s="46"/>
    <row r="797" ht="15.75" customHeight="1" s="46"/>
    <row r="798" ht="15.75" customHeight="1" s="46"/>
    <row r="799" ht="15.75" customHeight="1" s="46"/>
    <row r="800" ht="15.75" customHeight="1" s="46"/>
    <row r="801" ht="15.75" customHeight="1" s="46"/>
    <row r="802" ht="15.75" customHeight="1" s="46"/>
    <row r="803" ht="15.75" customHeight="1" s="46"/>
    <row r="804" ht="15.75" customHeight="1" s="46"/>
    <row r="805" ht="15.75" customHeight="1" s="46"/>
    <row r="806" ht="15.75" customHeight="1" s="46"/>
    <row r="807" ht="15.75" customHeight="1" s="46"/>
    <row r="808" ht="15.75" customHeight="1" s="46"/>
    <row r="809" ht="15.75" customHeight="1" s="46"/>
    <row r="810" ht="15.75" customHeight="1" s="46"/>
    <row r="811" ht="15.75" customHeight="1" s="46"/>
    <row r="812" ht="15.75" customHeight="1" s="46"/>
    <row r="813" ht="15.75" customHeight="1" s="46"/>
    <row r="814" ht="15.75" customHeight="1" s="46"/>
    <row r="815" ht="15.75" customHeight="1" s="46"/>
    <row r="816" ht="15.75" customHeight="1" s="46"/>
    <row r="817" ht="15.75" customHeight="1" s="46"/>
    <row r="818" ht="15.75" customHeight="1" s="46"/>
    <row r="819" ht="15.75" customHeight="1" s="46"/>
    <row r="820" ht="15.75" customHeight="1" s="46"/>
    <row r="821" ht="15.75" customHeight="1" s="46"/>
    <row r="822" ht="15.75" customHeight="1" s="46"/>
    <row r="823" ht="15.75" customHeight="1" s="46"/>
    <row r="824" ht="15.75" customHeight="1" s="46"/>
    <row r="825" ht="15.75" customHeight="1" s="46"/>
    <row r="826" ht="15.75" customHeight="1" s="46"/>
    <row r="827" ht="15.75" customHeight="1" s="46"/>
    <row r="828" ht="15.75" customHeight="1" s="46"/>
    <row r="829" ht="15.75" customHeight="1" s="46"/>
    <row r="830" ht="15.75" customHeight="1" s="46"/>
    <row r="831" ht="15.75" customHeight="1" s="46"/>
    <row r="832" ht="15.75" customHeight="1" s="46"/>
    <row r="833" ht="15.75" customHeight="1" s="46"/>
    <row r="834" ht="15.75" customHeight="1" s="46"/>
    <row r="835" ht="15.75" customHeight="1" s="46"/>
    <row r="836" ht="15.75" customHeight="1" s="46"/>
    <row r="837" ht="15.75" customHeight="1" s="46"/>
    <row r="838" ht="15.75" customHeight="1" s="46"/>
    <row r="839" ht="15.75" customHeight="1" s="46"/>
    <row r="840" ht="15.75" customHeight="1" s="46"/>
    <row r="841" ht="15.75" customHeight="1" s="46"/>
    <row r="842" ht="15.75" customHeight="1" s="46"/>
    <row r="843" ht="15.75" customHeight="1" s="46"/>
    <row r="844" ht="15.75" customHeight="1" s="46"/>
    <row r="845" ht="15.75" customHeight="1" s="46"/>
    <row r="846" ht="15.75" customHeight="1" s="46"/>
    <row r="847" ht="15.75" customHeight="1" s="46"/>
    <row r="848" ht="15.75" customHeight="1" s="46"/>
    <row r="849" ht="15.75" customHeight="1" s="46"/>
    <row r="850" ht="15.75" customHeight="1" s="46"/>
    <row r="851" ht="15.75" customHeight="1" s="46"/>
    <row r="852" ht="15.75" customHeight="1" s="46"/>
    <row r="853" ht="15.75" customHeight="1" s="46"/>
    <row r="854" ht="15.75" customHeight="1" s="46"/>
    <row r="855" ht="15.75" customHeight="1" s="46"/>
    <row r="856" ht="15.75" customHeight="1" s="46"/>
    <row r="857" ht="15.75" customHeight="1" s="46"/>
    <row r="858" ht="15.75" customHeight="1" s="46"/>
    <row r="859" ht="15.75" customHeight="1" s="46"/>
    <row r="860" ht="15.75" customHeight="1" s="46"/>
    <row r="861" ht="15.75" customHeight="1" s="46"/>
    <row r="862" ht="15.75" customHeight="1" s="46"/>
    <row r="863" ht="15.75" customHeight="1" s="46"/>
    <row r="864" ht="15.75" customHeight="1" s="46"/>
    <row r="865" ht="15.75" customHeight="1" s="46"/>
    <row r="866" ht="15.75" customHeight="1" s="46"/>
    <row r="867" ht="15.75" customHeight="1" s="46"/>
    <row r="868" ht="15.75" customHeight="1" s="46"/>
    <row r="869" ht="15.75" customHeight="1" s="46"/>
    <row r="870" ht="15.75" customHeight="1" s="46"/>
    <row r="871" ht="15.75" customHeight="1" s="46"/>
    <row r="872" ht="15.75" customHeight="1" s="46"/>
    <row r="873" ht="15.75" customHeight="1" s="46"/>
    <row r="874" ht="15.75" customHeight="1" s="46"/>
    <row r="875" ht="15.75" customHeight="1" s="46"/>
    <row r="876" ht="15.75" customHeight="1" s="46"/>
    <row r="877" ht="15.75" customHeight="1" s="46"/>
    <row r="878" ht="15.75" customHeight="1" s="46"/>
    <row r="879" ht="15.75" customHeight="1" s="46"/>
    <row r="880" ht="15.75" customHeight="1" s="46"/>
    <row r="881" ht="15.75" customHeight="1" s="46"/>
    <row r="882" ht="15.75" customHeight="1" s="46"/>
    <row r="883" ht="15.75" customHeight="1" s="46"/>
    <row r="884" ht="15.75" customHeight="1" s="46"/>
    <row r="885" ht="15.75" customHeight="1" s="46"/>
    <row r="886" ht="15.75" customHeight="1" s="46"/>
    <row r="887" ht="15.75" customHeight="1" s="46"/>
    <row r="888" ht="15.75" customHeight="1" s="46"/>
    <row r="889" ht="15.75" customHeight="1" s="46"/>
    <row r="890" ht="15.75" customHeight="1" s="46"/>
    <row r="891" ht="15.75" customHeight="1" s="46"/>
    <row r="892" ht="15.75" customHeight="1" s="46"/>
    <row r="893" ht="15.75" customHeight="1" s="46"/>
    <row r="894" ht="15.75" customHeight="1" s="46"/>
    <row r="895" ht="15.75" customHeight="1" s="46"/>
    <row r="896" ht="15.75" customHeight="1" s="46"/>
    <row r="897" ht="15.75" customHeight="1" s="46"/>
    <row r="898" ht="15.75" customHeight="1" s="46"/>
    <row r="899" ht="15.75" customHeight="1" s="46"/>
    <row r="900" ht="15.75" customHeight="1" s="46"/>
    <row r="901" ht="15.75" customHeight="1" s="46"/>
    <row r="902" ht="15.75" customHeight="1" s="46"/>
    <row r="903" ht="15.75" customHeight="1" s="46"/>
    <row r="904" ht="15.75" customHeight="1" s="46"/>
    <row r="905" ht="15.75" customHeight="1" s="46"/>
    <row r="906" ht="15.75" customHeight="1" s="46"/>
    <row r="907" ht="15.75" customHeight="1" s="46"/>
    <row r="908" ht="15.75" customHeight="1" s="46"/>
    <row r="909" ht="15.75" customHeight="1" s="46"/>
    <row r="910" ht="15.75" customHeight="1" s="46"/>
    <row r="911" ht="15.75" customHeight="1" s="46"/>
    <row r="912" ht="15.75" customHeight="1" s="46"/>
    <row r="913" ht="15.75" customHeight="1" s="46"/>
    <row r="914" ht="15.75" customHeight="1" s="46"/>
    <row r="915" ht="15.75" customHeight="1" s="46"/>
    <row r="916" ht="15.75" customHeight="1" s="46"/>
    <row r="917" ht="15.75" customHeight="1" s="46"/>
    <row r="918" ht="15.75" customHeight="1" s="46"/>
    <row r="919" ht="15.75" customHeight="1" s="46"/>
    <row r="920" ht="15.75" customHeight="1" s="46"/>
    <row r="921" ht="15.75" customHeight="1" s="46"/>
    <row r="922" ht="15.75" customHeight="1" s="46"/>
    <row r="923" ht="15.75" customHeight="1" s="46"/>
    <row r="924" ht="15.75" customHeight="1" s="46"/>
    <row r="925" ht="15.75" customHeight="1" s="46"/>
    <row r="926" ht="15.75" customHeight="1" s="46"/>
    <row r="927" ht="15.75" customHeight="1" s="46"/>
    <row r="928" ht="15.75" customHeight="1" s="46"/>
    <row r="929" ht="15.75" customHeight="1" s="46"/>
    <row r="930" ht="15.75" customHeight="1" s="46"/>
    <row r="931" ht="15.75" customHeight="1" s="46"/>
    <row r="932" ht="15.75" customHeight="1" s="46"/>
    <row r="933" ht="15.75" customHeight="1" s="46"/>
    <row r="934" ht="15.75" customHeight="1" s="46"/>
    <row r="935" ht="15.75" customHeight="1" s="46"/>
    <row r="936" ht="15.75" customHeight="1" s="46"/>
    <row r="937" ht="15.75" customHeight="1" s="46"/>
    <row r="938" ht="15.75" customHeight="1" s="46"/>
    <row r="939" ht="15.75" customHeight="1" s="46"/>
    <row r="940" ht="15.75" customHeight="1" s="46"/>
    <row r="941" ht="15.75" customHeight="1" s="46"/>
    <row r="942" ht="15.75" customHeight="1" s="46"/>
    <row r="943" ht="15.75" customHeight="1" s="46"/>
    <row r="944" ht="15.75" customHeight="1" s="46"/>
    <row r="945" ht="15.75" customHeight="1" s="46"/>
    <row r="946" ht="15.75" customHeight="1" s="46"/>
    <row r="947" ht="15.75" customHeight="1" s="46"/>
    <row r="948" ht="15.75" customHeight="1" s="46"/>
    <row r="949" ht="15.75" customHeight="1" s="46"/>
    <row r="950" ht="15.75" customHeight="1" s="46"/>
    <row r="951" ht="15.75" customHeight="1" s="46"/>
    <row r="952" ht="15.75" customHeight="1" s="46"/>
    <row r="953" ht="15.75" customHeight="1" s="46"/>
    <row r="954" ht="15.75" customHeight="1" s="46"/>
    <row r="955" ht="15.75" customHeight="1" s="46"/>
    <row r="956" ht="15.75" customHeight="1" s="46"/>
    <row r="957" ht="15.75" customHeight="1" s="46"/>
    <row r="958" ht="15.75" customHeight="1" s="46"/>
    <row r="959" ht="15.75" customHeight="1" s="46"/>
    <row r="960" ht="15.75" customHeight="1" s="46"/>
    <row r="961" ht="15.75" customHeight="1" s="46"/>
    <row r="962" ht="15.75" customHeight="1" s="46"/>
    <row r="963" ht="15.75" customHeight="1" s="46"/>
    <row r="964" ht="15.75" customHeight="1" s="46"/>
    <row r="965" ht="15.75" customHeight="1" s="46"/>
    <row r="966" ht="15.75" customHeight="1" s="46"/>
    <row r="967" ht="15.75" customHeight="1" s="46"/>
    <row r="968" ht="15.75" customHeight="1" s="46"/>
    <row r="969" ht="15.75" customHeight="1" s="46"/>
    <row r="970" ht="15.75" customHeight="1" s="46"/>
    <row r="971" ht="15.75" customHeight="1" s="46"/>
    <row r="972" ht="15.75" customHeight="1" s="46"/>
    <row r="973" ht="15.75" customHeight="1" s="46"/>
    <row r="974" ht="15.75" customHeight="1" s="46"/>
    <row r="975" ht="15.75" customHeight="1" s="46"/>
    <row r="976" ht="15.75" customHeight="1" s="46"/>
    <row r="977" ht="15.75" customHeight="1" s="46"/>
    <row r="978" ht="15.75" customHeight="1" s="46"/>
    <row r="979" ht="15.75" customHeight="1" s="46"/>
    <row r="980" ht="15.75" customHeight="1" s="46"/>
    <row r="981" ht="15.75" customHeight="1" s="46"/>
    <row r="982" ht="15.75" customHeight="1" s="46"/>
    <row r="983" ht="15.75" customHeight="1" s="46"/>
    <row r="984" ht="15.75" customHeight="1" s="46"/>
    <row r="985" ht="15.75" customHeight="1" s="46"/>
    <row r="986" ht="15.75" customHeight="1" s="46"/>
    <row r="987" ht="15.75" customHeight="1" s="46"/>
    <row r="988" ht="15.75" customHeight="1" s="46"/>
    <row r="989" ht="15.75" customHeight="1" s="46"/>
    <row r="990" ht="15.75" customHeight="1" s="46"/>
    <row r="991" ht="15.75" customHeight="1" s="46"/>
    <row r="992" ht="15.75" customHeight="1" s="46"/>
    <row r="993" ht="15.75" customHeight="1" s="46"/>
    <row r="994" ht="15.75" customHeight="1" s="46"/>
    <row r="995" ht="15.75" customHeight="1" s="46"/>
    <row r="996" ht="15.75" customHeight="1" s="46"/>
    <row r="997" ht="15.75" customHeight="1" s="46"/>
    <row r="998" ht="15.75" customHeight="1" s="46"/>
    <row r="999" ht="15.75" customHeight="1" s="46"/>
    <row r="1000" ht="15.75" customHeight="1" s="46"/>
  </sheetData>
  <mergeCells count="14">
    <mergeCell ref="A21:E21"/>
    <mergeCell ref="A39:E39"/>
    <mergeCell ref="N25:Q25"/>
    <mergeCell ref="A25:E25"/>
    <mergeCell ref="A2:N2"/>
    <mergeCell ref="A41:N45"/>
    <mergeCell ref="A24:AG24"/>
    <mergeCell ref="R25:U25"/>
    <mergeCell ref="V25:Y25"/>
    <mergeCell ref="Z25:AC25"/>
    <mergeCell ref="F25:I25"/>
    <mergeCell ref="J25:M25"/>
    <mergeCell ref="AD25:AG25"/>
    <mergeCell ref="A1:N1"/>
  </mergeCells>
  <pageMargins left="0.75" right="0.75" top="1" bottom="1" header="0" footer="0"/>
  <pageSetup orientation="landscape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G45"/>
  <sheetViews>
    <sheetView workbookViewId="0">
      <selection activeCell="A1" sqref="A1"/>
    </sheetView>
  </sheetViews>
  <sheetFormatPr baseColWidth="8" defaultColWidth="14.43" defaultRowHeight="15" customHeight="1"/>
  <cols>
    <col width="4" customWidth="1" style="46" min="1" max="1"/>
    <col width="10" customWidth="1" style="46" min="2" max="2"/>
    <col width="32" customWidth="1" style="46" min="3" max="3"/>
    <col width="26" customWidth="1" style="46" min="4" max="4"/>
    <col width="28" customWidth="1" style="46" min="5" max="5"/>
    <col width="14" customWidth="1" style="46" min="6" max="7"/>
    <col width="15" customWidth="1" style="46" min="8" max="9"/>
    <col width="16" customWidth="1" style="46" min="10" max="11"/>
    <col width="14" customWidth="1" style="46" min="12" max="12"/>
    <col width="15" customWidth="1" style="46" min="13" max="13"/>
    <col width="24" customWidth="1" style="46" min="14" max="14"/>
    <col width="14" customWidth="1" style="46" min="15" max="33"/>
  </cols>
  <sheetData>
    <row r="1" ht="24.75" customHeight="1" s="46">
      <c r="A1" s="47" t="inlineStr">
        <is>
          <t>CONTROL SEMANAL DE RENDIMIENTO DE MAQUINARIA (SEMANA 35)</t>
        </is>
      </c>
    </row>
    <row r="2" ht="18" customHeight="1" s="46">
      <c r="A2" s="48" t="inlineStr">
        <is>
          <t>OBRA: CARRETERA LIBRE MÉXICO-TOLUCA | PERIODO: 24/Ago/2026 - 29/Ago/2026</t>
        </is>
      </c>
    </row>
    <row r="4">
      <c r="A4" s="5" t="inlineStr">
        <is>
          <t>1. PARÁMETROS:</t>
        </is>
      </c>
      <c r="B4" s="5" t="inlineStr">
        <is>
          <t>PESO VOLUMÉTRICO ASFALTO (Ton/m³):</t>
        </is>
      </c>
      <c r="E4" s="7" t="n">
        <v>1.742</v>
      </c>
    </row>
    <row r="5">
      <c r="A5" s="5" t="inlineStr">
        <is>
          <t>2. FRESADO SEMANAL:</t>
        </is>
      </c>
      <c r="B5" s="8" t="inlineStr">
        <is>
          <t>Viajes de Fresado:</t>
        </is>
      </c>
      <c r="C5" s="41" t="n">
        <v>6</v>
      </c>
      <c r="D5" s="8" t="inlineStr">
        <is>
          <t>Volumen Fresado (m³):</t>
        </is>
      </c>
      <c r="E5" s="42" t="n">
        <v>42</v>
      </c>
    </row>
    <row r="6">
      <c r="A6" s="5" t="inlineStr">
        <is>
          <t>3. CARPETA SEMANAL:</t>
        </is>
      </c>
      <c r="B6" s="8" t="inlineStr">
        <is>
          <t>Viajes de Mezcla:</t>
        </is>
      </c>
      <c r="C6" s="41" t="n">
        <v>71</v>
      </c>
      <c r="D6" s="8" t="inlineStr">
        <is>
          <t>Volumen Carpeta (m³):</t>
        </is>
      </c>
      <c r="E6" s="42" t="n">
        <v>994</v>
      </c>
      <c r="F6" s="8" t="inlineStr">
        <is>
          <t>Toneladas Carpeta (Ton):</t>
        </is>
      </c>
      <c r="G6" s="17">
        <f>E6*$E$4</f>
        <v/>
      </c>
    </row>
    <row r="8" ht="27.75" customHeight="1" s="46">
      <c r="A8" s="10" t="inlineStr">
        <is>
          <t>No.</t>
        </is>
      </c>
      <c r="B8" s="10" t="inlineStr">
        <is>
          <t>Económico</t>
        </is>
      </c>
      <c r="C8" s="10" t="inlineStr">
        <is>
          <t>Equipo / Maquinaria</t>
        </is>
      </c>
      <c r="D8" s="10" t="inlineStr">
        <is>
          <t>Operador Asignado</t>
        </is>
      </c>
      <c r="E8" s="10" t="inlineStr">
        <is>
          <t>Concepto de Trabajo</t>
        </is>
      </c>
      <c r="F8" s="10" t="inlineStr">
        <is>
          <t>Viajes Asignados</t>
        </is>
      </c>
      <c r="G8" s="10" t="inlineStr">
        <is>
          <t>Volumen (m³)</t>
        </is>
      </c>
      <c r="H8" s="10" t="inlineStr">
        <is>
          <t>Toneladas (Ton)</t>
        </is>
      </c>
      <c r="I8" s="10" t="inlineStr">
        <is>
          <t>Diésel Surtido (L)</t>
        </is>
      </c>
      <c r="J8" s="10" t="inlineStr">
        <is>
          <t>Rendimiento Real (L/Ton)</t>
        </is>
      </c>
      <c r="K8" s="10" t="inlineStr">
        <is>
          <t>Rendimiento Real (L/m³)</t>
        </is>
      </c>
      <c r="L8" s="10" t="inlineStr">
        <is>
          <t>Rend. Base (L/h)</t>
        </is>
      </c>
      <c r="M8" s="10" t="inlineStr">
        <is>
          <t>Horas Est. Operación</t>
        </is>
      </c>
      <c r="N8" s="10" t="inlineStr">
        <is>
          <t>Estatus Operativo</t>
        </is>
      </c>
    </row>
    <row r="9" ht="19.5" customHeight="1" s="46">
      <c r="A9" s="12" t="n">
        <v>1</v>
      </c>
      <c r="B9" s="12" t="inlineStr">
        <is>
          <t>PRR-01</t>
        </is>
      </c>
      <c r="C9" s="13" t="inlineStr">
        <is>
          <t>PERFILADORA WIRTGEN W200i</t>
        </is>
      </c>
      <c r="D9" s="13" t="inlineStr">
        <is>
          <t>JAVIER PAREDES CORTE</t>
        </is>
      </c>
      <c r="E9" s="13" t="inlineStr">
        <is>
          <t>Fresado de Pavimento</t>
        </is>
      </c>
      <c r="F9" s="14">
        <f>$C$5</f>
        <v/>
      </c>
      <c r="G9" s="37">
        <f>$E$5</f>
        <v/>
      </c>
      <c r="H9" s="18" t="inlineStr">
        <is>
          <t>-</t>
        </is>
      </c>
      <c r="I9" s="37">
        <f>AD27</f>
        <v/>
      </c>
      <c r="J9" s="19" t="inlineStr">
        <is>
          <t>-</t>
        </is>
      </c>
      <c r="K9" s="20">
        <f>IF(G9&gt;0, I9/G9, 0)</f>
        <v/>
      </c>
      <c r="L9" s="21" t="n">
        <v>67.2</v>
      </c>
      <c r="M9" s="22">
        <f>IF(L9&gt;0, I9/L9, 0)</f>
        <v/>
      </c>
      <c r="N9" s="12">
        <f>IF(I9=0, "SIN CONSUMO (Inactiva)", IF(A9=1, IF(K9&lt;=0.85, "DENTRO DE RENDIMIENTO BASE", "EXCEDE RENDIMIENTO BASE"), IF(A9=2, IF(J9&lt;=0.38, "DENTRO DE RENDIMIENTO BASE", "EXCEDE RENDIMIENTO BASE"), IF(OR(A9=3,A9=4,A9=5,A9=6), IF(J9&lt;=0.08, "DENTRO DE RENDIMIENTO BASE", "EXCEDE RENDIMIENTO BASE"), IF(A9=7, IF(J9&lt;=0.07, "DENTRO DE RENDIMIENTO BASE", "EXCEDE RENDIMIENTO BASE"), IF(A9=8, IF(K9&lt;=0.22, "DENTRO DE RENDIMIENTO BASE", "EXCEDE RENDIMIENTO BASE"), IF(A9=9, IF(J9&lt;=0.075, "DENTRO DE RENDIMIENTO BASE", "EXCEDE RENDIMIENTO BASE"), "APOYO PUNTUAL")))))))</f>
        <v/>
      </c>
    </row>
    <row r="10" ht="19.5" customHeight="1" s="46">
      <c r="A10" s="12" t="n">
        <v>2</v>
      </c>
      <c r="B10" s="12" t="inlineStr">
        <is>
          <t>VG-01</t>
        </is>
      </c>
      <c r="C10" s="13" t="inlineStr">
        <is>
          <t>PAVIMENTADORA VÖGELE SUPER 1800-3i</t>
        </is>
      </c>
      <c r="D10" s="13" t="inlineStr">
        <is>
          <t>ERWIN CUTEÑO HERNANDEZ</t>
        </is>
      </c>
      <c r="E10" s="13" t="inlineStr">
        <is>
          <t>Tendido de Mezcla Asfáltica</t>
        </is>
      </c>
      <c r="F10" s="14">
        <f>$C$6</f>
        <v/>
      </c>
      <c r="G10" s="37">
        <f>$E$6</f>
        <v/>
      </c>
      <c r="H10" s="16">
        <f>G10*$E$4</f>
        <v/>
      </c>
      <c r="I10" s="37">
        <f>AD28</f>
        <v/>
      </c>
      <c r="J10" s="20">
        <f>IF(H10&gt;0, I10/H10, 0)</f>
        <v/>
      </c>
      <c r="K10" s="20">
        <f>IF(G10&gt;0, I10/G10, 0)</f>
        <v/>
      </c>
      <c r="L10" s="21" t="n">
        <v>16.24</v>
      </c>
      <c r="M10" s="22">
        <f>IF(L10&gt;0, I10/L10, 0)</f>
        <v/>
      </c>
      <c r="N10" s="12">
        <f>IF(I10=0, "SIN CONSUMO (Inactiva)", IF(A10=1, IF(K10&lt;=0.85, "DENTRO DE RENDIMIENTO BASE", "EXCEDE RENDIMIENTO BASE"), IF(A10=2, IF(J10&lt;=0.38, "DENTRO DE RENDIMIENTO BASE", "EXCEDE RENDIMIENTO BASE"), IF(OR(A10=3,A10=4,A10=5,A10=6), IF(J10&lt;=0.08, "DENTRO DE RENDIMIENTO BASE", "EXCEDE RENDIMIENTO BASE"), IF(A10=7, IF(J10&lt;=0.07, "DENTRO DE RENDIMIENTO BASE", "EXCEDE RENDIMIENTO BASE"), IF(A10=8, IF(K10&lt;=0.22, "DENTRO DE RENDIMIENTO BASE", "EXCEDE RENDIMIENTO BASE"), IF(A10=9, IF(J10&lt;=0.075, "DENTRO DE RENDIMIENTO BASE", "EXCEDE RENDIMIENTO BASE"), "APOYO PUNTUAL")))))))</f>
        <v/>
      </c>
    </row>
    <row r="11" ht="19.5" customHeight="1" s="46">
      <c r="A11" s="12" t="n">
        <v>3</v>
      </c>
      <c r="B11" s="12" t="inlineStr">
        <is>
          <t>DR-01</t>
        </is>
      </c>
      <c r="C11" s="13" t="inlineStr">
        <is>
          <t>COMPACTADOR TÁNDEM HAMM-HD120 VV</t>
        </is>
      </c>
      <c r="D11" s="13" t="inlineStr">
        <is>
          <t>JOEL ALBERTO RIVERA RIVAS</t>
        </is>
      </c>
      <c r="E11" s="13" t="inlineStr">
        <is>
          <t>Compactación Tándem Primaria</t>
        </is>
      </c>
      <c r="F11" s="14">
        <f>$C$6</f>
        <v/>
      </c>
      <c r="G11" s="37">
        <f>$E$6</f>
        <v/>
      </c>
      <c r="H11" s="16">
        <f>G11*$E$4</f>
        <v/>
      </c>
      <c r="I11" s="37">
        <f>AD29</f>
        <v/>
      </c>
      <c r="J11" s="20">
        <f>IF(H11&gt;0, I11/H11, 0)</f>
        <v/>
      </c>
      <c r="K11" s="20">
        <f>IF(G11&gt;0, I11/G11, 0)</f>
        <v/>
      </c>
      <c r="L11" s="21" t="n">
        <v>14.3</v>
      </c>
      <c r="M11" s="22">
        <f>IF(L11&gt;0, I11/L11, 0)</f>
        <v/>
      </c>
      <c r="N11" s="12">
        <f>IF(I11=0, "SIN CONSUMO (Inactiva)", IF(A11=1, IF(K11&lt;=0.85, "DENTRO DE RENDIMIENTO BASE", "EXCEDE RENDIMIENTO BASE"), IF(A11=2, IF(J11&lt;=0.38, "DENTRO DE RENDIMIENTO BASE", "EXCEDE RENDIMIENTO BASE"), IF(OR(A11=3,A11=4,A11=5,A11=6), IF(J11&lt;=0.08, "DENTRO DE RENDIMIENTO BASE", "EXCEDE RENDIMIENTO BASE"), IF(A11=7, IF(J11&lt;=0.07, "DENTRO DE RENDIMIENTO BASE", "EXCEDE RENDIMIENTO BASE"), IF(A11=8, IF(K11&lt;=0.22, "DENTRO DE RENDIMIENTO BASE", "EXCEDE RENDIMIENTO BASE"), IF(A11=9, IF(J11&lt;=0.075, "DENTRO DE RENDIMIENTO BASE", "EXCEDE RENDIMIENTO BASE"), "APOYO PUNTUAL")))))))</f>
        <v/>
      </c>
    </row>
    <row r="12" ht="19.5" customHeight="1" s="46">
      <c r="A12" s="12" t="n">
        <v>4</v>
      </c>
      <c r="B12" s="12" t="inlineStr">
        <is>
          <t>DR-02</t>
        </is>
      </c>
      <c r="C12" s="13" t="inlineStr">
        <is>
          <t>COMPACTADOR TÁNDEM HAMM-HD140</t>
        </is>
      </c>
      <c r="D12" s="13" t="inlineStr">
        <is>
          <t>ALEXIS RENDON DOMINGUEZ</t>
        </is>
      </c>
      <c r="E12" s="13" t="inlineStr">
        <is>
          <t>Compactación Tándem Pesada</t>
        </is>
      </c>
      <c r="F12" s="14">
        <f>$C$6</f>
        <v/>
      </c>
      <c r="G12" s="37">
        <f>$E$6</f>
        <v/>
      </c>
      <c r="H12" s="16">
        <f>G12*$E$4</f>
        <v/>
      </c>
      <c r="I12" s="37">
        <f>AD30</f>
        <v/>
      </c>
      <c r="J12" s="20">
        <f>IF(H12&gt;0, I12/H12, 0)</f>
        <v/>
      </c>
      <c r="K12" s="20">
        <f>IF(G12&gt;0, I12/G12, 0)</f>
        <v/>
      </c>
      <c r="L12" s="21" t="n">
        <v>14.3</v>
      </c>
      <c r="M12" s="22">
        <f>IF(L12&gt;0, I12/L12, 0)</f>
        <v/>
      </c>
      <c r="N12" s="12">
        <f>IF(I12=0, "SIN CONSUMO (Inactiva)", IF(A12=1, IF(K12&lt;=0.85, "DENTRO DE RENDIMIENTO BASE", "EXCEDE RENDIMIENTO BASE"), IF(A12=2, IF(J12&lt;=0.38, "DENTRO DE RENDIMIENTO BASE", "EXCEDE RENDIMIENTO BASE"), IF(OR(A12=3,A12=4,A12=5,A12=6), IF(J12&lt;=0.08, "DENTRO DE RENDIMIENTO BASE", "EXCEDE RENDIMIENTO BASE"), IF(A12=7, IF(J12&lt;=0.07, "DENTRO DE RENDIMIENTO BASE", "EXCEDE RENDIMIENTO BASE"), IF(A12=8, IF(K12&lt;=0.22, "DENTRO DE RENDIMIENTO BASE", "EXCEDE RENDIMIENTO BASE"), IF(A12=9, IF(J12&lt;=0.075, "DENTRO DE RENDIMIENTO BASE", "EXCEDE RENDIMIENTO BASE"), "APOYO PUNTUAL")))))))</f>
        <v/>
      </c>
    </row>
    <row r="13" ht="19.5" customHeight="1" s="46">
      <c r="A13" s="12" t="n">
        <v>5</v>
      </c>
      <c r="B13" s="12" t="inlineStr">
        <is>
          <t>NM-01</t>
        </is>
      </c>
      <c r="C13" s="13" t="inlineStr">
        <is>
          <t>COMPACTADOR NEUMÁTICO DYNAPAC CP271</t>
        </is>
      </c>
      <c r="D13" s="13" t="inlineStr">
        <is>
          <t>JOSE CARLOS ROMERO TELLEZ</t>
        </is>
      </c>
      <c r="E13" s="13" t="inlineStr">
        <is>
          <t>Compactación Neumática / Sellado</t>
        </is>
      </c>
      <c r="F13" s="14">
        <f>$C$6</f>
        <v/>
      </c>
      <c r="G13" s="37">
        <f>$E$6</f>
        <v/>
      </c>
      <c r="H13" s="16">
        <f>G13*$E$4</f>
        <v/>
      </c>
      <c r="I13" s="37">
        <f>AD31</f>
        <v/>
      </c>
      <c r="J13" s="20">
        <f>IF(H13&gt;0, I13/H13, 0)</f>
        <v/>
      </c>
      <c r="K13" s="20">
        <f>IF(G13&gt;0, I13/G13, 0)</f>
        <v/>
      </c>
      <c r="L13" s="21" t="n">
        <v>11.44</v>
      </c>
      <c r="M13" s="22">
        <f>IF(L13&gt;0, I13/L13, 0)</f>
        <v/>
      </c>
      <c r="N13" s="12">
        <f>IF(I13=0, "SIN CONSUMO (Inactiva)", IF(A13=1, IF(K13&lt;=0.85, "DENTRO DE RENDIMIENTO BASE", "EXCEDE RENDIMIENTO BASE"), IF(A13=2, IF(J13&lt;=0.38, "DENTRO DE RENDIMIENTO BASE", "EXCEDE RENDIMIENTO BASE"), IF(OR(A13=3,A13=4,A13=5,A13=6), IF(J13&lt;=0.08, "DENTRO DE RENDIMIENTO BASE", "EXCEDE RENDIMIENTO BASE"), IF(A13=7, IF(J13&lt;=0.07, "DENTRO DE RENDIMIENTO BASE", "EXCEDE RENDIMIENTO BASE"), IF(A13=8, IF(K13&lt;=0.22, "DENTRO DE RENDIMIENTO BASE", "EXCEDE RENDIMIENTO BASE"), IF(A13=9, IF(J13&lt;=0.075, "DENTRO DE RENDIMIENTO BASE", "EXCEDE RENDIMIENTO BASE"), "APOYO PUNTUAL")))))))</f>
        <v/>
      </c>
    </row>
    <row r="14" ht="19.5" customHeight="1" s="46">
      <c r="A14" s="12" t="n">
        <v>6</v>
      </c>
      <c r="B14" s="12" t="inlineStr">
        <is>
          <t>NM-09</t>
        </is>
      </c>
      <c r="C14" s="13" t="inlineStr">
        <is>
          <t>COMPACTADOR NEUMÁTICO HAMM 208</t>
        </is>
      </c>
      <c r="D14" s="13" t="inlineStr">
        <is>
          <t>NOLVIN DE JESUS PEREZ GOMEZ</t>
        </is>
      </c>
      <c r="E14" s="13" t="inlineStr">
        <is>
          <t>Compactación Neumática / Acabado</t>
        </is>
      </c>
      <c r="F14" s="14">
        <f>$C$6</f>
        <v/>
      </c>
      <c r="G14" s="37">
        <f>$E$6</f>
        <v/>
      </c>
      <c r="H14" s="16">
        <f>G14*$E$4</f>
        <v/>
      </c>
      <c r="I14" s="37">
        <f>AD32</f>
        <v/>
      </c>
      <c r="J14" s="20">
        <f>IF(H14&gt;0, I14/H14, 0)</f>
        <v/>
      </c>
      <c r="K14" s="20">
        <f>IF(G14&gt;0, I14/G14, 0)</f>
        <v/>
      </c>
      <c r="L14" s="21" t="n">
        <v>10.96</v>
      </c>
      <c r="M14" s="22">
        <f>IF(L14&gt;0, I14/L14, 0)</f>
        <v/>
      </c>
      <c r="N14" s="12">
        <f>IF(I14=0, "SIN CONSUMO (Inactiva)", IF(A14=1, IF(K14&lt;=0.85, "DENTRO DE RENDIMIENTO BASE", "EXCEDE RENDIMIENTO BASE"), IF(A14=2, IF(J14&lt;=0.38, "DENTRO DE RENDIMIENTO BASE", "EXCEDE RENDIMIENTO BASE"), IF(OR(A14=3,A14=4,A14=5,A14=6), IF(J14&lt;=0.08, "DENTRO DE RENDIMIENTO BASE", "EXCEDE RENDIMIENTO BASE"), IF(A14=7, IF(J14&lt;=0.07, "DENTRO DE RENDIMIENTO BASE", "EXCEDE RENDIMIENTO BASE"), IF(A14=8, IF(K14&lt;=0.22, "DENTRO DE RENDIMIENTO BASE", "EXCEDE RENDIMIENTO BASE"), IF(A14=9, IF(J14&lt;=0.075, "DENTRO DE RENDIMIENTO BASE", "EXCEDE RENDIMIENTO BASE"), "APOYO PUNTUAL")))))))</f>
        <v/>
      </c>
    </row>
    <row r="15" ht="19.5" customHeight="1" s="46">
      <c r="A15" s="12" t="n">
        <v>7</v>
      </c>
      <c r="B15" s="12" t="inlineStr">
        <is>
          <t>BR-01</t>
        </is>
      </c>
      <c r="C15" s="13" t="inlineStr">
        <is>
          <t>BARREDORA INDUSTRIAL BROCE BROOM-350</t>
        </is>
      </c>
      <c r="D15" s="13" t="inlineStr">
        <is>
          <t>EDGAR ROSALES MARTINEZ</t>
        </is>
      </c>
      <c r="E15" s="13" t="inlineStr">
        <is>
          <t>Limpieza y Barrido Previo</t>
        </is>
      </c>
      <c r="F15" s="14">
        <f>$C$6</f>
        <v/>
      </c>
      <c r="G15" s="37">
        <f>$E$6</f>
        <v/>
      </c>
      <c r="H15" s="16">
        <f>G15*$E$4</f>
        <v/>
      </c>
      <c r="I15" s="37">
        <f>AD33</f>
        <v/>
      </c>
      <c r="J15" s="20">
        <f>IF(H15&gt;0, I15/H15, 0)</f>
        <v/>
      </c>
      <c r="K15" s="20">
        <f>IF(G15&gt;0, I15/G15, 0)</f>
        <v/>
      </c>
      <c r="L15" s="21" t="n">
        <v>8.94</v>
      </c>
      <c r="M15" s="22">
        <f>IF(L15&gt;0, I15/L15, 0)</f>
        <v/>
      </c>
      <c r="N15" s="12">
        <f>IF(I15=0, "SIN CONSUMO (Inactiva)", IF(A15=1, IF(K15&lt;=0.85, "DENTRO DE RENDIMIENTO BASE", "EXCEDE RENDIMIENTO BASE"), IF(A15=2, IF(J15&lt;=0.38, "DENTRO DE RENDIMIENTO BASE", "EXCEDE RENDIMIENTO BASE"), IF(OR(A15=3,A15=4,A15=5,A15=6), IF(J15&lt;=0.08, "DENTRO DE RENDIMIENTO BASE", "EXCEDE RENDIMIENTO BASE"), IF(A15=7, IF(J15&lt;=0.07, "DENTRO DE RENDIMIENTO BASE", "EXCEDE RENDIMIENTO BASE"), IF(A15=8, IF(K15&lt;=0.22, "DENTRO DE RENDIMIENTO BASE", "EXCEDE RENDIMIENTO BASE"), IF(A15=9, IF(J15&lt;=0.075, "DENTRO DE RENDIMIENTO BASE", "EXCEDE RENDIMIENTO BASE"), "APOYO PUNTUAL")))))))</f>
        <v/>
      </c>
    </row>
    <row r="16" ht="19.5" customHeight="1" s="46">
      <c r="A16" s="12" t="n">
        <v>8</v>
      </c>
      <c r="B16" s="12" t="inlineStr">
        <is>
          <t>RT-05</t>
        </is>
      </c>
      <c r="C16" s="13" t="inlineStr">
        <is>
          <t>RETROEXCAVADORA JOHN DEERE 310SK</t>
        </is>
      </c>
      <c r="D16" s="13" t="inlineStr">
        <is>
          <t>ADOLFO NAVA LOPEZ</t>
        </is>
      </c>
      <c r="E16" s="13" t="inlineStr">
        <is>
          <t>Carga Fresado y Derrumbes</t>
        </is>
      </c>
      <c r="F16" s="14">
        <f>$C$5</f>
        <v/>
      </c>
      <c r="G16" s="37">
        <f>$E$5</f>
        <v/>
      </c>
      <c r="H16" s="18" t="inlineStr">
        <is>
          <t>-</t>
        </is>
      </c>
      <c r="I16" s="37">
        <f>AD34</f>
        <v/>
      </c>
      <c r="J16" s="19" t="inlineStr">
        <is>
          <t>-</t>
        </is>
      </c>
      <c r="K16" s="20">
        <f>IF(G16&gt;0, I16/G16, 0)</f>
        <v/>
      </c>
      <c r="L16" s="21" t="n">
        <v>7.44</v>
      </c>
      <c r="M16" s="22">
        <f>IF(L16&gt;0, I16/L16, 0)</f>
        <v/>
      </c>
      <c r="N16" s="12">
        <f>IF(I16=0, "SIN CONSUMO (Inactiva)", IF(A16=1, IF(K16&lt;=0.85, "DENTRO DE RENDIMIENTO BASE", "EXCEDE RENDIMIENTO BASE"), IF(A16=2, IF(J16&lt;=0.38, "DENTRO DE RENDIMIENTO BASE", "EXCEDE RENDIMIENTO BASE"), IF(OR(A16=3,A16=4,A16=5,A16=6), IF(J16&lt;=0.08, "DENTRO DE RENDIMIENTO BASE", "EXCEDE RENDIMIENTO BASE"), IF(A16=7, IF(J16&lt;=0.07, "DENTRO DE RENDIMIENTO BASE", "EXCEDE RENDIMIENTO BASE"), IF(A16=8, IF(K16&lt;=0.22, "DENTRO DE RENDIMIENTO BASE", "EXCEDE RENDIMIENTO BASE"), IF(A16=9, IF(J16&lt;=0.075, "DENTRO DE RENDIMIENTO BASE", "EXCEDE RENDIMIENTO BASE"), "APOYO PUNTUAL")))))))</f>
        <v/>
      </c>
    </row>
    <row r="17" ht="19.5" customHeight="1" s="46">
      <c r="A17" s="12" t="n">
        <v>9</v>
      </c>
      <c r="B17" s="12" t="inlineStr">
        <is>
          <t>PT-01</t>
        </is>
      </c>
      <c r="C17" s="13" t="inlineStr">
        <is>
          <t>PETROLIZADORA INTERNATIONAL / FORD F800</t>
        </is>
      </c>
      <c r="D17" s="13" t="inlineStr">
        <is>
          <t>ELTHON EDUARDO MARTINEZ GOMORA</t>
        </is>
      </c>
      <c r="E17" s="13" t="inlineStr">
        <is>
          <t>Riego de Liga / Emulsión</t>
        </is>
      </c>
      <c r="F17" s="14">
        <f>$C$6</f>
        <v/>
      </c>
      <c r="G17" s="37">
        <f>$E$6</f>
        <v/>
      </c>
      <c r="H17" s="16">
        <f>G17*$E$4</f>
        <v/>
      </c>
      <c r="I17" s="37">
        <f>AD35</f>
        <v/>
      </c>
      <c r="J17" s="20">
        <f>IF(H17&gt;0, I17/H17, 0)</f>
        <v/>
      </c>
      <c r="K17" s="20">
        <f>IF(G17&gt;0, I17/G17, 0)</f>
        <v/>
      </c>
      <c r="L17" s="21" t="n">
        <v>12.76</v>
      </c>
      <c r="M17" s="22">
        <f>IF(L17&gt;0, I17/L17, 0)</f>
        <v/>
      </c>
      <c r="N17" s="12">
        <f>IF(I17=0, "SIN CONSUMO (Inactiva)", IF(A17=1, IF(K17&lt;=0.85, "DENTRO DE RENDIMIENTO BASE", "EXCEDE RENDIMIENTO BASE"), IF(A17=2, IF(J17&lt;=0.38, "DENTRO DE RENDIMIENTO BASE", "EXCEDE RENDIMIENTO BASE"), IF(OR(A17=3,A17=4,A17=5,A17=6), IF(J17&lt;=0.08, "DENTRO DE RENDIMIENTO BASE", "EXCEDE RENDIMIENTO BASE"), IF(A17=7, IF(J17&lt;=0.07, "DENTRO DE RENDIMIENTO BASE", "EXCEDE RENDIMIENTO BASE"), IF(A17=8, IF(K17&lt;=0.22, "DENTRO DE RENDIMIENTO BASE", "EXCEDE RENDIMIENTO BASE"), IF(A17=9, IF(J17&lt;=0.075, "DENTRO DE RENDIMIENTO BASE", "EXCEDE RENDIMIENTO BASE"), "APOYO PUNTUAL")))))))</f>
        <v/>
      </c>
    </row>
    <row r="18" ht="19.5" customHeight="1" s="46">
      <c r="A18" s="12" t="n">
        <v>10</v>
      </c>
      <c r="B18" s="12" t="inlineStr">
        <is>
          <t>CPR-01</t>
        </is>
      </c>
      <c r="C18" s="13" t="inlineStr">
        <is>
          <t>COMPRESOR DE AIRE INGERSOLL RAND IR185</t>
        </is>
      </c>
      <c r="D18" s="13" t="inlineStr">
        <is>
          <t>CUADRILLA DE LIMPIEZA</t>
        </is>
      </c>
      <c r="E18" s="13" t="inlineStr">
        <is>
          <t>Sopleteado de Juntas</t>
        </is>
      </c>
      <c r="F18" s="14">
        <f>$C$6</f>
        <v/>
      </c>
      <c r="G18" s="37">
        <f>$E$6</f>
        <v/>
      </c>
      <c r="H18" s="16">
        <f>G18*$E$4</f>
        <v/>
      </c>
      <c r="I18" s="37">
        <f>AD36</f>
        <v/>
      </c>
      <c r="J18" s="20">
        <f>IF(H18&gt;0, I18/H18, 0)</f>
        <v/>
      </c>
      <c r="K18" s="20">
        <f>IF(G18&gt;0, I18/G18, 0)</f>
        <v/>
      </c>
      <c r="L18" s="21" t="n">
        <v>9.970000000000001</v>
      </c>
      <c r="M18" s="22">
        <f>IF(L18&gt;0, I18/L18, 0)</f>
        <v/>
      </c>
      <c r="N18" s="12">
        <f>IF(I18=0, "SIN CONSUMO (Inactiva)", IF(A18=1, IF(K18&lt;=0.85, "DENTRO DE RENDIMIENTO BASE", "EXCEDE RENDIMIENTO BASE"), IF(A18=2, IF(J18&lt;=0.38, "DENTRO DE RENDIMIENTO BASE", "EXCEDE RENDIMIENTO BASE"), IF(OR(A18=3,A18=4,A18=5,A18=6), IF(J18&lt;=0.08, "DENTRO DE RENDIMIENTO BASE", "EXCEDE RENDIMIENTO BASE"), IF(A18=7, IF(J18&lt;=0.07, "DENTRO DE RENDIMIENTO BASE", "EXCEDE RENDIMIENTO BASE"), IF(A18=8, IF(K18&lt;=0.22, "DENTRO DE RENDIMIENTO BASE", "EXCEDE RENDIMIENTO BASE"), IF(A18=9, IF(J18&lt;=0.075, "DENTRO DE RENDIMIENTO BASE", "EXCEDE RENDIMIENTO BASE"), "APOYO PUNTUAL")))))))</f>
        <v/>
      </c>
    </row>
    <row r="19" ht="19.5" customHeight="1" s="46">
      <c r="A19" s="12" t="n">
        <v>11</v>
      </c>
      <c r="B19" s="12" t="inlineStr">
        <is>
          <t>PP-01</t>
        </is>
      </c>
      <c r="C19" s="13" t="inlineStr">
        <is>
          <t>CAMIÓN IMPACTO / PIPA DE AGUA FORD</t>
        </is>
      </c>
      <c r="D19" s="13" t="inlineStr">
        <is>
          <t>CUADRILLA DE AGUA</t>
        </is>
      </c>
      <c r="E19" s="13" t="inlineStr">
        <is>
          <t>Enfriamiento Rodillos / Riego</t>
        </is>
      </c>
      <c r="F19" s="14">
        <f>$C$6</f>
        <v/>
      </c>
      <c r="G19" s="37">
        <f>$E$6</f>
        <v/>
      </c>
      <c r="H19" s="16">
        <f>G19*$E$4</f>
        <v/>
      </c>
      <c r="I19" s="37">
        <f>AD37</f>
        <v/>
      </c>
      <c r="J19" s="20">
        <f>IF(H19&gt;0, I19/H19, 0)</f>
        <v/>
      </c>
      <c r="K19" s="20">
        <f>IF(G19&gt;0, I19/G19, 0)</f>
        <v/>
      </c>
      <c r="L19" s="21" t="n">
        <v>3.03</v>
      </c>
      <c r="M19" s="22">
        <f>IF(L19&gt;0, I19/L19, 0)</f>
        <v/>
      </c>
      <c r="N19" s="12">
        <f>IF(I19=0, "SIN CONSUMO (Inactiva)", IF(A19=1, IF(K19&lt;=0.85, "DENTRO DE RENDIMIENTO BASE", "EXCEDE RENDIMIENTO BASE"), IF(A19=2, IF(J19&lt;=0.38, "DENTRO DE RENDIMIENTO BASE", "EXCEDE RENDIMIENTO BASE"), IF(OR(A19=3,A19=4,A19=5,A19=6), IF(J19&lt;=0.08, "DENTRO DE RENDIMIENTO BASE", "EXCEDE RENDIMIENTO BASE"), IF(A19=7, IF(J19&lt;=0.07, "DENTRO DE RENDIMIENTO BASE", "EXCEDE RENDIMIENTO BASE"), IF(A19=8, IF(K19&lt;=0.22, "DENTRO DE RENDIMIENTO BASE", "EXCEDE RENDIMIENTO BASE"), IF(A19=9, IF(J19&lt;=0.075, "DENTRO DE RENDIMIENTO BASE", "EXCEDE RENDIMIENTO BASE"), "APOYO PUNTUAL")))))))</f>
        <v/>
      </c>
    </row>
    <row r="20" ht="19.5" customHeight="1" s="46">
      <c r="A20" s="12" t="n">
        <v>12</v>
      </c>
      <c r="B20" s="12" t="inlineStr">
        <is>
          <t>TL-01</t>
        </is>
      </c>
      <c r="C20" s="13" t="inlineStr">
        <is>
          <t>TORRE DE LUZ MAXILIGHT 4X1000W</t>
        </is>
      </c>
      <c r="D20" s="13" t="inlineStr">
        <is>
          <t>CUADRILLA NOCTURNA</t>
        </is>
      </c>
      <c r="E20" s="13" t="inlineStr">
        <is>
          <t>Iluminación Nocturna</t>
        </is>
      </c>
      <c r="F20" s="14">
        <f>$C$6</f>
        <v/>
      </c>
      <c r="G20" s="37">
        <f>$E$6</f>
        <v/>
      </c>
      <c r="H20" s="16">
        <f>G20*$E$4</f>
        <v/>
      </c>
      <c r="I20" s="37">
        <f>AD38</f>
        <v/>
      </c>
      <c r="J20" s="20">
        <f>IF(H20&gt;0, I20/H20, 0)</f>
        <v/>
      </c>
      <c r="K20" s="20">
        <f>IF(G20&gt;0, I20/G20, 0)</f>
        <v/>
      </c>
      <c r="L20" s="21" t="n">
        <v>2.41</v>
      </c>
      <c r="M20" s="22">
        <f>IF(L20&gt;0, I20/L20, 0)</f>
        <v/>
      </c>
      <c r="N20" s="12">
        <f>IF(I20=0, "SIN CONSUMO (Inactiva)", IF(A20=1, IF(K20&lt;=0.85, "DENTRO DE RENDIMIENTO BASE", "EXCEDE RENDIMIENTO BASE"), IF(A20=2, IF(J20&lt;=0.38, "DENTRO DE RENDIMIENTO BASE", "EXCEDE RENDIMIENTO BASE"), IF(OR(A20=3,A20=4,A20=5,A20=6), IF(J20&lt;=0.08, "DENTRO DE RENDIMIENTO BASE", "EXCEDE RENDIMIENTO BASE"), IF(A20=7, IF(J20&lt;=0.07, "DENTRO DE RENDIMIENTO BASE", "EXCEDE RENDIMIENTO BASE"), IF(A20=8, IF(K20&lt;=0.22, "DENTRO DE RENDIMIENTO BASE", "EXCEDE RENDIMIENTO BASE"), IF(A20=9, IF(J20&lt;=0.075, "DENTRO DE RENDIMIENTO BASE", "EXCEDE RENDIMIENTO BASE"), "APOYO PUNTUAL")))))))</f>
        <v/>
      </c>
    </row>
    <row r="21" ht="21.75" customHeight="1" s="46">
      <c r="A21" s="30" t="inlineStr">
        <is>
          <t>TOTAL SEMANA 35 (OBRA CARRETERA MÉXICO-TOLUCA)</t>
        </is>
      </c>
      <c r="B21" s="50" t="n"/>
      <c r="C21" s="50" t="n"/>
      <c r="D21" s="50" t="n"/>
      <c r="E21" s="51" t="n"/>
      <c r="F21" s="26">
        <f>C5+C6</f>
        <v/>
      </c>
      <c r="G21" s="27">
        <f>E5+E6</f>
        <v/>
      </c>
      <c r="H21" s="28">
        <f>G6</f>
        <v/>
      </c>
      <c r="I21" s="27">
        <f>SUM(I9:I20)</f>
        <v/>
      </c>
      <c r="J21" s="29">
        <f>IF(H21&gt;0, I21/H21, 0)</f>
        <v/>
      </c>
      <c r="K21" s="29">
        <f>IF(G21&gt;0, I21/G21, 0)</f>
        <v/>
      </c>
      <c r="L21" s="30" t="inlineStr">
        <is>
          <t>—</t>
        </is>
      </c>
      <c r="M21" s="31">
        <f>SUM(M9:M20)</f>
        <v/>
      </c>
      <c r="N21" s="30" t="inlineStr">
        <is>
          <t>SEMANA REGISTRADA</t>
        </is>
      </c>
    </row>
    <row r="22" ht="15.75" customHeight="1" s="46"/>
    <row r="23" ht="15.75" customHeight="1" s="46"/>
    <row r="24" ht="24" customHeight="1" s="46">
      <c r="A24" s="96" t="inlineStr">
        <is>
          <t>DESGLOSE DIARIO DE COMBUSTIBLE, VOLUMEN, TONELAJE Y RENDIMIENTO — SEMANA 35</t>
        </is>
      </c>
    </row>
    <row r="25" ht="19.5" customHeight="1" s="46">
      <c r="A25" s="48" t="inlineStr">
        <is>
          <t>DATOS DEL EQUIPO</t>
        </is>
      </c>
      <c r="F25" s="48" t="inlineStr">
        <is>
          <t>LUNES</t>
        </is>
      </c>
      <c r="J25" s="48" t="inlineStr">
        <is>
          <t>MARTES</t>
        </is>
      </c>
      <c r="N25" s="48" t="inlineStr">
        <is>
          <t>MIÉRCOLES</t>
        </is>
      </c>
      <c r="R25" s="48" t="inlineStr">
        <is>
          <t>JUEVES</t>
        </is>
      </c>
      <c r="V25" s="48" t="inlineStr">
        <is>
          <t>VIERNES</t>
        </is>
      </c>
      <c r="Z25" s="48" t="inlineStr">
        <is>
          <t>SÁBADO</t>
        </is>
      </c>
      <c r="AD25" s="97" t="inlineStr">
        <is>
          <t>TOTAL SEMANAL</t>
        </is>
      </c>
    </row>
    <row r="26" ht="25.5" customHeight="1" s="46">
      <c r="A26" s="34" t="inlineStr">
        <is>
          <t>No.</t>
        </is>
      </c>
      <c r="B26" s="34" t="inlineStr">
        <is>
          <t>Económico</t>
        </is>
      </c>
      <c r="C26" s="34" t="inlineStr">
        <is>
          <t>Equipo / Maquinaria</t>
        </is>
      </c>
      <c r="D26" s="34" t="inlineStr">
        <is>
          <t>Operador Asignado</t>
        </is>
      </c>
      <c r="E26" s="34" t="inlineStr">
        <is>
          <t>Concepto de Trabajo</t>
        </is>
      </c>
      <c r="F26" s="34" t="inlineStr">
        <is>
          <t>Diésel (L)</t>
        </is>
      </c>
      <c r="G26" s="34" t="inlineStr">
        <is>
          <t>Volumen (m³)</t>
        </is>
      </c>
      <c r="H26" s="34" t="inlineStr">
        <is>
          <t>Toneladas (Ton)</t>
        </is>
      </c>
      <c r="I26" s="34" t="inlineStr">
        <is>
          <t>Rendimiento Real</t>
        </is>
      </c>
      <c r="J26" s="34" t="inlineStr">
        <is>
          <t>Diésel (L)</t>
        </is>
      </c>
      <c r="K26" s="34" t="inlineStr">
        <is>
          <t>Volumen (m³)</t>
        </is>
      </c>
      <c r="L26" s="34" t="inlineStr">
        <is>
          <t>Toneladas (Ton)</t>
        </is>
      </c>
      <c r="M26" s="34" t="inlineStr">
        <is>
          <t>Rendimiento Real</t>
        </is>
      </c>
      <c r="N26" s="34" t="inlineStr">
        <is>
          <t>Diésel (L)</t>
        </is>
      </c>
      <c r="O26" s="34" t="inlineStr">
        <is>
          <t>Volumen (m³)</t>
        </is>
      </c>
      <c r="P26" s="34" t="inlineStr">
        <is>
          <t>Toneladas (Ton)</t>
        </is>
      </c>
      <c r="Q26" s="34" t="inlineStr">
        <is>
          <t>Rendimiento Real</t>
        </is>
      </c>
      <c r="R26" s="34" t="inlineStr">
        <is>
          <t>Diésel (L)</t>
        </is>
      </c>
      <c r="S26" s="34" t="inlineStr">
        <is>
          <t>Volumen (m³)</t>
        </is>
      </c>
      <c r="T26" s="34" t="inlineStr">
        <is>
          <t>Toneladas (Ton)</t>
        </is>
      </c>
      <c r="U26" s="34" t="inlineStr">
        <is>
          <t>Rendimiento Real</t>
        </is>
      </c>
      <c r="V26" s="34" t="inlineStr">
        <is>
          <t>Diésel (L)</t>
        </is>
      </c>
      <c r="W26" s="34" t="inlineStr">
        <is>
          <t>Volumen (m³)</t>
        </is>
      </c>
      <c r="X26" s="34" t="inlineStr">
        <is>
          <t>Toneladas (Ton)</t>
        </is>
      </c>
      <c r="Y26" s="34" t="inlineStr">
        <is>
          <t>Rendimiento Real</t>
        </is>
      </c>
      <c r="Z26" s="34" t="inlineStr">
        <is>
          <t>Diésel (L)</t>
        </is>
      </c>
      <c r="AA26" s="34" t="inlineStr">
        <is>
          <t>Volumen (m³)</t>
        </is>
      </c>
      <c r="AB26" s="34" t="inlineStr">
        <is>
          <t>Toneladas (Ton)</t>
        </is>
      </c>
      <c r="AC26" s="34" t="inlineStr">
        <is>
          <t>Rendimiento Real</t>
        </is>
      </c>
      <c r="AD26" s="35" t="inlineStr">
        <is>
          <t>Total Diésel (L)</t>
        </is>
      </c>
      <c r="AE26" s="35" t="inlineStr">
        <is>
          <t>Total Vol (m³)</t>
        </is>
      </c>
      <c r="AF26" s="35" t="inlineStr">
        <is>
          <t>Total Ton (Ton)</t>
        </is>
      </c>
      <c r="AG26" s="35" t="inlineStr">
        <is>
          <t>Rend. Promedio</t>
        </is>
      </c>
    </row>
    <row r="27" ht="18.75" customHeight="1" s="46">
      <c r="A27" s="12" t="n">
        <v>1</v>
      </c>
      <c r="B27" s="12" t="inlineStr">
        <is>
          <t>PRR-01</t>
        </is>
      </c>
      <c r="C27" s="13" t="inlineStr">
        <is>
          <t>PERFILADORA WIRTGEN W200i</t>
        </is>
      </c>
      <c r="D27" s="13" t="inlineStr">
        <is>
          <t>JAVIER PAREDES CORTE</t>
        </is>
      </c>
      <c r="E27" s="13" t="inlineStr">
        <is>
          <t>Fresado de Pavimento</t>
        </is>
      </c>
      <c r="F27" s="37" t="n">
        <v>0</v>
      </c>
      <c r="G27" s="37" t="n">
        <v>7</v>
      </c>
      <c r="H27" s="16">
        <f>G27*$E$4</f>
        <v/>
      </c>
      <c r="I27" s="20">
        <f>IF(G27&gt;0, F27/G27, 0)</f>
        <v/>
      </c>
      <c r="J27" s="37" t="n">
        <v>0</v>
      </c>
      <c r="K27" s="37" t="n">
        <v>7</v>
      </c>
      <c r="L27" s="16">
        <f>K27*$E$4</f>
        <v/>
      </c>
      <c r="M27" s="20">
        <f>IF(K27&gt;0, J27/K27, 0)</f>
        <v/>
      </c>
      <c r="N27" s="37" t="n">
        <v>0</v>
      </c>
      <c r="O27" s="37" t="n">
        <v>7</v>
      </c>
      <c r="P27" s="16">
        <f>O27*$E$4</f>
        <v/>
      </c>
      <c r="Q27" s="20">
        <f>IF(O27&gt;0, N27/O27, 0)</f>
        <v/>
      </c>
      <c r="R27" s="37" t="n">
        <v>0</v>
      </c>
      <c r="S27" s="37" t="n">
        <v>7</v>
      </c>
      <c r="T27" s="16">
        <f>S27*$E$4</f>
        <v/>
      </c>
      <c r="U27" s="20">
        <f>IF(S27&gt;0, R27/S27, 0)</f>
        <v/>
      </c>
      <c r="V27" s="37" t="n">
        <v>0</v>
      </c>
      <c r="W27" s="37" t="n">
        <v>7</v>
      </c>
      <c r="X27" s="16">
        <f>W27*$E$4</f>
        <v/>
      </c>
      <c r="Y27" s="20">
        <f>IF(W27&gt;0, V27/W27, 0)</f>
        <v/>
      </c>
      <c r="Z27" s="37" t="n">
        <v>0</v>
      </c>
      <c r="AA27" s="37" t="n">
        <v>7</v>
      </c>
      <c r="AB27" s="16">
        <f>AA27*$E$4</f>
        <v/>
      </c>
      <c r="AC27" s="20">
        <f>IF(AA27&gt;0, Z27/AA27, 0)</f>
        <v/>
      </c>
      <c r="AD27" s="37">
        <f>F27+J27+N27+R27+V27+Z27</f>
        <v/>
      </c>
      <c r="AE27" s="37">
        <f>G27+K27+O27+S27+W27+AA27</f>
        <v/>
      </c>
      <c r="AF27" s="16">
        <f>H27+L27+P27+T27+X27+AB27</f>
        <v/>
      </c>
      <c r="AG27" s="20">
        <f>IF(AE27&gt;0, AD27/AE27, 0)</f>
        <v/>
      </c>
    </row>
    <row r="28" ht="18.75" customHeight="1" s="46">
      <c r="A28" s="12" t="n">
        <v>2</v>
      </c>
      <c r="B28" s="12" t="inlineStr">
        <is>
          <t>VG-01</t>
        </is>
      </c>
      <c r="C28" s="13" t="inlineStr">
        <is>
          <t>PAVIMENTADORA VÖGELE SUPER 1800-3i</t>
        </is>
      </c>
      <c r="D28" s="13" t="inlineStr">
        <is>
          <t>ERWIN CUTEÑO HERNANDEZ</t>
        </is>
      </c>
      <c r="E28" s="13" t="inlineStr">
        <is>
          <t>Tendido de Mezcla Asfáltica</t>
        </is>
      </c>
      <c r="F28" s="37" t="n">
        <v>150</v>
      </c>
      <c r="G28" s="37" t="n">
        <v>98</v>
      </c>
      <c r="H28" s="16">
        <f>G28*$E$4</f>
        <v/>
      </c>
      <c r="I28" s="20">
        <f>IF(H28&gt;0, F28/H28, 0)</f>
        <v/>
      </c>
      <c r="J28" s="37" t="n">
        <v>120</v>
      </c>
      <c r="K28" s="37" t="n">
        <v>182</v>
      </c>
      <c r="L28" s="16">
        <f>K28*$E$4</f>
        <v/>
      </c>
      <c r="M28" s="20">
        <f>IF(L28&gt;0, J28/L28, 0)</f>
        <v/>
      </c>
      <c r="N28" s="37" t="n">
        <v>0</v>
      </c>
      <c r="O28" s="37" t="n">
        <v>266</v>
      </c>
      <c r="P28" s="16">
        <f>O28*$E$4</f>
        <v/>
      </c>
      <c r="Q28" s="20">
        <f>IF(P28&gt;0, N28/P28, 0)</f>
        <v/>
      </c>
      <c r="R28" s="37" t="n">
        <v>220</v>
      </c>
      <c r="S28" s="37" t="n">
        <v>196</v>
      </c>
      <c r="T28" s="16">
        <f>S28*$E$4</f>
        <v/>
      </c>
      <c r="U28" s="20">
        <f>IF(T28&gt;0, R28/T28, 0)</f>
        <v/>
      </c>
      <c r="V28" s="37" t="n">
        <v>0</v>
      </c>
      <c r="W28" s="37" t="n">
        <v>154</v>
      </c>
      <c r="X28" s="16">
        <f>W28*$E$4</f>
        <v/>
      </c>
      <c r="Y28" s="20">
        <f>IF(X28&gt;0, V28/X28, 0)</f>
        <v/>
      </c>
      <c r="Z28" s="37" t="n">
        <v>219</v>
      </c>
      <c r="AA28" s="37" t="n">
        <v>98</v>
      </c>
      <c r="AB28" s="16">
        <f>AA28*$E$4</f>
        <v/>
      </c>
      <c r="AC28" s="20">
        <f>IF(AB28&gt;0, Z28/AB28, 0)</f>
        <v/>
      </c>
      <c r="AD28" s="37">
        <f>F28+J28+N28+R28+V28+Z28</f>
        <v/>
      </c>
      <c r="AE28" s="37">
        <f>G28+K28+O28+S28+W28+AA28</f>
        <v/>
      </c>
      <c r="AF28" s="16">
        <f>H28+L28+P28+T28+X28+AB28</f>
        <v/>
      </c>
      <c r="AG28" s="20">
        <f>IF(AF28&gt;0, AD28/AF28, 0)</f>
        <v/>
      </c>
    </row>
    <row r="29" ht="18.75" customHeight="1" s="46">
      <c r="A29" s="12" t="n">
        <v>3</v>
      </c>
      <c r="B29" s="12" t="inlineStr">
        <is>
          <t>DR-01</t>
        </is>
      </c>
      <c r="C29" s="13" t="inlineStr">
        <is>
          <t>COMPACTADOR TÁNDEM HAMM-HD120 VV</t>
        </is>
      </c>
      <c r="D29" s="13" t="inlineStr">
        <is>
          <t>JOEL ALBERTO RIVERA RIVAS</t>
        </is>
      </c>
      <c r="E29" s="13" t="inlineStr">
        <is>
          <t>Compactación Tándem Primaria</t>
        </is>
      </c>
      <c r="F29" s="37" t="n">
        <v>0</v>
      </c>
      <c r="G29" s="37" t="n">
        <v>98</v>
      </c>
      <c r="H29" s="16">
        <f>G29*$E$4</f>
        <v/>
      </c>
      <c r="I29" s="20">
        <f>IF(H29&gt;0, F29/H29, 0)</f>
        <v/>
      </c>
      <c r="J29" s="37" t="n">
        <v>27</v>
      </c>
      <c r="K29" s="37" t="n">
        <v>182</v>
      </c>
      <c r="L29" s="16">
        <f>K29*$E$4</f>
        <v/>
      </c>
      <c r="M29" s="20">
        <f>IF(L29&gt;0, J29/L29, 0)</f>
        <v/>
      </c>
      <c r="N29" s="37" t="n">
        <v>0</v>
      </c>
      <c r="O29" s="37" t="n">
        <v>266</v>
      </c>
      <c r="P29" s="16">
        <f>O29*$E$4</f>
        <v/>
      </c>
      <c r="Q29" s="20">
        <f>IF(P29&gt;0, N29/P29, 0)</f>
        <v/>
      </c>
      <c r="R29" s="37" t="n">
        <v>50</v>
      </c>
      <c r="S29" s="37" t="n">
        <v>196</v>
      </c>
      <c r="T29" s="16">
        <f>S29*$E$4</f>
        <v/>
      </c>
      <c r="U29" s="20">
        <f>IF(T29&gt;0, R29/T29, 0)</f>
        <v/>
      </c>
      <c r="V29" s="37" t="n">
        <v>50</v>
      </c>
      <c r="W29" s="37" t="n">
        <v>154</v>
      </c>
      <c r="X29" s="16">
        <f>W29*$E$4</f>
        <v/>
      </c>
      <c r="Y29" s="20">
        <f>IF(X29&gt;0, V29/X29, 0)</f>
        <v/>
      </c>
      <c r="Z29" s="37" t="n">
        <v>0</v>
      </c>
      <c r="AA29" s="37" t="n">
        <v>98</v>
      </c>
      <c r="AB29" s="16">
        <f>AA29*$E$4</f>
        <v/>
      </c>
      <c r="AC29" s="20">
        <f>IF(AB29&gt;0, Z29/AB29, 0)</f>
        <v/>
      </c>
      <c r="AD29" s="37">
        <f>F29+J29+N29+R29+V29+Z29</f>
        <v/>
      </c>
      <c r="AE29" s="37">
        <f>G29+K29+O29+S29+W29+AA29</f>
        <v/>
      </c>
      <c r="AF29" s="16">
        <f>H29+L29+P29+T29+X29+AB29</f>
        <v/>
      </c>
      <c r="AG29" s="20">
        <f>IF(AF29&gt;0, AD29/AF29, 0)</f>
        <v/>
      </c>
    </row>
    <row r="30" ht="18.75" customHeight="1" s="46">
      <c r="A30" s="12" t="n">
        <v>4</v>
      </c>
      <c r="B30" s="12" t="inlineStr">
        <is>
          <t>DR-02</t>
        </is>
      </c>
      <c r="C30" s="13" t="inlineStr">
        <is>
          <t>COMPACTADOR TÁNDEM HAMM-HD140</t>
        </is>
      </c>
      <c r="D30" s="13" t="inlineStr">
        <is>
          <t>ALEXIS RENDON DOMINGUEZ</t>
        </is>
      </c>
      <c r="E30" s="13" t="inlineStr">
        <is>
          <t>Compactación Tándem Pesada</t>
        </is>
      </c>
      <c r="F30" s="37" t="n">
        <v>0</v>
      </c>
      <c r="G30" s="37" t="n">
        <v>98</v>
      </c>
      <c r="H30" s="16">
        <f>G30*$E$4</f>
        <v/>
      </c>
      <c r="I30" s="20">
        <f>IF(H30&gt;0, F30/H30, 0)</f>
        <v/>
      </c>
      <c r="J30" s="37" t="n">
        <v>50</v>
      </c>
      <c r="K30" s="37" t="n">
        <v>182</v>
      </c>
      <c r="L30" s="16">
        <f>K30*$E$4</f>
        <v/>
      </c>
      <c r="M30" s="20">
        <f>IF(L30&gt;0, J30/L30, 0)</f>
        <v/>
      </c>
      <c r="N30" s="37" t="n">
        <v>0</v>
      </c>
      <c r="O30" s="37" t="n">
        <v>266</v>
      </c>
      <c r="P30" s="16">
        <f>O30*$E$4</f>
        <v/>
      </c>
      <c r="Q30" s="20">
        <f>IF(P30&gt;0, N30/P30, 0)</f>
        <v/>
      </c>
      <c r="R30" s="37" t="n">
        <v>55</v>
      </c>
      <c r="S30" s="37" t="n">
        <v>196</v>
      </c>
      <c r="T30" s="16">
        <f>S30*$E$4</f>
        <v/>
      </c>
      <c r="U30" s="20">
        <f>IF(T30&gt;0, R30/T30, 0)</f>
        <v/>
      </c>
      <c r="V30" s="37" t="n">
        <v>50</v>
      </c>
      <c r="W30" s="37" t="n">
        <v>154</v>
      </c>
      <c r="X30" s="16">
        <f>W30*$E$4</f>
        <v/>
      </c>
      <c r="Y30" s="20">
        <f>IF(X30&gt;0, V30/X30, 0)</f>
        <v/>
      </c>
      <c r="Z30" s="37" t="n">
        <v>0</v>
      </c>
      <c r="AA30" s="37" t="n">
        <v>98</v>
      </c>
      <c r="AB30" s="16">
        <f>AA30*$E$4</f>
        <v/>
      </c>
      <c r="AC30" s="20">
        <f>IF(AB30&gt;0, Z30/AB30, 0)</f>
        <v/>
      </c>
      <c r="AD30" s="37">
        <f>F30+J30+N30+R30+V30+Z30</f>
        <v/>
      </c>
      <c r="AE30" s="37">
        <f>G30+K30+O30+S30+W30+AA30</f>
        <v/>
      </c>
      <c r="AF30" s="16">
        <f>H30+L30+P30+T30+X30+AB30</f>
        <v/>
      </c>
      <c r="AG30" s="20">
        <f>IF(AF30&gt;0, AD30/AF30, 0)</f>
        <v/>
      </c>
    </row>
    <row r="31" ht="18.75" customHeight="1" s="46">
      <c r="A31" s="12" t="n">
        <v>5</v>
      </c>
      <c r="B31" s="12" t="inlineStr">
        <is>
          <t>NM-01</t>
        </is>
      </c>
      <c r="C31" s="13" t="inlineStr">
        <is>
          <t>COMPACTADOR NEUMÁTICO DYNAPAC CP271</t>
        </is>
      </c>
      <c r="D31" s="13" t="inlineStr">
        <is>
          <t>JOSE CARLOS ROMERO TELLEZ</t>
        </is>
      </c>
      <c r="E31" s="13" t="inlineStr">
        <is>
          <t>Compactación Neumática / Sellado</t>
        </is>
      </c>
      <c r="F31" s="37" t="n">
        <v>0</v>
      </c>
      <c r="G31" s="37" t="n">
        <v>98</v>
      </c>
      <c r="H31" s="16">
        <f>G31*$E$4</f>
        <v/>
      </c>
      <c r="I31" s="20">
        <f>IF(H31&gt;0, F31/H31, 0)</f>
        <v/>
      </c>
      <c r="J31" s="37" t="n">
        <v>0</v>
      </c>
      <c r="K31" s="37" t="n">
        <v>182</v>
      </c>
      <c r="L31" s="16">
        <f>K31*$E$4</f>
        <v/>
      </c>
      <c r="M31" s="20">
        <f>IF(L31&gt;0, J31/L31, 0)</f>
        <v/>
      </c>
      <c r="N31" s="37" t="n">
        <v>0</v>
      </c>
      <c r="O31" s="37" t="n">
        <v>266</v>
      </c>
      <c r="P31" s="16">
        <f>O31*$E$4</f>
        <v/>
      </c>
      <c r="Q31" s="20">
        <f>IF(P31&gt;0, N31/P31, 0)</f>
        <v/>
      </c>
      <c r="R31" s="37" t="n">
        <v>45</v>
      </c>
      <c r="S31" s="37" t="n">
        <v>196</v>
      </c>
      <c r="T31" s="16">
        <f>S31*$E$4</f>
        <v/>
      </c>
      <c r="U31" s="20">
        <f>IF(T31&gt;0, R31/T31, 0)</f>
        <v/>
      </c>
      <c r="V31" s="37" t="n">
        <v>0</v>
      </c>
      <c r="W31" s="37" t="n">
        <v>154</v>
      </c>
      <c r="X31" s="16">
        <f>W31*$E$4</f>
        <v/>
      </c>
      <c r="Y31" s="20">
        <f>IF(X31&gt;0, V31/X31, 0)</f>
        <v/>
      </c>
      <c r="Z31" s="37" t="n">
        <v>50</v>
      </c>
      <c r="AA31" s="37" t="n">
        <v>98</v>
      </c>
      <c r="AB31" s="16">
        <f>AA31*$E$4</f>
        <v/>
      </c>
      <c r="AC31" s="20">
        <f>IF(AB31&gt;0, Z31/AB31, 0)</f>
        <v/>
      </c>
      <c r="AD31" s="37">
        <f>F31+J31+N31+R31+V31+Z31</f>
        <v/>
      </c>
      <c r="AE31" s="37">
        <f>G31+K31+O31+S31+W31+AA31</f>
        <v/>
      </c>
      <c r="AF31" s="16">
        <f>H31+L31+P31+T31+X31+AB31</f>
        <v/>
      </c>
      <c r="AG31" s="20">
        <f>IF(AF31&gt;0, AD31/AF31, 0)</f>
        <v/>
      </c>
    </row>
    <row r="32" ht="18.75" customHeight="1" s="46">
      <c r="A32" s="12" t="n">
        <v>6</v>
      </c>
      <c r="B32" s="12" t="inlineStr">
        <is>
          <t>NM-09</t>
        </is>
      </c>
      <c r="C32" s="13" t="inlineStr">
        <is>
          <t>COMPACTADOR NEUMÁTICO HAMM 208</t>
        </is>
      </c>
      <c r="D32" s="13" t="inlineStr">
        <is>
          <t>NOLVIN DE JESUS PEREZ GOMEZ</t>
        </is>
      </c>
      <c r="E32" s="13" t="inlineStr">
        <is>
          <t>Compactación Neumática / Acabado</t>
        </is>
      </c>
      <c r="F32" s="37" t="n">
        <v>0</v>
      </c>
      <c r="G32" s="37" t="n">
        <v>98</v>
      </c>
      <c r="H32" s="16">
        <f>G32*$E$4</f>
        <v/>
      </c>
      <c r="I32" s="20">
        <f>IF(H32&gt;0, F32/H32, 0)</f>
        <v/>
      </c>
      <c r="J32" s="37" t="n">
        <v>50</v>
      </c>
      <c r="K32" s="37" t="n">
        <v>182</v>
      </c>
      <c r="L32" s="16">
        <f>K32*$E$4</f>
        <v/>
      </c>
      <c r="M32" s="20">
        <f>IF(L32&gt;0, J32/L32, 0)</f>
        <v/>
      </c>
      <c r="N32" s="37" t="n">
        <v>0</v>
      </c>
      <c r="O32" s="37" t="n">
        <v>266</v>
      </c>
      <c r="P32" s="16">
        <f>O32*$E$4</f>
        <v/>
      </c>
      <c r="Q32" s="20">
        <f>IF(P32&gt;0, N32/P32, 0)</f>
        <v/>
      </c>
      <c r="R32" s="37" t="n">
        <v>50</v>
      </c>
      <c r="S32" s="37" t="n">
        <v>196</v>
      </c>
      <c r="T32" s="16">
        <f>S32*$E$4</f>
        <v/>
      </c>
      <c r="U32" s="20">
        <f>IF(T32&gt;0, R32/T32, 0)</f>
        <v/>
      </c>
      <c r="V32" s="37" t="n">
        <v>0</v>
      </c>
      <c r="W32" s="37" t="n">
        <v>154</v>
      </c>
      <c r="X32" s="16">
        <f>W32*$E$4</f>
        <v/>
      </c>
      <c r="Y32" s="20">
        <f>IF(X32&gt;0, V32/X32, 0)</f>
        <v/>
      </c>
      <c r="Z32" s="37" t="n">
        <v>50</v>
      </c>
      <c r="AA32" s="37" t="n">
        <v>98</v>
      </c>
      <c r="AB32" s="16">
        <f>AA32*$E$4</f>
        <v/>
      </c>
      <c r="AC32" s="20">
        <f>IF(AB32&gt;0, Z32/AB32, 0)</f>
        <v/>
      </c>
      <c r="AD32" s="37">
        <f>F32+J32+N32+R32+V32+Z32</f>
        <v/>
      </c>
      <c r="AE32" s="37">
        <f>G32+K32+O32+S32+W32+AA32</f>
        <v/>
      </c>
      <c r="AF32" s="16">
        <f>H32+L32+P32+T32+X32+AB32</f>
        <v/>
      </c>
      <c r="AG32" s="20">
        <f>IF(AF32&gt;0, AD32/AF32, 0)</f>
        <v/>
      </c>
    </row>
    <row r="33" ht="18.75" customHeight="1" s="46">
      <c r="A33" s="12" t="n">
        <v>7</v>
      </c>
      <c r="B33" s="12" t="inlineStr">
        <is>
          <t>BR-01</t>
        </is>
      </c>
      <c r="C33" s="13" t="inlineStr">
        <is>
          <t>BARREDORA INDUSTRIAL BROCE BROOM-350</t>
        </is>
      </c>
      <c r="D33" s="13" t="inlineStr">
        <is>
          <t>EDGAR ROSALES MARTINEZ</t>
        </is>
      </c>
      <c r="E33" s="13" t="inlineStr">
        <is>
          <t>Limpieza y Barrido Previo</t>
        </is>
      </c>
      <c r="F33" s="37" t="n">
        <v>0</v>
      </c>
      <c r="G33" s="37" t="n">
        <v>98</v>
      </c>
      <c r="H33" s="16">
        <f>G33*$E$4</f>
        <v/>
      </c>
      <c r="I33" s="20">
        <f>IF(H33&gt;0, F33/H33, 0)</f>
        <v/>
      </c>
      <c r="J33" s="37" t="n">
        <v>40</v>
      </c>
      <c r="K33" s="37" t="n">
        <v>182</v>
      </c>
      <c r="L33" s="16">
        <f>K33*$E$4</f>
        <v/>
      </c>
      <c r="M33" s="20">
        <f>IF(L33&gt;0, J33/L33, 0)</f>
        <v/>
      </c>
      <c r="N33" s="37" t="n">
        <v>0</v>
      </c>
      <c r="O33" s="37" t="n">
        <v>266</v>
      </c>
      <c r="P33" s="16">
        <f>O33*$E$4</f>
        <v/>
      </c>
      <c r="Q33" s="20">
        <f>IF(P33&gt;0, N33/P33, 0)</f>
        <v/>
      </c>
      <c r="R33" s="37" t="n">
        <v>18</v>
      </c>
      <c r="S33" s="37" t="n">
        <v>196</v>
      </c>
      <c r="T33" s="16">
        <f>S33*$E$4</f>
        <v/>
      </c>
      <c r="U33" s="20">
        <f>IF(T33&gt;0, R33/T33, 0)</f>
        <v/>
      </c>
      <c r="V33" s="37" t="n">
        <v>0</v>
      </c>
      <c r="W33" s="37" t="n">
        <v>154</v>
      </c>
      <c r="X33" s="16">
        <f>W33*$E$4</f>
        <v/>
      </c>
      <c r="Y33" s="20">
        <f>IF(X33&gt;0, V33/X33, 0)</f>
        <v/>
      </c>
      <c r="Z33" s="37" t="n">
        <v>15</v>
      </c>
      <c r="AA33" s="37" t="n">
        <v>98</v>
      </c>
      <c r="AB33" s="16">
        <f>AA33*$E$4</f>
        <v/>
      </c>
      <c r="AC33" s="20">
        <f>IF(AB33&gt;0, Z33/AB33, 0)</f>
        <v/>
      </c>
      <c r="AD33" s="37">
        <f>F33+J33+N33+R33+V33+Z33</f>
        <v/>
      </c>
      <c r="AE33" s="37">
        <f>G33+K33+O33+S33+W33+AA33</f>
        <v/>
      </c>
      <c r="AF33" s="16">
        <f>H33+L33+P33+T33+X33+AB33</f>
        <v/>
      </c>
      <c r="AG33" s="20">
        <f>IF(AF33&gt;0, AD33/AF33, 0)</f>
        <v/>
      </c>
    </row>
    <row r="34" ht="18.75" customHeight="1" s="46">
      <c r="A34" s="12" t="n">
        <v>8</v>
      </c>
      <c r="B34" s="12" t="inlineStr">
        <is>
          <t>RT-05</t>
        </is>
      </c>
      <c r="C34" s="13" t="inlineStr">
        <is>
          <t>RETROEXCAVADORA JOHN DEERE 310SK</t>
        </is>
      </c>
      <c r="D34" s="13" t="inlineStr">
        <is>
          <t>ADOLFO NAVA LOPEZ</t>
        </is>
      </c>
      <c r="E34" s="13" t="inlineStr">
        <is>
          <t>Carga Fresado y Derrumbes</t>
        </is>
      </c>
      <c r="F34" s="37" t="n">
        <v>40</v>
      </c>
      <c r="G34" s="37" t="n">
        <v>7</v>
      </c>
      <c r="H34" s="16">
        <f>G34*$E$4</f>
        <v/>
      </c>
      <c r="I34" s="20">
        <f>IF(G34&gt;0, F34/G34, 0)</f>
        <v/>
      </c>
      <c r="J34" s="37" t="n">
        <v>80</v>
      </c>
      <c r="K34" s="37" t="n">
        <v>7</v>
      </c>
      <c r="L34" s="16">
        <f>K34*$E$4</f>
        <v/>
      </c>
      <c r="M34" s="20">
        <f>IF(K34&gt;0, J34/K34, 0)</f>
        <v/>
      </c>
      <c r="N34" s="37" t="n">
        <v>0</v>
      </c>
      <c r="O34" s="37" t="n">
        <v>7</v>
      </c>
      <c r="P34" s="16">
        <f>O34*$E$4</f>
        <v/>
      </c>
      <c r="Q34" s="20">
        <f>IF(O34&gt;0, N34/O34, 0)</f>
        <v/>
      </c>
      <c r="R34" s="37" t="n">
        <v>80</v>
      </c>
      <c r="S34" s="37" t="n">
        <v>7</v>
      </c>
      <c r="T34" s="16">
        <f>S34*$E$4</f>
        <v/>
      </c>
      <c r="U34" s="20">
        <f>IF(S34&gt;0, R34/S34, 0)</f>
        <v/>
      </c>
      <c r="V34" s="37" t="n">
        <v>0</v>
      </c>
      <c r="W34" s="37" t="n">
        <v>7</v>
      </c>
      <c r="X34" s="16">
        <f>W34*$E$4</f>
        <v/>
      </c>
      <c r="Y34" s="20">
        <f>IF(W34&gt;0, V34/W34, 0)</f>
        <v/>
      </c>
      <c r="Z34" s="37" t="n">
        <v>60</v>
      </c>
      <c r="AA34" s="37" t="n">
        <v>7</v>
      </c>
      <c r="AB34" s="16">
        <f>AA34*$E$4</f>
        <v/>
      </c>
      <c r="AC34" s="20">
        <f>IF(AA34&gt;0, Z34/AA34, 0)</f>
        <v/>
      </c>
      <c r="AD34" s="37">
        <f>F34+J34+N34+R34+V34+Z34</f>
        <v/>
      </c>
      <c r="AE34" s="37">
        <f>G34+K34+O34+S34+W34+AA34</f>
        <v/>
      </c>
      <c r="AF34" s="16">
        <f>H34+L34+P34+T34+X34+AB34</f>
        <v/>
      </c>
      <c r="AG34" s="20">
        <f>IF(AE34&gt;0, AD34/AE34, 0)</f>
        <v/>
      </c>
    </row>
    <row r="35" ht="18.75" customHeight="1" s="46">
      <c r="A35" s="12" t="n">
        <v>9</v>
      </c>
      <c r="B35" s="12" t="inlineStr">
        <is>
          <t>PT-01</t>
        </is>
      </c>
      <c r="C35" s="13" t="inlineStr">
        <is>
          <t>PETROLIZADORA INTERNATIONAL / FORD F800</t>
        </is>
      </c>
      <c r="D35" s="13" t="inlineStr">
        <is>
          <t>ELTHON EDUARDO MARTINEZ GOMORA</t>
        </is>
      </c>
      <c r="E35" s="13" t="inlineStr">
        <is>
          <t>Riego de Liga / Emulsión</t>
        </is>
      </c>
      <c r="F35" s="37" t="n">
        <v>0</v>
      </c>
      <c r="G35" s="37" t="n">
        <v>98</v>
      </c>
      <c r="H35" s="16">
        <f>G35*$E$4</f>
        <v/>
      </c>
      <c r="I35" s="20">
        <f>IF(H35&gt;0, F35/H35, 0)</f>
        <v/>
      </c>
      <c r="J35" s="37" t="n">
        <v>30</v>
      </c>
      <c r="K35" s="37" t="n">
        <v>182</v>
      </c>
      <c r="L35" s="16">
        <f>K35*$E$4</f>
        <v/>
      </c>
      <c r="M35" s="20">
        <f>IF(L35&gt;0, J35/L35, 0)</f>
        <v/>
      </c>
      <c r="N35" s="37" t="n">
        <v>0</v>
      </c>
      <c r="O35" s="37" t="n">
        <v>266</v>
      </c>
      <c r="P35" s="16">
        <f>O35*$E$4</f>
        <v/>
      </c>
      <c r="Q35" s="20">
        <f>IF(P35&gt;0, N35/P35, 0)</f>
        <v/>
      </c>
      <c r="R35" s="37" t="n">
        <v>0</v>
      </c>
      <c r="S35" s="37" t="n">
        <v>196</v>
      </c>
      <c r="T35" s="16">
        <f>S35*$E$4</f>
        <v/>
      </c>
      <c r="U35" s="20">
        <f>IF(T35&gt;0, R35/T35, 0)</f>
        <v/>
      </c>
      <c r="V35" s="37" t="n">
        <v>0</v>
      </c>
      <c r="W35" s="37" t="n">
        <v>154</v>
      </c>
      <c r="X35" s="16">
        <f>W35*$E$4</f>
        <v/>
      </c>
      <c r="Y35" s="20">
        <f>IF(X35&gt;0, V35/X35, 0)</f>
        <v/>
      </c>
      <c r="Z35" s="37" t="n">
        <v>0</v>
      </c>
      <c r="AA35" s="37" t="n">
        <v>98</v>
      </c>
      <c r="AB35" s="16">
        <f>AA35*$E$4</f>
        <v/>
      </c>
      <c r="AC35" s="20">
        <f>IF(AB35&gt;0, Z35/AB35, 0)</f>
        <v/>
      </c>
      <c r="AD35" s="37">
        <f>F35+J35+N35+R35+V35+Z35</f>
        <v/>
      </c>
      <c r="AE35" s="37">
        <f>G35+K35+O35+S35+W35+AA35</f>
        <v/>
      </c>
      <c r="AF35" s="16">
        <f>H35+L35+P35+T35+X35+AB35</f>
        <v/>
      </c>
      <c r="AG35" s="20">
        <f>IF(AF35&gt;0, AD35/AF35, 0)</f>
        <v/>
      </c>
    </row>
    <row r="36" ht="18.75" customHeight="1" s="46">
      <c r="A36" s="12" t="n">
        <v>10</v>
      </c>
      <c r="B36" s="12" t="inlineStr">
        <is>
          <t>CPR-01</t>
        </is>
      </c>
      <c r="C36" s="13" t="inlineStr">
        <is>
          <t>COMPRESOR DE AIRE INGERSOLL RAND IR185</t>
        </is>
      </c>
      <c r="D36" s="13" t="inlineStr">
        <is>
          <t>CUADRILLA DE LIMPIEZA</t>
        </is>
      </c>
      <c r="E36" s="13" t="inlineStr">
        <is>
          <t>Sopleteado de Juntas</t>
        </is>
      </c>
      <c r="F36" s="37" t="n">
        <v>0</v>
      </c>
      <c r="G36" s="37" t="n">
        <v>0</v>
      </c>
      <c r="H36" s="16">
        <f>G36*$E$4</f>
        <v/>
      </c>
      <c r="I36" s="20">
        <f>IF(H36&gt;0, F36/H36, 0)</f>
        <v/>
      </c>
      <c r="J36" s="37" t="n">
        <v>0</v>
      </c>
      <c r="K36" s="37" t="n">
        <v>0</v>
      </c>
      <c r="L36" s="16">
        <f>K36*$E$4</f>
        <v/>
      </c>
      <c r="M36" s="20">
        <f>IF(L36&gt;0, J36/L36, 0)</f>
        <v/>
      </c>
      <c r="N36" s="37" t="n">
        <v>0</v>
      </c>
      <c r="O36" s="37" t="n">
        <v>0</v>
      </c>
      <c r="P36" s="16">
        <f>O36*$E$4</f>
        <v/>
      </c>
      <c r="Q36" s="20">
        <f>IF(P36&gt;0, N36/P36, 0)</f>
        <v/>
      </c>
      <c r="R36" s="37" t="n">
        <v>0</v>
      </c>
      <c r="S36" s="37" t="n">
        <v>0</v>
      </c>
      <c r="T36" s="16">
        <f>S36*$E$4</f>
        <v/>
      </c>
      <c r="U36" s="20">
        <f>IF(T36&gt;0, R36/T36, 0)</f>
        <v/>
      </c>
      <c r="V36" s="37" t="n">
        <v>0</v>
      </c>
      <c r="W36" s="37" t="n">
        <v>0</v>
      </c>
      <c r="X36" s="16">
        <f>W36*$E$4</f>
        <v/>
      </c>
      <c r="Y36" s="20">
        <f>IF(X36&gt;0, V36/X36, 0)</f>
        <v/>
      </c>
      <c r="Z36" s="37" t="n">
        <v>0</v>
      </c>
      <c r="AA36" s="37" t="n">
        <v>0</v>
      </c>
      <c r="AB36" s="16">
        <f>AA36*$E$4</f>
        <v/>
      </c>
      <c r="AC36" s="20">
        <f>IF(AB36&gt;0, Z36/AB36, 0)</f>
        <v/>
      </c>
      <c r="AD36" s="37">
        <f>F36+J36+N36+R36+V36+Z36</f>
        <v/>
      </c>
      <c r="AE36" s="37">
        <f>G36+K36+O36+S36+W36+AA36</f>
        <v/>
      </c>
      <c r="AF36" s="16">
        <f>H36+L36+P36+T36+X36+AB36</f>
        <v/>
      </c>
      <c r="AG36" s="20">
        <f>IF(AF36&gt;0, AD36/AF36, 0)</f>
        <v/>
      </c>
    </row>
    <row r="37" ht="18.75" customHeight="1" s="46">
      <c r="A37" s="12" t="n">
        <v>11</v>
      </c>
      <c r="B37" s="12" t="inlineStr">
        <is>
          <t>PP-01</t>
        </is>
      </c>
      <c r="C37" s="13" t="inlineStr">
        <is>
          <t>CAMIÓN IMPACTO / PIPA DE AGUA FORD</t>
        </is>
      </c>
      <c r="D37" s="13" t="inlineStr">
        <is>
          <t>CUADRILLA DE AGUA</t>
        </is>
      </c>
      <c r="E37" s="13" t="inlineStr">
        <is>
          <t>Enfriamiento Rodillos / Riego</t>
        </is>
      </c>
      <c r="F37" s="37" t="n">
        <v>0</v>
      </c>
      <c r="G37" s="37" t="n">
        <v>0</v>
      </c>
      <c r="H37" s="16">
        <f>G37*$E$4</f>
        <v/>
      </c>
      <c r="I37" s="20">
        <f>IF(H37&gt;0, F37/H37, 0)</f>
        <v/>
      </c>
      <c r="J37" s="37" t="n">
        <v>0</v>
      </c>
      <c r="K37" s="37" t="n">
        <v>0</v>
      </c>
      <c r="L37" s="16">
        <f>K37*$E$4</f>
        <v/>
      </c>
      <c r="M37" s="20">
        <f>IF(L37&gt;0, J37/L37, 0)</f>
        <v/>
      </c>
      <c r="N37" s="37" t="n">
        <v>0</v>
      </c>
      <c r="O37" s="37" t="n">
        <v>0</v>
      </c>
      <c r="P37" s="16">
        <f>O37*$E$4</f>
        <v/>
      </c>
      <c r="Q37" s="20">
        <f>IF(P37&gt;0, N37/P37, 0)</f>
        <v/>
      </c>
      <c r="R37" s="37" t="n">
        <v>0</v>
      </c>
      <c r="S37" s="37" t="n">
        <v>0</v>
      </c>
      <c r="T37" s="16">
        <f>S37*$E$4</f>
        <v/>
      </c>
      <c r="U37" s="20">
        <f>IF(T37&gt;0, R37/T37, 0)</f>
        <v/>
      </c>
      <c r="V37" s="37" t="n">
        <v>0</v>
      </c>
      <c r="W37" s="37" t="n">
        <v>0</v>
      </c>
      <c r="X37" s="16">
        <f>W37*$E$4</f>
        <v/>
      </c>
      <c r="Y37" s="20">
        <f>IF(X37&gt;0, V37/X37, 0)</f>
        <v/>
      </c>
      <c r="Z37" s="37" t="n">
        <v>0</v>
      </c>
      <c r="AA37" s="37" t="n">
        <v>0</v>
      </c>
      <c r="AB37" s="16">
        <f>AA37*$E$4</f>
        <v/>
      </c>
      <c r="AC37" s="20">
        <f>IF(AB37&gt;0, Z37/AB37, 0)</f>
        <v/>
      </c>
      <c r="AD37" s="37">
        <f>F37+J37+N37+R37+V37+Z37</f>
        <v/>
      </c>
      <c r="AE37" s="37">
        <f>G37+K37+O37+S37+W37+AA37</f>
        <v/>
      </c>
      <c r="AF37" s="16">
        <f>H37+L37+P37+T37+X37+AB37</f>
        <v/>
      </c>
      <c r="AG37" s="20">
        <f>IF(AF37&gt;0, AD37/AF37, 0)</f>
        <v/>
      </c>
    </row>
    <row r="38" ht="18.75" customHeight="1" s="46">
      <c r="A38" s="12" t="n">
        <v>12</v>
      </c>
      <c r="B38" s="12" t="inlineStr">
        <is>
          <t>TL-01</t>
        </is>
      </c>
      <c r="C38" s="13" t="inlineStr">
        <is>
          <t>TORRE DE LUZ MAXILIGHT 4X1000W</t>
        </is>
      </c>
      <c r="D38" s="13" t="inlineStr">
        <is>
          <t>CUADRILLA NOCTURNA</t>
        </is>
      </c>
      <c r="E38" s="13" t="inlineStr">
        <is>
          <t>Iluminación Nocturna</t>
        </is>
      </c>
      <c r="F38" s="37" t="n">
        <v>0</v>
      </c>
      <c r="G38" s="37" t="n">
        <v>0</v>
      </c>
      <c r="H38" s="16">
        <f>G38*$E$4</f>
        <v/>
      </c>
      <c r="I38" s="20">
        <f>IF(H38&gt;0, F38/H38, 0)</f>
        <v/>
      </c>
      <c r="J38" s="37" t="n">
        <v>0</v>
      </c>
      <c r="K38" s="37" t="n">
        <v>0</v>
      </c>
      <c r="L38" s="16">
        <f>K38*$E$4</f>
        <v/>
      </c>
      <c r="M38" s="20">
        <f>IF(L38&gt;0, J38/L38, 0)</f>
        <v/>
      </c>
      <c r="N38" s="37" t="n">
        <v>0</v>
      </c>
      <c r="O38" s="37" t="n">
        <v>0</v>
      </c>
      <c r="P38" s="16">
        <f>O38*$E$4</f>
        <v/>
      </c>
      <c r="Q38" s="20">
        <f>IF(P38&gt;0, N38/P38, 0)</f>
        <v/>
      </c>
      <c r="R38" s="37" t="n">
        <v>0</v>
      </c>
      <c r="S38" s="37" t="n">
        <v>0</v>
      </c>
      <c r="T38" s="16">
        <f>S38*$E$4</f>
        <v/>
      </c>
      <c r="U38" s="20">
        <f>IF(T38&gt;0, R38/T38, 0)</f>
        <v/>
      </c>
      <c r="V38" s="37" t="n">
        <v>0</v>
      </c>
      <c r="W38" s="37" t="n">
        <v>0</v>
      </c>
      <c r="X38" s="16">
        <f>W38*$E$4</f>
        <v/>
      </c>
      <c r="Y38" s="20">
        <f>IF(X38&gt;0, V38/X38, 0)</f>
        <v/>
      </c>
      <c r="Z38" s="37" t="n">
        <v>0</v>
      </c>
      <c r="AA38" s="37" t="n">
        <v>0</v>
      </c>
      <c r="AB38" s="16">
        <f>AA38*$E$4</f>
        <v/>
      </c>
      <c r="AC38" s="20">
        <f>IF(AB38&gt;0, Z38/AB38, 0)</f>
        <v/>
      </c>
      <c r="AD38" s="37">
        <f>F38+J38+N38+R38+V38+Z38</f>
        <v/>
      </c>
      <c r="AE38" s="37">
        <f>G38+K38+O38+S38+W38+AA38</f>
        <v/>
      </c>
      <c r="AF38" s="16">
        <f>H38+L38+P38+T38+X38+AB38</f>
        <v/>
      </c>
      <c r="AG38" s="20">
        <f>IF(AF38&gt;0, AD38/AF38, 0)</f>
        <v/>
      </c>
    </row>
    <row r="39" ht="21.75" customHeight="1" s="46">
      <c r="A39" s="30" t="inlineStr">
        <is>
          <t>TOTAL DIARIO CONSOLIDADO (OBRA MÉXICO-TOLUCA)</t>
        </is>
      </c>
      <c r="B39" s="50" t="n"/>
      <c r="C39" s="50" t="n"/>
      <c r="D39" s="50" t="n"/>
      <c r="E39" s="51" t="n"/>
      <c r="F39" s="27">
        <f>SUM(F27:F38)</f>
        <v/>
      </c>
      <c r="G39" s="27">
        <f>MAX(G27:G38)</f>
        <v/>
      </c>
      <c r="H39" s="28">
        <f>H39*$E$4</f>
        <v/>
      </c>
      <c r="I39" s="29">
        <f>IF(H39&gt;0, F39/H39, 0)</f>
        <v/>
      </c>
      <c r="J39" s="27">
        <f>SUM(J27:J38)</f>
        <v/>
      </c>
      <c r="K39" s="27">
        <f>MAX(K27:K38)</f>
        <v/>
      </c>
      <c r="L39" s="28">
        <f>L39*$E$4</f>
        <v/>
      </c>
      <c r="M39" s="29">
        <f>IF(L39&gt;0, J39/L39, 0)</f>
        <v/>
      </c>
      <c r="N39" s="27">
        <f>SUM(N27:N38)</f>
        <v/>
      </c>
      <c r="O39" s="27">
        <f>MAX(O27:O38)</f>
        <v/>
      </c>
      <c r="P39" s="28">
        <f>P39*$E$4</f>
        <v/>
      </c>
      <c r="Q39" s="29">
        <f>IF(P39&gt;0, N39/P39, 0)</f>
        <v/>
      </c>
      <c r="R39" s="27">
        <f>SUM(R27:R38)</f>
        <v/>
      </c>
      <c r="S39" s="27">
        <f>MAX(S27:S38)</f>
        <v/>
      </c>
      <c r="T39" s="28">
        <f>T39*$E$4</f>
        <v/>
      </c>
      <c r="U39" s="29">
        <f>IF(T39&gt;0, R39/T39, 0)</f>
        <v/>
      </c>
      <c r="V39" s="27">
        <f>SUM(V27:V38)</f>
        <v/>
      </c>
      <c r="W39" s="27">
        <f>MAX(W27:W38)</f>
        <v/>
      </c>
      <c r="X39" s="28">
        <f>X39*$E$4</f>
        <v/>
      </c>
      <c r="Y39" s="29">
        <f>IF(X39&gt;0, V39/X39, 0)</f>
        <v/>
      </c>
      <c r="Z39" s="27">
        <f>SUM(Z27:Z38)</f>
        <v/>
      </c>
      <c r="AA39" s="27">
        <f>MAX(AA27:AA38)</f>
        <v/>
      </c>
      <c r="AB39" s="28">
        <f>AB39*$E$4</f>
        <v/>
      </c>
      <c r="AC39" s="29">
        <f>IF(AB39&gt;0, Z39/AB39, 0)</f>
        <v/>
      </c>
      <c r="AD39" s="27">
        <f>SUM(AD27:AD38)</f>
        <v/>
      </c>
      <c r="AE39" s="27">
        <f>MAX(AE27:AE38)</f>
        <v/>
      </c>
      <c r="AF39" s="28">
        <f>AE39*$E$4</f>
        <v/>
      </c>
      <c r="AG39" s="29">
        <f>IF(AF39&gt;0, AD39/AF39, 0)</f>
        <v/>
      </c>
    </row>
    <row r="40" ht="15.75" customHeight="1" s="46"/>
    <row r="41" ht="15.75" customHeight="1" s="46">
      <c r="A41" s="40" t="inlineStr">
        <is>
          <t>NOTA TÉCNICA Y CRITERIOS DE CONTROL DE RENDIMIENTO — OBRA MÉXICO-TOLUCA:
1. Peso Volumétrico Oficial del Asfalto: 1.742 Ton/m³ (Toneladas = m³ Carpeta × 1.742).
2. Rendimiento Base (L/h): Consumo nominal de fabricante ajustado con 1.2% anual de desgaste por antigüedad al 2026.
3. Rendimiento Real: Diésel Surtido / Toneladas Tendidas (L/Ton) o Diésel Surtido / Volumen Fresado (L/m³).
4. Estatus Operativo: DENTRO DE RENDIMIENTO BASE (Verde) / EXCEDE RENDIMIENTO BASE (Rojo) / SIN CONSUMO (Gris).</t>
        </is>
      </c>
    </row>
    <row r="42" ht="15.75" customHeight="1" s="46"/>
    <row r="43" ht="15.75" customHeight="1" s="46"/>
    <row r="44" ht="15.75" customHeight="1" s="46"/>
    <row r="45" ht="15.75" customHeight="1" s="46"/>
    <row r="46" ht="15.75" customHeight="1" s="46"/>
    <row r="47" ht="15.75" customHeight="1" s="46"/>
    <row r="48" ht="15.75" customHeight="1" s="46"/>
    <row r="49" ht="15.75" customHeight="1" s="46"/>
    <row r="50" ht="15.75" customHeight="1" s="46"/>
    <row r="51" ht="15.75" customHeight="1" s="46"/>
    <row r="52" ht="15.75" customHeight="1" s="46"/>
    <row r="53" ht="15.75" customHeight="1" s="46"/>
    <row r="54" ht="15.75" customHeight="1" s="46"/>
    <row r="55" ht="15.75" customHeight="1" s="46"/>
    <row r="56" ht="15.75" customHeight="1" s="46"/>
    <row r="57" ht="15.75" customHeight="1" s="46"/>
    <row r="58" ht="15.75" customHeight="1" s="46"/>
    <row r="59" ht="15.75" customHeight="1" s="46"/>
    <row r="60" ht="15.75" customHeight="1" s="46"/>
    <row r="61" ht="15.75" customHeight="1" s="46"/>
    <row r="62" ht="15.75" customHeight="1" s="46"/>
    <row r="63" ht="15.75" customHeight="1" s="46"/>
    <row r="64" ht="15.75" customHeight="1" s="46"/>
    <row r="65" ht="15.75" customHeight="1" s="46"/>
    <row r="66" ht="15.75" customHeight="1" s="46"/>
    <row r="67" ht="15.75" customHeight="1" s="46"/>
    <row r="68" ht="15.75" customHeight="1" s="46"/>
    <row r="69" ht="15.75" customHeight="1" s="46"/>
    <row r="70" ht="15.75" customHeight="1" s="46"/>
    <row r="71" ht="15.75" customHeight="1" s="46"/>
    <row r="72" ht="15.75" customHeight="1" s="46"/>
    <row r="73" ht="15.75" customHeight="1" s="46"/>
    <row r="74" ht="15.75" customHeight="1" s="46"/>
    <row r="75" ht="15.75" customHeight="1" s="46"/>
    <row r="76" ht="15.75" customHeight="1" s="46"/>
    <row r="77" ht="15.75" customHeight="1" s="46"/>
    <row r="78" ht="15.75" customHeight="1" s="46"/>
    <row r="79" ht="15.75" customHeight="1" s="46"/>
    <row r="80" ht="15.75" customHeight="1" s="46"/>
    <row r="81" ht="15.75" customHeight="1" s="46"/>
    <row r="82" ht="15.75" customHeight="1" s="46"/>
    <row r="83" ht="15.75" customHeight="1" s="46"/>
    <row r="84" ht="15.75" customHeight="1" s="46"/>
    <row r="85" ht="15.75" customHeight="1" s="46"/>
    <row r="86" ht="15.75" customHeight="1" s="46"/>
    <row r="87" ht="15.75" customHeight="1" s="46"/>
    <row r="88" ht="15.75" customHeight="1" s="46"/>
    <row r="89" ht="15.75" customHeight="1" s="46"/>
    <row r="90" ht="15.75" customHeight="1" s="46"/>
    <row r="91" ht="15.75" customHeight="1" s="46"/>
    <row r="92" ht="15.75" customHeight="1" s="46"/>
    <row r="93" ht="15.75" customHeight="1" s="46"/>
    <row r="94" ht="15.75" customHeight="1" s="46"/>
    <row r="95" ht="15.75" customHeight="1" s="46"/>
    <row r="96" ht="15.75" customHeight="1" s="46"/>
    <row r="97" ht="15.75" customHeight="1" s="46"/>
    <row r="98" ht="15.75" customHeight="1" s="46"/>
    <row r="99" ht="15.75" customHeight="1" s="46"/>
    <row r="100" ht="15.75" customHeight="1" s="46"/>
    <row r="101" ht="15.75" customHeight="1" s="46"/>
    <row r="102" ht="15.75" customHeight="1" s="46"/>
    <row r="103" ht="15.75" customHeight="1" s="46"/>
    <row r="104" ht="15.75" customHeight="1" s="46"/>
    <row r="105" ht="15.75" customHeight="1" s="46"/>
    <row r="106" ht="15.75" customHeight="1" s="46"/>
    <row r="107" ht="15.75" customHeight="1" s="46"/>
    <row r="108" ht="15.75" customHeight="1" s="46"/>
    <row r="109" ht="15.75" customHeight="1" s="46"/>
    <row r="110" ht="15.75" customHeight="1" s="46"/>
    <row r="111" ht="15.75" customHeight="1" s="46"/>
    <row r="112" ht="15.75" customHeight="1" s="46"/>
    <row r="113" ht="15.75" customHeight="1" s="46"/>
    <row r="114" ht="15.75" customHeight="1" s="46"/>
    <row r="115" ht="15.75" customHeight="1" s="46"/>
    <row r="116" ht="15.75" customHeight="1" s="46"/>
    <row r="117" ht="15.75" customHeight="1" s="46"/>
    <row r="118" ht="15.75" customHeight="1" s="46"/>
    <row r="119" ht="15.75" customHeight="1" s="46"/>
    <row r="120" ht="15.75" customHeight="1" s="46"/>
    <row r="121" ht="15.75" customHeight="1" s="46"/>
    <row r="122" ht="15.75" customHeight="1" s="46"/>
    <row r="123" ht="15.75" customHeight="1" s="46"/>
    <row r="124" ht="15.75" customHeight="1" s="46"/>
    <row r="125" ht="15.75" customHeight="1" s="46"/>
    <row r="126" ht="15.75" customHeight="1" s="46"/>
    <row r="127" ht="15.75" customHeight="1" s="46"/>
    <row r="128" ht="15.75" customHeight="1" s="46"/>
    <row r="129" ht="15.75" customHeight="1" s="46"/>
    <row r="130" ht="15.75" customHeight="1" s="46"/>
    <row r="131" ht="15.75" customHeight="1" s="46"/>
    <row r="132" ht="15.75" customHeight="1" s="46"/>
    <row r="133" ht="15.75" customHeight="1" s="46"/>
    <row r="134" ht="15.75" customHeight="1" s="46"/>
    <row r="135" ht="15.75" customHeight="1" s="46"/>
    <row r="136" ht="15.75" customHeight="1" s="46"/>
    <row r="137" ht="15.75" customHeight="1" s="46"/>
    <row r="138" ht="15.75" customHeight="1" s="46"/>
    <row r="139" ht="15.75" customHeight="1" s="46"/>
    <row r="140" ht="15.75" customHeight="1" s="46"/>
    <row r="141" ht="15.75" customHeight="1" s="46"/>
    <row r="142" ht="15.75" customHeight="1" s="46"/>
    <row r="143" ht="15.75" customHeight="1" s="46"/>
    <row r="144" ht="15.75" customHeight="1" s="46"/>
    <row r="145" ht="15.75" customHeight="1" s="46"/>
    <row r="146" ht="15.75" customHeight="1" s="46"/>
    <row r="147" ht="15.75" customHeight="1" s="46"/>
    <row r="148" ht="15.75" customHeight="1" s="46"/>
    <row r="149" ht="15.75" customHeight="1" s="46"/>
    <row r="150" ht="15.75" customHeight="1" s="46"/>
    <row r="151" ht="15.75" customHeight="1" s="46"/>
    <row r="152" ht="15.75" customHeight="1" s="46"/>
    <row r="153" ht="15.75" customHeight="1" s="46"/>
    <row r="154" ht="15.75" customHeight="1" s="46"/>
    <row r="155" ht="15.75" customHeight="1" s="46"/>
    <row r="156" ht="15.75" customHeight="1" s="46"/>
    <row r="157" ht="15.75" customHeight="1" s="46"/>
    <row r="158" ht="15.75" customHeight="1" s="46"/>
    <row r="159" ht="15.75" customHeight="1" s="46"/>
    <row r="160" ht="15.75" customHeight="1" s="46"/>
    <row r="161" ht="15.75" customHeight="1" s="46"/>
    <row r="162" ht="15.75" customHeight="1" s="46"/>
    <row r="163" ht="15.75" customHeight="1" s="46"/>
    <row r="164" ht="15.75" customHeight="1" s="46"/>
    <row r="165" ht="15.75" customHeight="1" s="46"/>
    <row r="166" ht="15.75" customHeight="1" s="46"/>
    <row r="167" ht="15.75" customHeight="1" s="46"/>
    <row r="168" ht="15.75" customHeight="1" s="46"/>
    <row r="169" ht="15.75" customHeight="1" s="46"/>
    <row r="170" ht="15.75" customHeight="1" s="46"/>
    <row r="171" ht="15.75" customHeight="1" s="46"/>
    <row r="172" ht="15.75" customHeight="1" s="46"/>
    <row r="173" ht="15.75" customHeight="1" s="46"/>
    <row r="174" ht="15.75" customHeight="1" s="46"/>
    <row r="175" ht="15.75" customHeight="1" s="46"/>
    <row r="176" ht="15.75" customHeight="1" s="46"/>
    <row r="177" ht="15.75" customHeight="1" s="46"/>
    <row r="178" ht="15.75" customHeight="1" s="46"/>
    <row r="179" ht="15.75" customHeight="1" s="46"/>
    <row r="180" ht="15.75" customHeight="1" s="46"/>
    <row r="181" ht="15.75" customHeight="1" s="46"/>
    <row r="182" ht="15.75" customHeight="1" s="46"/>
    <row r="183" ht="15.75" customHeight="1" s="46"/>
    <row r="184" ht="15.75" customHeight="1" s="46"/>
    <row r="185" ht="15.75" customHeight="1" s="46"/>
    <row r="186" ht="15.75" customHeight="1" s="46"/>
    <row r="187" ht="15.75" customHeight="1" s="46"/>
    <row r="188" ht="15.75" customHeight="1" s="46"/>
    <row r="189" ht="15.75" customHeight="1" s="46"/>
    <row r="190" ht="15.75" customHeight="1" s="46"/>
    <row r="191" ht="15.75" customHeight="1" s="46"/>
    <row r="192" ht="15.75" customHeight="1" s="46"/>
    <row r="193" ht="15.75" customHeight="1" s="46"/>
    <row r="194" ht="15.75" customHeight="1" s="46"/>
    <row r="195" ht="15.75" customHeight="1" s="46"/>
    <row r="196" ht="15.75" customHeight="1" s="46"/>
    <row r="197" ht="15.75" customHeight="1" s="46"/>
    <row r="198" ht="15.75" customHeight="1" s="46"/>
    <row r="199" ht="15.75" customHeight="1" s="46"/>
    <row r="200" ht="15.75" customHeight="1" s="46"/>
    <row r="201" ht="15.75" customHeight="1" s="46"/>
    <row r="202" ht="15.75" customHeight="1" s="46"/>
    <row r="203" ht="15.75" customHeight="1" s="46"/>
    <row r="204" ht="15.75" customHeight="1" s="46"/>
    <row r="205" ht="15.75" customHeight="1" s="46"/>
    <row r="206" ht="15.75" customHeight="1" s="46"/>
    <row r="207" ht="15.75" customHeight="1" s="46"/>
    <row r="208" ht="15.75" customHeight="1" s="46"/>
    <row r="209" ht="15.75" customHeight="1" s="46"/>
    <row r="210" ht="15.75" customHeight="1" s="46"/>
    <row r="211" ht="15.75" customHeight="1" s="46"/>
    <row r="212" ht="15.75" customHeight="1" s="46"/>
    <row r="213" ht="15.75" customHeight="1" s="46"/>
    <row r="214" ht="15.75" customHeight="1" s="46"/>
    <row r="215" ht="15.75" customHeight="1" s="46"/>
    <row r="216" ht="15.75" customHeight="1" s="46"/>
    <row r="217" ht="15.75" customHeight="1" s="46"/>
    <row r="218" ht="15.75" customHeight="1" s="46"/>
    <row r="219" ht="15.75" customHeight="1" s="46"/>
    <row r="220" ht="15.75" customHeight="1" s="46"/>
    <row r="221" ht="15.75" customHeight="1" s="46"/>
    <row r="222" ht="15.75" customHeight="1" s="46"/>
    <row r="223" ht="15.75" customHeight="1" s="46"/>
    <row r="224" ht="15.75" customHeight="1" s="46"/>
    <row r="225" ht="15.75" customHeight="1" s="46"/>
    <row r="226" ht="15.75" customHeight="1" s="46"/>
    <row r="227" ht="15.75" customHeight="1" s="46"/>
    <row r="228" ht="15.75" customHeight="1" s="46"/>
    <row r="229" ht="15.75" customHeight="1" s="46"/>
    <row r="230" ht="15.75" customHeight="1" s="46"/>
    <row r="231" ht="15.75" customHeight="1" s="46"/>
    <row r="232" ht="15.75" customHeight="1" s="46"/>
    <row r="233" ht="15.75" customHeight="1" s="46"/>
    <row r="234" ht="15.75" customHeight="1" s="46"/>
    <row r="235" ht="15.75" customHeight="1" s="46"/>
    <row r="236" ht="15.75" customHeight="1" s="46"/>
    <row r="237" ht="15.75" customHeight="1" s="46"/>
    <row r="238" ht="15.75" customHeight="1" s="46"/>
    <row r="239" ht="15.75" customHeight="1" s="46"/>
    <row r="240" ht="15.75" customHeight="1" s="46"/>
    <row r="241" ht="15.75" customHeight="1" s="46"/>
    <row r="242" ht="15.75" customHeight="1" s="46"/>
    <row r="243" ht="15.75" customHeight="1" s="46"/>
    <row r="244" ht="15.75" customHeight="1" s="46"/>
    <row r="245" ht="15.75" customHeight="1" s="46"/>
    <row r="246" ht="15.75" customHeight="1" s="46"/>
    <row r="247" ht="15.75" customHeight="1" s="46"/>
    <row r="248" ht="15.75" customHeight="1" s="46"/>
    <row r="249" ht="15.75" customHeight="1" s="46"/>
    <row r="250" ht="15.75" customHeight="1" s="46"/>
    <row r="251" ht="15.75" customHeight="1" s="46"/>
    <row r="252" ht="15.75" customHeight="1" s="46"/>
    <row r="253" ht="15.75" customHeight="1" s="46"/>
    <row r="254" ht="15.75" customHeight="1" s="46"/>
    <row r="255" ht="15.75" customHeight="1" s="46"/>
    <row r="256" ht="15.75" customHeight="1" s="46"/>
    <row r="257" ht="15.75" customHeight="1" s="46"/>
    <row r="258" ht="15.75" customHeight="1" s="46"/>
    <row r="259" ht="15.75" customHeight="1" s="46"/>
    <row r="260" ht="15.75" customHeight="1" s="46"/>
    <row r="261" ht="15.75" customHeight="1" s="46"/>
    <row r="262" ht="15.75" customHeight="1" s="46"/>
    <row r="263" ht="15.75" customHeight="1" s="46"/>
    <row r="264" ht="15.75" customHeight="1" s="46"/>
    <row r="265" ht="15.75" customHeight="1" s="46"/>
    <row r="266" ht="15.75" customHeight="1" s="46"/>
    <row r="267" ht="15.75" customHeight="1" s="46"/>
    <row r="268" ht="15.75" customHeight="1" s="46"/>
    <row r="269" ht="15.75" customHeight="1" s="46"/>
    <row r="270" ht="15.75" customHeight="1" s="46"/>
    <row r="271" ht="15.75" customHeight="1" s="46"/>
    <row r="272" ht="15.75" customHeight="1" s="46"/>
    <row r="273" ht="15.75" customHeight="1" s="46"/>
    <row r="274" ht="15.75" customHeight="1" s="46"/>
    <row r="275" ht="15.75" customHeight="1" s="46"/>
    <row r="276" ht="15.75" customHeight="1" s="46"/>
    <row r="277" ht="15.75" customHeight="1" s="46"/>
    <row r="278" ht="15.75" customHeight="1" s="46"/>
    <row r="279" ht="15.75" customHeight="1" s="46"/>
    <row r="280" ht="15.75" customHeight="1" s="46"/>
    <row r="281" ht="15.75" customHeight="1" s="46"/>
    <row r="282" ht="15.75" customHeight="1" s="46"/>
    <row r="283" ht="15.75" customHeight="1" s="46"/>
    <row r="284" ht="15.75" customHeight="1" s="46"/>
    <row r="285" ht="15.75" customHeight="1" s="46"/>
    <row r="286" ht="15.75" customHeight="1" s="46"/>
    <row r="287" ht="15.75" customHeight="1" s="46"/>
    <row r="288" ht="15.75" customHeight="1" s="46"/>
    <row r="289" ht="15.75" customHeight="1" s="46"/>
    <row r="290" ht="15.75" customHeight="1" s="46"/>
    <row r="291" ht="15.75" customHeight="1" s="46"/>
    <row r="292" ht="15.75" customHeight="1" s="46"/>
    <row r="293" ht="15.75" customHeight="1" s="46"/>
    <row r="294" ht="15.75" customHeight="1" s="46"/>
    <row r="295" ht="15.75" customHeight="1" s="46"/>
    <row r="296" ht="15.75" customHeight="1" s="46"/>
    <row r="297" ht="15.75" customHeight="1" s="46"/>
    <row r="298" ht="15.75" customHeight="1" s="46"/>
    <row r="299" ht="15.75" customHeight="1" s="46"/>
    <row r="300" ht="15.75" customHeight="1" s="46"/>
    <row r="301" ht="15.75" customHeight="1" s="46"/>
    <row r="302" ht="15.75" customHeight="1" s="46"/>
    <row r="303" ht="15.75" customHeight="1" s="46"/>
    <row r="304" ht="15.75" customHeight="1" s="46"/>
    <row r="305" ht="15.75" customHeight="1" s="46"/>
    <row r="306" ht="15.75" customHeight="1" s="46"/>
    <row r="307" ht="15.75" customHeight="1" s="46"/>
    <row r="308" ht="15.75" customHeight="1" s="46"/>
    <row r="309" ht="15.75" customHeight="1" s="46"/>
    <row r="310" ht="15.75" customHeight="1" s="46"/>
    <row r="311" ht="15.75" customHeight="1" s="46"/>
    <row r="312" ht="15.75" customHeight="1" s="46"/>
    <row r="313" ht="15.75" customHeight="1" s="46"/>
    <row r="314" ht="15.75" customHeight="1" s="46"/>
    <row r="315" ht="15.75" customHeight="1" s="46"/>
    <row r="316" ht="15.75" customHeight="1" s="46"/>
    <row r="317" ht="15.75" customHeight="1" s="46"/>
    <row r="318" ht="15.75" customHeight="1" s="46"/>
    <row r="319" ht="15.75" customHeight="1" s="46"/>
    <row r="320" ht="15.75" customHeight="1" s="46"/>
    <row r="321" ht="15.75" customHeight="1" s="46"/>
    <row r="322" ht="15.75" customHeight="1" s="46"/>
    <row r="323" ht="15.75" customHeight="1" s="46"/>
    <row r="324" ht="15.75" customHeight="1" s="46"/>
    <row r="325" ht="15.75" customHeight="1" s="46"/>
    <row r="326" ht="15.75" customHeight="1" s="46"/>
    <row r="327" ht="15.75" customHeight="1" s="46"/>
    <row r="328" ht="15.75" customHeight="1" s="46"/>
    <row r="329" ht="15.75" customHeight="1" s="46"/>
    <row r="330" ht="15.75" customHeight="1" s="46"/>
    <row r="331" ht="15.75" customHeight="1" s="46"/>
    <row r="332" ht="15.75" customHeight="1" s="46"/>
    <row r="333" ht="15.75" customHeight="1" s="46"/>
    <row r="334" ht="15.75" customHeight="1" s="46"/>
    <row r="335" ht="15.75" customHeight="1" s="46"/>
    <row r="336" ht="15.75" customHeight="1" s="46"/>
    <row r="337" ht="15.75" customHeight="1" s="46"/>
    <row r="338" ht="15.75" customHeight="1" s="46"/>
    <row r="339" ht="15.75" customHeight="1" s="46"/>
    <row r="340" ht="15.75" customHeight="1" s="46"/>
    <row r="341" ht="15.75" customHeight="1" s="46"/>
    <row r="342" ht="15.75" customHeight="1" s="46"/>
    <row r="343" ht="15.75" customHeight="1" s="46"/>
    <row r="344" ht="15.75" customHeight="1" s="46"/>
    <row r="345" ht="15.75" customHeight="1" s="46"/>
    <row r="346" ht="15.75" customHeight="1" s="46"/>
    <row r="347" ht="15.75" customHeight="1" s="46"/>
    <row r="348" ht="15.75" customHeight="1" s="46"/>
    <row r="349" ht="15.75" customHeight="1" s="46"/>
    <row r="350" ht="15.75" customHeight="1" s="46"/>
    <row r="351" ht="15.75" customHeight="1" s="46"/>
    <row r="352" ht="15.75" customHeight="1" s="46"/>
    <row r="353" ht="15.75" customHeight="1" s="46"/>
    <row r="354" ht="15.75" customHeight="1" s="46"/>
    <row r="355" ht="15.75" customHeight="1" s="46"/>
    <row r="356" ht="15.75" customHeight="1" s="46"/>
    <row r="357" ht="15.75" customHeight="1" s="46"/>
    <row r="358" ht="15.75" customHeight="1" s="46"/>
    <row r="359" ht="15.75" customHeight="1" s="46"/>
    <row r="360" ht="15.75" customHeight="1" s="46"/>
    <row r="361" ht="15.75" customHeight="1" s="46"/>
    <row r="362" ht="15.75" customHeight="1" s="46"/>
    <row r="363" ht="15.75" customHeight="1" s="46"/>
    <row r="364" ht="15.75" customHeight="1" s="46"/>
    <row r="365" ht="15.75" customHeight="1" s="46"/>
    <row r="366" ht="15.75" customHeight="1" s="46"/>
    <row r="367" ht="15.75" customHeight="1" s="46"/>
    <row r="368" ht="15.75" customHeight="1" s="46"/>
    <row r="369" ht="15.75" customHeight="1" s="46"/>
    <row r="370" ht="15.75" customHeight="1" s="46"/>
    <row r="371" ht="15.75" customHeight="1" s="46"/>
    <row r="372" ht="15.75" customHeight="1" s="46"/>
    <row r="373" ht="15.75" customHeight="1" s="46"/>
    <row r="374" ht="15.75" customHeight="1" s="46"/>
    <row r="375" ht="15.75" customHeight="1" s="46"/>
    <row r="376" ht="15.75" customHeight="1" s="46"/>
    <row r="377" ht="15.75" customHeight="1" s="46"/>
    <row r="378" ht="15.75" customHeight="1" s="46"/>
    <row r="379" ht="15.75" customHeight="1" s="46"/>
    <row r="380" ht="15.75" customHeight="1" s="46"/>
    <row r="381" ht="15.75" customHeight="1" s="46"/>
    <row r="382" ht="15.75" customHeight="1" s="46"/>
    <row r="383" ht="15.75" customHeight="1" s="46"/>
    <row r="384" ht="15.75" customHeight="1" s="46"/>
    <row r="385" ht="15.75" customHeight="1" s="46"/>
    <row r="386" ht="15.75" customHeight="1" s="46"/>
    <row r="387" ht="15.75" customHeight="1" s="46"/>
    <row r="388" ht="15.75" customHeight="1" s="46"/>
    <row r="389" ht="15.75" customHeight="1" s="46"/>
    <row r="390" ht="15.75" customHeight="1" s="46"/>
    <row r="391" ht="15.75" customHeight="1" s="46"/>
    <row r="392" ht="15.75" customHeight="1" s="46"/>
    <row r="393" ht="15.75" customHeight="1" s="46"/>
    <row r="394" ht="15.75" customHeight="1" s="46"/>
    <row r="395" ht="15.75" customHeight="1" s="46"/>
    <row r="396" ht="15.75" customHeight="1" s="46"/>
    <row r="397" ht="15.75" customHeight="1" s="46"/>
    <row r="398" ht="15.75" customHeight="1" s="46"/>
    <row r="399" ht="15.75" customHeight="1" s="46"/>
    <row r="400" ht="15.75" customHeight="1" s="46"/>
    <row r="401" ht="15.75" customHeight="1" s="46"/>
    <row r="402" ht="15.75" customHeight="1" s="46"/>
    <row r="403" ht="15.75" customHeight="1" s="46"/>
    <row r="404" ht="15.75" customHeight="1" s="46"/>
    <row r="405" ht="15.75" customHeight="1" s="46"/>
    <row r="406" ht="15.75" customHeight="1" s="46"/>
    <row r="407" ht="15.75" customHeight="1" s="46"/>
    <row r="408" ht="15.75" customHeight="1" s="46"/>
    <row r="409" ht="15.75" customHeight="1" s="46"/>
    <row r="410" ht="15.75" customHeight="1" s="46"/>
    <row r="411" ht="15.75" customHeight="1" s="46"/>
    <row r="412" ht="15.75" customHeight="1" s="46"/>
    <row r="413" ht="15.75" customHeight="1" s="46"/>
    <row r="414" ht="15.75" customHeight="1" s="46"/>
    <row r="415" ht="15.75" customHeight="1" s="46"/>
    <row r="416" ht="15.75" customHeight="1" s="46"/>
    <row r="417" ht="15.75" customHeight="1" s="46"/>
    <row r="418" ht="15.75" customHeight="1" s="46"/>
    <row r="419" ht="15.75" customHeight="1" s="46"/>
    <row r="420" ht="15.75" customHeight="1" s="46"/>
    <row r="421" ht="15.75" customHeight="1" s="46"/>
    <row r="422" ht="15.75" customHeight="1" s="46"/>
    <row r="423" ht="15.75" customHeight="1" s="46"/>
    <row r="424" ht="15.75" customHeight="1" s="46"/>
    <row r="425" ht="15.75" customHeight="1" s="46"/>
    <row r="426" ht="15.75" customHeight="1" s="46"/>
    <row r="427" ht="15.75" customHeight="1" s="46"/>
    <row r="428" ht="15.75" customHeight="1" s="46"/>
    <row r="429" ht="15.75" customHeight="1" s="46"/>
    <row r="430" ht="15.75" customHeight="1" s="46"/>
    <row r="431" ht="15.75" customHeight="1" s="46"/>
    <row r="432" ht="15.75" customHeight="1" s="46"/>
    <row r="433" ht="15.75" customHeight="1" s="46"/>
    <row r="434" ht="15.75" customHeight="1" s="46"/>
    <row r="435" ht="15.75" customHeight="1" s="46"/>
    <row r="436" ht="15.75" customHeight="1" s="46"/>
    <row r="437" ht="15.75" customHeight="1" s="46"/>
    <row r="438" ht="15.75" customHeight="1" s="46"/>
    <row r="439" ht="15.75" customHeight="1" s="46"/>
    <row r="440" ht="15.75" customHeight="1" s="46"/>
    <row r="441" ht="15.75" customHeight="1" s="46"/>
    <row r="442" ht="15.75" customHeight="1" s="46"/>
    <row r="443" ht="15.75" customHeight="1" s="46"/>
    <row r="444" ht="15.75" customHeight="1" s="46"/>
    <row r="445" ht="15.75" customHeight="1" s="46"/>
    <row r="446" ht="15.75" customHeight="1" s="46"/>
    <row r="447" ht="15.75" customHeight="1" s="46"/>
    <row r="448" ht="15.75" customHeight="1" s="46"/>
    <row r="449" ht="15.75" customHeight="1" s="46"/>
    <row r="450" ht="15.75" customHeight="1" s="46"/>
    <row r="451" ht="15.75" customHeight="1" s="46"/>
    <row r="452" ht="15.75" customHeight="1" s="46"/>
    <row r="453" ht="15.75" customHeight="1" s="46"/>
    <row r="454" ht="15.75" customHeight="1" s="46"/>
    <row r="455" ht="15.75" customHeight="1" s="46"/>
    <row r="456" ht="15.75" customHeight="1" s="46"/>
    <row r="457" ht="15.75" customHeight="1" s="46"/>
    <row r="458" ht="15.75" customHeight="1" s="46"/>
    <row r="459" ht="15.75" customHeight="1" s="46"/>
    <row r="460" ht="15.75" customHeight="1" s="46"/>
    <row r="461" ht="15.75" customHeight="1" s="46"/>
    <row r="462" ht="15.75" customHeight="1" s="46"/>
    <row r="463" ht="15.75" customHeight="1" s="46"/>
    <row r="464" ht="15.75" customHeight="1" s="46"/>
    <row r="465" ht="15.75" customHeight="1" s="46"/>
    <row r="466" ht="15.75" customHeight="1" s="46"/>
    <row r="467" ht="15.75" customHeight="1" s="46"/>
    <row r="468" ht="15.75" customHeight="1" s="46"/>
    <row r="469" ht="15.75" customHeight="1" s="46"/>
    <row r="470" ht="15.75" customHeight="1" s="46"/>
    <row r="471" ht="15.75" customHeight="1" s="46"/>
    <row r="472" ht="15.75" customHeight="1" s="46"/>
    <row r="473" ht="15.75" customHeight="1" s="46"/>
    <row r="474" ht="15.75" customHeight="1" s="46"/>
    <row r="475" ht="15.75" customHeight="1" s="46"/>
    <row r="476" ht="15.75" customHeight="1" s="46"/>
    <row r="477" ht="15.75" customHeight="1" s="46"/>
    <row r="478" ht="15.75" customHeight="1" s="46"/>
    <row r="479" ht="15.75" customHeight="1" s="46"/>
    <row r="480" ht="15.75" customHeight="1" s="46"/>
    <row r="481" ht="15.75" customHeight="1" s="46"/>
    <row r="482" ht="15.75" customHeight="1" s="46"/>
    <row r="483" ht="15.75" customHeight="1" s="46"/>
    <row r="484" ht="15.75" customHeight="1" s="46"/>
    <row r="485" ht="15.75" customHeight="1" s="46"/>
    <row r="486" ht="15.75" customHeight="1" s="46"/>
    <row r="487" ht="15.75" customHeight="1" s="46"/>
    <row r="488" ht="15.75" customHeight="1" s="46"/>
    <row r="489" ht="15.75" customHeight="1" s="46"/>
    <row r="490" ht="15.75" customHeight="1" s="46"/>
    <row r="491" ht="15.75" customHeight="1" s="46"/>
    <row r="492" ht="15.75" customHeight="1" s="46"/>
    <row r="493" ht="15.75" customHeight="1" s="46"/>
    <row r="494" ht="15.75" customHeight="1" s="46"/>
    <row r="495" ht="15.75" customHeight="1" s="46"/>
    <row r="496" ht="15.75" customHeight="1" s="46"/>
    <row r="497" ht="15.75" customHeight="1" s="46"/>
    <row r="498" ht="15.75" customHeight="1" s="46"/>
    <row r="499" ht="15.75" customHeight="1" s="46"/>
    <row r="500" ht="15.75" customHeight="1" s="46"/>
    <row r="501" ht="15.75" customHeight="1" s="46"/>
    <row r="502" ht="15.75" customHeight="1" s="46"/>
    <row r="503" ht="15.75" customHeight="1" s="46"/>
    <row r="504" ht="15.75" customHeight="1" s="46"/>
    <row r="505" ht="15.75" customHeight="1" s="46"/>
    <row r="506" ht="15.75" customHeight="1" s="46"/>
    <row r="507" ht="15.75" customHeight="1" s="46"/>
    <row r="508" ht="15.75" customHeight="1" s="46"/>
    <row r="509" ht="15.75" customHeight="1" s="46"/>
    <row r="510" ht="15.75" customHeight="1" s="46"/>
    <row r="511" ht="15.75" customHeight="1" s="46"/>
    <row r="512" ht="15.75" customHeight="1" s="46"/>
    <row r="513" ht="15.75" customHeight="1" s="46"/>
    <row r="514" ht="15.75" customHeight="1" s="46"/>
    <row r="515" ht="15.75" customHeight="1" s="46"/>
    <row r="516" ht="15.75" customHeight="1" s="46"/>
    <row r="517" ht="15.75" customHeight="1" s="46"/>
    <row r="518" ht="15.75" customHeight="1" s="46"/>
    <row r="519" ht="15.75" customHeight="1" s="46"/>
    <row r="520" ht="15.75" customHeight="1" s="46"/>
    <row r="521" ht="15.75" customHeight="1" s="46"/>
    <row r="522" ht="15.75" customHeight="1" s="46"/>
    <row r="523" ht="15.75" customHeight="1" s="46"/>
    <row r="524" ht="15.75" customHeight="1" s="46"/>
    <row r="525" ht="15.75" customHeight="1" s="46"/>
    <row r="526" ht="15.75" customHeight="1" s="46"/>
    <row r="527" ht="15.75" customHeight="1" s="46"/>
    <row r="528" ht="15.75" customHeight="1" s="46"/>
    <row r="529" ht="15.75" customHeight="1" s="46"/>
    <row r="530" ht="15.75" customHeight="1" s="46"/>
    <row r="531" ht="15.75" customHeight="1" s="46"/>
    <row r="532" ht="15.75" customHeight="1" s="46"/>
    <row r="533" ht="15.75" customHeight="1" s="46"/>
    <row r="534" ht="15.75" customHeight="1" s="46"/>
    <row r="535" ht="15.75" customHeight="1" s="46"/>
    <row r="536" ht="15.75" customHeight="1" s="46"/>
    <row r="537" ht="15.75" customHeight="1" s="46"/>
    <row r="538" ht="15.75" customHeight="1" s="46"/>
    <row r="539" ht="15.75" customHeight="1" s="46"/>
    <row r="540" ht="15.75" customHeight="1" s="46"/>
    <row r="541" ht="15.75" customHeight="1" s="46"/>
    <row r="542" ht="15.75" customHeight="1" s="46"/>
    <row r="543" ht="15.75" customHeight="1" s="46"/>
    <row r="544" ht="15.75" customHeight="1" s="46"/>
    <row r="545" ht="15.75" customHeight="1" s="46"/>
    <row r="546" ht="15.75" customHeight="1" s="46"/>
    <row r="547" ht="15.75" customHeight="1" s="46"/>
    <row r="548" ht="15.75" customHeight="1" s="46"/>
    <row r="549" ht="15.75" customHeight="1" s="46"/>
    <row r="550" ht="15.75" customHeight="1" s="46"/>
    <row r="551" ht="15.75" customHeight="1" s="46"/>
    <row r="552" ht="15.75" customHeight="1" s="46"/>
    <row r="553" ht="15.75" customHeight="1" s="46"/>
    <row r="554" ht="15.75" customHeight="1" s="46"/>
    <row r="555" ht="15.75" customHeight="1" s="46"/>
    <row r="556" ht="15.75" customHeight="1" s="46"/>
    <row r="557" ht="15.75" customHeight="1" s="46"/>
    <row r="558" ht="15.75" customHeight="1" s="46"/>
    <row r="559" ht="15.75" customHeight="1" s="46"/>
    <row r="560" ht="15.75" customHeight="1" s="46"/>
    <row r="561" ht="15.75" customHeight="1" s="46"/>
    <row r="562" ht="15.75" customHeight="1" s="46"/>
    <row r="563" ht="15.75" customHeight="1" s="46"/>
    <row r="564" ht="15.75" customHeight="1" s="46"/>
    <row r="565" ht="15.75" customHeight="1" s="46"/>
    <row r="566" ht="15.75" customHeight="1" s="46"/>
    <row r="567" ht="15.75" customHeight="1" s="46"/>
    <row r="568" ht="15.75" customHeight="1" s="46"/>
    <row r="569" ht="15.75" customHeight="1" s="46"/>
    <row r="570" ht="15.75" customHeight="1" s="46"/>
    <row r="571" ht="15.75" customHeight="1" s="46"/>
    <row r="572" ht="15.75" customHeight="1" s="46"/>
    <row r="573" ht="15.75" customHeight="1" s="46"/>
    <row r="574" ht="15.75" customHeight="1" s="46"/>
    <row r="575" ht="15.75" customHeight="1" s="46"/>
    <row r="576" ht="15.75" customHeight="1" s="46"/>
    <row r="577" ht="15.75" customHeight="1" s="46"/>
    <row r="578" ht="15.75" customHeight="1" s="46"/>
    <row r="579" ht="15.75" customHeight="1" s="46"/>
    <row r="580" ht="15.75" customHeight="1" s="46"/>
    <row r="581" ht="15.75" customHeight="1" s="46"/>
    <row r="582" ht="15.75" customHeight="1" s="46"/>
    <row r="583" ht="15.75" customHeight="1" s="46"/>
    <row r="584" ht="15.75" customHeight="1" s="46"/>
    <row r="585" ht="15.75" customHeight="1" s="46"/>
    <row r="586" ht="15.75" customHeight="1" s="46"/>
    <row r="587" ht="15.75" customHeight="1" s="46"/>
    <row r="588" ht="15.75" customHeight="1" s="46"/>
    <row r="589" ht="15.75" customHeight="1" s="46"/>
    <row r="590" ht="15.75" customHeight="1" s="46"/>
    <row r="591" ht="15.75" customHeight="1" s="46"/>
    <row r="592" ht="15.75" customHeight="1" s="46"/>
    <row r="593" ht="15.75" customHeight="1" s="46"/>
    <row r="594" ht="15.75" customHeight="1" s="46"/>
    <row r="595" ht="15.75" customHeight="1" s="46"/>
    <row r="596" ht="15.75" customHeight="1" s="46"/>
    <row r="597" ht="15.75" customHeight="1" s="46"/>
    <row r="598" ht="15.75" customHeight="1" s="46"/>
    <row r="599" ht="15.75" customHeight="1" s="46"/>
    <row r="600" ht="15.75" customHeight="1" s="46"/>
    <row r="601" ht="15.75" customHeight="1" s="46"/>
    <row r="602" ht="15.75" customHeight="1" s="46"/>
    <row r="603" ht="15.75" customHeight="1" s="46"/>
    <row r="604" ht="15.75" customHeight="1" s="46"/>
    <row r="605" ht="15.75" customHeight="1" s="46"/>
    <row r="606" ht="15.75" customHeight="1" s="46"/>
    <row r="607" ht="15.75" customHeight="1" s="46"/>
    <row r="608" ht="15.75" customHeight="1" s="46"/>
    <row r="609" ht="15.75" customHeight="1" s="46"/>
    <row r="610" ht="15.75" customHeight="1" s="46"/>
    <row r="611" ht="15.75" customHeight="1" s="46"/>
    <row r="612" ht="15.75" customHeight="1" s="46"/>
    <row r="613" ht="15.75" customHeight="1" s="46"/>
    <row r="614" ht="15.75" customHeight="1" s="46"/>
    <row r="615" ht="15.75" customHeight="1" s="46"/>
    <row r="616" ht="15.75" customHeight="1" s="46"/>
    <row r="617" ht="15.75" customHeight="1" s="46"/>
    <row r="618" ht="15.75" customHeight="1" s="46"/>
    <row r="619" ht="15.75" customHeight="1" s="46"/>
    <row r="620" ht="15.75" customHeight="1" s="46"/>
    <row r="621" ht="15.75" customHeight="1" s="46"/>
    <row r="622" ht="15.75" customHeight="1" s="46"/>
    <row r="623" ht="15.75" customHeight="1" s="46"/>
    <row r="624" ht="15.75" customHeight="1" s="46"/>
    <row r="625" ht="15.75" customHeight="1" s="46"/>
    <row r="626" ht="15.75" customHeight="1" s="46"/>
    <row r="627" ht="15.75" customHeight="1" s="46"/>
    <row r="628" ht="15.75" customHeight="1" s="46"/>
    <row r="629" ht="15.75" customHeight="1" s="46"/>
    <row r="630" ht="15.75" customHeight="1" s="46"/>
    <row r="631" ht="15.75" customHeight="1" s="46"/>
    <row r="632" ht="15.75" customHeight="1" s="46"/>
    <row r="633" ht="15.75" customHeight="1" s="46"/>
    <row r="634" ht="15.75" customHeight="1" s="46"/>
    <row r="635" ht="15.75" customHeight="1" s="46"/>
    <row r="636" ht="15.75" customHeight="1" s="46"/>
    <row r="637" ht="15.75" customHeight="1" s="46"/>
    <row r="638" ht="15.75" customHeight="1" s="46"/>
    <row r="639" ht="15.75" customHeight="1" s="46"/>
    <row r="640" ht="15.75" customHeight="1" s="46"/>
    <row r="641" ht="15.75" customHeight="1" s="46"/>
    <row r="642" ht="15.75" customHeight="1" s="46"/>
    <row r="643" ht="15.75" customHeight="1" s="46"/>
    <row r="644" ht="15.75" customHeight="1" s="46"/>
    <row r="645" ht="15.75" customHeight="1" s="46"/>
    <row r="646" ht="15.75" customHeight="1" s="46"/>
    <row r="647" ht="15.75" customHeight="1" s="46"/>
    <row r="648" ht="15.75" customHeight="1" s="46"/>
    <row r="649" ht="15.75" customHeight="1" s="46"/>
    <row r="650" ht="15.75" customHeight="1" s="46"/>
    <row r="651" ht="15.75" customHeight="1" s="46"/>
    <row r="652" ht="15.75" customHeight="1" s="46"/>
    <row r="653" ht="15.75" customHeight="1" s="46"/>
    <row r="654" ht="15.75" customHeight="1" s="46"/>
    <row r="655" ht="15.75" customHeight="1" s="46"/>
    <row r="656" ht="15.75" customHeight="1" s="46"/>
    <row r="657" ht="15.75" customHeight="1" s="46"/>
    <row r="658" ht="15.75" customHeight="1" s="46"/>
    <row r="659" ht="15.75" customHeight="1" s="46"/>
    <row r="660" ht="15.75" customHeight="1" s="46"/>
    <row r="661" ht="15.75" customHeight="1" s="46"/>
    <row r="662" ht="15.75" customHeight="1" s="46"/>
    <row r="663" ht="15.75" customHeight="1" s="46"/>
    <row r="664" ht="15.75" customHeight="1" s="46"/>
    <row r="665" ht="15.75" customHeight="1" s="46"/>
    <row r="666" ht="15.75" customHeight="1" s="46"/>
    <row r="667" ht="15.75" customHeight="1" s="46"/>
    <row r="668" ht="15.75" customHeight="1" s="46"/>
    <row r="669" ht="15.75" customHeight="1" s="46"/>
    <row r="670" ht="15.75" customHeight="1" s="46"/>
    <row r="671" ht="15.75" customHeight="1" s="46"/>
    <row r="672" ht="15.75" customHeight="1" s="46"/>
    <row r="673" ht="15.75" customHeight="1" s="46"/>
    <row r="674" ht="15.75" customHeight="1" s="46"/>
    <row r="675" ht="15.75" customHeight="1" s="46"/>
    <row r="676" ht="15.75" customHeight="1" s="46"/>
    <row r="677" ht="15.75" customHeight="1" s="46"/>
    <row r="678" ht="15.75" customHeight="1" s="46"/>
    <row r="679" ht="15.75" customHeight="1" s="46"/>
    <row r="680" ht="15.75" customHeight="1" s="46"/>
    <row r="681" ht="15.75" customHeight="1" s="46"/>
    <row r="682" ht="15.75" customHeight="1" s="46"/>
    <row r="683" ht="15.75" customHeight="1" s="46"/>
    <row r="684" ht="15.75" customHeight="1" s="46"/>
    <row r="685" ht="15.75" customHeight="1" s="46"/>
    <row r="686" ht="15.75" customHeight="1" s="46"/>
    <row r="687" ht="15.75" customHeight="1" s="46"/>
    <row r="688" ht="15.75" customHeight="1" s="46"/>
    <row r="689" ht="15.75" customHeight="1" s="46"/>
    <row r="690" ht="15.75" customHeight="1" s="46"/>
    <row r="691" ht="15.75" customHeight="1" s="46"/>
    <row r="692" ht="15.75" customHeight="1" s="46"/>
    <row r="693" ht="15.75" customHeight="1" s="46"/>
    <row r="694" ht="15.75" customHeight="1" s="46"/>
    <row r="695" ht="15.75" customHeight="1" s="46"/>
    <row r="696" ht="15.75" customHeight="1" s="46"/>
    <row r="697" ht="15.75" customHeight="1" s="46"/>
    <row r="698" ht="15.75" customHeight="1" s="46"/>
    <row r="699" ht="15.75" customHeight="1" s="46"/>
    <row r="700" ht="15.75" customHeight="1" s="46"/>
    <row r="701" ht="15.75" customHeight="1" s="46"/>
    <row r="702" ht="15.75" customHeight="1" s="46"/>
    <row r="703" ht="15.75" customHeight="1" s="46"/>
    <row r="704" ht="15.75" customHeight="1" s="46"/>
    <row r="705" ht="15.75" customHeight="1" s="46"/>
    <row r="706" ht="15.75" customHeight="1" s="46"/>
    <row r="707" ht="15.75" customHeight="1" s="46"/>
    <row r="708" ht="15.75" customHeight="1" s="46"/>
    <row r="709" ht="15.75" customHeight="1" s="46"/>
    <row r="710" ht="15.75" customHeight="1" s="46"/>
    <row r="711" ht="15.75" customHeight="1" s="46"/>
    <row r="712" ht="15.75" customHeight="1" s="46"/>
    <row r="713" ht="15.75" customHeight="1" s="46"/>
    <row r="714" ht="15.75" customHeight="1" s="46"/>
    <row r="715" ht="15.75" customHeight="1" s="46"/>
    <row r="716" ht="15.75" customHeight="1" s="46"/>
    <row r="717" ht="15.75" customHeight="1" s="46"/>
    <row r="718" ht="15.75" customHeight="1" s="46"/>
    <row r="719" ht="15.75" customHeight="1" s="46"/>
    <row r="720" ht="15.75" customHeight="1" s="46"/>
    <row r="721" ht="15.75" customHeight="1" s="46"/>
    <row r="722" ht="15.75" customHeight="1" s="46"/>
    <row r="723" ht="15.75" customHeight="1" s="46"/>
    <row r="724" ht="15.75" customHeight="1" s="46"/>
    <row r="725" ht="15.75" customHeight="1" s="46"/>
    <row r="726" ht="15.75" customHeight="1" s="46"/>
    <row r="727" ht="15.75" customHeight="1" s="46"/>
    <row r="728" ht="15.75" customHeight="1" s="46"/>
    <row r="729" ht="15.75" customHeight="1" s="46"/>
    <row r="730" ht="15.75" customHeight="1" s="46"/>
    <row r="731" ht="15.75" customHeight="1" s="46"/>
    <row r="732" ht="15.75" customHeight="1" s="46"/>
    <row r="733" ht="15.75" customHeight="1" s="46"/>
    <row r="734" ht="15.75" customHeight="1" s="46"/>
    <row r="735" ht="15.75" customHeight="1" s="46"/>
    <row r="736" ht="15.75" customHeight="1" s="46"/>
    <row r="737" ht="15.75" customHeight="1" s="46"/>
    <row r="738" ht="15.75" customHeight="1" s="46"/>
    <row r="739" ht="15.75" customHeight="1" s="46"/>
    <row r="740" ht="15.75" customHeight="1" s="46"/>
    <row r="741" ht="15.75" customHeight="1" s="46"/>
    <row r="742" ht="15.75" customHeight="1" s="46"/>
    <row r="743" ht="15.75" customHeight="1" s="46"/>
    <row r="744" ht="15.75" customHeight="1" s="46"/>
    <row r="745" ht="15.75" customHeight="1" s="46"/>
    <row r="746" ht="15.75" customHeight="1" s="46"/>
    <row r="747" ht="15.75" customHeight="1" s="46"/>
    <row r="748" ht="15.75" customHeight="1" s="46"/>
    <row r="749" ht="15.75" customHeight="1" s="46"/>
    <row r="750" ht="15.75" customHeight="1" s="46"/>
    <row r="751" ht="15.75" customHeight="1" s="46"/>
    <row r="752" ht="15.75" customHeight="1" s="46"/>
    <row r="753" ht="15.75" customHeight="1" s="46"/>
    <row r="754" ht="15.75" customHeight="1" s="46"/>
    <row r="755" ht="15.75" customHeight="1" s="46"/>
    <row r="756" ht="15.75" customHeight="1" s="46"/>
    <row r="757" ht="15.75" customHeight="1" s="46"/>
    <row r="758" ht="15.75" customHeight="1" s="46"/>
    <row r="759" ht="15.75" customHeight="1" s="46"/>
    <row r="760" ht="15.75" customHeight="1" s="46"/>
    <row r="761" ht="15.75" customHeight="1" s="46"/>
    <row r="762" ht="15.75" customHeight="1" s="46"/>
    <row r="763" ht="15.75" customHeight="1" s="46"/>
    <row r="764" ht="15.75" customHeight="1" s="46"/>
    <row r="765" ht="15.75" customHeight="1" s="46"/>
    <row r="766" ht="15.75" customHeight="1" s="46"/>
    <row r="767" ht="15.75" customHeight="1" s="46"/>
    <row r="768" ht="15.75" customHeight="1" s="46"/>
    <row r="769" ht="15.75" customHeight="1" s="46"/>
    <row r="770" ht="15.75" customHeight="1" s="46"/>
    <row r="771" ht="15.75" customHeight="1" s="46"/>
    <row r="772" ht="15.75" customHeight="1" s="46"/>
    <row r="773" ht="15.75" customHeight="1" s="46"/>
    <row r="774" ht="15.75" customHeight="1" s="46"/>
    <row r="775" ht="15.75" customHeight="1" s="46"/>
    <row r="776" ht="15.75" customHeight="1" s="46"/>
    <row r="777" ht="15.75" customHeight="1" s="46"/>
    <row r="778" ht="15.75" customHeight="1" s="46"/>
    <row r="779" ht="15.75" customHeight="1" s="46"/>
    <row r="780" ht="15.75" customHeight="1" s="46"/>
    <row r="781" ht="15.75" customHeight="1" s="46"/>
    <row r="782" ht="15.75" customHeight="1" s="46"/>
    <row r="783" ht="15.75" customHeight="1" s="46"/>
    <row r="784" ht="15.75" customHeight="1" s="46"/>
    <row r="785" ht="15.75" customHeight="1" s="46"/>
    <row r="786" ht="15.75" customHeight="1" s="46"/>
    <row r="787" ht="15.75" customHeight="1" s="46"/>
    <row r="788" ht="15.75" customHeight="1" s="46"/>
    <row r="789" ht="15.75" customHeight="1" s="46"/>
    <row r="790" ht="15.75" customHeight="1" s="46"/>
    <row r="791" ht="15.75" customHeight="1" s="46"/>
    <row r="792" ht="15.75" customHeight="1" s="46"/>
    <row r="793" ht="15.75" customHeight="1" s="46"/>
    <row r="794" ht="15.75" customHeight="1" s="46"/>
    <row r="795" ht="15.75" customHeight="1" s="46"/>
    <row r="796" ht="15.75" customHeight="1" s="46"/>
    <row r="797" ht="15.75" customHeight="1" s="46"/>
    <row r="798" ht="15.75" customHeight="1" s="46"/>
    <row r="799" ht="15.75" customHeight="1" s="46"/>
    <row r="800" ht="15.75" customHeight="1" s="46"/>
    <row r="801" ht="15.75" customHeight="1" s="46"/>
    <row r="802" ht="15.75" customHeight="1" s="46"/>
    <row r="803" ht="15.75" customHeight="1" s="46"/>
    <row r="804" ht="15.75" customHeight="1" s="46"/>
    <row r="805" ht="15.75" customHeight="1" s="46"/>
    <row r="806" ht="15.75" customHeight="1" s="46"/>
    <row r="807" ht="15.75" customHeight="1" s="46"/>
    <row r="808" ht="15.75" customHeight="1" s="46"/>
    <row r="809" ht="15.75" customHeight="1" s="46"/>
    <row r="810" ht="15.75" customHeight="1" s="46"/>
    <row r="811" ht="15.75" customHeight="1" s="46"/>
    <row r="812" ht="15.75" customHeight="1" s="46"/>
    <row r="813" ht="15.75" customHeight="1" s="46"/>
    <row r="814" ht="15.75" customHeight="1" s="46"/>
    <row r="815" ht="15.75" customHeight="1" s="46"/>
    <row r="816" ht="15.75" customHeight="1" s="46"/>
    <row r="817" ht="15.75" customHeight="1" s="46"/>
    <row r="818" ht="15.75" customHeight="1" s="46"/>
    <row r="819" ht="15.75" customHeight="1" s="46"/>
    <row r="820" ht="15.75" customHeight="1" s="46"/>
    <row r="821" ht="15.75" customHeight="1" s="46"/>
    <row r="822" ht="15.75" customHeight="1" s="46"/>
    <row r="823" ht="15.75" customHeight="1" s="46"/>
    <row r="824" ht="15.75" customHeight="1" s="46"/>
    <row r="825" ht="15.75" customHeight="1" s="46"/>
    <row r="826" ht="15.75" customHeight="1" s="46"/>
    <row r="827" ht="15.75" customHeight="1" s="46"/>
    <row r="828" ht="15.75" customHeight="1" s="46"/>
    <row r="829" ht="15.75" customHeight="1" s="46"/>
    <row r="830" ht="15.75" customHeight="1" s="46"/>
    <row r="831" ht="15.75" customHeight="1" s="46"/>
    <row r="832" ht="15.75" customHeight="1" s="46"/>
    <row r="833" ht="15.75" customHeight="1" s="46"/>
    <row r="834" ht="15.75" customHeight="1" s="46"/>
    <row r="835" ht="15.75" customHeight="1" s="46"/>
    <row r="836" ht="15.75" customHeight="1" s="46"/>
    <row r="837" ht="15.75" customHeight="1" s="46"/>
    <row r="838" ht="15.75" customHeight="1" s="46"/>
    <row r="839" ht="15.75" customHeight="1" s="46"/>
    <row r="840" ht="15.75" customHeight="1" s="46"/>
    <row r="841" ht="15.75" customHeight="1" s="46"/>
    <row r="842" ht="15.75" customHeight="1" s="46"/>
    <row r="843" ht="15.75" customHeight="1" s="46"/>
    <row r="844" ht="15.75" customHeight="1" s="46"/>
    <row r="845" ht="15.75" customHeight="1" s="46"/>
    <row r="846" ht="15.75" customHeight="1" s="46"/>
    <row r="847" ht="15.75" customHeight="1" s="46"/>
    <row r="848" ht="15.75" customHeight="1" s="46"/>
    <row r="849" ht="15.75" customHeight="1" s="46"/>
    <row r="850" ht="15.75" customHeight="1" s="46"/>
    <row r="851" ht="15.75" customHeight="1" s="46"/>
    <row r="852" ht="15.75" customHeight="1" s="46"/>
    <row r="853" ht="15.75" customHeight="1" s="46"/>
    <row r="854" ht="15.75" customHeight="1" s="46"/>
    <row r="855" ht="15.75" customHeight="1" s="46"/>
    <row r="856" ht="15.75" customHeight="1" s="46"/>
    <row r="857" ht="15.75" customHeight="1" s="46"/>
    <row r="858" ht="15.75" customHeight="1" s="46"/>
    <row r="859" ht="15.75" customHeight="1" s="46"/>
    <row r="860" ht="15.75" customHeight="1" s="46"/>
    <row r="861" ht="15.75" customHeight="1" s="46"/>
    <row r="862" ht="15.75" customHeight="1" s="46"/>
    <row r="863" ht="15.75" customHeight="1" s="46"/>
    <row r="864" ht="15.75" customHeight="1" s="46"/>
    <row r="865" ht="15.75" customHeight="1" s="46"/>
    <row r="866" ht="15.75" customHeight="1" s="46"/>
    <row r="867" ht="15.75" customHeight="1" s="46"/>
    <row r="868" ht="15.75" customHeight="1" s="46"/>
    <row r="869" ht="15.75" customHeight="1" s="46"/>
    <row r="870" ht="15.75" customHeight="1" s="46"/>
    <row r="871" ht="15.75" customHeight="1" s="46"/>
    <row r="872" ht="15.75" customHeight="1" s="46"/>
    <row r="873" ht="15.75" customHeight="1" s="46"/>
    <row r="874" ht="15.75" customHeight="1" s="46"/>
    <row r="875" ht="15.75" customHeight="1" s="46"/>
    <row r="876" ht="15.75" customHeight="1" s="46"/>
    <row r="877" ht="15.75" customHeight="1" s="46"/>
    <row r="878" ht="15.75" customHeight="1" s="46"/>
    <row r="879" ht="15.75" customHeight="1" s="46"/>
    <row r="880" ht="15.75" customHeight="1" s="46"/>
    <row r="881" ht="15.75" customHeight="1" s="46"/>
    <row r="882" ht="15.75" customHeight="1" s="46"/>
    <row r="883" ht="15.75" customHeight="1" s="46"/>
    <row r="884" ht="15.75" customHeight="1" s="46"/>
    <row r="885" ht="15.75" customHeight="1" s="46"/>
    <row r="886" ht="15.75" customHeight="1" s="46"/>
    <row r="887" ht="15.75" customHeight="1" s="46"/>
    <row r="888" ht="15.75" customHeight="1" s="46"/>
    <row r="889" ht="15.75" customHeight="1" s="46"/>
    <row r="890" ht="15.75" customHeight="1" s="46"/>
    <row r="891" ht="15.75" customHeight="1" s="46"/>
    <row r="892" ht="15.75" customHeight="1" s="46"/>
    <row r="893" ht="15.75" customHeight="1" s="46"/>
    <row r="894" ht="15.75" customHeight="1" s="46"/>
    <row r="895" ht="15.75" customHeight="1" s="46"/>
    <row r="896" ht="15.75" customHeight="1" s="46"/>
    <row r="897" ht="15.75" customHeight="1" s="46"/>
    <row r="898" ht="15.75" customHeight="1" s="46"/>
    <row r="899" ht="15.75" customHeight="1" s="46"/>
    <row r="900" ht="15.75" customHeight="1" s="46"/>
    <row r="901" ht="15.75" customHeight="1" s="46"/>
    <row r="902" ht="15.75" customHeight="1" s="46"/>
    <row r="903" ht="15.75" customHeight="1" s="46"/>
    <row r="904" ht="15.75" customHeight="1" s="46"/>
    <row r="905" ht="15.75" customHeight="1" s="46"/>
    <row r="906" ht="15.75" customHeight="1" s="46"/>
    <row r="907" ht="15.75" customHeight="1" s="46"/>
    <row r="908" ht="15.75" customHeight="1" s="46"/>
    <row r="909" ht="15.75" customHeight="1" s="46"/>
    <row r="910" ht="15.75" customHeight="1" s="46"/>
    <row r="911" ht="15.75" customHeight="1" s="46"/>
    <row r="912" ht="15.75" customHeight="1" s="46"/>
    <row r="913" ht="15.75" customHeight="1" s="46"/>
    <row r="914" ht="15.75" customHeight="1" s="46"/>
    <row r="915" ht="15.75" customHeight="1" s="46"/>
    <row r="916" ht="15.75" customHeight="1" s="46"/>
    <row r="917" ht="15.75" customHeight="1" s="46"/>
    <row r="918" ht="15.75" customHeight="1" s="46"/>
    <row r="919" ht="15.75" customHeight="1" s="46"/>
    <row r="920" ht="15.75" customHeight="1" s="46"/>
    <row r="921" ht="15.75" customHeight="1" s="46"/>
    <row r="922" ht="15.75" customHeight="1" s="46"/>
    <row r="923" ht="15.75" customHeight="1" s="46"/>
    <row r="924" ht="15.75" customHeight="1" s="46"/>
    <row r="925" ht="15.75" customHeight="1" s="46"/>
    <row r="926" ht="15.75" customHeight="1" s="46"/>
    <row r="927" ht="15.75" customHeight="1" s="46"/>
    <row r="928" ht="15.75" customHeight="1" s="46"/>
    <row r="929" ht="15.75" customHeight="1" s="46"/>
    <row r="930" ht="15.75" customHeight="1" s="46"/>
    <row r="931" ht="15.75" customHeight="1" s="46"/>
    <row r="932" ht="15.75" customHeight="1" s="46"/>
    <row r="933" ht="15.75" customHeight="1" s="46"/>
    <row r="934" ht="15.75" customHeight="1" s="46"/>
    <row r="935" ht="15.75" customHeight="1" s="46"/>
    <row r="936" ht="15.75" customHeight="1" s="46"/>
    <row r="937" ht="15.75" customHeight="1" s="46"/>
    <row r="938" ht="15.75" customHeight="1" s="46"/>
    <row r="939" ht="15.75" customHeight="1" s="46"/>
    <row r="940" ht="15.75" customHeight="1" s="46"/>
    <row r="941" ht="15.75" customHeight="1" s="46"/>
    <row r="942" ht="15.75" customHeight="1" s="46"/>
    <row r="943" ht="15.75" customHeight="1" s="46"/>
    <row r="944" ht="15.75" customHeight="1" s="46"/>
    <row r="945" ht="15.75" customHeight="1" s="46"/>
    <row r="946" ht="15.75" customHeight="1" s="46"/>
    <row r="947" ht="15.75" customHeight="1" s="46"/>
    <row r="948" ht="15.75" customHeight="1" s="46"/>
    <row r="949" ht="15.75" customHeight="1" s="46"/>
    <row r="950" ht="15.75" customHeight="1" s="46"/>
    <row r="951" ht="15.75" customHeight="1" s="46"/>
    <row r="952" ht="15.75" customHeight="1" s="46"/>
    <row r="953" ht="15.75" customHeight="1" s="46"/>
    <row r="954" ht="15.75" customHeight="1" s="46"/>
    <row r="955" ht="15.75" customHeight="1" s="46"/>
    <row r="956" ht="15.75" customHeight="1" s="46"/>
    <row r="957" ht="15.75" customHeight="1" s="46"/>
    <row r="958" ht="15.75" customHeight="1" s="46"/>
    <row r="959" ht="15.75" customHeight="1" s="46"/>
    <row r="960" ht="15.75" customHeight="1" s="46"/>
    <row r="961" ht="15.75" customHeight="1" s="46"/>
    <row r="962" ht="15.75" customHeight="1" s="46"/>
    <row r="963" ht="15.75" customHeight="1" s="46"/>
    <row r="964" ht="15.75" customHeight="1" s="46"/>
    <row r="965" ht="15.75" customHeight="1" s="46"/>
    <row r="966" ht="15.75" customHeight="1" s="46"/>
    <row r="967" ht="15.75" customHeight="1" s="46"/>
    <row r="968" ht="15.75" customHeight="1" s="46"/>
    <row r="969" ht="15.75" customHeight="1" s="46"/>
    <row r="970" ht="15.75" customHeight="1" s="46"/>
    <row r="971" ht="15.75" customHeight="1" s="46"/>
    <row r="972" ht="15.75" customHeight="1" s="46"/>
    <row r="973" ht="15.75" customHeight="1" s="46"/>
    <row r="974" ht="15.75" customHeight="1" s="46"/>
    <row r="975" ht="15.75" customHeight="1" s="46"/>
    <row r="976" ht="15.75" customHeight="1" s="46"/>
    <row r="977" ht="15.75" customHeight="1" s="46"/>
    <row r="978" ht="15.75" customHeight="1" s="46"/>
    <row r="979" ht="15.75" customHeight="1" s="46"/>
    <row r="980" ht="15.75" customHeight="1" s="46"/>
    <row r="981" ht="15.75" customHeight="1" s="46"/>
    <row r="982" ht="15.75" customHeight="1" s="46"/>
    <row r="983" ht="15.75" customHeight="1" s="46"/>
    <row r="984" ht="15.75" customHeight="1" s="46"/>
    <row r="985" ht="15.75" customHeight="1" s="46"/>
    <row r="986" ht="15.75" customHeight="1" s="46"/>
    <row r="987" ht="15.75" customHeight="1" s="46"/>
    <row r="988" ht="15.75" customHeight="1" s="46"/>
    <row r="989" ht="15.75" customHeight="1" s="46"/>
    <row r="990" ht="15.75" customHeight="1" s="46"/>
    <row r="991" ht="15.75" customHeight="1" s="46"/>
    <row r="992" ht="15.75" customHeight="1" s="46"/>
    <row r="993" ht="15.75" customHeight="1" s="46"/>
    <row r="994" ht="15.75" customHeight="1" s="46"/>
    <row r="995" ht="15.75" customHeight="1" s="46"/>
    <row r="996" ht="15.75" customHeight="1" s="46"/>
    <row r="997" ht="15.75" customHeight="1" s="46"/>
    <row r="998" ht="15.75" customHeight="1" s="46"/>
    <row r="999" ht="15.75" customHeight="1" s="46"/>
    <row r="1000" ht="15.75" customHeight="1" s="46"/>
  </sheetData>
  <mergeCells count="14">
    <mergeCell ref="A21:E21"/>
    <mergeCell ref="A39:E39"/>
    <mergeCell ref="N25:Q25"/>
    <mergeCell ref="A25:E25"/>
    <mergeCell ref="A2:N2"/>
    <mergeCell ref="A41:N45"/>
    <mergeCell ref="A24:AG24"/>
    <mergeCell ref="R25:U25"/>
    <mergeCell ref="V25:Y25"/>
    <mergeCell ref="Z25:AC25"/>
    <mergeCell ref="F25:I25"/>
    <mergeCell ref="J25:M25"/>
    <mergeCell ref="AD25:AG25"/>
    <mergeCell ref="A1:N1"/>
  </mergeCells>
  <pageMargins left="0.75" right="0.75" top="1" bottom="1" header="0" footer="0"/>
  <pageSetup orientation="landscape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G45"/>
  <sheetViews>
    <sheetView workbookViewId="0">
      <selection activeCell="A1" sqref="A1"/>
    </sheetView>
  </sheetViews>
  <sheetFormatPr baseColWidth="8" defaultColWidth="14.43" defaultRowHeight="15" customHeight="1"/>
  <cols>
    <col width="4" customWidth="1" style="46" min="1" max="1"/>
    <col width="10" customWidth="1" style="46" min="2" max="2"/>
    <col width="32" customWidth="1" style="46" min="3" max="3"/>
    <col width="26" customWidth="1" style="46" min="4" max="4"/>
    <col width="28" customWidth="1" style="46" min="5" max="5"/>
    <col width="14" customWidth="1" style="46" min="6" max="7"/>
    <col width="15" customWidth="1" style="46" min="8" max="9"/>
    <col width="16" customWidth="1" style="46" min="10" max="11"/>
    <col width="14" customWidth="1" style="46" min="12" max="12"/>
    <col width="15" customWidth="1" style="46" min="13" max="13"/>
    <col width="24" customWidth="1" style="46" min="14" max="14"/>
    <col width="14" customWidth="1" style="46" min="15" max="33"/>
  </cols>
  <sheetData>
    <row r="1" ht="24.75" customHeight="1" s="46">
      <c r="A1" s="47" t="inlineStr">
        <is>
          <t>CONTROL SEMANAL DE RENDIMIENTO DE MAQUINARIA (SEMANA 36)</t>
        </is>
      </c>
    </row>
    <row r="2" ht="18" customHeight="1" s="46">
      <c r="A2" s="48" t="inlineStr">
        <is>
          <t>OBRA: CARRETERA LIBRE MÉXICO-TOLUCA | PERIODO: 31/Ago/2026 - 05/Sep/2026</t>
        </is>
      </c>
    </row>
    <row r="4">
      <c r="A4" s="5" t="inlineStr">
        <is>
          <t>1. PARÁMETROS:</t>
        </is>
      </c>
      <c r="B4" s="5" t="inlineStr">
        <is>
          <t>PESO VOLUMÉTRICO ASFALTO (Ton/m³):</t>
        </is>
      </c>
      <c r="E4" s="7" t="n">
        <v>1.742</v>
      </c>
    </row>
    <row r="5">
      <c r="A5" s="5" t="inlineStr">
        <is>
          <t>2. FRESADO SEMANAL:</t>
        </is>
      </c>
      <c r="B5" s="8" t="inlineStr">
        <is>
          <t>Viajes de Fresado:</t>
        </is>
      </c>
      <c r="C5" s="41" t="n">
        <v>9</v>
      </c>
      <c r="D5" s="8" t="inlineStr">
        <is>
          <t>Volumen Fresado (m³):</t>
        </is>
      </c>
      <c r="E5" s="42" t="n">
        <v>63</v>
      </c>
    </row>
    <row r="6">
      <c r="A6" s="5" t="inlineStr">
        <is>
          <t>3. CARPETA SEMANAL:</t>
        </is>
      </c>
      <c r="B6" s="8" t="inlineStr">
        <is>
          <t>Viajes de Mezcla:</t>
        </is>
      </c>
      <c r="C6" s="41" t="n">
        <v>78</v>
      </c>
      <c r="D6" s="8" t="inlineStr">
        <is>
          <t>Volumen Carpeta (m³):</t>
        </is>
      </c>
      <c r="E6" s="42" t="n">
        <v>1092</v>
      </c>
      <c r="F6" s="8" t="inlineStr">
        <is>
          <t>Toneladas Carpeta (Ton):</t>
        </is>
      </c>
      <c r="G6" s="17">
        <f>E6*$E$4</f>
        <v/>
      </c>
    </row>
    <row r="8" ht="27.75" customHeight="1" s="46">
      <c r="A8" s="10" t="inlineStr">
        <is>
          <t>No.</t>
        </is>
      </c>
      <c r="B8" s="10" t="inlineStr">
        <is>
          <t>Económico</t>
        </is>
      </c>
      <c r="C8" s="10" t="inlineStr">
        <is>
          <t>Equipo / Maquinaria</t>
        </is>
      </c>
      <c r="D8" s="10" t="inlineStr">
        <is>
          <t>Operador Asignado</t>
        </is>
      </c>
      <c r="E8" s="10" t="inlineStr">
        <is>
          <t>Concepto de Trabajo</t>
        </is>
      </c>
      <c r="F8" s="10" t="inlineStr">
        <is>
          <t>Viajes Asignados</t>
        </is>
      </c>
      <c r="G8" s="10" t="inlineStr">
        <is>
          <t>Volumen (m³)</t>
        </is>
      </c>
      <c r="H8" s="10" t="inlineStr">
        <is>
          <t>Toneladas (Ton)</t>
        </is>
      </c>
      <c r="I8" s="10" t="inlineStr">
        <is>
          <t>Diésel Surtido (L)</t>
        </is>
      </c>
      <c r="J8" s="10" t="inlineStr">
        <is>
          <t>Rendimiento Real (L/Ton)</t>
        </is>
      </c>
      <c r="K8" s="10" t="inlineStr">
        <is>
          <t>Rendimiento Real (L/m³)</t>
        </is>
      </c>
      <c r="L8" s="10" t="inlineStr">
        <is>
          <t>Rend. Base (L/h)</t>
        </is>
      </c>
      <c r="M8" s="10" t="inlineStr">
        <is>
          <t>Horas Est. Operación</t>
        </is>
      </c>
      <c r="N8" s="10" t="inlineStr">
        <is>
          <t>Estatus Operativo</t>
        </is>
      </c>
    </row>
    <row r="9" ht="19.5" customHeight="1" s="46">
      <c r="A9" s="12" t="n">
        <v>1</v>
      </c>
      <c r="B9" s="12" t="inlineStr">
        <is>
          <t>PRR-01</t>
        </is>
      </c>
      <c r="C9" s="13" t="inlineStr">
        <is>
          <t>PERFILADORA WIRTGEN W200i</t>
        </is>
      </c>
      <c r="D9" s="13" t="inlineStr">
        <is>
          <t>JAVIER PAREDES CORTE</t>
        </is>
      </c>
      <c r="E9" s="13" t="inlineStr">
        <is>
          <t>Fresado de Pavimento</t>
        </is>
      </c>
      <c r="F9" s="14">
        <f>$C$5</f>
        <v/>
      </c>
      <c r="G9" s="37">
        <f>$E$5</f>
        <v/>
      </c>
      <c r="H9" s="18" t="inlineStr">
        <is>
          <t>-</t>
        </is>
      </c>
      <c r="I9" s="37">
        <f>AD27</f>
        <v/>
      </c>
      <c r="J9" s="19" t="inlineStr">
        <is>
          <t>-</t>
        </is>
      </c>
      <c r="K9" s="20">
        <f>IF(G9&gt;0, I9/G9, 0)</f>
        <v/>
      </c>
      <c r="L9" s="21" t="n">
        <v>67.2</v>
      </c>
      <c r="M9" s="22">
        <f>IF(L9&gt;0, I9/L9, 0)</f>
        <v/>
      </c>
      <c r="N9" s="12">
        <f>IF(I9=0, "SIN CONSUMO (Inactiva)", IF(A9=1, IF(K9&lt;=0.85, "DENTRO DE RENDIMIENTO BASE", "EXCEDE RENDIMIENTO BASE"), IF(A9=2, IF(J9&lt;=0.38, "DENTRO DE RENDIMIENTO BASE", "EXCEDE RENDIMIENTO BASE"), IF(OR(A9=3,A9=4,A9=5,A9=6), IF(J9&lt;=0.08, "DENTRO DE RENDIMIENTO BASE", "EXCEDE RENDIMIENTO BASE"), IF(A9=7, IF(J9&lt;=0.07, "DENTRO DE RENDIMIENTO BASE", "EXCEDE RENDIMIENTO BASE"), IF(A9=8, IF(K9&lt;=0.22, "DENTRO DE RENDIMIENTO BASE", "EXCEDE RENDIMIENTO BASE"), IF(A9=9, IF(J9&lt;=0.075, "DENTRO DE RENDIMIENTO BASE", "EXCEDE RENDIMIENTO BASE"), "APOYO PUNTUAL")))))))</f>
        <v/>
      </c>
    </row>
    <row r="10" ht="19.5" customHeight="1" s="46">
      <c r="A10" s="12" t="n">
        <v>2</v>
      </c>
      <c r="B10" s="12" t="inlineStr">
        <is>
          <t>VG-01</t>
        </is>
      </c>
      <c r="C10" s="13" t="inlineStr">
        <is>
          <t>PAVIMENTADORA VÖGELE SUPER 1800-3i</t>
        </is>
      </c>
      <c r="D10" s="13" t="inlineStr">
        <is>
          <t>ERWIN CUTEÑO HERNANDEZ</t>
        </is>
      </c>
      <c r="E10" s="13" t="inlineStr">
        <is>
          <t>Tendido de Mezcla Asfáltica</t>
        </is>
      </c>
      <c r="F10" s="14">
        <f>$C$6</f>
        <v/>
      </c>
      <c r="G10" s="37">
        <f>$E$6</f>
        <v/>
      </c>
      <c r="H10" s="16">
        <f>G10*$E$4</f>
        <v/>
      </c>
      <c r="I10" s="37">
        <f>AD28</f>
        <v/>
      </c>
      <c r="J10" s="20">
        <f>IF(H10&gt;0, I10/H10, 0)</f>
        <v/>
      </c>
      <c r="K10" s="20">
        <f>IF(G10&gt;0, I10/G10, 0)</f>
        <v/>
      </c>
      <c r="L10" s="21" t="n">
        <v>16.24</v>
      </c>
      <c r="M10" s="22">
        <f>IF(L10&gt;0, I10/L10, 0)</f>
        <v/>
      </c>
      <c r="N10" s="12">
        <f>IF(I10=0, "SIN CONSUMO (Inactiva)", IF(A10=1, IF(K10&lt;=0.85, "DENTRO DE RENDIMIENTO BASE", "EXCEDE RENDIMIENTO BASE"), IF(A10=2, IF(J10&lt;=0.38, "DENTRO DE RENDIMIENTO BASE", "EXCEDE RENDIMIENTO BASE"), IF(OR(A10=3,A10=4,A10=5,A10=6), IF(J10&lt;=0.08, "DENTRO DE RENDIMIENTO BASE", "EXCEDE RENDIMIENTO BASE"), IF(A10=7, IF(J10&lt;=0.07, "DENTRO DE RENDIMIENTO BASE", "EXCEDE RENDIMIENTO BASE"), IF(A10=8, IF(K10&lt;=0.22, "DENTRO DE RENDIMIENTO BASE", "EXCEDE RENDIMIENTO BASE"), IF(A10=9, IF(J10&lt;=0.075, "DENTRO DE RENDIMIENTO BASE", "EXCEDE RENDIMIENTO BASE"), "APOYO PUNTUAL")))))))</f>
        <v/>
      </c>
    </row>
    <row r="11" ht="19.5" customHeight="1" s="46">
      <c r="A11" s="12" t="n">
        <v>3</v>
      </c>
      <c r="B11" s="12" t="inlineStr">
        <is>
          <t>DR-01</t>
        </is>
      </c>
      <c r="C11" s="13" t="inlineStr">
        <is>
          <t>COMPACTADOR TÁNDEM HAMM-HD120 VV</t>
        </is>
      </c>
      <c r="D11" s="13" t="inlineStr">
        <is>
          <t>JOEL ALBERTO RIVERA RIVAS</t>
        </is>
      </c>
      <c r="E11" s="13" t="inlineStr">
        <is>
          <t>Compactación Tándem Primaria</t>
        </is>
      </c>
      <c r="F11" s="14">
        <f>$C$6</f>
        <v/>
      </c>
      <c r="G11" s="37">
        <f>$E$6</f>
        <v/>
      </c>
      <c r="H11" s="16">
        <f>G11*$E$4</f>
        <v/>
      </c>
      <c r="I11" s="37">
        <f>AD29</f>
        <v/>
      </c>
      <c r="J11" s="20">
        <f>IF(H11&gt;0, I11/H11, 0)</f>
        <v/>
      </c>
      <c r="K11" s="20">
        <f>IF(G11&gt;0, I11/G11, 0)</f>
        <v/>
      </c>
      <c r="L11" s="21" t="n">
        <v>14.3</v>
      </c>
      <c r="M11" s="22">
        <f>IF(L11&gt;0, I11/L11, 0)</f>
        <v/>
      </c>
      <c r="N11" s="12">
        <f>IF(I11=0, "SIN CONSUMO (Inactiva)", IF(A11=1, IF(K11&lt;=0.85, "DENTRO DE RENDIMIENTO BASE", "EXCEDE RENDIMIENTO BASE"), IF(A11=2, IF(J11&lt;=0.38, "DENTRO DE RENDIMIENTO BASE", "EXCEDE RENDIMIENTO BASE"), IF(OR(A11=3,A11=4,A11=5,A11=6), IF(J11&lt;=0.08, "DENTRO DE RENDIMIENTO BASE", "EXCEDE RENDIMIENTO BASE"), IF(A11=7, IF(J11&lt;=0.07, "DENTRO DE RENDIMIENTO BASE", "EXCEDE RENDIMIENTO BASE"), IF(A11=8, IF(K11&lt;=0.22, "DENTRO DE RENDIMIENTO BASE", "EXCEDE RENDIMIENTO BASE"), IF(A11=9, IF(J11&lt;=0.075, "DENTRO DE RENDIMIENTO BASE", "EXCEDE RENDIMIENTO BASE"), "APOYO PUNTUAL")))))))</f>
        <v/>
      </c>
    </row>
    <row r="12" ht="19.5" customHeight="1" s="46">
      <c r="A12" s="12" t="n">
        <v>4</v>
      </c>
      <c r="B12" s="12" t="inlineStr">
        <is>
          <t>DR-02</t>
        </is>
      </c>
      <c r="C12" s="13" t="inlineStr">
        <is>
          <t>COMPACTADOR TÁNDEM HAMM-HD140</t>
        </is>
      </c>
      <c r="D12" s="13" t="inlineStr">
        <is>
          <t>ALEXIS RENDON DOMINGUEZ</t>
        </is>
      </c>
      <c r="E12" s="13" t="inlineStr">
        <is>
          <t>Compactación Tándem Pesada</t>
        </is>
      </c>
      <c r="F12" s="14">
        <f>$C$6</f>
        <v/>
      </c>
      <c r="G12" s="37">
        <f>$E$6</f>
        <v/>
      </c>
      <c r="H12" s="16">
        <f>G12*$E$4</f>
        <v/>
      </c>
      <c r="I12" s="37">
        <f>AD30</f>
        <v/>
      </c>
      <c r="J12" s="20">
        <f>IF(H12&gt;0, I12/H12, 0)</f>
        <v/>
      </c>
      <c r="K12" s="20">
        <f>IF(G12&gt;0, I12/G12, 0)</f>
        <v/>
      </c>
      <c r="L12" s="21" t="n">
        <v>14.3</v>
      </c>
      <c r="M12" s="22">
        <f>IF(L12&gt;0, I12/L12, 0)</f>
        <v/>
      </c>
      <c r="N12" s="12">
        <f>IF(I12=0, "SIN CONSUMO (Inactiva)", IF(A12=1, IF(K12&lt;=0.85, "DENTRO DE RENDIMIENTO BASE", "EXCEDE RENDIMIENTO BASE"), IF(A12=2, IF(J12&lt;=0.38, "DENTRO DE RENDIMIENTO BASE", "EXCEDE RENDIMIENTO BASE"), IF(OR(A12=3,A12=4,A12=5,A12=6), IF(J12&lt;=0.08, "DENTRO DE RENDIMIENTO BASE", "EXCEDE RENDIMIENTO BASE"), IF(A12=7, IF(J12&lt;=0.07, "DENTRO DE RENDIMIENTO BASE", "EXCEDE RENDIMIENTO BASE"), IF(A12=8, IF(K12&lt;=0.22, "DENTRO DE RENDIMIENTO BASE", "EXCEDE RENDIMIENTO BASE"), IF(A12=9, IF(J12&lt;=0.075, "DENTRO DE RENDIMIENTO BASE", "EXCEDE RENDIMIENTO BASE"), "APOYO PUNTUAL")))))))</f>
        <v/>
      </c>
    </row>
    <row r="13" ht="19.5" customHeight="1" s="46">
      <c r="A13" s="12" t="n">
        <v>5</v>
      </c>
      <c r="B13" s="12" t="inlineStr">
        <is>
          <t>NM-01</t>
        </is>
      </c>
      <c r="C13" s="13" t="inlineStr">
        <is>
          <t>COMPACTADOR NEUMÁTICO DYNAPAC CP271</t>
        </is>
      </c>
      <c r="D13" s="13" t="inlineStr">
        <is>
          <t>JOSE CARLOS ROMERO TELLEZ</t>
        </is>
      </c>
      <c r="E13" s="13" t="inlineStr">
        <is>
          <t>Compactación Neumática / Sellado</t>
        </is>
      </c>
      <c r="F13" s="14">
        <f>$C$6</f>
        <v/>
      </c>
      <c r="G13" s="37">
        <f>$E$6</f>
        <v/>
      </c>
      <c r="H13" s="16">
        <f>G13*$E$4</f>
        <v/>
      </c>
      <c r="I13" s="37">
        <f>AD31</f>
        <v/>
      </c>
      <c r="J13" s="20">
        <f>IF(H13&gt;0, I13/H13, 0)</f>
        <v/>
      </c>
      <c r="K13" s="20">
        <f>IF(G13&gt;0, I13/G13, 0)</f>
        <v/>
      </c>
      <c r="L13" s="21" t="n">
        <v>11.44</v>
      </c>
      <c r="M13" s="22">
        <f>IF(L13&gt;0, I13/L13, 0)</f>
        <v/>
      </c>
      <c r="N13" s="12">
        <f>IF(I13=0, "SIN CONSUMO (Inactiva)", IF(A13=1, IF(K13&lt;=0.85, "DENTRO DE RENDIMIENTO BASE", "EXCEDE RENDIMIENTO BASE"), IF(A13=2, IF(J13&lt;=0.38, "DENTRO DE RENDIMIENTO BASE", "EXCEDE RENDIMIENTO BASE"), IF(OR(A13=3,A13=4,A13=5,A13=6), IF(J13&lt;=0.08, "DENTRO DE RENDIMIENTO BASE", "EXCEDE RENDIMIENTO BASE"), IF(A13=7, IF(J13&lt;=0.07, "DENTRO DE RENDIMIENTO BASE", "EXCEDE RENDIMIENTO BASE"), IF(A13=8, IF(K13&lt;=0.22, "DENTRO DE RENDIMIENTO BASE", "EXCEDE RENDIMIENTO BASE"), IF(A13=9, IF(J13&lt;=0.075, "DENTRO DE RENDIMIENTO BASE", "EXCEDE RENDIMIENTO BASE"), "APOYO PUNTUAL")))))))</f>
        <v/>
      </c>
    </row>
    <row r="14" ht="19.5" customHeight="1" s="46">
      <c r="A14" s="12" t="n">
        <v>6</v>
      </c>
      <c r="B14" s="12" t="inlineStr">
        <is>
          <t>NM-09</t>
        </is>
      </c>
      <c r="C14" s="13" t="inlineStr">
        <is>
          <t>COMPACTADOR NEUMÁTICO HAMM 208</t>
        </is>
      </c>
      <c r="D14" s="13" t="inlineStr">
        <is>
          <t>NOLVIN DE JESUS PEREZ GOMEZ</t>
        </is>
      </c>
      <c r="E14" s="13" t="inlineStr">
        <is>
          <t>Compactación Neumática / Acabado</t>
        </is>
      </c>
      <c r="F14" s="14">
        <f>$C$6</f>
        <v/>
      </c>
      <c r="G14" s="37">
        <f>$E$6</f>
        <v/>
      </c>
      <c r="H14" s="16">
        <f>G14*$E$4</f>
        <v/>
      </c>
      <c r="I14" s="37">
        <f>AD32</f>
        <v/>
      </c>
      <c r="J14" s="20">
        <f>IF(H14&gt;0, I14/H14, 0)</f>
        <v/>
      </c>
      <c r="K14" s="20">
        <f>IF(G14&gt;0, I14/G14, 0)</f>
        <v/>
      </c>
      <c r="L14" s="21" t="n">
        <v>10.96</v>
      </c>
      <c r="M14" s="22">
        <f>IF(L14&gt;0, I14/L14, 0)</f>
        <v/>
      </c>
      <c r="N14" s="12">
        <f>IF(I14=0, "SIN CONSUMO (Inactiva)", IF(A14=1, IF(K14&lt;=0.85, "DENTRO DE RENDIMIENTO BASE", "EXCEDE RENDIMIENTO BASE"), IF(A14=2, IF(J14&lt;=0.38, "DENTRO DE RENDIMIENTO BASE", "EXCEDE RENDIMIENTO BASE"), IF(OR(A14=3,A14=4,A14=5,A14=6), IF(J14&lt;=0.08, "DENTRO DE RENDIMIENTO BASE", "EXCEDE RENDIMIENTO BASE"), IF(A14=7, IF(J14&lt;=0.07, "DENTRO DE RENDIMIENTO BASE", "EXCEDE RENDIMIENTO BASE"), IF(A14=8, IF(K14&lt;=0.22, "DENTRO DE RENDIMIENTO BASE", "EXCEDE RENDIMIENTO BASE"), IF(A14=9, IF(J14&lt;=0.075, "DENTRO DE RENDIMIENTO BASE", "EXCEDE RENDIMIENTO BASE"), "APOYO PUNTUAL")))))))</f>
        <v/>
      </c>
    </row>
    <row r="15" ht="19.5" customHeight="1" s="46">
      <c r="A15" s="12" t="n">
        <v>7</v>
      </c>
      <c r="B15" s="12" t="inlineStr">
        <is>
          <t>BR-01</t>
        </is>
      </c>
      <c r="C15" s="13" t="inlineStr">
        <is>
          <t>BARREDORA INDUSTRIAL BROCE BROOM-350</t>
        </is>
      </c>
      <c r="D15" s="13" t="inlineStr">
        <is>
          <t>EDGAR ROSALES MARTINEZ</t>
        </is>
      </c>
      <c r="E15" s="13" t="inlineStr">
        <is>
          <t>Limpieza y Barrido Previo</t>
        </is>
      </c>
      <c r="F15" s="14">
        <f>$C$6</f>
        <v/>
      </c>
      <c r="G15" s="37">
        <f>$E$6</f>
        <v/>
      </c>
      <c r="H15" s="16">
        <f>G15*$E$4</f>
        <v/>
      </c>
      <c r="I15" s="37">
        <f>AD33</f>
        <v/>
      </c>
      <c r="J15" s="20">
        <f>IF(H15&gt;0, I15/H15, 0)</f>
        <v/>
      </c>
      <c r="K15" s="20">
        <f>IF(G15&gt;0, I15/G15, 0)</f>
        <v/>
      </c>
      <c r="L15" s="21" t="n">
        <v>8.94</v>
      </c>
      <c r="M15" s="22">
        <f>IF(L15&gt;0, I15/L15, 0)</f>
        <v/>
      </c>
      <c r="N15" s="12">
        <f>IF(I15=0, "SIN CONSUMO (Inactiva)", IF(A15=1, IF(K15&lt;=0.85, "DENTRO DE RENDIMIENTO BASE", "EXCEDE RENDIMIENTO BASE"), IF(A15=2, IF(J15&lt;=0.38, "DENTRO DE RENDIMIENTO BASE", "EXCEDE RENDIMIENTO BASE"), IF(OR(A15=3,A15=4,A15=5,A15=6), IF(J15&lt;=0.08, "DENTRO DE RENDIMIENTO BASE", "EXCEDE RENDIMIENTO BASE"), IF(A15=7, IF(J15&lt;=0.07, "DENTRO DE RENDIMIENTO BASE", "EXCEDE RENDIMIENTO BASE"), IF(A15=8, IF(K15&lt;=0.22, "DENTRO DE RENDIMIENTO BASE", "EXCEDE RENDIMIENTO BASE"), IF(A15=9, IF(J15&lt;=0.075, "DENTRO DE RENDIMIENTO BASE", "EXCEDE RENDIMIENTO BASE"), "APOYO PUNTUAL")))))))</f>
        <v/>
      </c>
    </row>
    <row r="16" ht="19.5" customHeight="1" s="46">
      <c r="A16" s="12" t="n">
        <v>8</v>
      </c>
      <c r="B16" s="12" t="inlineStr">
        <is>
          <t>RT-05</t>
        </is>
      </c>
      <c r="C16" s="13" t="inlineStr">
        <is>
          <t>RETROEXCAVADORA JOHN DEERE 310SK</t>
        </is>
      </c>
      <c r="D16" s="13" t="inlineStr">
        <is>
          <t>ADOLFO NAVA LOPEZ</t>
        </is>
      </c>
      <c r="E16" s="13" t="inlineStr">
        <is>
          <t>Carga Fresado y Derrumbes</t>
        </is>
      </c>
      <c r="F16" s="14">
        <f>$C$5</f>
        <v/>
      </c>
      <c r="G16" s="37">
        <f>$E$5</f>
        <v/>
      </c>
      <c r="H16" s="18" t="inlineStr">
        <is>
          <t>-</t>
        </is>
      </c>
      <c r="I16" s="37">
        <f>AD34</f>
        <v/>
      </c>
      <c r="J16" s="19" t="inlineStr">
        <is>
          <t>-</t>
        </is>
      </c>
      <c r="K16" s="20">
        <f>IF(G16&gt;0, I16/G16, 0)</f>
        <v/>
      </c>
      <c r="L16" s="21" t="n">
        <v>7.44</v>
      </c>
      <c r="M16" s="22">
        <f>IF(L16&gt;0, I16/L16, 0)</f>
        <v/>
      </c>
      <c r="N16" s="12">
        <f>IF(I16=0, "SIN CONSUMO (Inactiva)", IF(A16=1, IF(K16&lt;=0.85, "DENTRO DE RENDIMIENTO BASE", "EXCEDE RENDIMIENTO BASE"), IF(A16=2, IF(J16&lt;=0.38, "DENTRO DE RENDIMIENTO BASE", "EXCEDE RENDIMIENTO BASE"), IF(OR(A16=3,A16=4,A16=5,A16=6), IF(J16&lt;=0.08, "DENTRO DE RENDIMIENTO BASE", "EXCEDE RENDIMIENTO BASE"), IF(A16=7, IF(J16&lt;=0.07, "DENTRO DE RENDIMIENTO BASE", "EXCEDE RENDIMIENTO BASE"), IF(A16=8, IF(K16&lt;=0.22, "DENTRO DE RENDIMIENTO BASE", "EXCEDE RENDIMIENTO BASE"), IF(A16=9, IF(J16&lt;=0.075, "DENTRO DE RENDIMIENTO BASE", "EXCEDE RENDIMIENTO BASE"), "APOYO PUNTUAL")))))))</f>
        <v/>
      </c>
    </row>
    <row r="17" ht="19.5" customHeight="1" s="46">
      <c r="A17" s="12" t="n">
        <v>9</v>
      </c>
      <c r="B17" s="12" t="inlineStr">
        <is>
          <t>PT-01</t>
        </is>
      </c>
      <c r="C17" s="13" t="inlineStr">
        <is>
          <t>PETROLIZADORA INTERNATIONAL / FORD F800</t>
        </is>
      </c>
      <c r="D17" s="13" t="inlineStr">
        <is>
          <t>ELTHON EDUARDO MARTINEZ GOMORA</t>
        </is>
      </c>
      <c r="E17" s="13" t="inlineStr">
        <is>
          <t>Riego de Liga / Emulsión</t>
        </is>
      </c>
      <c r="F17" s="14">
        <f>$C$6</f>
        <v/>
      </c>
      <c r="G17" s="37">
        <f>$E$6</f>
        <v/>
      </c>
      <c r="H17" s="16">
        <f>G17*$E$4</f>
        <v/>
      </c>
      <c r="I17" s="37">
        <f>AD35</f>
        <v/>
      </c>
      <c r="J17" s="20">
        <f>IF(H17&gt;0, I17/H17, 0)</f>
        <v/>
      </c>
      <c r="K17" s="20">
        <f>IF(G17&gt;0, I17/G17, 0)</f>
        <v/>
      </c>
      <c r="L17" s="21" t="n">
        <v>12.76</v>
      </c>
      <c r="M17" s="22">
        <f>IF(L17&gt;0, I17/L17, 0)</f>
        <v/>
      </c>
      <c r="N17" s="12">
        <f>IF(I17=0, "SIN CONSUMO (Inactiva)", IF(A17=1, IF(K17&lt;=0.85, "DENTRO DE RENDIMIENTO BASE", "EXCEDE RENDIMIENTO BASE"), IF(A17=2, IF(J17&lt;=0.38, "DENTRO DE RENDIMIENTO BASE", "EXCEDE RENDIMIENTO BASE"), IF(OR(A17=3,A17=4,A17=5,A17=6), IF(J17&lt;=0.08, "DENTRO DE RENDIMIENTO BASE", "EXCEDE RENDIMIENTO BASE"), IF(A17=7, IF(J17&lt;=0.07, "DENTRO DE RENDIMIENTO BASE", "EXCEDE RENDIMIENTO BASE"), IF(A17=8, IF(K17&lt;=0.22, "DENTRO DE RENDIMIENTO BASE", "EXCEDE RENDIMIENTO BASE"), IF(A17=9, IF(J17&lt;=0.075, "DENTRO DE RENDIMIENTO BASE", "EXCEDE RENDIMIENTO BASE"), "APOYO PUNTUAL")))))))</f>
        <v/>
      </c>
    </row>
    <row r="18" ht="19.5" customHeight="1" s="46">
      <c r="A18" s="12" t="n">
        <v>10</v>
      </c>
      <c r="B18" s="12" t="inlineStr">
        <is>
          <t>CPR-01</t>
        </is>
      </c>
      <c r="C18" s="13" t="inlineStr">
        <is>
          <t>COMPRESOR DE AIRE INGERSOLL RAND IR185</t>
        </is>
      </c>
      <c r="D18" s="13" t="inlineStr">
        <is>
          <t>CUADRILLA DE LIMPIEZA</t>
        </is>
      </c>
      <c r="E18" s="13" t="inlineStr">
        <is>
          <t>Sopleteado de Juntas</t>
        </is>
      </c>
      <c r="F18" s="14">
        <f>$C$6</f>
        <v/>
      </c>
      <c r="G18" s="37">
        <f>$E$6</f>
        <v/>
      </c>
      <c r="H18" s="16">
        <f>G18*$E$4</f>
        <v/>
      </c>
      <c r="I18" s="37">
        <f>AD36</f>
        <v/>
      </c>
      <c r="J18" s="20">
        <f>IF(H18&gt;0, I18/H18, 0)</f>
        <v/>
      </c>
      <c r="K18" s="20">
        <f>IF(G18&gt;0, I18/G18, 0)</f>
        <v/>
      </c>
      <c r="L18" s="21" t="n">
        <v>9.970000000000001</v>
      </c>
      <c r="M18" s="22">
        <f>IF(L18&gt;0, I18/L18, 0)</f>
        <v/>
      </c>
      <c r="N18" s="12">
        <f>IF(I18=0, "SIN CONSUMO (Inactiva)", IF(A18=1, IF(K18&lt;=0.85, "DENTRO DE RENDIMIENTO BASE", "EXCEDE RENDIMIENTO BASE"), IF(A18=2, IF(J18&lt;=0.38, "DENTRO DE RENDIMIENTO BASE", "EXCEDE RENDIMIENTO BASE"), IF(OR(A18=3,A18=4,A18=5,A18=6), IF(J18&lt;=0.08, "DENTRO DE RENDIMIENTO BASE", "EXCEDE RENDIMIENTO BASE"), IF(A18=7, IF(J18&lt;=0.07, "DENTRO DE RENDIMIENTO BASE", "EXCEDE RENDIMIENTO BASE"), IF(A18=8, IF(K18&lt;=0.22, "DENTRO DE RENDIMIENTO BASE", "EXCEDE RENDIMIENTO BASE"), IF(A18=9, IF(J18&lt;=0.075, "DENTRO DE RENDIMIENTO BASE", "EXCEDE RENDIMIENTO BASE"), "APOYO PUNTUAL")))))))</f>
        <v/>
      </c>
    </row>
    <row r="19" ht="19.5" customHeight="1" s="46">
      <c r="A19" s="12" t="n">
        <v>11</v>
      </c>
      <c r="B19" s="12" t="inlineStr">
        <is>
          <t>PP-01</t>
        </is>
      </c>
      <c r="C19" s="13" t="inlineStr">
        <is>
          <t>CAMIÓN IMPACTO / PIPA DE AGUA FORD</t>
        </is>
      </c>
      <c r="D19" s="13" t="inlineStr">
        <is>
          <t>CUADRILLA DE AGUA</t>
        </is>
      </c>
      <c r="E19" s="13" t="inlineStr">
        <is>
          <t>Enfriamiento Rodillos / Riego</t>
        </is>
      </c>
      <c r="F19" s="14">
        <f>$C$6</f>
        <v/>
      </c>
      <c r="G19" s="37">
        <f>$E$6</f>
        <v/>
      </c>
      <c r="H19" s="16">
        <f>G19*$E$4</f>
        <v/>
      </c>
      <c r="I19" s="37">
        <f>AD37</f>
        <v/>
      </c>
      <c r="J19" s="20">
        <f>IF(H19&gt;0, I19/H19, 0)</f>
        <v/>
      </c>
      <c r="K19" s="20">
        <f>IF(G19&gt;0, I19/G19, 0)</f>
        <v/>
      </c>
      <c r="L19" s="21" t="n">
        <v>3.03</v>
      </c>
      <c r="M19" s="22">
        <f>IF(L19&gt;0, I19/L19, 0)</f>
        <v/>
      </c>
      <c r="N19" s="12">
        <f>IF(I19=0, "SIN CONSUMO (Inactiva)", IF(A19=1, IF(K19&lt;=0.85, "DENTRO DE RENDIMIENTO BASE", "EXCEDE RENDIMIENTO BASE"), IF(A19=2, IF(J19&lt;=0.38, "DENTRO DE RENDIMIENTO BASE", "EXCEDE RENDIMIENTO BASE"), IF(OR(A19=3,A19=4,A19=5,A19=6), IF(J19&lt;=0.08, "DENTRO DE RENDIMIENTO BASE", "EXCEDE RENDIMIENTO BASE"), IF(A19=7, IF(J19&lt;=0.07, "DENTRO DE RENDIMIENTO BASE", "EXCEDE RENDIMIENTO BASE"), IF(A19=8, IF(K19&lt;=0.22, "DENTRO DE RENDIMIENTO BASE", "EXCEDE RENDIMIENTO BASE"), IF(A19=9, IF(J19&lt;=0.075, "DENTRO DE RENDIMIENTO BASE", "EXCEDE RENDIMIENTO BASE"), "APOYO PUNTUAL")))))))</f>
        <v/>
      </c>
    </row>
    <row r="20" ht="19.5" customHeight="1" s="46">
      <c r="A20" s="12" t="n">
        <v>12</v>
      </c>
      <c r="B20" s="12" t="inlineStr">
        <is>
          <t>TL-01</t>
        </is>
      </c>
      <c r="C20" s="13" t="inlineStr">
        <is>
          <t>TORRE DE LUZ MAXILIGHT 4X1000W</t>
        </is>
      </c>
      <c r="D20" s="13" t="inlineStr">
        <is>
          <t>CUADRILLA NOCTURNA</t>
        </is>
      </c>
      <c r="E20" s="13" t="inlineStr">
        <is>
          <t>Iluminación Nocturna</t>
        </is>
      </c>
      <c r="F20" s="14">
        <f>$C$6</f>
        <v/>
      </c>
      <c r="G20" s="37">
        <f>$E$6</f>
        <v/>
      </c>
      <c r="H20" s="16">
        <f>G20*$E$4</f>
        <v/>
      </c>
      <c r="I20" s="37">
        <f>AD38</f>
        <v/>
      </c>
      <c r="J20" s="20">
        <f>IF(H20&gt;0, I20/H20, 0)</f>
        <v/>
      </c>
      <c r="K20" s="20">
        <f>IF(G20&gt;0, I20/G20, 0)</f>
        <v/>
      </c>
      <c r="L20" s="21" t="n">
        <v>2.41</v>
      </c>
      <c r="M20" s="22">
        <f>IF(L20&gt;0, I20/L20, 0)</f>
        <v/>
      </c>
      <c r="N20" s="12">
        <f>IF(I20=0, "SIN CONSUMO (Inactiva)", IF(A20=1, IF(K20&lt;=0.85, "DENTRO DE RENDIMIENTO BASE", "EXCEDE RENDIMIENTO BASE"), IF(A20=2, IF(J20&lt;=0.38, "DENTRO DE RENDIMIENTO BASE", "EXCEDE RENDIMIENTO BASE"), IF(OR(A20=3,A20=4,A20=5,A20=6), IF(J20&lt;=0.08, "DENTRO DE RENDIMIENTO BASE", "EXCEDE RENDIMIENTO BASE"), IF(A20=7, IF(J20&lt;=0.07, "DENTRO DE RENDIMIENTO BASE", "EXCEDE RENDIMIENTO BASE"), IF(A20=8, IF(K20&lt;=0.22, "DENTRO DE RENDIMIENTO BASE", "EXCEDE RENDIMIENTO BASE"), IF(A20=9, IF(J20&lt;=0.075, "DENTRO DE RENDIMIENTO BASE", "EXCEDE RENDIMIENTO BASE"), "APOYO PUNTUAL")))))))</f>
        <v/>
      </c>
    </row>
    <row r="21" ht="21.75" customHeight="1" s="46">
      <c r="A21" s="30" t="inlineStr">
        <is>
          <t>TOTAL SEMANA 36 (OBRA CARRETERA MÉXICO-TOLUCA)</t>
        </is>
      </c>
      <c r="B21" s="50" t="n"/>
      <c r="C21" s="50" t="n"/>
      <c r="D21" s="50" t="n"/>
      <c r="E21" s="51" t="n"/>
      <c r="F21" s="26">
        <f>C5+C6</f>
        <v/>
      </c>
      <c r="G21" s="27">
        <f>E5+E6</f>
        <v/>
      </c>
      <c r="H21" s="28">
        <f>G6</f>
        <v/>
      </c>
      <c r="I21" s="27">
        <f>SUM(I9:I20)</f>
        <v/>
      </c>
      <c r="J21" s="29">
        <f>IF(H21&gt;0, I21/H21, 0)</f>
        <v/>
      </c>
      <c r="K21" s="29">
        <f>IF(G21&gt;0, I21/G21, 0)</f>
        <v/>
      </c>
      <c r="L21" s="30" t="inlineStr">
        <is>
          <t>—</t>
        </is>
      </c>
      <c r="M21" s="31">
        <f>SUM(M9:M20)</f>
        <v/>
      </c>
      <c r="N21" s="30" t="inlineStr">
        <is>
          <t>SEMANA REGISTRADA</t>
        </is>
      </c>
    </row>
    <row r="22" ht="15.75" customHeight="1" s="46"/>
    <row r="23" ht="15.75" customHeight="1" s="46"/>
    <row r="24" ht="24" customHeight="1" s="46">
      <c r="A24" s="96" t="inlineStr">
        <is>
          <t>DESGLOSE DIARIO DE COMBUSTIBLE, VOLUMEN, TONELAJE Y RENDIMIENTO — SEMANA 36</t>
        </is>
      </c>
    </row>
    <row r="25" ht="19.5" customHeight="1" s="46">
      <c r="A25" s="48" t="inlineStr">
        <is>
          <t>DATOS DEL EQUIPO</t>
        </is>
      </c>
      <c r="F25" s="48" t="inlineStr">
        <is>
          <t>LUNES</t>
        </is>
      </c>
      <c r="J25" s="48" t="inlineStr">
        <is>
          <t>MARTES</t>
        </is>
      </c>
      <c r="N25" s="48" t="inlineStr">
        <is>
          <t>MIÉRCOLES</t>
        </is>
      </c>
      <c r="R25" s="48" t="inlineStr">
        <is>
          <t>JUEVES</t>
        </is>
      </c>
      <c r="V25" s="48" t="inlineStr">
        <is>
          <t>VIERNES</t>
        </is>
      </c>
      <c r="Z25" s="48" t="inlineStr">
        <is>
          <t>SÁBADO</t>
        </is>
      </c>
      <c r="AD25" s="97" t="inlineStr">
        <is>
          <t>TOTAL SEMANAL</t>
        </is>
      </c>
    </row>
    <row r="26" ht="25.5" customHeight="1" s="46">
      <c r="A26" s="34" t="inlineStr">
        <is>
          <t>No.</t>
        </is>
      </c>
      <c r="B26" s="34" t="inlineStr">
        <is>
          <t>Económico</t>
        </is>
      </c>
      <c r="C26" s="34" t="inlineStr">
        <is>
          <t>Equipo / Maquinaria</t>
        </is>
      </c>
      <c r="D26" s="34" t="inlineStr">
        <is>
          <t>Operador Asignado</t>
        </is>
      </c>
      <c r="E26" s="34" t="inlineStr">
        <is>
          <t>Concepto de Trabajo</t>
        </is>
      </c>
      <c r="F26" s="34" t="inlineStr">
        <is>
          <t>Diésel (L)</t>
        </is>
      </c>
      <c r="G26" s="34" t="inlineStr">
        <is>
          <t>Volumen (m³)</t>
        </is>
      </c>
      <c r="H26" s="34" t="inlineStr">
        <is>
          <t>Toneladas (Ton)</t>
        </is>
      </c>
      <c r="I26" s="34" t="inlineStr">
        <is>
          <t>Rendimiento Real</t>
        </is>
      </c>
      <c r="J26" s="34" t="inlineStr">
        <is>
          <t>Diésel (L)</t>
        </is>
      </c>
      <c r="K26" s="34" t="inlineStr">
        <is>
          <t>Volumen (m³)</t>
        </is>
      </c>
      <c r="L26" s="34" t="inlineStr">
        <is>
          <t>Toneladas (Ton)</t>
        </is>
      </c>
      <c r="M26" s="34" t="inlineStr">
        <is>
          <t>Rendimiento Real</t>
        </is>
      </c>
      <c r="N26" s="34" t="inlineStr">
        <is>
          <t>Diésel (L)</t>
        </is>
      </c>
      <c r="O26" s="34" t="inlineStr">
        <is>
          <t>Volumen (m³)</t>
        </is>
      </c>
      <c r="P26" s="34" t="inlineStr">
        <is>
          <t>Toneladas (Ton)</t>
        </is>
      </c>
      <c r="Q26" s="34" t="inlineStr">
        <is>
          <t>Rendimiento Real</t>
        </is>
      </c>
      <c r="R26" s="34" t="inlineStr">
        <is>
          <t>Diésel (L)</t>
        </is>
      </c>
      <c r="S26" s="34" t="inlineStr">
        <is>
          <t>Volumen (m³)</t>
        </is>
      </c>
      <c r="T26" s="34" t="inlineStr">
        <is>
          <t>Toneladas (Ton)</t>
        </is>
      </c>
      <c r="U26" s="34" t="inlineStr">
        <is>
          <t>Rendimiento Real</t>
        </is>
      </c>
      <c r="V26" s="34" t="inlineStr">
        <is>
          <t>Diésel (L)</t>
        </is>
      </c>
      <c r="W26" s="34" t="inlineStr">
        <is>
          <t>Volumen (m³)</t>
        </is>
      </c>
      <c r="X26" s="34" t="inlineStr">
        <is>
          <t>Toneladas (Ton)</t>
        </is>
      </c>
      <c r="Y26" s="34" t="inlineStr">
        <is>
          <t>Rendimiento Real</t>
        </is>
      </c>
      <c r="Z26" s="34" t="inlineStr">
        <is>
          <t>Diésel (L)</t>
        </is>
      </c>
      <c r="AA26" s="34" t="inlineStr">
        <is>
          <t>Volumen (m³)</t>
        </is>
      </c>
      <c r="AB26" s="34" t="inlineStr">
        <is>
          <t>Toneladas (Ton)</t>
        </is>
      </c>
      <c r="AC26" s="34" t="inlineStr">
        <is>
          <t>Rendimiento Real</t>
        </is>
      </c>
      <c r="AD26" s="35" t="inlineStr">
        <is>
          <t>Total Diésel (L)</t>
        </is>
      </c>
      <c r="AE26" s="35" t="inlineStr">
        <is>
          <t>Total Vol (m³)</t>
        </is>
      </c>
      <c r="AF26" s="35" t="inlineStr">
        <is>
          <t>Total Ton (Ton)</t>
        </is>
      </c>
      <c r="AG26" s="35" t="inlineStr">
        <is>
          <t>Rend. Promedio</t>
        </is>
      </c>
    </row>
    <row r="27" ht="18.75" customHeight="1" s="46">
      <c r="A27" s="12" t="n">
        <v>1</v>
      </c>
      <c r="B27" s="12" t="inlineStr">
        <is>
          <t>PRR-01</t>
        </is>
      </c>
      <c r="C27" s="13" t="inlineStr">
        <is>
          <t>PERFILADORA WIRTGEN W200i</t>
        </is>
      </c>
      <c r="D27" s="13" t="inlineStr">
        <is>
          <t>JAVIER PAREDES CORTE</t>
        </is>
      </c>
      <c r="E27" s="13" t="inlineStr">
        <is>
          <t>Fresado de Pavimento</t>
        </is>
      </c>
      <c r="F27" s="37" t="n">
        <v>0</v>
      </c>
      <c r="G27" s="37" t="n">
        <v>7</v>
      </c>
      <c r="H27" s="16">
        <f>G27*$E$4</f>
        <v/>
      </c>
      <c r="I27" s="20">
        <f>IF(G27&gt;0, F27/G27, 0)</f>
        <v/>
      </c>
      <c r="J27" s="37" t="n">
        <v>0</v>
      </c>
      <c r="K27" s="37" t="n">
        <v>21</v>
      </c>
      <c r="L27" s="16">
        <f>K27*$E$4</f>
        <v/>
      </c>
      <c r="M27" s="20">
        <f>IF(K27&gt;0, J27/K27, 0)</f>
        <v/>
      </c>
      <c r="N27" s="37" t="n">
        <v>500</v>
      </c>
      <c r="O27" s="37" t="n">
        <v>14</v>
      </c>
      <c r="P27" s="16">
        <f>O27*$E$4</f>
        <v/>
      </c>
      <c r="Q27" s="20">
        <f>IF(O27&gt;0, N27/O27, 0)</f>
        <v/>
      </c>
      <c r="R27" s="37" t="n">
        <v>250</v>
      </c>
      <c r="S27" s="37" t="n">
        <v>7</v>
      </c>
      <c r="T27" s="16">
        <f>S27*$E$4</f>
        <v/>
      </c>
      <c r="U27" s="20">
        <f>IF(S27&gt;0, R27/S27, 0)</f>
        <v/>
      </c>
      <c r="V27" s="37" t="n">
        <v>0</v>
      </c>
      <c r="W27" s="37" t="n">
        <v>7</v>
      </c>
      <c r="X27" s="16">
        <f>W27*$E$4</f>
        <v/>
      </c>
      <c r="Y27" s="20">
        <f>IF(W27&gt;0, V27/W27, 0)</f>
        <v/>
      </c>
      <c r="Z27" s="37" t="n">
        <v>0</v>
      </c>
      <c r="AA27" s="37" t="n">
        <v>7</v>
      </c>
      <c r="AB27" s="16">
        <f>AA27*$E$4</f>
        <v/>
      </c>
      <c r="AC27" s="20">
        <f>IF(AA27&gt;0, Z27/AA27, 0)</f>
        <v/>
      </c>
      <c r="AD27" s="37">
        <f>F27+J27+N27+R27+V27+Z27</f>
        <v/>
      </c>
      <c r="AE27" s="37">
        <f>G27+K27+O27+S27+W27+AA27</f>
        <v/>
      </c>
      <c r="AF27" s="16">
        <f>H27+L27+P27+T27+X27+AB27</f>
        <v/>
      </c>
      <c r="AG27" s="20">
        <f>IF(AE27&gt;0, AD27/AE27, 0)</f>
        <v/>
      </c>
    </row>
    <row r="28" ht="18.75" customHeight="1" s="46">
      <c r="A28" s="12" t="n">
        <v>2</v>
      </c>
      <c r="B28" s="12" t="inlineStr">
        <is>
          <t>VG-01</t>
        </is>
      </c>
      <c r="C28" s="13" t="inlineStr">
        <is>
          <t>PAVIMENTADORA VÖGELE SUPER 1800-3i</t>
        </is>
      </c>
      <c r="D28" s="13" t="inlineStr">
        <is>
          <t>ERWIN CUTEÑO HERNANDEZ</t>
        </is>
      </c>
      <c r="E28" s="13" t="inlineStr">
        <is>
          <t>Tendido de Mezcla Asfáltica</t>
        </is>
      </c>
      <c r="F28" s="37" t="n">
        <v>0</v>
      </c>
      <c r="G28" s="37" t="n">
        <v>182</v>
      </c>
      <c r="H28" s="16">
        <f>G28*$E$4</f>
        <v/>
      </c>
      <c r="I28" s="20">
        <f>IF(H28&gt;0, F28/H28, 0)</f>
        <v/>
      </c>
      <c r="J28" s="37" t="n">
        <v>150</v>
      </c>
      <c r="K28" s="37" t="n">
        <v>280</v>
      </c>
      <c r="L28" s="16">
        <f>K28*$E$4</f>
        <v/>
      </c>
      <c r="M28" s="20">
        <f>IF(L28&gt;0, J28/L28, 0)</f>
        <v/>
      </c>
      <c r="N28" s="37" t="n">
        <v>200</v>
      </c>
      <c r="O28" s="37" t="n">
        <v>196</v>
      </c>
      <c r="P28" s="16">
        <f>O28*$E$4</f>
        <v/>
      </c>
      <c r="Q28" s="20">
        <f>IF(P28&gt;0, N28/P28, 0)</f>
        <v/>
      </c>
      <c r="R28" s="37" t="n">
        <v>230</v>
      </c>
      <c r="S28" s="37" t="n">
        <v>210</v>
      </c>
      <c r="T28" s="16">
        <f>S28*$E$4</f>
        <v/>
      </c>
      <c r="U28" s="20">
        <f>IF(T28&gt;0, R28/T28, 0)</f>
        <v/>
      </c>
      <c r="V28" s="37" t="n">
        <v>0</v>
      </c>
      <c r="W28" s="37" t="n">
        <v>224</v>
      </c>
      <c r="X28" s="16">
        <f>W28*$E$4</f>
        <v/>
      </c>
      <c r="Y28" s="20">
        <f>IF(X28&gt;0, V28/X28, 0)</f>
        <v/>
      </c>
      <c r="Z28" s="37" t="n">
        <v>160</v>
      </c>
      <c r="AA28" s="37" t="n">
        <v>0</v>
      </c>
      <c r="AB28" s="16">
        <f>AA28*$E$4</f>
        <v/>
      </c>
      <c r="AC28" s="20">
        <f>IF(AB28&gt;0, Z28/AB28, 0)</f>
        <v/>
      </c>
      <c r="AD28" s="37">
        <f>F28+J28+N28+R28+V28+Z28</f>
        <v/>
      </c>
      <c r="AE28" s="37">
        <f>G28+K28+O28+S28+W28+AA28</f>
        <v/>
      </c>
      <c r="AF28" s="16">
        <f>H28+L28+P28+T28+X28+AB28</f>
        <v/>
      </c>
      <c r="AG28" s="20">
        <f>IF(AF28&gt;0, AD28/AF28, 0)</f>
        <v/>
      </c>
    </row>
    <row r="29" ht="18.75" customHeight="1" s="46">
      <c r="A29" s="12" t="n">
        <v>3</v>
      </c>
      <c r="B29" s="12" t="inlineStr">
        <is>
          <t>DR-01</t>
        </is>
      </c>
      <c r="C29" s="13" t="inlineStr">
        <is>
          <t>COMPACTADOR TÁNDEM HAMM-HD120 VV</t>
        </is>
      </c>
      <c r="D29" s="13" t="inlineStr">
        <is>
          <t>JOEL ALBERTO RIVERA RIVAS</t>
        </is>
      </c>
      <c r="E29" s="13" t="inlineStr">
        <is>
          <t>Compactación Tándem Primaria</t>
        </is>
      </c>
      <c r="F29" s="37" t="n">
        <v>0</v>
      </c>
      <c r="G29" s="37" t="n">
        <v>182</v>
      </c>
      <c r="H29" s="16">
        <f>G29*$E$4</f>
        <v/>
      </c>
      <c r="I29" s="20">
        <f>IF(H29&gt;0, F29/H29, 0)</f>
        <v/>
      </c>
      <c r="J29" s="37" t="n">
        <v>0</v>
      </c>
      <c r="K29" s="37" t="n">
        <v>280</v>
      </c>
      <c r="L29" s="16">
        <f>K29*$E$4</f>
        <v/>
      </c>
      <c r="M29" s="20">
        <f>IF(L29&gt;0, J29/L29, 0)</f>
        <v/>
      </c>
      <c r="N29" s="37" t="n">
        <v>0</v>
      </c>
      <c r="O29" s="37" t="n">
        <v>196</v>
      </c>
      <c r="P29" s="16">
        <f>O29*$E$4</f>
        <v/>
      </c>
      <c r="Q29" s="20">
        <f>IF(P29&gt;0, N29/P29, 0)</f>
        <v/>
      </c>
      <c r="R29" s="37" t="n">
        <v>100</v>
      </c>
      <c r="S29" s="37" t="n">
        <v>210</v>
      </c>
      <c r="T29" s="16">
        <f>S29*$E$4</f>
        <v/>
      </c>
      <c r="U29" s="20">
        <f>IF(T29&gt;0, R29/T29, 0)</f>
        <v/>
      </c>
      <c r="V29" s="37" t="n">
        <v>0</v>
      </c>
      <c r="W29" s="37" t="n">
        <v>224</v>
      </c>
      <c r="X29" s="16">
        <f>W29*$E$4</f>
        <v/>
      </c>
      <c r="Y29" s="20">
        <f>IF(X29&gt;0, V29/X29, 0)</f>
        <v/>
      </c>
      <c r="Z29" s="37" t="n">
        <v>50</v>
      </c>
      <c r="AA29" s="37" t="n">
        <v>0</v>
      </c>
      <c r="AB29" s="16">
        <f>AA29*$E$4</f>
        <v/>
      </c>
      <c r="AC29" s="20">
        <f>IF(AB29&gt;0, Z29/AB29, 0)</f>
        <v/>
      </c>
      <c r="AD29" s="37">
        <f>F29+J29+N29+R29+V29+Z29</f>
        <v/>
      </c>
      <c r="AE29" s="37">
        <f>G29+K29+O29+S29+W29+AA29</f>
        <v/>
      </c>
      <c r="AF29" s="16">
        <f>H29+L29+P29+T29+X29+AB29</f>
        <v/>
      </c>
      <c r="AG29" s="20">
        <f>IF(AF29&gt;0, AD29/AF29, 0)</f>
        <v/>
      </c>
    </row>
    <row r="30" ht="18.75" customHeight="1" s="46">
      <c r="A30" s="12" t="n">
        <v>4</v>
      </c>
      <c r="B30" s="12" t="inlineStr">
        <is>
          <t>DR-02</t>
        </is>
      </c>
      <c r="C30" s="13" t="inlineStr">
        <is>
          <t>COMPACTADOR TÁNDEM HAMM-HD140</t>
        </is>
      </c>
      <c r="D30" s="13" t="inlineStr">
        <is>
          <t>ALEXIS RENDON DOMINGUEZ</t>
        </is>
      </c>
      <c r="E30" s="13" t="inlineStr">
        <is>
          <t>Compactación Tándem Pesada</t>
        </is>
      </c>
      <c r="F30" s="37" t="n">
        <v>0</v>
      </c>
      <c r="G30" s="37" t="n">
        <v>182</v>
      </c>
      <c r="H30" s="16">
        <f>G30*$E$4</f>
        <v/>
      </c>
      <c r="I30" s="20">
        <f>IF(H30&gt;0, F30/H30, 0)</f>
        <v/>
      </c>
      <c r="J30" s="37" t="n">
        <v>100</v>
      </c>
      <c r="K30" s="37" t="n">
        <v>280</v>
      </c>
      <c r="L30" s="16">
        <f>K30*$E$4</f>
        <v/>
      </c>
      <c r="M30" s="20">
        <f>IF(L30&gt;0, J30/L30, 0)</f>
        <v/>
      </c>
      <c r="N30" s="37" t="n">
        <v>0</v>
      </c>
      <c r="O30" s="37" t="n">
        <v>196</v>
      </c>
      <c r="P30" s="16">
        <f>O30*$E$4</f>
        <v/>
      </c>
      <c r="Q30" s="20">
        <f>IF(P30&gt;0, N30/P30, 0)</f>
        <v/>
      </c>
      <c r="R30" s="37" t="n">
        <v>0</v>
      </c>
      <c r="S30" s="37" t="n">
        <v>210</v>
      </c>
      <c r="T30" s="16">
        <f>S30*$E$4</f>
        <v/>
      </c>
      <c r="U30" s="20">
        <f>IF(T30&gt;0, R30/T30, 0)</f>
        <v/>
      </c>
      <c r="V30" s="37" t="n">
        <v>0</v>
      </c>
      <c r="W30" s="37" t="n">
        <v>224</v>
      </c>
      <c r="X30" s="16">
        <f>W30*$E$4</f>
        <v/>
      </c>
      <c r="Y30" s="20">
        <f>IF(X30&gt;0, V30/X30, 0)</f>
        <v/>
      </c>
      <c r="Z30" s="37" t="n">
        <v>50</v>
      </c>
      <c r="AA30" s="37" t="n">
        <v>0</v>
      </c>
      <c r="AB30" s="16">
        <f>AA30*$E$4</f>
        <v/>
      </c>
      <c r="AC30" s="20">
        <f>IF(AB30&gt;0, Z30/AB30, 0)</f>
        <v/>
      </c>
      <c r="AD30" s="37">
        <f>F30+J30+N30+R30+V30+Z30</f>
        <v/>
      </c>
      <c r="AE30" s="37">
        <f>G30+K30+O30+S30+W30+AA30</f>
        <v/>
      </c>
      <c r="AF30" s="16">
        <f>H30+L30+P30+T30+X30+AB30</f>
        <v/>
      </c>
      <c r="AG30" s="20">
        <f>IF(AF30&gt;0, AD30/AF30, 0)</f>
        <v/>
      </c>
    </row>
    <row r="31" ht="18.75" customHeight="1" s="46">
      <c r="A31" s="12" t="n">
        <v>5</v>
      </c>
      <c r="B31" s="12" t="inlineStr">
        <is>
          <t>NM-01</t>
        </is>
      </c>
      <c r="C31" s="13" t="inlineStr">
        <is>
          <t>COMPACTADOR NEUMÁTICO DYNAPAC CP271</t>
        </is>
      </c>
      <c r="D31" s="13" t="inlineStr">
        <is>
          <t>JOSE CARLOS ROMERO TELLEZ</t>
        </is>
      </c>
      <c r="E31" s="13" t="inlineStr">
        <is>
          <t>Compactación Neumática / Sellado</t>
        </is>
      </c>
      <c r="F31" s="37" t="n">
        <v>0</v>
      </c>
      <c r="G31" s="37" t="n">
        <v>182</v>
      </c>
      <c r="H31" s="16">
        <f>G31*$E$4</f>
        <v/>
      </c>
      <c r="I31" s="20">
        <f>IF(H31&gt;0, F31/H31, 0)</f>
        <v/>
      </c>
      <c r="J31" s="37" t="n">
        <v>36</v>
      </c>
      <c r="K31" s="37" t="n">
        <v>280</v>
      </c>
      <c r="L31" s="16">
        <f>K31*$E$4</f>
        <v/>
      </c>
      <c r="M31" s="20">
        <f>IF(L31&gt;0, J31/L31, 0)</f>
        <v/>
      </c>
      <c r="N31" s="37" t="n">
        <v>0</v>
      </c>
      <c r="O31" s="37" t="n">
        <v>196</v>
      </c>
      <c r="P31" s="16">
        <f>O31*$E$4</f>
        <v/>
      </c>
      <c r="Q31" s="20">
        <f>IF(P31&gt;0, N31/P31, 0)</f>
        <v/>
      </c>
      <c r="R31" s="37" t="n">
        <v>50</v>
      </c>
      <c r="S31" s="37" t="n">
        <v>210</v>
      </c>
      <c r="T31" s="16">
        <f>S31*$E$4</f>
        <v/>
      </c>
      <c r="U31" s="20">
        <f>IF(T31&gt;0, R31/T31, 0)</f>
        <v/>
      </c>
      <c r="V31" s="37" t="n">
        <v>0</v>
      </c>
      <c r="W31" s="37" t="n">
        <v>224</v>
      </c>
      <c r="X31" s="16">
        <f>W31*$E$4</f>
        <v/>
      </c>
      <c r="Y31" s="20">
        <f>IF(X31&gt;0, V31/X31, 0)</f>
        <v/>
      </c>
      <c r="Z31" s="37" t="n">
        <v>50</v>
      </c>
      <c r="AA31" s="37" t="n">
        <v>0</v>
      </c>
      <c r="AB31" s="16">
        <f>AA31*$E$4</f>
        <v/>
      </c>
      <c r="AC31" s="20">
        <f>IF(AB31&gt;0, Z31/AB31, 0)</f>
        <v/>
      </c>
      <c r="AD31" s="37">
        <f>F31+J31+N31+R31+V31+Z31</f>
        <v/>
      </c>
      <c r="AE31" s="37">
        <f>G31+K31+O31+S31+W31+AA31</f>
        <v/>
      </c>
      <c r="AF31" s="16">
        <f>H31+L31+P31+T31+X31+AB31</f>
        <v/>
      </c>
      <c r="AG31" s="20">
        <f>IF(AF31&gt;0, AD31/AF31, 0)</f>
        <v/>
      </c>
    </row>
    <row r="32" ht="18.75" customHeight="1" s="46">
      <c r="A32" s="12" t="n">
        <v>6</v>
      </c>
      <c r="B32" s="12" t="inlineStr">
        <is>
          <t>NM-09</t>
        </is>
      </c>
      <c r="C32" s="13" t="inlineStr">
        <is>
          <t>COMPACTADOR NEUMÁTICO HAMM 208</t>
        </is>
      </c>
      <c r="D32" s="13" t="inlineStr">
        <is>
          <t>NOLVIN DE JESUS PEREZ GOMEZ</t>
        </is>
      </c>
      <c r="E32" s="13" t="inlineStr">
        <is>
          <t>Compactación Neumática / Acabado</t>
        </is>
      </c>
      <c r="F32" s="37" t="n">
        <v>0</v>
      </c>
      <c r="G32" s="37" t="n">
        <v>182</v>
      </c>
      <c r="H32" s="16">
        <f>G32*$E$4</f>
        <v/>
      </c>
      <c r="I32" s="20">
        <f>IF(H32&gt;0, F32/H32, 0)</f>
        <v/>
      </c>
      <c r="J32" s="37" t="n">
        <v>50</v>
      </c>
      <c r="K32" s="37" t="n">
        <v>280</v>
      </c>
      <c r="L32" s="16">
        <f>K32*$E$4</f>
        <v/>
      </c>
      <c r="M32" s="20">
        <f>IF(L32&gt;0, J32/L32, 0)</f>
        <v/>
      </c>
      <c r="N32" s="37" t="n">
        <v>0</v>
      </c>
      <c r="O32" s="37" t="n">
        <v>196</v>
      </c>
      <c r="P32" s="16">
        <f>O32*$E$4</f>
        <v/>
      </c>
      <c r="Q32" s="20">
        <f>IF(P32&gt;0, N32/P32, 0)</f>
        <v/>
      </c>
      <c r="R32" s="37" t="n">
        <v>50</v>
      </c>
      <c r="S32" s="37" t="n">
        <v>210</v>
      </c>
      <c r="T32" s="16">
        <f>S32*$E$4</f>
        <v/>
      </c>
      <c r="U32" s="20">
        <f>IF(T32&gt;0, R32/T32, 0)</f>
        <v/>
      </c>
      <c r="V32" s="37" t="n">
        <v>0</v>
      </c>
      <c r="W32" s="37" t="n">
        <v>224</v>
      </c>
      <c r="X32" s="16">
        <f>W32*$E$4</f>
        <v/>
      </c>
      <c r="Y32" s="20">
        <f>IF(X32&gt;0, V32/X32, 0)</f>
        <v/>
      </c>
      <c r="Z32" s="37" t="n">
        <v>50</v>
      </c>
      <c r="AA32" s="37" t="n">
        <v>0</v>
      </c>
      <c r="AB32" s="16">
        <f>AA32*$E$4</f>
        <v/>
      </c>
      <c r="AC32" s="20">
        <f>IF(AB32&gt;0, Z32/AB32, 0)</f>
        <v/>
      </c>
      <c r="AD32" s="37">
        <f>F32+J32+N32+R32+V32+Z32</f>
        <v/>
      </c>
      <c r="AE32" s="37">
        <f>G32+K32+O32+S32+W32+AA32</f>
        <v/>
      </c>
      <c r="AF32" s="16">
        <f>H32+L32+P32+T32+X32+AB32</f>
        <v/>
      </c>
      <c r="AG32" s="20">
        <f>IF(AF32&gt;0, AD32/AF32, 0)</f>
        <v/>
      </c>
    </row>
    <row r="33" ht="18.75" customHeight="1" s="46">
      <c r="A33" s="12" t="n">
        <v>7</v>
      </c>
      <c r="B33" s="12" t="inlineStr">
        <is>
          <t>BR-01</t>
        </is>
      </c>
      <c r="C33" s="13" t="inlineStr">
        <is>
          <t>BARREDORA INDUSTRIAL BROCE BROOM-350</t>
        </is>
      </c>
      <c r="D33" s="13" t="inlineStr">
        <is>
          <t>EDGAR ROSALES MARTINEZ</t>
        </is>
      </c>
      <c r="E33" s="13" t="inlineStr">
        <is>
          <t>Limpieza y Barrido Previo</t>
        </is>
      </c>
      <c r="F33" s="37" t="n">
        <v>0</v>
      </c>
      <c r="G33" s="37" t="n">
        <v>182</v>
      </c>
      <c r="H33" s="16">
        <f>G33*$E$4</f>
        <v/>
      </c>
      <c r="I33" s="20">
        <f>IF(H33&gt;0, F33/H33, 0)</f>
        <v/>
      </c>
      <c r="J33" s="37" t="n">
        <v>40</v>
      </c>
      <c r="K33" s="37" t="n">
        <v>280</v>
      </c>
      <c r="L33" s="16">
        <f>K33*$E$4</f>
        <v/>
      </c>
      <c r="M33" s="20">
        <f>IF(L33&gt;0, J33/L33, 0)</f>
        <v/>
      </c>
      <c r="N33" s="37" t="n">
        <v>0</v>
      </c>
      <c r="O33" s="37" t="n">
        <v>196</v>
      </c>
      <c r="P33" s="16">
        <f>O33*$E$4</f>
        <v/>
      </c>
      <c r="Q33" s="20">
        <f>IF(P33&gt;0, N33/P33, 0)</f>
        <v/>
      </c>
      <c r="R33" s="37" t="n">
        <v>25</v>
      </c>
      <c r="S33" s="37" t="n">
        <v>210</v>
      </c>
      <c r="T33" s="16">
        <f>S33*$E$4</f>
        <v/>
      </c>
      <c r="U33" s="20">
        <f>IF(T33&gt;0, R33/T33, 0)</f>
        <v/>
      </c>
      <c r="V33" s="37" t="n">
        <v>0</v>
      </c>
      <c r="W33" s="37" t="n">
        <v>224</v>
      </c>
      <c r="X33" s="16">
        <f>W33*$E$4</f>
        <v/>
      </c>
      <c r="Y33" s="20">
        <f>IF(X33&gt;0, V33/X33, 0)</f>
        <v/>
      </c>
      <c r="Z33" s="37" t="n">
        <v>22</v>
      </c>
      <c r="AA33" s="37" t="n">
        <v>0</v>
      </c>
      <c r="AB33" s="16">
        <f>AA33*$E$4</f>
        <v/>
      </c>
      <c r="AC33" s="20">
        <f>IF(AB33&gt;0, Z33/AB33, 0)</f>
        <v/>
      </c>
      <c r="AD33" s="37">
        <f>F33+J33+N33+R33+V33+Z33</f>
        <v/>
      </c>
      <c r="AE33" s="37">
        <f>G33+K33+O33+S33+W33+AA33</f>
        <v/>
      </c>
      <c r="AF33" s="16">
        <f>H33+L33+P33+T33+X33+AB33</f>
        <v/>
      </c>
      <c r="AG33" s="20">
        <f>IF(AF33&gt;0, AD33/AF33, 0)</f>
        <v/>
      </c>
    </row>
    <row r="34" ht="18.75" customHeight="1" s="46">
      <c r="A34" s="12" t="n">
        <v>8</v>
      </c>
      <c r="B34" s="12" t="inlineStr">
        <is>
          <t>RT-05</t>
        </is>
      </c>
      <c r="C34" s="13" t="inlineStr">
        <is>
          <t>RETROEXCAVADORA JOHN DEERE 310SK</t>
        </is>
      </c>
      <c r="D34" s="13" t="inlineStr">
        <is>
          <t>ADOLFO NAVA LOPEZ</t>
        </is>
      </c>
      <c r="E34" s="13" t="inlineStr">
        <is>
          <t>Carga Fresado y Derrumbes</t>
        </is>
      </c>
      <c r="F34" s="37" t="n">
        <v>0</v>
      </c>
      <c r="G34" s="37" t="n">
        <v>7</v>
      </c>
      <c r="H34" s="16">
        <f>G34*$E$4</f>
        <v/>
      </c>
      <c r="I34" s="20">
        <f>IF(G34&gt;0, F34/G34, 0)</f>
        <v/>
      </c>
      <c r="J34" s="37" t="n">
        <v>60</v>
      </c>
      <c r="K34" s="37" t="n">
        <v>21</v>
      </c>
      <c r="L34" s="16">
        <f>K34*$E$4</f>
        <v/>
      </c>
      <c r="M34" s="20">
        <f>IF(K34&gt;0, J34/K34, 0)</f>
        <v/>
      </c>
      <c r="N34" s="37" t="n">
        <v>0</v>
      </c>
      <c r="O34" s="37" t="n">
        <v>14</v>
      </c>
      <c r="P34" s="16">
        <f>O34*$E$4</f>
        <v/>
      </c>
      <c r="Q34" s="20">
        <f>IF(O34&gt;0, N34/O34, 0)</f>
        <v/>
      </c>
      <c r="R34" s="37" t="n">
        <v>80</v>
      </c>
      <c r="S34" s="37" t="n">
        <v>7</v>
      </c>
      <c r="T34" s="16">
        <f>S34*$E$4</f>
        <v/>
      </c>
      <c r="U34" s="20">
        <f>IF(S34&gt;0, R34/S34, 0)</f>
        <v/>
      </c>
      <c r="V34" s="37" t="n">
        <v>0</v>
      </c>
      <c r="W34" s="37" t="n">
        <v>7</v>
      </c>
      <c r="X34" s="16">
        <f>W34*$E$4</f>
        <v/>
      </c>
      <c r="Y34" s="20">
        <f>IF(W34&gt;0, V34/W34, 0)</f>
        <v/>
      </c>
      <c r="Z34" s="37" t="n">
        <v>40</v>
      </c>
      <c r="AA34" s="37" t="n">
        <v>7</v>
      </c>
      <c r="AB34" s="16">
        <f>AA34*$E$4</f>
        <v/>
      </c>
      <c r="AC34" s="20">
        <f>IF(AA34&gt;0, Z34/AA34, 0)</f>
        <v/>
      </c>
      <c r="AD34" s="37">
        <f>F34+J34+N34+R34+V34+Z34</f>
        <v/>
      </c>
      <c r="AE34" s="37">
        <f>G34+K34+O34+S34+W34+AA34</f>
        <v/>
      </c>
      <c r="AF34" s="16">
        <f>H34+L34+P34+T34+X34+AB34</f>
        <v/>
      </c>
      <c r="AG34" s="20">
        <f>IF(AE34&gt;0, AD34/AE34, 0)</f>
        <v/>
      </c>
    </row>
    <row r="35" ht="18.75" customHeight="1" s="46">
      <c r="A35" s="12" t="n">
        <v>9</v>
      </c>
      <c r="B35" s="12" t="inlineStr">
        <is>
          <t>PT-01</t>
        </is>
      </c>
      <c r="C35" s="13" t="inlineStr">
        <is>
          <t>PETROLIZADORA INTERNATIONAL / FORD F800</t>
        </is>
      </c>
      <c r="D35" s="13" t="inlineStr">
        <is>
          <t>ELTHON EDUARDO MARTINEZ GOMORA</t>
        </is>
      </c>
      <c r="E35" s="13" t="inlineStr">
        <is>
          <t>Riego de Liga / Emulsión</t>
        </is>
      </c>
      <c r="F35" s="37" t="n">
        <v>0</v>
      </c>
      <c r="G35" s="37" t="n">
        <v>182</v>
      </c>
      <c r="H35" s="16">
        <f>G35*$E$4</f>
        <v/>
      </c>
      <c r="I35" s="20">
        <f>IF(H35&gt;0, F35/H35, 0)</f>
        <v/>
      </c>
      <c r="J35" s="37" t="n">
        <v>0</v>
      </c>
      <c r="K35" s="37" t="n">
        <v>280</v>
      </c>
      <c r="L35" s="16">
        <f>K35*$E$4</f>
        <v/>
      </c>
      <c r="M35" s="20">
        <f>IF(L35&gt;0, J35/L35, 0)</f>
        <v/>
      </c>
      <c r="N35" s="37" t="n">
        <v>0</v>
      </c>
      <c r="O35" s="37" t="n">
        <v>196</v>
      </c>
      <c r="P35" s="16">
        <f>O35*$E$4</f>
        <v/>
      </c>
      <c r="Q35" s="20">
        <f>IF(P35&gt;0, N35/P35, 0)</f>
        <v/>
      </c>
      <c r="R35" s="37" t="n">
        <v>0</v>
      </c>
      <c r="S35" s="37" t="n">
        <v>210</v>
      </c>
      <c r="T35" s="16">
        <f>S35*$E$4</f>
        <v/>
      </c>
      <c r="U35" s="20">
        <f>IF(T35&gt;0, R35/T35, 0)</f>
        <v/>
      </c>
      <c r="V35" s="37" t="n">
        <v>0</v>
      </c>
      <c r="W35" s="37" t="n">
        <v>224</v>
      </c>
      <c r="X35" s="16">
        <f>W35*$E$4</f>
        <v/>
      </c>
      <c r="Y35" s="20">
        <f>IF(X35&gt;0, V35/X35, 0)</f>
        <v/>
      </c>
      <c r="Z35" s="37" t="n">
        <v>0</v>
      </c>
      <c r="AA35" s="37" t="n">
        <v>0</v>
      </c>
      <c r="AB35" s="16">
        <f>AA35*$E$4</f>
        <v/>
      </c>
      <c r="AC35" s="20">
        <f>IF(AB35&gt;0, Z35/AB35, 0)</f>
        <v/>
      </c>
      <c r="AD35" s="37">
        <f>F35+J35+N35+R35+V35+Z35</f>
        <v/>
      </c>
      <c r="AE35" s="37">
        <f>G35+K35+O35+S35+W35+AA35</f>
        <v/>
      </c>
      <c r="AF35" s="16">
        <f>H35+L35+P35+T35+X35+AB35</f>
        <v/>
      </c>
      <c r="AG35" s="20">
        <f>IF(AF35&gt;0, AD35/AF35, 0)</f>
        <v/>
      </c>
    </row>
    <row r="36" ht="18.75" customHeight="1" s="46">
      <c r="A36" s="12" t="n">
        <v>10</v>
      </c>
      <c r="B36" s="12" t="inlineStr">
        <is>
          <t>CPR-01</t>
        </is>
      </c>
      <c r="C36" s="13" t="inlineStr">
        <is>
          <t>COMPRESOR DE AIRE INGERSOLL RAND IR185</t>
        </is>
      </c>
      <c r="D36" s="13" t="inlineStr">
        <is>
          <t>CUADRILLA DE LIMPIEZA</t>
        </is>
      </c>
      <c r="E36" s="13" t="inlineStr">
        <is>
          <t>Sopleteado de Juntas</t>
        </is>
      </c>
      <c r="F36" s="37" t="n">
        <v>0</v>
      </c>
      <c r="G36" s="37" t="n">
        <v>0</v>
      </c>
      <c r="H36" s="16">
        <f>G36*$E$4</f>
        <v/>
      </c>
      <c r="I36" s="20">
        <f>IF(H36&gt;0, F36/H36, 0)</f>
        <v/>
      </c>
      <c r="J36" s="37" t="n">
        <v>0</v>
      </c>
      <c r="K36" s="37" t="n">
        <v>0</v>
      </c>
      <c r="L36" s="16">
        <f>K36*$E$4</f>
        <v/>
      </c>
      <c r="M36" s="20">
        <f>IF(L36&gt;0, J36/L36, 0)</f>
        <v/>
      </c>
      <c r="N36" s="37" t="n">
        <v>0</v>
      </c>
      <c r="O36" s="37" t="n">
        <v>0</v>
      </c>
      <c r="P36" s="16">
        <f>O36*$E$4</f>
        <v/>
      </c>
      <c r="Q36" s="20">
        <f>IF(P36&gt;0, N36/P36, 0)</f>
        <v/>
      </c>
      <c r="R36" s="37" t="n">
        <v>0</v>
      </c>
      <c r="S36" s="37" t="n">
        <v>0</v>
      </c>
      <c r="T36" s="16">
        <f>S36*$E$4</f>
        <v/>
      </c>
      <c r="U36" s="20">
        <f>IF(T36&gt;0, R36/T36, 0)</f>
        <v/>
      </c>
      <c r="V36" s="37" t="n">
        <v>0</v>
      </c>
      <c r="W36" s="37" t="n">
        <v>0</v>
      </c>
      <c r="X36" s="16">
        <f>W36*$E$4</f>
        <v/>
      </c>
      <c r="Y36" s="20">
        <f>IF(X36&gt;0, V36/X36, 0)</f>
        <v/>
      </c>
      <c r="Z36" s="37" t="n">
        <v>0</v>
      </c>
      <c r="AA36" s="37" t="n">
        <v>0</v>
      </c>
      <c r="AB36" s="16">
        <f>AA36*$E$4</f>
        <v/>
      </c>
      <c r="AC36" s="20">
        <f>IF(AB36&gt;0, Z36/AB36, 0)</f>
        <v/>
      </c>
      <c r="AD36" s="37">
        <f>F36+J36+N36+R36+V36+Z36</f>
        <v/>
      </c>
      <c r="AE36" s="37">
        <f>G36+K36+O36+S36+W36+AA36</f>
        <v/>
      </c>
      <c r="AF36" s="16">
        <f>H36+L36+P36+T36+X36+AB36</f>
        <v/>
      </c>
      <c r="AG36" s="20">
        <f>IF(AF36&gt;0, AD36/AF36, 0)</f>
        <v/>
      </c>
    </row>
    <row r="37" ht="18.75" customHeight="1" s="46">
      <c r="A37" s="12" t="n">
        <v>11</v>
      </c>
      <c r="B37" s="12" t="inlineStr">
        <is>
          <t>PP-01</t>
        </is>
      </c>
      <c r="C37" s="13" t="inlineStr">
        <is>
          <t>CAMIÓN IMPACTO / PIPA DE AGUA FORD</t>
        </is>
      </c>
      <c r="D37" s="13" t="inlineStr">
        <is>
          <t>CUADRILLA DE AGUA</t>
        </is>
      </c>
      <c r="E37" s="13" t="inlineStr">
        <is>
          <t>Enfriamiento Rodillos / Riego</t>
        </is>
      </c>
      <c r="F37" s="37" t="n">
        <v>0</v>
      </c>
      <c r="G37" s="37" t="n">
        <v>0</v>
      </c>
      <c r="H37" s="16">
        <f>G37*$E$4</f>
        <v/>
      </c>
      <c r="I37" s="20">
        <f>IF(H37&gt;0, F37/H37, 0)</f>
        <v/>
      </c>
      <c r="J37" s="37" t="n">
        <v>0</v>
      </c>
      <c r="K37" s="37" t="n">
        <v>0</v>
      </c>
      <c r="L37" s="16">
        <f>K37*$E$4</f>
        <v/>
      </c>
      <c r="M37" s="20">
        <f>IF(L37&gt;0, J37/L37, 0)</f>
        <v/>
      </c>
      <c r="N37" s="37" t="n">
        <v>0</v>
      </c>
      <c r="O37" s="37" t="n">
        <v>0</v>
      </c>
      <c r="P37" s="16">
        <f>O37*$E$4</f>
        <v/>
      </c>
      <c r="Q37" s="20">
        <f>IF(P37&gt;0, N37/P37, 0)</f>
        <v/>
      </c>
      <c r="R37" s="37" t="n">
        <v>0</v>
      </c>
      <c r="S37" s="37" t="n">
        <v>0</v>
      </c>
      <c r="T37" s="16">
        <f>S37*$E$4</f>
        <v/>
      </c>
      <c r="U37" s="20">
        <f>IF(T37&gt;0, R37/T37, 0)</f>
        <v/>
      </c>
      <c r="V37" s="37" t="n">
        <v>0</v>
      </c>
      <c r="W37" s="37" t="n">
        <v>0</v>
      </c>
      <c r="X37" s="16">
        <f>W37*$E$4</f>
        <v/>
      </c>
      <c r="Y37" s="20">
        <f>IF(X37&gt;0, V37/X37, 0)</f>
        <v/>
      </c>
      <c r="Z37" s="37" t="n">
        <v>0</v>
      </c>
      <c r="AA37" s="37" t="n">
        <v>0</v>
      </c>
      <c r="AB37" s="16">
        <f>AA37*$E$4</f>
        <v/>
      </c>
      <c r="AC37" s="20">
        <f>IF(AB37&gt;0, Z37/AB37, 0)</f>
        <v/>
      </c>
      <c r="AD37" s="37">
        <f>F37+J37+N37+R37+V37+Z37</f>
        <v/>
      </c>
      <c r="AE37" s="37">
        <f>G37+K37+O37+S37+W37+AA37</f>
        <v/>
      </c>
      <c r="AF37" s="16">
        <f>H37+L37+P37+T37+X37+AB37</f>
        <v/>
      </c>
      <c r="AG37" s="20">
        <f>IF(AF37&gt;0, AD37/AF37, 0)</f>
        <v/>
      </c>
    </row>
    <row r="38" ht="18.75" customHeight="1" s="46">
      <c r="A38" s="12" t="n">
        <v>12</v>
      </c>
      <c r="B38" s="12" t="inlineStr">
        <is>
          <t>TL-01</t>
        </is>
      </c>
      <c r="C38" s="13" t="inlineStr">
        <is>
          <t>TORRE DE LUZ MAXILIGHT 4X1000W</t>
        </is>
      </c>
      <c r="D38" s="13" t="inlineStr">
        <is>
          <t>CUADRILLA NOCTURNA</t>
        </is>
      </c>
      <c r="E38" s="13" t="inlineStr">
        <is>
          <t>Iluminación Nocturna</t>
        </is>
      </c>
      <c r="F38" s="37" t="n">
        <v>0</v>
      </c>
      <c r="G38" s="37" t="n">
        <v>0</v>
      </c>
      <c r="H38" s="16">
        <f>G38*$E$4</f>
        <v/>
      </c>
      <c r="I38" s="20">
        <f>IF(H38&gt;0, F38/H38, 0)</f>
        <v/>
      </c>
      <c r="J38" s="37" t="n">
        <v>0</v>
      </c>
      <c r="K38" s="37" t="n">
        <v>0</v>
      </c>
      <c r="L38" s="16">
        <f>K38*$E$4</f>
        <v/>
      </c>
      <c r="M38" s="20">
        <f>IF(L38&gt;0, J38/L38, 0)</f>
        <v/>
      </c>
      <c r="N38" s="37" t="n">
        <v>0</v>
      </c>
      <c r="O38" s="37" t="n">
        <v>0</v>
      </c>
      <c r="P38" s="16">
        <f>O38*$E$4</f>
        <v/>
      </c>
      <c r="Q38" s="20">
        <f>IF(P38&gt;0, N38/P38, 0)</f>
        <v/>
      </c>
      <c r="R38" s="37" t="n">
        <v>0</v>
      </c>
      <c r="S38" s="37" t="n">
        <v>0</v>
      </c>
      <c r="T38" s="16">
        <f>S38*$E$4</f>
        <v/>
      </c>
      <c r="U38" s="20">
        <f>IF(T38&gt;0, R38/T38, 0)</f>
        <v/>
      </c>
      <c r="V38" s="37" t="n">
        <v>0</v>
      </c>
      <c r="W38" s="37" t="n">
        <v>0</v>
      </c>
      <c r="X38" s="16">
        <f>W38*$E$4</f>
        <v/>
      </c>
      <c r="Y38" s="20">
        <f>IF(X38&gt;0, V38/X38, 0)</f>
        <v/>
      </c>
      <c r="Z38" s="37" t="n">
        <v>18</v>
      </c>
      <c r="AA38" s="37" t="n">
        <v>0</v>
      </c>
      <c r="AB38" s="16">
        <f>AA38*$E$4</f>
        <v/>
      </c>
      <c r="AC38" s="20">
        <f>IF(AB38&gt;0, Z38/AB38, 0)</f>
        <v/>
      </c>
      <c r="AD38" s="37">
        <f>F38+J38+N38+R38+V38+Z38</f>
        <v/>
      </c>
      <c r="AE38" s="37">
        <f>G38+K38+O38+S38+W38+AA38</f>
        <v/>
      </c>
      <c r="AF38" s="16">
        <f>H38+L38+P38+T38+X38+AB38</f>
        <v/>
      </c>
      <c r="AG38" s="20">
        <f>IF(AF38&gt;0, AD38/AF38, 0)</f>
        <v/>
      </c>
    </row>
    <row r="39" ht="21.75" customHeight="1" s="46">
      <c r="A39" s="30" t="inlineStr">
        <is>
          <t>TOTAL DIARIO CONSOLIDADO (OBRA MÉXICO-TOLUCA)</t>
        </is>
      </c>
      <c r="B39" s="50" t="n"/>
      <c r="C39" s="50" t="n"/>
      <c r="D39" s="50" t="n"/>
      <c r="E39" s="51" t="n"/>
      <c r="F39" s="27">
        <f>SUM(F27:F38)</f>
        <v/>
      </c>
      <c r="G39" s="27">
        <f>MAX(G27:G38)</f>
        <v/>
      </c>
      <c r="H39" s="28">
        <f>H39*$E$4</f>
        <v/>
      </c>
      <c r="I39" s="29">
        <f>IF(H39&gt;0, F39/H39, 0)</f>
        <v/>
      </c>
      <c r="J39" s="27">
        <f>SUM(J27:J38)</f>
        <v/>
      </c>
      <c r="K39" s="27">
        <f>MAX(K27:K38)</f>
        <v/>
      </c>
      <c r="L39" s="28">
        <f>L39*$E$4</f>
        <v/>
      </c>
      <c r="M39" s="29">
        <f>IF(L39&gt;0, J39/L39, 0)</f>
        <v/>
      </c>
      <c r="N39" s="27">
        <f>SUM(N27:N38)</f>
        <v/>
      </c>
      <c r="O39" s="27">
        <f>MAX(O27:O38)</f>
        <v/>
      </c>
      <c r="P39" s="28">
        <f>P39*$E$4</f>
        <v/>
      </c>
      <c r="Q39" s="29">
        <f>IF(P39&gt;0, N39/P39, 0)</f>
        <v/>
      </c>
      <c r="R39" s="27">
        <f>SUM(R27:R38)</f>
        <v/>
      </c>
      <c r="S39" s="27">
        <f>MAX(S27:S38)</f>
        <v/>
      </c>
      <c r="T39" s="28">
        <f>T39*$E$4</f>
        <v/>
      </c>
      <c r="U39" s="29">
        <f>IF(T39&gt;0, R39/T39, 0)</f>
        <v/>
      </c>
      <c r="V39" s="27">
        <f>SUM(V27:V38)</f>
        <v/>
      </c>
      <c r="W39" s="27">
        <f>MAX(W27:W38)</f>
        <v/>
      </c>
      <c r="X39" s="28">
        <f>X39*$E$4</f>
        <v/>
      </c>
      <c r="Y39" s="29">
        <f>IF(X39&gt;0, V39/X39, 0)</f>
        <v/>
      </c>
      <c r="Z39" s="27">
        <f>SUM(Z27:Z38)</f>
        <v/>
      </c>
      <c r="AA39" s="27">
        <f>MAX(AA27:AA38)</f>
        <v/>
      </c>
      <c r="AB39" s="28">
        <f>AB39*$E$4</f>
        <v/>
      </c>
      <c r="AC39" s="29">
        <f>IF(AB39&gt;0, Z39/AB39, 0)</f>
        <v/>
      </c>
      <c r="AD39" s="27">
        <f>SUM(AD27:AD38)</f>
        <v/>
      </c>
      <c r="AE39" s="27">
        <f>MAX(AE27:AE38)</f>
        <v/>
      </c>
      <c r="AF39" s="28">
        <f>AE39*$E$4</f>
        <v/>
      </c>
      <c r="AG39" s="29">
        <f>IF(AF39&gt;0, AD39/AF39, 0)</f>
        <v/>
      </c>
    </row>
    <row r="40" ht="15.75" customHeight="1" s="46"/>
    <row r="41" ht="15.75" customHeight="1" s="46">
      <c r="A41" s="40" t="inlineStr">
        <is>
          <t>NOTA TÉCNICA Y CRITERIOS DE CONTROL DE RENDIMIENTO — OBRA MÉXICO-TOLUCA:
1. Peso Volumétrico Oficial del Asfalto: 1.742 Ton/m³ (Toneladas = m³ Carpeta × 1.742).
2. Rendimiento Base (L/h): Consumo nominal de fabricante ajustado con 1.2% anual de desgaste por antigüedad al 2026.
3. Rendimiento Real: Diésel Surtido / Toneladas Tendidas (L/Ton) o Diésel Surtido / Volumen Fresado (L/m³).
4. Estatus Operativo: DENTRO DE RENDIMIENTO BASE (Verde) / EXCEDE RENDIMIENTO BASE (Rojo) / SIN CONSUMO (Gris).</t>
        </is>
      </c>
    </row>
    <row r="42" ht="15.75" customHeight="1" s="46"/>
    <row r="43" ht="15.75" customHeight="1" s="46"/>
    <row r="44" ht="15.75" customHeight="1" s="46"/>
    <row r="45" ht="15.75" customHeight="1" s="46"/>
    <row r="46" ht="15.75" customHeight="1" s="46"/>
    <row r="47" ht="15.75" customHeight="1" s="46"/>
    <row r="48" ht="15.75" customHeight="1" s="46"/>
    <row r="49" ht="15.75" customHeight="1" s="46"/>
    <row r="50" ht="15.75" customHeight="1" s="46"/>
    <row r="51" ht="15.75" customHeight="1" s="46"/>
    <row r="52" ht="15.75" customHeight="1" s="46"/>
    <row r="53" ht="15.75" customHeight="1" s="46"/>
    <row r="54" ht="15.75" customHeight="1" s="46"/>
    <row r="55" ht="15.75" customHeight="1" s="46"/>
    <row r="56" ht="15.75" customHeight="1" s="46"/>
    <row r="57" ht="15.75" customHeight="1" s="46"/>
    <row r="58" ht="15.75" customHeight="1" s="46"/>
    <row r="59" ht="15.75" customHeight="1" s="46"/>
    <row r="60" ht="15.75" customHeight="1" s="46"/>
    <row r="61" ht="15.75" customHeight="1" s="46"/>
    <row r="62" ht="15.75" customHeight="1" s="46"/>
    <row r="63" ht="15.75" customHeight="1" s="46"/>
    <row r="64" ht="15.75" customHeight="1" s="46"/>
    <row r="65" ht="15.75" customHeight="1" s="46"/>
    <row r="66" ht="15.75" customHeight="1" s="46"/>
    <row r="67" ht="15.75" customHeight="1" s="46"/>
    <row r="68" ht="15.75" customHeight="1" s="46"/>
    <row r="69" ht="15.75" customHeight="1" s="46"/>
    <row r="70" ht="15.75" customHeight="1" s="46"/>
    <row r="71" ht="15.75" customHeight="1" s="46"/>
    <row r="72" ht="15.75" customHeight="1" s="46"/>
    <row r="73" ht="15.75" customHeight="1" s="46"/>
    <row r="74" ht="15.75" customHeight="1" s="46"/>
    <row r="75" ht="15.75" customHeight="1" s="46"/>
    <row r="76" ht="15.75" customHeight="1" s="46"/>
    <row r="77" ht="15.75" customHeight="1" s="46"/>
    <row r="78" ht="15.75" customHeight="1" s="46"/>
    <row r="79" ht="15.75" customHeight="1" s="46"/>
    <row r="80" ht="15.75" customHeight="1" s="46"/>
    <row r="81" ht="15.75" customHeight="1" s="46"/>
    <row r="82" ht="15.75" customHeight="1" s="46"/>
    <row r="83" ht="15.75" customHeight="1" s="46"/>
    <row r="84" ht="15.75" customHeight="1" s="46"/>
    <row r="85" ht="15.75" customHeight="1" s="46"/>
    <row r="86" ht="15.75" customHeight="1" s="46"/>
    <row r="87" ht="15.75" customHeight="1" s="46"/>
    <row r="88" ht="15.75" customHeight="1" s="46"/>
    <row r="89" ht="15.75" customHeight="1" s="46"/>
    <row r="90" ht="15.75" customHeight="1" s="46"/>
    <row r="91" ht="15.75" customHeight="1" s="46"/>
    <row r="92" ht="15.75" customHeight="1" s="46"/>
    <row r="93" ht="15.75" customHeight="1" s="46"/>
    <row r="94" ht="15.75" customHeight="1" s="46"/>
    <row r="95" ht="15.75" customHeight="1" s="46"/>
    <row r="96" ht="15.75" customHeight="1" s="46"/>
    <row r="97" ht="15.75" customHeight="1" s="46"/>
    <row r="98" ht="15.75" customHeight="1" s="46"/>
    <row r="99" ht="15.75" customHeight="1" s="46"/>
    <row r="100" ht="15.75" customHeight="1" s="46"/>
    <row r="101" ht="15.75" customHeight="1" s="46"/>
    <row r="102" ht="15.75" customHeight="1" s="46"/>
    <row r="103" ht="15.75" customHeight="1" s="46"/>
    <row r="104" ht="15.75" customHeight="1" s="46"/>
    <row r="105" ht="15.75" customHeight="1" s="46"/>
    <row r="106" ht="15.75" customHeight="1" s="46"/>
    <row r="107" ht="15.75" customHeight="1" s="46"/>
    <row r="108" ht="15.75" customHeight="1" s="46"/>
    <row r="109" ht="15.75" customHeight="1" s="46"/>
    <row r="110" ht="15.75" customHeight="1" s="46"/>
    <row r="111" ht="15.75" customHeight="1" s="46"/>
    <row r="112" ht="15.75" customHeight="1" s="46"/>
    <row r="113" ht="15.75" customHeight="1" s="46"/>
    <row r="114" ht="15.75" customHeight="1" s="46"/>
    <row r="115" ht="15.75" customHeight="1" s="46"/>
    <row r="116" ht="15.75" customHeight="1" s="46"/>
    <row r="117" ht="15.75" customHeight="1" s="46"/>
    <row r="118" ht="15.75" customHeight="1" s="46"/>
    <row r="119" ht="15.75" customHeight="1" s="46"/>
    <row r="120" ht="15.75" customHeight="1" s="46"/>
    <row r="121" ht="15.75" customHeight="1" s="46"/>
    <row r="122" ht="15.75" customHeight="1" s="46"/>
    <row r="123" ht="15.75" customHeight="1" s="46"/>
    <row r="124" ht="15.75" customHeight="1" s="46"/>
    <row r="125" ht="15.75" customHeight="1" s="46"/>
    <row r="126" ht="15.75" customHeight="1" s="46"/>
    <row r="127" ht="15.75" customHeight="1" s="46"/>
    <row r="128" ht="15.75" customHeight="1" s="46"/>
    <row r="129" ht="15.75" customHeight="1" s="46"/>
    <row r="130" ht="15.75" customHeight="1" s="46"/>
    <row r="131" ht="15.75" customHeight="1" s="46"/>
    <row r="132" ht="15.75" customHeight="1" s="46"/>
    <row r="133" ht="15.75" customHeight="1" s="46"/>
    <row r="134" ht="15.75" customHeight="1" s="46"/>
    <row r="135" ht="15.75" customHeight="1" s="46"/>
    <row r="136" ht="15.75" customHeight="1" s="46"/>
    <row r="137" ht="15.75" customHeight="1" s="46"/>
    <row r="138" ht="15.75" customHeight="1" s="46"/>
    <row r="139" ht="15.75" customHeight="1" s="46"/>
    <row r="140" ht="15.75" customHeight="1" s="46"/>
    <row r="141" ht="15.75" customHeight="1" s="46"/>
    <row r="142" ht="15.75" customHeight="1" s="46"/>
    <row r="143" ht="15.75" customHeight="1" s="46"/>
    <row r="144" ht="15.75" customHeight="1" s="46"/>
    <row r="145" ht="15.75" customHeight="1" s="46"/>
    <row r="146" ht="15.75" customHeight="1" s="46"/>
    <row r="147" ht="15.75" customHeight="1" s="46"/>
    <row r="148" ht="15.75" customHeight="1" s="46"/>
    <row r="149" ht="15.75" customHeight="1" s="46"/>
    <row r="150" ht="15.75" customHeight="1" s="46"/>
    <row r="151" ht="15.75" customHeight="1" s="46"/>
    <row r="152" ht="15.75" customHeight="1" s="46"/>
    <row r="153" ht="15.75" customHeight="1" s="46"/>
    <row r="154" ht="15.75" customHeight="1" s="46"/>
    <row r="155" ht="15.75" customHeight="1" s="46"/>
    <row r="156" ht="15.75" customHeight="1" s="46"/>
    <row r="157" ht="15.75" customHeight="1" s="46"/>
    <row r="158" ht="15.75" customHeight="1" s="46"/>
    <row r="159" ht="15.75" customHeight="1" s="46"/>
    <row r="160" ht="15.75" customHeight="1" s="46"/>
    <row r="161" ht="15.75" customHeight="1" s="46"/>
    <row r="162" ht="15.75" customHeight="1" s="46"/>
    <row r="163" ht="15.75" customHeight="1" s="46"/>
    <row r="164" ht="15.75" customHeight="1" s="46"/>
    <row r="165" ht="15.75" customHeight="1" s="46"/>
    <row r="166" ht="15.75" customHeight="1" s="46"/>
    <row r="167" ht="15.75" customHeight="1" s="46"/>
    <row r="168" ht="15.75" customHeight="1" s="46"/>
    <row r="169" ht="15.75" customHeight="1" s="46"/>
    <row r="170" ht="15.75" customHeight="1" s="46"/>
    <row r="171" ht="15.75" customHeight="1" s="46"/>
    <row r="172" ht="15.75" customHeight="1" s="46"/>
    <row r="173" ht="15.75" customHeight="1" s="46"/>
    <row r="174" ht="15.75" customHeight="1" s="46"/>
    <row r="175" ht="15.75" customHeight="1" s="46"/>
    <row r="176" ht="15.75" customHeight="1" s="46"/>
    <row r="177" ht="15.75" customHeight="1" s="46"/>
    <row r="178" ht="15.75" customHeight="1" s="46"/>
    <row r="179" ht="15.75" customHeight="1" s="46"/>
    <row r="180" ht="15.75" customHeight="1" s="46"/>
    <row r="181" ht="15.75" customHeight="1" s="46"/>
    <row r="182" ht="15.75" customHeight="1" s="46"/>
    <row r="183" ht="15.75" customHeight="1" s="46"/>
    <row r="184" ht="15.75" customHeight="1" s="46"/>
    <row r="185" ht="15.75" customHeight="1" s="46"/>
    <row r="186" ht="15.75" customHeight="1" s="46"/>
    <row r="187" ht="15.75" customHeight="1" s="46"/>
    <row r="188" ht="15.75" customHeight="1" s="46"/>
    <row r="189" ht="15.75" customHeight="1" s="46"/>
    <row r="190" ht="15.75" customHeight="1" s="46"/>
    <row r="191" ht="15.75" customHeight="1" s="46"/>
    <row r="192" ht="15.75" customHeight="1" s="46"/>
    <row r="193" ht="15.75" customHeight="1" s="46"/>
    <row r="194" ht="15.75" customHeight="1" s="46"/>
    <row r="195" ht="15.75" customHeight="1" s="46"/>
    <row r="196" ht="15.75" customHeight="1" s="46"/>
    <row r="197" ht="15.75" customHeight="1" s="46"/>
    <row r="198" ht="15.75" customHeight="1" s="46"/>
    <row r="199" ht="15.75" customHeight="1" s="46"/>
    <row r="200" ht="15.75" customHeight="1" s="46"/>
    <row r="201" ht="15.75" customHeight="1" s="46"/>
    <row r="202" ht="15.75" customHeight="1" s="46"/>
    <row r="203" ht="15.75" customHeight="1" s="46"/>
    <row r="204" ht="15.75" customHeight="1" s="46"/>
    <row r="205" ht="15.75" customHeight="1" s="46"/>
    <row r="206" ht="15.75" customHeight="1" s="46"/>
    <row r="207" ht="15.75" customHeight="1" s="46"/>
    <row r="208" ht="15.75" customHeight="1" s="46"/>
    <row r="209" ht="15.75" customHeight="1" s="46"/>
    <row r="210" ht="15.75" customHeight="1" s="46"/>
    <row r="211" ht="15.75" customHeight="1" s="46"/>
    <row r="212" ht="15.75" customHeight="1" s="46"/>
    <row r="213" ht="15.75" customHeight="1" s="46"/>
    <row r="214" ht="15.75" customHeight="1" s="46"/>
    <row r="215" ht="15.75" customHeight="1" s="46"/>
    <row r="216" ht="15.75" customHeight="1" s="46"/>
    <row r="217" ht="15.75" customHeight="1" s="46"/>
    <row r="218" ht="15.75" customHeight="1" s="46"/>
    <row r="219" ht="15.75" customHeight="1" s="46"/>
    <row r="220" ht="15.75" customHeight="1" s="46"/>
    <row r="221" ht="15.75" customHeight="1" s="46"/>
    <row r="222" ht="15.75" customHeight="1" s="46"/>
    <row r="223" ht="15.75" customHeight="1" s="46"/>
    <row r="224" ht="15.75" customHeight="1" s="46"/>
    <row r="225" ht="15.75" customHeight="1" s="46"/>
    <row r="226" ht="15.75" customHeight="1" s="46"/>
    <row r="227" ht="15.75" customHeight="1" s="46"/>
    <row r="228" ht="15.75" customHeight="1" s="46"/>
    <row r="229" ht="15.75" customHeight="1" s="46"/>
    <row r="230" ht="15.75" customHeight="1" s="46"/>
    <row r="231" ht="15.75" customHeight="1" s="46"/>
    <row r="232" ht="15.75" customHeight="1" s="46"/>
    <row r="233" ht="15.75" customHeight="1" s="46"/>
    <row r="234" ht="15.75" customHeight="1" s="46"/>
    <row r="235" ht="15.75" customHeight="1" s="46"/>
    <row r="236" ht="15.75" customHeight="1" s="46"/>
    <row r="237" ht="15.75" customHeight="1" s="46"/>
    <row r="238" ht="15.75" customHeight="1" s="46"/>
    <row r="239" ht="15.75" customHeight="1" s="46"/>
    <row r="240" ht="15.75" customHeight="1" s="46"/>
    <row r="241" ht="15.75" customHeight="1" s="46"/>
    <row r="242" ht="15.75" customHeight="1" s="46"/>
    <row r="243" ht="15.75" customHeight="1" s="46"/>
    <row r="244" ht="15.75" customHeight="1" s="46"/>
    <row r="245" ht="15.75" customHeight="1" s="46"/>
    <row r="246" ht="15.75" customHeight="1" s="46"/>
    <row r="247" ht="15.75" customHeight="1" s="46"/>
    <row r="248" ht="15.75" customHeight="1" s="46"/>
    <row r="249" ht="15.75" customHeight="1" s="46"/>
    <row r="250" ht="15.75" customHeight="1" s="46"/>
    <row r="251" ht="15.75" customHeight="1" s="46"/>
    <row r="252" ht="15.75" customHeight="1" s="46"/>
    <row r="253" ht="15.75" customHeight="1" s="46"/>
    <row r="254" ht="15.75" customHeight="1" s="46"/>
    <row r="255" ht="15.75" customHeight="1" s="46"/>
    <row r="256" ht="15.75" customHeight="1" s="46"/>
    <row r="257" ht="15.75" customHeight="1" s="46"/>
    <row r="258" ht="15.75" customHeight="1" s="46"/>
    <row r="259" ht="15.75" customHeight="1" s="46"/>
    <row r="260" ht="15.75" customHeight="1" s="46"/>
    <row r="261" ht="15.75" customHeight="1" s="46"/>
    <row r="262" ht="15.75" customHeight="1" s="46"/>
    <row r="263" ht="15.75" customHeight="1" s="46"/>
    <row r="264" ht="15.75" customHeight="1" s="46"/>
    <row r="265" ht="15.75" customHeight="1" s="46"/>
    <row r="266" ht="15.75" customHeight="1" s="46"/>
    <row r="267" ht="15.75" customHeight="1" s="46"/>
    <row r="268" ht="15.75" customHeight="1" s="46"/>
    <row r="269" ht="15.75" customHeight="1" s="46"/>
    <row r="270" ht="15.75" customHeight="1" s="46"/>
    <row r="271" ht="15.75" customHeight="1" s="46"/>
    <row r="272" ht="15.75" customHeight="1" s="46"/>
    <row r="273" ht="15.75" customHeight="1" s="46"/>
    <row r="274" ht="15.75" customHeight="1" s="46"/>
    <row r="275" ht="15.75" customHeight="1" s="46"/>
    <row r="276" ht="15.75" customHeight="1" s="46"/>
    <row r="277" ht="15.75" customHeight="1" s="46"/>
    <row r="278" ht="15.75" customHeight="1" s="46"/>
    <row r="279" ht="15.75" customHeight="1" s="46"/>
    <row r="280" ht="15.75" customHeight="1" s="46"/>
    <row r="281" ht="15.75" customHeight="1" s="46"/>
    <row r="282" ht="15.75" customHeight="1" s="46"/>
    <row r="283" ht="15.75" customHeight="1" s="46"/>
    <row r="284" ht="15.75" customHeight="1" s="46"/>
    <row r="285" ht="15.75" customHeight="1" s="46"/>
    <row r="286" ht="15.75" customHeight="1" s="46"/>
    <row r="287" ht="15.75" customHeight="1" s="46"/>
    <row r="288" ht="15.75" customHeight="1" s="46"/>
    <row r="289" ht="15.75" customHeight="1" s="46"/>
    <row r="290" ht="15.75" customHeight="1" s="46"/>
    <row r="291" ht="15.75" customHeight="1" s="46"/>
    <row r="292" ht="15.75" customHeight="1" s="46"/>
    <row r="293" ht="15.75" customHeight="1" s="46"/>
    <row r="294" ht="15.75" customHeight="1" s="46"/>
    <row r="295" ht="15.75" customHeight="1" s="46"/>
    <row r="296" ht="15.75" customHeight="1" s="46"/>
    <row r="297" ht="15.75" customHeight="1" s="46"/>
    <row r="298" ht="15.75" customHeight="1" s="46"/>
    <row r="299" ht="15.75" customHeight="1" s="46"/>
    <row r="300" ht="15.75" customHeight="1" s="46"/>
    <row r="301" ht="15.75" customHeight="1" s="46"/>
    <row r="302" ht="15.75" customHeight="1" s="46"/>
    <row r="303" ht="15.75" customHeight="1" s="46"/>
    <row r="304" ht="15.75" customHeight="1" s="46"/>
    <row r="305" ht="15.75" customHeight="1" s="46"/>
    <row r="306" ht="15.75" customHeight="1" s="46"/>
    <row r="307" ht="15.75" customHeight="1" s="46"/>
    <row r="308" ht="15.75" customHeight="1" s="46"/>
    <row r="309" ht="15.75" customHeight="1" s="46"/>
    <row r="310" ht="15.75" customHeight="1" s="46"/>
    <row r="311" ht="15.75" customHeight="1" s="46"/>
    <row r="312" ht="15.75" customHeight="1" s="46"/>
    <row r="313" ht="15.75" customHeight="1" s="46"/>
    <row r="314" ht="15.75" customHeight="1" s="46"/>
    <row r="315" ht="15.75" customHeight="1" s="46"/>
    <row r="316" ht="15.75" customHeight="1" s="46"/>
    <row r="317" ht="15.75" customHeight="1" s="46"/>
    <row r="318" ht="15.75" customHeight="1" s="46"/>
    <row r="319" ht="15.75" customHeight="1" s="46"/>
    <row r="320" ht="15.75" customHeight="1" s="46"/>
    <row r="321" ht="15.75" customHeight="1" s="46"/>
    <row r="322" ht="15.75" customHeight="1" s="46"/>
    <row r="323" ht="15.75" customHeight="1" s="46"/>
    <row r="324" ht="15.75" customHeight="1" s="46"/>
    <row r="325" ht="15.75" customHeight="1" s="46"/>
    <row r="326" ht="15.75" customHeight="1" s="46"/>
    <row r="327" ht="15.75" customHeight="1" s="46"/>
    <row r="328" ht="15.75" customHeight="1" s="46"/>
    <row r="329" ht="15.75" customHeight="1" s="46"/>
    <row r="330" ht="15.75" customHeight="1" s="46"/>
    <row r="331" ht="15.75" customHeight="1" s="46"/>
    <row r="332" ht="15.75" customHeight="1" s="46"/>
    <row r="333" ht="15.75" customHeight="1" s="46"/>
    <row r="334" ht="15.75" customHeight="1" s="46"/>
    <row r="335" ht="15.75" customHeight="1" s="46"/>
    <row r="336" ht="15.75" customHeight="1" s="46"/>
    <row r="337" ht="15.75" customHeight="1" s="46"/>
    <row r="338" ht="15.75" customHeight="1" s="46"/>
    <row r="339" ht="15.75" customHeight="1" s="46"/>
    <row r="340" ht="15.75" customHeight="1" s="46"/>
    <row r="341" ht="15.75" customHeight="1" s="46"/>
    <row r="342" ht="15.75" customHeight="1" s="46"/>
    <row r="343" ht="15.75" customHeight="1" s="46"/>
    <row r="344" ht="15.75" customHeight="1" s="46"/>
    <row r="345" ht="15.75" customHeight="1" s="46"/>
    <row r="346" ht="15.75" customHeight="1" s="46"/>
    <row r="347" ht="15.75" customHeight="1" s="46"/>
    <row r="348" ht="15.75" customHeight="1" s="46"/>
    <row r="349" ht="15.75" customHeight="1" s="46"/>
    <row r="350" ht="15.75" customHeight="1" s="46"/>
    <row r="351" ht="15.75" customHeight="1" s="46"/>
    <row r="352" ht="15.75" customHeight="1" s="46"/>
    <row r="353" ht="15.75" customHeight="1" s="46"/>
    <row r="354" ht="15.75" customHeight="1" s="46"/>
    <row r="355" ht="15.75" customHeight="1" s="46"/>
    <row r="356" ht="15.75" customHeight="1" s="46"/>
    <row r="357" ht="15.75" customHeight="1" s="46"/>
    <row r="358" ht="15.75" customHeight="1" s="46"/>
    <row r="359" ht="15.75" customHeight="1" s="46"/>
    <row r="360" ht="15.75" customHeight="1" s="46"/>
    <row r="361" ht="15.75" customHeight="1" s="46"/>
    <row r="362" ht="15.75" customHeight="1" s="46"/>
    <row r="363" ht="15.75" customHeight="1" s="46"/>
    <row r="364" ht="15.75" customHeight="1" s="46"/>
    <row r="365" ht="15.75" customHeight="1" s="46"/>
    <row r="366" ht="15.75" customHeight="1" s="46"/>
    <row r="367" ht="15.75" customHeight="1" s="46"/>
    <row r="368" ht="15.75" customHeight="1" s="46"/>
    <row r="369" ht="15.75" customHeight="1" s="46"/>
    <row r="370" ht="15.75" customHeight="1" s="46"/>
    <row r="371" ht="15.75" customHeight="1" s="46"/>
    <row r="372" ht="15.75" customHeight="1" s="46"/>
    <row r="373" ht="15.75" customHeight="1" s="46"/>
    <row r="374" ht="15.75" customHeight="1" s="46"/>
    <row r="375" ht="15.75" customHeight="1" s="46"/>
    <row r="376" ht="15.75" customHeight="1" s="46"/>
    <row r="377" ht="15.75" customHeight="1" s="46"/>
    <row r="378" ht="15.75" customHeight="1" s="46"/>
    <row r="379" ht="15.75" customHeight="1" s="46"/>
    <row r="380" ht="15.75" customHeight="1" s="46"/>
    <row r="381" ht="15.75" customHeight="1" s="46"/>
    <row r="382" ht="15.75" customHeight="1" s="46"/>
    <row r="383" ht="15.75" customHeight="1" s="46"/>
    <row r="384" ht="15.75" customHeight="1" s="46"/>
    <row r="385" ht="15.75" customHeight="1" s="46"/>
    <row r="386" ht="15.75" customHeight="1" s="46"/>
    <row r="387" ht="15.75" customHeight="1" s="46"/>
    <row r="388" ht="15.75" customHeight="1" s="46"/>
    <row r="389" ht="15.75" customHeight="1" s="46"/>
    <row r="390" ht="15.75" customHeight="1" s="46"/>
    <row r="391" ht="15.75" customHeight="1" s="46"/>
    <row r="392" ht="15.75" customHeight="1" s="46"/>
    <row r="393" ht="15.75" customHeight="1" s="46"/>
    <row r="394" ht="15.75" customHeight="1" s="46"/>
    <row r="395" ht="15.75" customHeight="1" s="46"/>
    <row r="396" ht="15.75" customHeight="1" s="46"/>
    <row r="397" ht="15.75" customHeight="1" s="46"/>
    <row r="398" ht="15.75" customHeight="1" s="46"/>
    <row r="399" ht="15.75" customHeight="1" s="46"/>
    <row r="400" ht="15.75" customHeight="1" s="46"/>
    <row r="401" ht="15.75" customHeight="1" s="46"/>
    <row r="402" ht="15.75" customHeight="1" s="46"/>
    <row r="403" ht="15.75" customHeight="1" s="46"/>
    <row r="404" ht="15.75" customHeight="1" s="46"/>
    <row r="405" ht="15.75" customHeight="1" s="46"/>
    <row r="406" ht="15.75" customHeight="1" s="46"/>
    <row r="407" ht="15.75" customHeight="1" s="46"/>
    <row r="408" ht="15.75" customHeight="1" s="46"/>
    <row r="409" ht="15.75" customHeight="1" s="46"/>
    <row r="410" ht="15.75" customHeight="1" s="46"/>
    <row r="411" ht="15.75" customHeight="1" s="46"/>
    <row r="412" ht="15.75" customHeight="1" s="46"/>
    <row r="413" ht="15.75" customHeight="1" s="46"/>
    <row r="414" ht="15.75" customHeight="1" s="46"/>
    <row r="415" ht="15.75" customHeight="1" s="46"/>
    <row r="416" ht="15.75" customHeight="1" s="46"/>
    <row r="417" ht="15.75" customHeight="1" s="46"/>
    <row r="418" ht="15.75" customHeight="1" s="46"/>
    <row r="419" ht="15.75" customHeight="1" s="46"/>
    <row r="420" ht="15.75" customHeight="1" s="46"/>
    <row r="421" ht="15.75" customHeight="1" s="46"/>
    <row r="422" ht="15.75" customHeight="1" s="46"/>
    <row r="423" ht="15.75" customHeight="1" s="46"/>
    <row r="424" ht="15.75" customHeight="1" s="46"/>
    <row r="425" ht="15.75" customHeight="1" s="46"/>
    <row r="426" ht="15.75" customHeight="1" s="46"/>
    <row r="427" ht="15.75" customHeight="1" s="46"/>
    <row r="428" ht="15.75" customHeight="1" s="46"/>
    <row r="429" ht="15.75" customHeight="1" s="46"/>
    <row r="430" ht="15.75" customHeight="1" s="46"/>
    <row r="431" ht="15.75" customHeight="1" s="46"/>
    <row r="432" ht="15.75" customHeight="1" s="46"/>
    <row r="433" ht="15.75" customHeight="1" s="46"/>
    <row r="434" ht="15.75" customHeight="1" s="46"/>
    <row r="435" ht="15.75" customHeight="1" s="46"/>
    <row r="436" ht="15.75" customHeight="1" s="46"/>
    <row r="437" ht="15.75" customHeight="1" s="46"/>
    <row r="438" ht="15.75" customHeight="1" s="46"/>
    <row r="439" ht="15.75" customHeight="1" s="46"/>
    <row r="440" ht="15.75" customHeight="1" s="46"/>
    <row r="441" ht="15.75" customHeight="1" s="46"/>
    <row r="442" ht="15.75" customHeight="1" s="46"/>
    <row r="443" ht="15.75" customHeight="1" s="46"/>
    <row r="444" ht="15.75" customHeight="1" s="46"/>
    <row r="445" ht="15.75" customHeight="1" s="46"/>
    <row r="446" ht="15.75" customHeight="1" s="46"/>
    <row r="447" ht="15.75" customHeight="1" s="46"/>
    <row r="448" ht="15.75" customHeight="1" s="46"/>
    <row r="449" ht="15.75" customHeight="1" s="46"/>
    <row r="450" ht="15.75" customHeight="1" s="46"/>
    <row r="451" ht="15.75" customHeight="1" s="46"/>
    <row r="452" ht="15.75" customHeight="1" s="46"/>
    <row r="453" ht="15.75" customHeight="1" s="46"/>
    <row r="454" ht="15.75" customHeight="1" s="46"/>
    <row r="455" ht="15.75" customHeight="1" s="46"/>
    <row r="456" ht="15.75" customHeight="1" s="46"/>
    <row r="457" ht="15.75" customHeight="1" s="46"/>
    <row r="458" ht="15.75" customHeight="1" s="46"/>
    <row r="459" ht="15.75" customHeight="1" s="46"/>
    <row r="460" ht="15.75" customHeight="1" s="46"/>
    <row r="461" ht="15.75" customHeight="1" s="46"/>
    <row r="462" ht="15.75" customHeight="1" s="46"/>
    <row r="463" ht="15.75" customHeight="1" s="46"/>
    <row r="464" ht="15.75" customHeight="1" s="46"/>
    <row r="465" ht="15.75" customHeight="1" s="46"/>
    <row r="466" ht="15.75" customHeight="1" s="46"/>
    <row r="467" ht="15.75" customHeight="1" s="46"/>
    <row r="468" ht="15.75" customHeight="1" s="46"/>
    <row r="469" ht="15.75" customHeight="1" s="46"/>
    <row r="470" ht="15.75" customHeight="1" s="46"/>
    <row r="471" ht="15.75" customHeight="1" s="46"/>
    <row r="472" ht="15.75" customHeight="1" s="46"/>
    <row r="473" ht="15.75" customHeight="1" s="46"/>
    <row r="474" ht="15.75" customHeight="1" s="46"/>
    <row r="475" ht="15.75" customHeight="1" s="46"/>
    <row r="476" ht="15.75" customHeight="1" s="46"/>
    <row r="477" ht="15.75" customHeight="1" s="46"/>
    <row r="478" ht="15.75" customHeight="1" s="46"/>
    <row r="479" ht="15.75" customHeight="1" s="46"/>
    <row r="480" ht="15.75" customHeight="1" s="46"/>
    <row r="481" ht="15.75" customHeight="1" s="46"/>
    <row r="482" ht="15.75" customHeight="1" s="46"/>
    <row r="483" ht="15.75" customHeight="1" s="46"/>
    <row r="484" ht="15.75" customHeight="1" s="46"/>
    <row r="485" ht="15.75" customHeight="1" s="46"/>
    <row r="486" ht="15.75" customHeight="1" s="46"/>
    <row r="487" ht="15.75" customHeight="1" s="46"/>
    <row r="488" ht="15.75" customHeight="1" s="46"/>
    <row r="489" ht="15.75" customHeight="1" s="46"/>
    <row r="490" ht="15.75" customHeight="1" s="46"/>
    <row r="491" ht="15.75" customHeight="1" s="46"/>
    <row r="492" ht="15.75" customHeight="1" s="46"/>
    <row r="493" ht="15.75" customHeight="1" s="46"/>
    <row r="494" ht="15.75" customHeight="1" s="46"/>
    <row r="495" ht="15.75" customHeight="1" s="46"/>
    <row r="496" ht="15.75" customHeight="1" s="46"/>
    <row r="497" ht="15.75" customHeight="1" s="46"/>
    <row r="498" ht="15.75" customHeight="1" s="46"/>
    <row r="499" ht="15.75" customHeight="1" s="46"/>
    <row r="500" ht="15.75" customHeight="1" s="46"/>
    <row r="501" ht="15.75" customHeight="1" s="46"/>
    <row r="502" ht="15.75" customHeight="1" s="46"/>
    <row r="503" ht="15.75" customHeight="1" s="46"/>
    <row r="504" ht="15.75" customHeight="1" s="46"/>
    <row r="505" ht="15.75" customHeight="1" s="46"/>
    <row r="506" ht="15.75" customHeight="1" s="46"/>
    <row r="507" ht="15.75" customHeight="1" s="46"/>
    <row r="508" ht="15.75" customHeight="1" s="46"/>
    <row r="509" ht="15.75" customHeight="1" s="46"/>
    <row r="510" ht="15.75" customHeight="1" s="46"/>
    <row r="511" ht="15.75" customHeight="1" s="46"/>
    <row r="512" ht="15.75" customHeight="1" s="46"/>
    <row r="513" ht="15.75" customHeight="1" s="46"/>
    <row r="514" ht="15.75" customHeight="1" s="46"/>
    <row r="515" ht="15.75" customHeight="1" s="46"/>
    <row r="516" ht="15.75" customHeight="1" s="46"/>
    <row r="517" ht="15.75" customHeight="1" s="46"/>
    <row r="518" ht="15.75" customHeight="1" s="46"/>
    <row r="519" ht="15.75" customHeight="1" s="46"/>
    <row r="520" ht="15.75" customHeight="1" s="46"/>
    <row r="521" ht="15.75" customHeight="1" s="46"/>
    <row r="522" ht="15.75" customHeight="1" s="46"/>
    <row r="523" ht="15.75" customHeight="1" s="46"/>
    <row r="524" ht="15.75" customHeight="1" s="46"/>
    <row r="525" ht="15.75" customHeight="1" s="46"/>
    <row r="526" ht="15.75" customHeight="1" s="46"/>
    <row r="527" ht="15.75" customHeight="1" s="46"/>
    <row r="528" ht="15.75" customHeight="1" s="46"/>
    <row r="529" ht="15.75" customHeight="1" s="46"/>
    <row r="530" ht="15.75" customHeight="1" s="46"/>
    <row r="531" ht="15.75" customHeight="1" s="46"/>
    <row r="532" ht="15.75" customHeight="1" s="46"/>
    <row r="533" ht="15.75" customHeight="1" s="46"/>
    <row r="534" ht="15.75" customHeight="1" s="46"/>
    <row r="535" ht="15.75" customHeight="1" s="46"/>
    <row r="536" ht="15.75" customHeight="1" s="46"/>
    <row r="537" ht="15.75" customHeight="1" s="46"/>
    <row r="538" ht="15.75" customHeight="1" s="46"/>
    <row r="539" ht="15.75" customHeight="1" s="46"/>
    <row r="540" ht="15.75" customHeight="1" s="46"/>
    <row r="541" ht="15.75" customHeight="1" s="46"/>
    <row r="542" ht="15.75" customHeight="1" s="46"/>
    <row r="543" ht="15.75" customHeight="1" s="46"/>
    <row r="544" ht="15.75" customHeight="1" s="46"/>
    <row r="545" ht="15.75" customHeight="1" s="46"/>
    <row r="546" ht="15.75" customHeight="1" s="46"/>
    <row r="547" ht="15.75" customHeight="1" s="46"/>
    <row r="548" ht="15.75" customHeight="1" s="46"/>
    <row r="549" ht="15.75" customHeight="1" s="46"/>
    <row r="550" ht="15.75" customHeight="1" s="46"/>
    <row r="551" ht="15.75" customHeight="1" s="46"/>
    <row r="552" ht="15.75" customHeight="1" s="46"/>
    <row r="553" ht="15.75" customHeight="1" s="46"/>
    <row r="554" ht="15.75" customHeight="1" s="46"/>
    <row r="555" ht="15.75" customHeight="1" s="46"/>
    <row r="556" ht="15.75" customHeight="1" s="46"/>
    <row r="557" ht="15.75" customHeight="1" s="46"/>
    <row r="558" ht="15.75" customHeight="1" s="46"/>
    <row r="559" ht="15.75" customHeight="1" s="46"/>
    <row r="560" ht="15.75" customHeight="1" s="46"/>
    <row r="561" ht="15.75" customHeight="1" s="46"/>
    <row r="562" ht="15.75" customHeight="1" s="46"/>
    <row r="563" ht="15.75" customHeight="1" s="46"/>
    <row r="564" ht="15.75" customHeight="1" s="46"/>
    <row r="565" ht="15.75" customHeight="1" s="46"/>
    <row r="566" ht="15.75" customHeight="1" s="46"/>
    <row r="567" ht="15.75" customHeight="1" s="46"/>
    <row r="568" ht="15.75" customHeight="1" s="46"/>
    <row r="569" ht="15.75" customHeight="1" s="46"/>
    <row r="570" ht="15.75" customHeight="1" s="46"/>
    <row r="571" ht="15.75" customHeight="1" s="46"/>
    <row r="572" ht="15.75" customHeight="1" s="46"/>
    <row r="573" ht="15.75" customHeight="1" s="46"/>
    <row r="574" ht="15.75" customHeight="1" s="46"/>
    <row r="575" ht="15.75" customHeight="1" s="46"/>
    <row r="576" ht="15.75" customHeight="1" s="46"/>
    <row r="577" ht="15.75" customHeight="1" s="46"/>
    <row r="578" ht="15.75" customHeight="1" s="46"/>
    <row r="579" ht="15.75" customHeight="1" s="46"/>
    <row r="580" ht="15.75" customHeight="1" s="46"/>
    <row r="581" ht="15.75" customHeight="1" s="46"/>
    <row r="582" ht="15.75" customHeight="1" s="46"/>
    <row r="583" ht="15.75" customHeight="1" s="46"/>
    <row r="584" ht="15.75" customHeight="1" s="46"/>
    <row r="585" ht="15.75" customHeight="1" s="46"/>
    <row r="586" ht="15.75" customHeight="1" s="46"/>
    <row r="587" ht="15.75" customHeight="1" s="46"/>
    <row r="588" ht="15.75" customHeight="1" s="46"/>
    <row r="589" ht="15.75" customHeight="1" s="46"/>
    <row r="590" ht="15.75" customHeight="1" s="46"/>
    <row r="591" ht="15.75" customHeight="1" s="46"/>
    <row r="592" ht="15.75" customHeight="1" s="46"/>
    <row r="593" ht="15.75" customHeight="1" s="46"/>
    <row r="594" ht="15.75" customHeight="1" s="46"/>
    <row r="595" ht="15.75" customHeight="1" s="46"/>
    <row r="596" ht="15.75" customHeight="1" s="46"/>
    <row r="597" ht="15.75" customHeight="1" s="46"/>
    <row r="598" ht="15.75" customHeight="1" s="46"/>
    <row r="599" ht="15.75" customHeight="1" s="46"/>
    <row r="600" ht="15.75" customHeight="1" s="46"/>
    <row r="601" ht="15.75" customHeight="1" s="46"/>
    <row r="602" ht="15.75" customHeight="1" s="46"/>
    <row r="603" ht="15.75" customHeight="1" s="46"/>
    <row r="604" ht="15.75" customHeight="1" s="46"/>
    <row r="605" ht="15.75" customHeight="1" s="46"/>
    <row r="606" ht="15.75" customHeight="1" s="46"/>
    <row r="607" ht="15.75" customHeight="1" s="46"/>
    <row r="608" ht="15.75" customHeight="1" s="46"/>
    <row r="609" ht="15.75" customHeight="1" s="46"/>
    <row r="610" ht="15.75" customHeight="1" s="46"/>
    <row r="611" ht="15.75" customHeight="1" s="46"/>
    <row r="612" ht="15.75" customHeight="1" s="46"/>
    <row r="613" ht="15.75" customHeight="1" s="46"/>
    <row r="614" ht="15.75" customHeight="1" s="46"/>
    <row r="615" ht="15.75" customHeight="1" s="46"/>
    <row r="616" ht="15.75" customHeight="1" s="46"/>
    <row r="617" ht="15.75" customHeight="1" s="46"/>
    <row r="618" ht="15.75" customHeight="1" s="46"/>
    <row r="619" ht="15.75" customHeight="1" s="46"/>
    <row r="620" ht="15.75" customHeight="1" s="46"/>
    <row r="621" ht="15.75" customHeight="1" s="46"/>
    <row r="622" ht="15.75" customHeight="1" s="46"/>
    <row r="623" ht="15.75" customHeight="1" s="46"/>
    <row r="624" ht="15.75" customHeight="1" s="46"/>
    <row r="625" ht="15.75" customHeight="1" s="46"/>
    <row r="626" ht="15.75" customHeight="1" s="46"/>
    <row r="627" ht="15.75" customHeight="1" s="46"/>
    <row r="628" ht="15.75" customHeight="1" s="46"/>
    <row r="629" ht="15.75" customHeight="1" s="46"/>
    <row r="630" ht="15.75" customHeight="1" s="46"/>
    <row r="631" ht="15.75" customHeight="1" s="46"/>
    <row r="632" ht="15.75" customHeight="1" s="46"/>
    <row r="633" ht="15.75" customHeight="1" s="46"/>
    <row r="634" ht="15.75" customHeight="1" s="46"/>
    <row r="635" ht="15.75" customHeight="1" s="46"/>
    <row r="636" ht="15.75" customHeight="1" s="46"/>
    <row r="637" ht="15.75" customHeight="1" s="46"/>
    <row r="638" ht="15.75" customHeight="1" s="46"/>
    <row r="639" ht="15.75" customHeight="1" s="46"/>
    <row r="640" ht="15.75" customHeight="1" s="46"/>
    <row r="641" ht="15.75" customHeight="1" s="46"/>
    <row r="642" ht="15.75" customHeight="1" s="46"/>
    <row r="643" ht="15.75" customHeight="1" s="46"/>
    <row r="644" ht="15.75" customHeight="1" s="46"/>
    <row r="645" ht="15.75" customHeight="1" s="46"/>
    <row r="646" ht="15.75" customHeight="1" s="46"/>
    <row r="647" ht="15.75" customHeight="1" s="46"/>
    <row r="648" ht="15.75" customHeight="1" s="46"/>
    <row r="649" ht="15.75" customHeight="1" s="46"/>
    <row r="650" ht="15.75" customHeight="1" s="46"/>
    <row r="651" ht="15.75" customHeight="1" s="46"/>
    <row r="652" ht="15.75" customHeight="1" s="46"/>
    <row r="653" ht="15.75" customHeight="1" s="46"/>
    <row r="654" ht="15.75" customHeight="1" s="46"/>
    <row r="655" ht="15.75" customHeight="1" s="46"/>
    <row r="656" ht="15.75" customHeight="1" s="46"/>
    <row r="657" ht="15.75" customHeight="1" s="46"/>
    <row r="658" ht="15.75" customHeight="1" s="46"/>
    <row r="659" ht="15.75" customHeight="1" s="46"/>
    <row r="660" ht="15.75" customHeight="1" s="46"/>
    <row r="661" ht="15.75" customHeight="1" s="46"/>
    <row r="662" ht="15.75" customHeight="1" s="46"/>
    <row r="663" ht="15.75" customHeight="1" s="46"/>
    <row r="664" ht="15.75" customHeight="1" s="46"/>
    <row r="665" ht="15.75" customHeight="1" s="46"/>
    <row r="666" ht="15.75" customHeight="1" s="46"/>
    <row r="667" ht="15.75" customHeight="1" s="46"/>
    <row r="668" ht="15.75" customHeight="1" s="46"/>
    <row r="669" ht="15.75" customHeight="1" s="46"/>
    <row r="670" ht="15.75" customHeight="1" s="46"/>
    <row r="671" ht="15.75" customHeight="1" s="46"/>
    <row r="672" ht="15.75" customHeight="1" s="46"/>
    <row r="673" ht="15.75" customHeight="1" s="46"/>
    <row r="674" ht="15.75" customHeight="1" s="46"/>
    <row r="675" ht="15.75" customHeight="1" s="46"/>
    <row r="676" ht="15.75" customHeight="1" s="46"/>
    <row r="677" ht="15.75" customHeight="1" s="46"/>
    <row r="678" ht="15.75" customHeight="1" s="46"/>
    <row r="679" ht="15.75" customHeight="1" s="46"/>
    <row r="680" ht="15.75" customHeight="1" s="46"/>
    <row r="681" ht="15.75" customHeight="1" s="46"/>
    <row r="682" ht="15.75" customHeight="1" s="46"/>
    <row r="683" ht="15.75" customHeight="1" s="46"/>
    <row r="684" ht="15.75" customHeight="1" s="46"/>
    <row r="685" ht="15.75" customHeight="1" s="46"/>
    <row r="686" ht="15.75" customHeight="1" s="46"/>
    <row r="687" ht="15.75" customHeight="1" s="46"/>
    <row r="688" ht="15.75" customHeight="1" s="46"/>
    <row r="689" ht="15.75" customHeight="1" s="46"/>
    <row r="690" ht="15.75" customHeight="1" s="46"/>
    <row r="691" ht="15.75" customHeight="1" s="46"/>
    <row r="692" ht="15.75" customHeight="1" s="46"/>
    <row r="693" ht="15.75" customHeight="1" s="46"/>
    <row r="694" ht="15.75" customHeight="1" s="46"/>
    <row r="695" ht="15.75" customHeight="1" s="46"/>
    <row r="696" ht="15.75" customHeight="1" s="46"/>
    <row r="697" ht="15.75" customHeight="1" s="46"/>
    <row r="698" ht="15.75" customHeight="1" s="46"/>
    <row r="699" ht="15.75" customHeight="1" s="46"/>
    <row r="700" ht="15.75" customHeight="1" s="46"/>
    <row r="701" ht="15.75" customHeight="1" s="46"/>
    <row r="702" ht="15.75" customHeight="1" s="46"/>
    <row r="703" ht="15.75" customHeight="1" s="46"/>
    <row r="704" ht="15.75" customHeight="1" s="46"/>
    <row r="705" ht="15.75" customHeight="1" s="46"/>
    <row r="706" ht="15.75" customHeight="1" s="46"/>
    <row r="707" ht="15.75" customHeight="1" s="46"/>
    <row r="708" ht="15.75" customHeight="1" s="46"/>
    <row r="709" ht="15.75" customHeight="1" s="46"/>
    <row r="710" ht="15.75" customHeight="1" s="46"/>
    <row r="711" ht="15.75" customHeight="1" s="46"/>
    <row r="712" ht="15.75" customHeight="1" s="46"/>
    <row r="713" ht="15.75" customHeight="1" s="46"/>
    <row r="714" ht="15.75" customHeight="1" s="46"/>
    <row r="715" ht="15.75" customHeight="1" s="46"/>
    <row r="716" ht="15.75" customHeight="1" s="46"/>
    <row r="717" ht="15.75" customHeight="1" s="46"/>
    <row r="718" ht="15.75" customHeight="1" s="46"/>
    <row r="719" ht="15.75" customHeight="1" s="46"/>
    <row r="720" ht="15.75" customHeight="1" s="46"/>
    <row r="721" ht="15.75" customHeight="1" s="46"/>
    <row r="722" ht="15.75" customHeight="1" s="46"/>
    <row r="723" ht="15.75" customHeight="1" s="46"/>
    <row r="724" ht="15.75" customHeight="1" s="46"/>
    <row r="725" ht="15.75" customHeight="1" s="46"/>
    <row r="726" ht="15.75" customHeight="1" s="46"/>
    <row r="727" ht="15.75" customHeight="1" s="46"/>
    <row r="728" ht="15.75" customHeight="1" s="46"/>
    <row r="729" ht="15.75" customHeight="1" s="46"/>
    <row r="730" ht="15.75" customHeight="1" s="46"/>
    <row r="731" ht="15.75" customHeight="1" s="46"/>
    <row r="732" ht="15.75" customHeight="1" s="46"/>
    <row r="733" ht="15.75" customHeight="1" s="46"/>
    <row r="734" ht="15.75" customHeight="1" s="46"/>
    <row r="735" ht="15.75" customHeight="1" s="46"/>
    <row r="736" ht="15.75" customHeight="1" s="46"/>
    <row r="737" ht="15.75" customHeight="1" s="46"/>
    <row r="738" ht="15.75" customHeight="1" s="46"/>
    <row r="739" ht="15.75" customHeight="1" s="46"/>
    <row r="740" ht="15.75" customHeight="1" s="46"/>
    <row r="741" ht="15.75" customHeight="1" s="46"/>
    <row r="742" ht="15.75" customHeight="1" s="46"/>
    <row r="743" ht="15.75" customHeight="1" s="46"/>
    <row r="744" ht="15.75" customHeight="1" s="46"/>
    <row r="745" ht="15.75" customHeight="1" s="46"/>
    <row r="746" ht="15.75" customHeight="1" s="46"/>
    <row r="747" ht="15.75" customHeight="1" s="46"/>
    <row r="748" ht="15.75" customHeight="1" s="46"/>
    <row r="749" ht="15.75" customHeight="1" s="46"/>
    <row r="750" ht="15.75" customHeight="1" s="46"/>
    <row r="751" ht="15.75" customHeight="1" s="46"/>
    <row r="752" ht="15.75" customHeight="1" s="46"/>
    <row r="753" ht="15.75" customHeight="1" s="46"/>
    <row r="754" ht="15.75" customHeight="1" s="46"/>
    <row r="755" ht="15.75" customHeight="1" s="46"/>
    <row r="756" ht="15.75" customHeight="1" s="46"/>
    <row r="757" ht="15.75" customHeight="1" s="46"/>
    <row r="758" ht="15.75" customHeight="1" s="46"/>
    <row r="759" ht="15.75" customHeight="1" s="46"/>
    <row r="760" ht="15.75" customHeight="1" s="46"/>
    <row r="761" ht="15.75" customHeight="1" s="46"/>
    <row r="762" ht="15.75" customHeight="1" s="46"/>
    <row r="763" ht="15.75" customHeight="1" s="46"/>
    <row r="764" ht="15.75" customHeight="1" s="46"/>
    <row r="765" ht="15.75" customHeight="1" s="46"/>
    <row r="766" ht="15.75" customHeight="1" s="46"/>
    <row r="767" ht="15.75" customHeight="1" s="46"/>
    <row r="768" ht="15.75" customHeight="1" s="46"/>
    <row r="769" ht="15.75" customHeight="1" s="46"/>
    <row r="770" ht="15.75" customHeight="1" s="46"/>
    <row r="771" ht="15.75" customHeight="1" s="46"/>
    <row r="772" ht="15.75" customHeight="1" s="46"/>
    <row r="773" ht="15.75" customHeight="1" s="46"/>
    <row r="774" ht="15.75" customHeight="1" s="46"/>
    <row r="775" ht="15.75" customHeight="1" s="46"/>
    <row r="776" ht="15.75" customHeight="1" s="46"/>
    <row r="777" ht="15.75" customHeight="1" s="46"/>
    <row r="778" ht="15.75" customHeight="1" s="46"/>
    <row r="779" ht="15.75" customHeight="1" s="46"/>
    <row r="780" ht="15.75" customHeight="1" s="46"/>
    <row r="781" ht="15.75" customHeight="1" s="46"/>
    <row r="782" ht="15.75" customHeight="1" s="46"/>
    <row r="783" ht="15.75" customHeight="1" s="46"/>
    <row r="784" ht="15.75" customHeight="1" s="46"/>
    <row r="785" ht="15.75" customHeight="1" s="46"/>
    <row r="786" ht="15.75" customHeight="1" s="46"/>
    <row r="787" ht="15.75" customHeight="1" s="46"/>
    <row r="788" ht="15.75" customHeight="1" s="46"/>
    <row r="789" ht="15.75" customHeight="1" s="46"/>
    <row r="790" ht="15.75" customHeight="1" s="46"/>
    <row r="791" ht="15.75" customHeight="1" s="46"/>
    <row r="792" ht="15.75" customHeight="1" s="46"/>
    <row r="793" ht="15.75" customHeight="1" s="46"/>
    <row r="794" ht="15.75" customHeight="1" s="46"/>
    <row r="795" ht="15.75" customHeight="1" s="46"/>
    <row r="796" ht="15.75" customHeight="1" s="46"/>
    <row r="797" ht="15.75" customHeight="1" s="46"/>
    <row r="798" ht="15.75" customHeight="1" s="46"/>
    <row r="799" ht="15.75" customHeight="1" s="46"/>
    <row r="800" ht="15.75" customHeight="1" s="46"/>
    <row r="801" ht="15.75" customHeight="1" s="46"/>
    <row r="802" ht="15.75" customHeight="1" s="46"/>
    <row r="803" ht="15.75" customHeight="1" s="46"/>
    <row r="804" ht="15.75" customHeight="1" s="46"/>
    <row r="805" ht="15.75" customHeight="1" s="46"/>
    <row r="806" ht="15.75" customHeight="1" s="46"/>
    <row r="807" ht="15.75" customHeight="1" s="46"/>
    <row r="808" ht="15.75" customHeight="1" s="46"/>
    <row r="809" ht="15.75" customHeight="1" s="46"/>
    <row r="810" ht="15.75" customHeight="1" s="46"/>
    <row r="811" ht="15.75" customHeight="1" s="46"/>
    <row r="812" ht="15.75" customHeight="1" s="46"/>
    <row r="813" ht="15.75" customHeight="1" s="46"/>
    <row r="814" ht="15.75" customHeight="1" s="46"/>
    <row r="815" ht="15.75" customHeight="1" s="46"/>
    <row r="816" ht="15.75" customHeight="1" s="46"/>
    <row r="817" ht="15.75" customHeight="1" s="46"/>
    <row r="818" ht="15.75" customHeight="1" s="46"/>
    <row r="819" ht="15.75" customHeight="1" s="46"/>
    <row r="820" ht="15.75" customHeight="1" s="46"/>
    <row r="821" ht="15.75" customHeight="1" s="46"/>
    <row r="822" ht="15.75" customHeight="1" s="46"/>
    <row r="823" ht="15.75" customHeight="1" s="46"/>
    <row r="824" ht="15.75" customHeight="1" s="46"/>
    <row r="825" ht="15.75" customHeight="1" s="46"/>
    <row r="826" ht="15.75" customHeight="1" s="46"/>
    <row r="827" ht="15.75" customHeight="1" s="46"/>
    <row r="828" ht="15.75" customHeight="1" s="46"/>
    <row r="829" ht="15.75" customHeight="1" s="46"/>
    <row r="830" ht="15.75" customHeight="1" s="46"/>
    <row r="831" ht="15.75" customHeight="1" s="46"/>
    <row r="832" ht="15.75" customHeight="1" s="46"/>
    <row r="833" ht="15.75" customHeight="1" s="46"/>
    <row r="834" ht="15.75" customHeight="1" s="46"/>
    <row r="835" ht="15.75" customHeight="1" s="46"/>
    <row r="836" ht="15.75" customHeight="1" s="46"/>
    <row r="837" ht="15.75" customHeight="1" s="46"/>
    <row r="838" ht="15.75" customHeight="1" s="46"/>
    <row r="839" ht="15.75" customHeight="1" s="46"/>
    <row r="840" ht="15.75" customHeight="1" s="46"/>
    <row r="841" ht="15.75" customHeight="1" s="46"/>
    <row r="842" ht="15.75" customHeight="1" s="46"/>
    <row r="843" ht="15.75" customHeight="1" s="46"/>
    <row r="844" ht="15.75" customHeight="1" s="46"/>
    <row r="845" ht="15.75" customHeight="1" s="46"/>
    <row r="846" ht="15.75" customHeight="1" s="46"/>
    <row r="847" ht="15.75" customHeight="1" s="46"/>
    <row r="848" ht="15.75" customHeight="1" s="46"/>
    <row r="849" ht="15.75" customHeight="1" s="46"/>
    <row r="850" ht="15.75" customHeight="1" s="46"/>
    <row r="851" ht="15.75" customHeight="1" s="46"/>
    <row r="852" ht="15.75" customHeight="1" s="46"/>
    <row r="853" ht="15.75" customHeight="1" s="46"/>
    <row r="854" ht="15.75" customHeight="1" s="46"/>
    <row r="855" ht="15.75" customHeight="1" s="46"/>
    <row r="856" ht="15.75" customHeight="1" s="46"/>
    <row r="857" ht="15.75" customHeight="1" s="46"/>
    <row r="858" ht="15.75" customHeight="1" s="46"/>
    <row r="859" ht="15.75" customHeight="1" s="46"/>
    <row r="860" ht="15.75" customHeight="1" s="46"/>
    <row r="861" ht="15.75" customHeight="1" s="46"/>
    <row r="862" ht="15.75" customHeight="1" s="46"/>
    <row r="863" ht="15.75" customHeight="1" s="46"/>
    <row r="864" ht="15.75" customHeight="1" s="46"/>
    <row r="865" ht="15.75" customHeight="1" s="46"/>
    <row r="866" ht="15.75" customHeight="1" s="46"/>
    <row r="867" ht="15.75" customHeight="1" s="46"/>
    <row r="868" ht="15.75" customHeight="1" s="46"/>
    <row r="869" ht="15.75" customHeight="1" s="46"/>
    <row r="870" ht="15.75" customHeight="1" s="46"/>
    <row r="871" ht="15.75" customHeight="1" s="46"/>
    <row r="872" ht="15.75" customHeight="1" s="46"/>
    <row r="873" ht="15.75" customHeight="1" s="46"/>
    <row r="874" ht="15.75" customHeight="1" s="46"/>
    <row r="875" ht="15.75" customHeight="1" s="46"/>
    <row r="876" ht="15.75" customHeight="1" s="46"/>
    <row r="877" ht="15.75" customHeight="1" s="46"/>
    <row r="878" ht="15.75" customHeight="1" s="46"/>
    <row r="879" ht="15.75" customHeight="1" s="46"/>
    <row r="880" ht="15.75" customHeight="1" s="46"/>
    <row r="881" ht="15.75" customHeight="1" s="46"/>
    <row r="882" ht="15.75" customHeight="1" s="46"/>
    <row r="883" ht="15.75" customHeight="1" s="46"/>
    <row r="884" ht="15.75" customHeight="1" s="46"/>
    <row r="885" ht="15.75" customHeight="1" s="46"/>
    <row r="886" ht="15.75" customHeight="1" s="46"/>
    <row r="887" ht="15.75" customHeight="1" s="46"/>
    <row r="888" ht="15.75" customHeight="1" s="46"/>
    <row r="889" ht="15.75" customHeight="1" s="46"/>
    <row r="890" ht="15.75" customHeight="1" s="46"/>
    <row r="891" ht="15.75" customHeight="1" s="46"/>
    <row r="892" ht="15.75" customHeight="1" s="46"/>
    <row r="893" ht="15.75" customHeight="1" s="46"/>
    <row r="894" ht="15.75" customHeight="1" s="46"/>
    <row r="895" ht="15.75" customHeight="1" s="46"/>
    <row r="896" ht="15.75" customHeight="1" s="46"/>
    <row r="897" ht="15.75" customHeight="1" s="46"/>
    <row r="898" ht="15.75" customHeight="1" s="46"/>
    <row r="899" ht="15.75" customHeight="1" s="46"/>
    <row r="900" ht="15.75" customHeight="1" s="46"/>
    <row r="901" ht="15.75" customHeight="1" s="46"/>
    <row r="902" ht="15.75" customHeight="1" s="46"/>
    <row r="903" ht="15.75" customHeight="1" s="46"/>
    <row r="904" ht="15.75" customHeight="1" s="46"/>
    <row r="905" ht="15.75" customHeight="1" s="46"/>
    <row r="906" ht="15.75" customHeight="1" s="46"/>
    <row r="907" ht="15.75" customHeight="1" s="46"/>
    <row r="908" ht="15.75" customHeight="1" s="46"/>
    <row r="909" ht="15.75" customHeight="1" s="46"/>
    <row r="910" ht="15.75" customHeight="1" s="46"/>
    <row r="911" ht="15.75" customHeight="1" s="46"/>
    <row r="912" ht="15.75" customHeight="1" s="46"/>
    <row r="913" ht="15.75" customHeight="1" s="46"/>
    <row r="914" ht="15.75" customHeight="1" s="46"/>
    <row r="915" ht="15.75" customHeight="1" s="46"/>
    <row r="916" ht="15.75" customHeight="1" s="46"/>
    <row r="917" ht="15.75" customHeight="1" s="46"/>
    <row r="918" ht="15.75" customHeight="1" s="46"/>
    <row r="919" ht="15.75" customHeight="1" s="46"/>
    <row r="920" ht="15.75" customHeight="1" s="46"/>
    <row r="921" ht="15.75" customHeight="1" s="46"/>
    <row r="922" ht="15.75" customHeight="1" s="46"/>
    <row r="923" ht="15.75" customHeight="1" s="46"/>
    <row r="924" ht="15.75" customHeight="1" s="46"/>
    <row r="925" ht="15.75" customHeight="1" s="46"/>
    <row r="926" ht="15.75" customHeight="1" s="46"/>
    <row r="927" ht="15.75" customHeight="1" s="46"/>
    <row r="928" ht="15.75" customHeight="1" s="46"/>
    <row r="929" ht="15.75" customHeight="1" s="46"/>
    <row r="930" ht="15.75" customHeight="1" s="46"/>
    <row r="931" ht="15.75" customHeight="1" s="46"/>
    <row r="932" ht="15.75" customHeight="1" s="46"/>
    <row r="933" ht="15.75" customHeight="1" s="46"/>
    <row r="934" ht="15.75" customHeight="1" s="46"/>
    <row r="935" ht="15.75" customHeight="1" s="46"/>
    <row r="936" ht="15.75" customHeight="1" s="46"/>
    <row r="937" ht="15.75" customHeight="1" s="46"/>
    <row r="938" ht="15.75" customHeight="1" s="46"/>
    <row r="939" ht="15.75" customHeight="1" s="46"/>
    <row r="940" ht="15.75" customHeight="1" s="46"/>
    <row r="941" ht="15.75" customHeight="1" s="46"/>
    <row r="942" ht="15.75" customHeight="1" s="46"/>
    <row r="943" ht="15.75" customHeight="1" s="46"/>
    <row r="944" ht="15.75" customHeight="1" s="46"/>
    <row r="945" ht="15.75" customHeight="1" s="46"/>
    <row r="946" ht="15.75" customHeight="1" s="46"/>
    <row r="947" ht="15.75" customHeight="1" s="46"/>
    <row r="948" ht="15.75" customHeight="1" s="46"/>
    <row r="949" ht="15.75" customHeight="1" s="46"/>
    <row r="950" ht="15.75" customHeight="1" s="46"/>
    <row r="951" ht="15.75" customHeight="1" s="46"/>
    <row r="952" ht="15.75" customHeight="1" s="46"/>
    <row r="953" ht="15.75" customHeight="1" s="46"/>
    <row r="954" ht="15.75" customHeight="1" s="46"/>
    <row r="955" ht="15.75" customHeight="1" s="46"/>
    <row r="956" ht="15.75" customHeight="1" s="46"/>
    <row r="957" ht="15.75" customHeight="1" s="46"/>
    <row r="958" ht="15.75" customHeight="1" s="46"/>
    <row r="959" ht="15.75" customHeight="1" s="46"/>
    <row r="960" ht="15.75" customHeight="1" s="46"/>
    <row r="961" ht="15.75" customHeight="1" s="46"/>
    <row r="962" ht="15.75" customHeight="1" s="46"/>
    <row r="963" ht="15.75" customHeight="1" s="46"/>
    <row r="964" ht="15.75" customHeight="1" s="46"/>
    <row r="965" ht="15.75" customHeight="1" s="46"/>
    <row r="966" ht="15.75" customHeight="1" s="46"/>
    <row r="967" ht="15.75" customHeight="1" s="46"/>
    <row r="968" ht="15.75" customHeight="1" s="46"/>
    <row r="969" ht="15.75" customHeight="1" s="46"/>
    <row r="970" ht="15.75" customHeight="1" s="46"/>
    <row r="971" ht="15.75" customHeight="1" s="46"/>
    <row r="972" ht="15.75" customHeight="1" s="46"/>
    <row r="973" ht="15.75" customHeight="1" s="46"/>
    <row r="974" ht="15.75" customHeight="1" s="46"/>
    <row r="975" ht="15.75" customHeight="1" s="46"/>
    <row r="976" ht="15.75" customHeight="1" s="46"/>
    <row r="977" ht="15.75" customHeight="1" s="46"/>
    <row r="978" ht="15.75" customHeight="1" s="46"/>
    <row r="979" ht="15.75" customHeight="1" s="46"/>
    <row r="980" ht="15.75" customHeight="1" s="46"/>
    <row r="981" ht="15.75" customHeight="1" s="46"/>
    <row r="982" ht="15.75" customHeight="1" s="46"/>
    <row r="983" ht="15.75" customHeight="1" s="46"/>
    <row r="984" ht="15.75" customHeight="1" s="46"/>
    <row r="985" ht="15.75" customHeight="1" s="46"/>
    <row r="986" ht="15.75" customHeight="1" s="46"/>
    <row r="987" ht="15.75" customHeight="1" s="46"/>
    <row r="988" ht="15.75" customHeight="1" s="46"/>
    <row r="989" ht="15.75" customHeight="1" s="46"/>
    <row r="990" ht="15.75" customHeight="1" s="46"/>
    <row r="991" ht="15.75" customHeight="1" s="46"/>
    <row r="992" ht="15.75" customHeight="1" s="46"/>
    <row r="993" ht="15.75" customHeight="1" s="46"/>
    <row r="994" ht="15.75" customHeight="1" s="46"/>
    <row r="995" ht="15.75" customHeight="1" s="46"/>
    <row r="996" ht="15.75" customHeight="1" s="46"/>
    <row r="997" ht="15.75" customHeight="1" s="46"/>
    <row r="998" ht="15.75" customHeight="1" s="46"/>
    <row r="999" ht="15.75" customHeight="1" s="46"/>
    <row r="1000" ht="15.75" customHeight="1" s="46"/>
  </sheetData>
  <mergeCells count="14">
    <mergeCell ref="A21:E21"/>
    <mergeCell ref="A39:E39"/>
    <mergeCell ref="N25:Q25"/>
    <mergeCell ref="A25:E25"/>
    <mergeCell ref="A2:N2"/>
    <mergeCell ref="A41:N45"/>
    <mergeCell ref="A24:AG24"/>
    <mergeCell ref="R25:U25"/>
    <mergeCell ref="V25:Y25"/>
    <mergeCell ref="Z25:AC25"/>
    <mergeCell ref="F25:I25"/>
    <mergeCell ref="J25:M25"/>
    <mergeCell ref="AD25:AG25"/>
    <mergeCell ref="A1:N1"/>
  </mergeCells>
  <pageMargins left="0.75" right="0.75" top="1" bottom="1" header="0" footer="0"/>
  <pageSetup orientation="landscape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G45"/>
  <sheetViews>
    <sheetView workbookViewId="0">
      <selection activeCell="A1" sqref="A1"/>
    </sheetView>
  </sheetViews>
  <sheetFormatPr baseColWidth="8" defaultColWidth="14.43" defaultRowHeight="15" customHeight="1"/>
  <cols>
    <col width="4" customWidth="1" style="46" min="1" max="1"/>
    <col width="10" customWidth="1" style="46" min="2" max="2"/>
    <col width="32" customWidth="1" style="46" min="3" max="3"/>
    <col width="26" customWidth="1" style="46" min="4" max="4"/>
    <col width="28" customWidth="1" style="46" min="5" max="5"/>
    <col width="14" customWidth="1" style="46" min="6" max="7"/>
    <col width="15" customWidth="1" style="46" min="8" max="9"/>
    <col width="16" customWidth="1" style="46" min="10" max="11"/>
    <col width="14" customWidth="1" style="46" min="12" max="12"/>
    <col width="15" customWidth="1" style="46" min="13" max="13"/>
    <col width="24" customWidth="1" style="46" min="14" max="14"/>
    <col width="14" customWidth="1" style="46" min="15" max="33"/>
  </cols>
  <sheetData>
    <row r="1" ht="24.75" customHeight="1" s="46">
      <c r="A1" s="47" t="inlineStr">
        <is>
          <t>CONTROL SEMANAL DE RENDIMIENTO DE MAQUINARIA (SEMANA 37)</t>
        </is>
      </c>
    </row>
    <row r="2" ht="18" customHeight="1" s="46">
      <c r="A2" s="48" t="inlineStr">
        <is>
          <t>OBRA: CARRETERA LIBRE MÉXICO-TOLUCA | PERIODO: 07/Sep/2026 - 12/Sep/2026</t>
        </is>
      </c>
    </row>
    <row r="4">
      <c r="A4" s="5" t="inlineStr">
        <is>
          <t>1. PARÁMETROS:</t>
        </is>
      </c>
      <c r="B4" s="5" t="inlineStr">
        <is>
          <t>PESO VOLUMÉTRICO ASFALTO (Ton/m³):</t>
        </is>
      </c>
      <c r="E4" s="7" t="n">
        <v>1.742</v>
      </c>
    </row>
    <row r="5">
      <c r="A5" s="5" t="inlineStr">
        <is>
          <t>2. FRESADO SEMANAL:</t>
        </is>
      </c>
      <c r="B5" s="8" t="inlineStr">
        <is>
          <t>Viajes de Fresado:</t>
        </is>
      </c>
      <c r="C5" s="41" t="n">
        <v>87</v>
      </c>
      <c r="D5" s="8" t="inlineStr">
        <is>
          <t>Volumen Fresado (m³):</t>
        </is>
      </c>
      <c r="E5" s="42" t="n">
        <v>1974</v>
      </c>
    </row>
    <row r="6">
      <c r="A6" s="5" t="inlineStr">
        <is>
          <t>3. CARPETA SEMANAL:</t>
        </is>
      </c>
      <c r="B6" s="8" t="inlineStr">
        <is>
          <t>Viajes de Mezcla:</t>
        </is>
      </c>
      <c r="C6" s="41" t="n">
        <v>86</v>
      </c>
      <c r="D6" s="8" t="inlineStr">
        <is>
          <t>Volumen Carpeta (m³):</t>
        </is>
      </c>
      <c r="E6" s="42" t="n">
        <v>1204</v>
      </c>
      <c r="F6" s="8" t="inlineStr">
        <is>
          <t>Toneladas Carpeta (Ton):</t>
        </is>
      </c>
      <c r="G6" s="17">
        <f>E6*$E$4</f>
        <v/>
      </c>
    </row>
    <row r="8" ht="27.75" customHeight="1" s="46">
      <c r="A8" s="10" t="inlineStr">
        <is>
          <t>No.</t>
        </is>
      </c>
      <c r="B8" s="10" t="inlineStr">
        <is>
          <t>Económico</t>
        </is>
      </c>
      <c r="C8" s="10" t="inlineStr">
        <is>
          <t>Equipo / Maquinaria</t>
        </is>
      </c>
      <c r="D8" s="10" t="inlineStr">
        <is>
          <t>Operador Asignado</t>
        </is>
      </c>
      <c r="E8" s="10" t="inlineStr">
        <is>
          <t>Concepto de Trabajo</t>
        </is>
      </c>
      <c r="F8" s="10" t="inlineStr">
        <is>
          <t>Viajes Asignados</t>
        </is>
      </c>
      <c r="G8" s="10" t="inlineStr">
        <is>
          <t>Volumen (m³)</t>
        </is>
      </c>
      <c r="H8" s="10" t="inlineStr">
        <is>
          <t>Toneladas (Ton)</t>
        </is>
      </c>
      <c r="I8" s="10" t="inlineStr">
        <is>
          <t>Diésel Surtido (L)</t>
        </is>
      </c>
      <c r="J8" s="10" t="inlineStr">
        <is>
          <t>Rendimiento Real (L/Ton)</t>
        </is>
      </c>
      <c r="K8" s="10" t="inlineStr">
        <is>
          <t>Rendimiento Real (L/m³)</t>
        </is>
      </c>
      <c r="L8" s="10" t="inlineStr">
        <is>
          <t>Rend. Base (L/h)</t>
        </is>
      </c>
      <c r="M8" s="10" t="inlineStr">
        <is>
          <t>Horas Est. Operación</t>
        </is>
      </c>
      <c r="N8" s="10" t="inlineStr">
        <is>
          <t>Estatus Operativo</t>
        </is>
      </c>
    </row>
    <row r="9" ht="19.5" customHeight="1" s="46">
      <c r="A9" s="12" t="n">
        <v>1</v>
      </c>
      <c r="B9" s="12" t="inlineStr">
        <is>
          <t>PRR-01</t>
        </is>
      </c>
      <c r="C9" s="13" t="inlineStr">
        <is>
          <t>PERFILADORA WIRTGEN W200i</t>
        </is>
      </c>
      <c r="D9" s="13" t="inlineStr">
        <is>
          <t>JAVIER PAREDES CORTE</t>
        </is>
      </c>
      <c r="E9" s="13" t="inlineStr">
        <is>
          <t>Fresado de Pavimento</t>
        </is>
      </c>
      <c r="F9" s="14">
        <f>$C$5</f>
        <v/>
      </c>
      <c r="G9" s="37">
        <f>$E$5</f>
        <v/>
      </c>
      <c r="H9" s="18" t="inlineStr">
        <is>
          <t>-</t>
        </is>
      </c>
      <c r="I9" s="37">
        <f>AD27</f>
        <v/>
      </c>
      <c r="J9" s="19" t="inlineStr">
        <is>
          <t>-</t>
        </is>
      </c>
      <c r="K9" s="20">
        <f>IF(G9&gt;0, I9/G9, 0)</f>
        <v/>
      </c>
      <c r="L9" s="21" t="n">
        <v>67.2</v>
      </c>
      <c r="M9" s="22">
        <f>IF(L9&gt;0, I9/L9, 0)</f>
        <v/>
      </c>
      <c r="N9" s="12">
        <f>IF(I9=0, "SIN CONSUMO (Inactiva)", IF(A9=1, IF(K9&lt;=0.85, "DENTRO DE RENDIMIENTO BASE", "EXCEDE RENDIMIENTO BASE"), IF(A9=2, IF(J9&lt;=0.38, "DENTRO DE RENDIMIENTO BASE", "EXCEDE RENDIMIENTO BASE"), IF(OR(A9=3,A9=4,A9=5,A9=6), IF(J9&lt;=0.08, "DENTRO DE RENDIMIENTO BASE", "EXCEDE RENDIMIENTO BASE"), IF(A9=7, IF(J9&lt;=0.07, "DENTRO DE RENDIMIENTO BASE", "EXCEDE RENDIMIENTO BASE"), IF(A9=8, IF(K9&lt;=0.22, "DENTRO DE RENDIMIENTO BASE", "EXCEDE RENDIMIENTO BASE"), IF(A9=9, IF(J9&lt;=0.075, "DENTRO DE RENDIMIENTO BASE", "EXCEDE RENDIMIENTO BASE"), "APOYO PUNTUAL")))))))</f>
        <v/>
      </c>
    </row>
    <row r="10" ht="19.5" customHeight="1" s="46">
      <c r="A10" s="12" t="n">
        <v>2</v>
      </c>
      <c r="B10" s="12" t="inlineStr">
        <is>
          <t>VG-01</t>
        </is>
      </c>
      <c r="C10" s="13" t="inlineStr">
        <is>
          <t>PAVIMENTADORA VÖGELE SUPER 1800-3i</t>
        </is>
      </c>
      <c r="D10" s="13" t="inlineStr">
        <is>
          <t>ERWIN CUTEÑO HERNANDEZ</t>
        </is>
      </c>
      <c r="E10" s="13" t="inlineStr">
        <is>
          <t>Tendido de Mezcla Asfáltica</t>
        </is>
      </c>
      <c r="F10" s="14">
        <f>$C$6</f>
        <v/>
      </c>
      <c r="G10" s="37">
        <f>$E$6</f>
        <v/>
      </c>
      <c r="H10" s="16">
        <f>G10*$E$4</f>
        <v/>
      </c>
      <c r="I10" s="37">
        <f>AD28</f>
        <v/>
      </c>
      <c r="J10" s="20">
        <f>IF(H10&gt;0, I10/H10, 0)</f>
        <v/>
      </c>
      <c r="K10" s="20">
        <f>IF(G10&gt;0, I10/G10, 0)</f>
        <v/>
      </c>
      <c r="L10" s="21" t="n">
        <v>16.24</v>
      </c>
      <c r="M10" s="22">
        <f>IF(L10&gt;0, I10/L10, 0)</f>
        <v/>
      </c>
      <c r="N10" s="12">
        <f>IF(I10=0, "SIN CONSUMO (Inactiva)", IF(A10=1, IF(K10&lt;=0.85, "DENTRO DE RENDIMIENTO BASE", "EXCEDE RENDIMIENTO BASE"), IF(A10=2, IF(J10&lt;=0.38, "DENTRO DE RENDIMIENTO BASE", "EXCEDE RENDIMIENTO BASE"), IF(OR(A10=3,A10=4,A10=5,A10=6), IF(J10&lt;=0.08, "DENTRO DE RENDIMIENTO BASE", "EXCEDE RENDIMIENTO BASE"), IF(A10=7, IF(J10&lt;=0.07, "DENTRO DE RENDIMIENTO BASE", "EXCEDE RENDIMIENTO BASE"), IF(A10=8, IF(K10&lt;=0.22, "DENTRO DE RENDIMIENTO BASE", "EXCEDE RENDIMIENTO BASE"), IF(A10=9, IF(J10&lt;=0.075, "DENTRO DE RENDIMIENTO BASE", "EXCEDE RENDIMIENTO BASE"), "APOYO PUNTUAL")))))))</f>
        <v/>
      </c>
    </row>
    <row r="11" ht="19.5" customHeight="1" s="46">
      <c r="A11" s="12" t="n">
        <v>3</v>
      </c>
      <c r="B11" s="12" t="inlineStr">
        <is>
          <t>DR-01</t>
        </is>
      </c>
      <c r="C11" s="13" t="inlineStr">
        <is>
          <t>COMPACTADOR TÁNDEM HAMM-HD120 VV</t>
        </is>
      </c>
      <c r="D11" s="13" t="inlineStr">
        <is>
          <t>JOEL ALBERTO RIVERA RIVAS</t>
        </is>
      </c>
      <c r="E11" s="13" t="inlineStr">
        <is>
          <t>Compactación Tándem Primaria</t>
        </is>
      </c>
      <c r="F11" s="14">
        <f>$C$6</f>
        <v/>
      </c>
      <c r="G11" s="37">
        <f>$E$6</f>
        <v/>
      </c>
      <c r="H11" s="16">
        <f>G11*$E$4</f>
        <v/>
      </c>
      <c r="I11" s="37">
        <f>AD29</f>
        <v/>
      </c>
      <c r="J11" s="20">
        <f>IF(H11&gt;0, I11/H11, 0)</f>
        <v/>
      </c>
      <c r="K11" s="20">
        <f>IF(G11&gt;0, I11/G11, 0)</f>
        <v/>
      </c>
      <c r="L11" s="21" t="n">
        <v>14.3</v>
      </c>
      <c r="M11" s="22">
        <f>IF(L11&gt;0, I11/L11, 0)</f>
        <v/>
      </c>
      <c r="N11" s="12">
        <f>IF(I11=0, "SIN CONSUMO (Inactiva)", IF(A11=1, IF(K11&lt;=0.85, "DENTRO DE RENDIMIENTO BASE", "EXCEDE RENDIMIENTO BASE"), IF(A11=2, IF(J11&lt;=0.38, "DENTRO DE RENDIMIENTO BASE", "EXCEDE RENDIMIENTO BASE"), IF(OR(A11=3,A11=4,A11=5,A11=6), IF(J11&lt;=0.08, "DENTRO DE RENDIMIENTO BASE", "EXCEDE RENDIMIENTO BASE"), IF(A11=7, IF(J11&lt;=0.07, "DENTRO DE RENDIMIENTO BASE", "EXCEDE RENDIMIENTO BASE"), IF(A11=8, IF(K11&lt;=0.22, "DENTRO DE RENDIMIENTO BASE", "EXCEDE RENDIMIENTO BASE"), IF(A11=9, IF(J11&lt;=0.075, "DENTRO DE RENDIMIENTO BASE", "EXCEDE RENDIMIENTO BASE"), "APOYO PUNTUAL")))))))</f>
        <v/>
      </c>
    </row>
    <row r="12" ht="19.5" customHeight="1" s="46">
      <c r="A12" s="12" t="n">
        <v>4</v>
      </c>
      <c r="B12" s="12" t="inlineStr">
        <is>
          <t>DR-02</t>
        </is>
      </c>
      <c r="C12" s="13" t="inlineStr">
        <is>
          <t>COMPACTADOR TÁNDEM HAMM-HD140</t>
        </is>
      </c>
      <c r="D12" s="13" t="inlineStr">
        <is>
          <t>ALEXIS RENDON DOMINGUEZ</t>
        </is>
      </c>
      <c r="E12" s="13" t="inlineStr">
        <is>
          <t>Compactación Tándem Pesada</t>
        </is>
      </c>
      <c r="F12" s="14">
        <f>$C$6</f>
        <v/>
      </c>
      <c r="G12" s="37">
        <f>$E$6</f>
        <v/>
      </c>
      <c r="H12" s="16">
        <f>G12*$E$4</f>
        <v/>
      </c>
      <c r="I12" s="37">
        <f>AD30</f>
        <v/>
      </c>
      <c r="J12" s="20">
        <f>IF(H12&gt;0, I12/H12, 0)</f>
        <v/>
      </c>
      <c r="K12" s="20">
        <f>IF(G12&gt;0, I12/G12, 0)</f>
        <v/>
      </c>
      <c r="L12" s="21" t="n">
        <v>14.3</v>
      </c>
      <c r="M12" s="22">
        <f>IF(L12&gt;0, I12/L12, 0)</f>
        <v/>
      </c>
      <c r="N12" s="12">
        <f>IF(I12=0, "SIN CONSUMO (Inactiva)", IF(A12=1, IF(K12&lt;=0.85, "DENTRO DE RENDIMIENTO BASE", "EXCEDE RENDIMIENTO BASE"), IF(A12=2, IF(J12&lt;=0.38, "DENTRO DE RENDIMIENTO BASE", "EXCEDE RENDIMIENTO BASE"), IF(OR(A12=3,A12=4,A12=5,A12=6), IF(J12&lt;=0.08, "DENTRO DE RENDIMIENTO BASE", "EXCEDE RENDIMIENTO BASE"), IF(A12=7, IF(J12&lt;=0.07, "DENTRO DE RENDIMIENTO BASE", "EXCEDE RENDIMIENTO BASE"), IF(A12=8, IF(K12&lt;=0.22, "DENTRO DE RENDIMIENTO BASE", "EXCEDE RENDIMIENTO BASE"), IF(A12=9, IF(J12&lt;=0.075, "DENTRO DE RENDIMIENTO BASE", "EXCEDE RENDIMIENTO BASE"), "APOYO PUNTUAL")))))))</f>
        <v/>
      </c>
    </row>
    <row r="13" ht="19.5" customHeight="1" s="46">
      <c r="A13" s="12" t="n">
        <v>5</v>
      </c>
      <c r="B13" s="12" t="inlineStr">
        <is>
          <t>NM-01</t>
        </is>
      </c>
      <c r="C13" s="13" t="inlineStr">
        <is>
          <t>COMPACTADOR NEUMÁTICO DYNAPAC CP271</t>
        </is>
      </c>
      <c r="D13" s="13" t="inlineStr">
        <is>
          <t>JOSE CARLOS ROMERO TELLEZ</t>
        </is>
      </c>
      <c r="E13" s="13" t="inlineStr">
        <is>
          <t>Compactación Neumática / Sellado</t>
        </is>
      </c>
      <c r="F13" s="14">
        <f>$C$6</f>
        <v/>
      </c>
      <c r="G13" s="37">
        <f>$E$6</f>
        <v/>
      </c>
      <c r="H13" s="16">
        <f>G13*$E$4</f>
        <v/>
      </c>
      <c r="I13" s="37">
        <f>AD31</f>
        <v/>
      </c>
      <c r="J13" s="20">
        <f>IF(H13&gt;0, I13/H13, 0)</f>
        <v/>
      </c>
      <c r="K13" s="20">
        <f>IF(G13&gt;0, I13/G13, 0)</f>
        <v/>
      </c>
      <c r="L13" s="21" t="n">
        <v>11.44</v>
      </c>
      <c r="M13" s="22">
        <f>IF(L13&gt;0, I13/L13, 0)</f>
        <v/>
      </c>
      <c r="N13" s="12">
        <f>IF(I13=0, "SIN CONSUMO (Inactiva)", IF(A13=1, IF(K13&lt;=0.85, "DENTRO DE RENDIMIENTO BASE", "EXCEDE RENDIMIENTO BASE"), IF(A13=2, IF(J13&lt;=0.38, "DENTRO DE RENDIMIENTO BASE", "EXCEDE RENDIMIENTO BASE"), IF(OR(A13=3,A13=4,A13=5,A13=6), IF(J13&lt;=0.08, "DENTRO DE RENDIMIENTO BASE", "EXCEDE RENDIMIENTO BASE"), IF(A13=7, IF(J13&lt;=0.07, "DENTRO DE RENDIMIENTO BASE", "EXCEDE RENDIMIENTO BASE"), IF(A13=8, IF(K13&lt;=0.22, "DENTRO DE RENDIMIENTO BASE", "EXCEDE RENDIMIENTO BASE"), IF(A13=9, IF(J13&lt;=0.075, "DENTRO DE RENDIMIENTO BASE", "EXCEDE RENDIMIENTO BASE"), "APOYO PUNTUAL")))))))</f>
        <v/>
      </c>
    </row>
    <row r="14" ht="19.5" customHeight="1" s="46">
      <c r="A14" s="12" t="n">
        <v>6</v>
      </c>
      <c r="B14" s="12" t="inlineStr">
        <is>
          <t>NM-09</t>
        </is>
      </c>
      <c r="C14" s="13" t="inlineStr">
        <is>
          <t>COMPACTADOR NEUMÁTICO HAMM 208</t>
        </is>
      </c>
      <c r="D14" s="13" t="inlineStr">
        <is>
          <t>NOLVIN DE JESUS PEREZ GOMEZ</t>
        </is>
      </c>
      <c r="E14" s="13" t="inlineStr">
        <is>
          <t>Compactación Neumática / Acabado</t>
        </is>
      </c>
      <c r="F14" s="14">
        <f>$C$6</f>
        <v/>
      </c>
      <c r="G14" s="37">
        <f>$E$6</f>
        <v/>
      </c>
      <c r="H14" s="16">
        <f>G14*$E$4</f>
        <v/>
      </c>
      <c r="I14" s="37">
        <f>AD32</f>
        <v/>
      </c>
      <c r="J14" s="20">
        <f>IF(H14&gt;0, I14/H14, 0)</f>
        <v/>
      </c>
      <c r="K14" s="20">
        <f>IF(G14&gt;0, I14/G14, 0)</f>
        <v/>
      </c>
      <c r="L14" s="21" t="n">
        <v>10.96</v>
      </c>
      <c r="M14" s="22">
        <f>IF(L14&gt;0, I14/L14, 0)</f>
        <v/>
      </c>
      <c r="N14" s="12">
        <f>IF(I14=0, "SIN CONSUMO (Inactiva)", IF(A14=1, IF(K14&lt;=0.85, "DENTRO DE RENDIMIENTO BASE", "EXCEDE RENDIMIENTO BASE"), IF(A14=2, IF(J14&lt;=0.38, "DENTRO DE RENDIMIENTO BASE", "EXCEDE RENDIMIENTO BASE"), IF(OR(A14=3,A14=4,A14=5,A14=6), IF(J14&lt;=0.08, "DENTRO DE RENDIMIENTO BASE", "EXCEDE RENDIMIENTO BASE"), IF(A14=7, IF(J14&lt;=0.07, "DENTRO DE RENDIMIENTO BASE", "EXCEDE RENDIMIENTO BASE"), IF(A14=8, IF(K14&lt;=0.22, "DENTRO DE RENDIMIENTO BASE", "EXCEDE RENDIMIENTO BASE"), IF(A14=9, IF(J14&lt;=0.075, "DENTRO DE RENDIMIENTO BASE", "EXCEDE RENDIMIENTO BASE"), "APOYO PUNTUAL")))))))</f>
        <v/>
      </c>
    </row>
    <row r="15" ht="19.5" customHeight="1" s="46">
      <c r="A15" s="12" t="n">
        <v>7</v>
      </c>
      <c r="B15" s="12" t="inlineStr">
        <is>
          <t>BR-01</t>
        </is>
      </c>
      <c r="C15" s="13" t="inlineStr">
        <is>
          <t>BARREDORA INDUSTRIAL BROCE BROOM-350</t>
        </is>
      </c>
      <c r="D15" s="13" t="inlineStr">
        <is>
          <t>EDGAR ROSALES MARTINEZ</t>
        </is>
      </c>
      <c r="E15" s="13" t="inlineStr">
        <is>
          <t>Limpieza y Barrido Previo</t>
        </is>
      </c>
      <c r="F15" s="14">
        <f>$C$6</f>
        <v/>
      </c>
      <c r="G15" s="37">
        <f>$E$6</f>
        <v/>
      </c>
      <c r="H15" s="16">
        <f>G15*$E$4</f>
        <v/>
      </c>
      <c r="I15" s="37">
        <f>AD33</f>
        <v/>
      </c>
      <c r="J15" s="20">
        <f>IF(H15&gt;0, I15/H15, 0)</f>
        <v/>
      </c>
      <c r="K15" s="20">
        <f>IF(G15&gt;0, I15/G15, 0)</f>
        <v/>
      </c>
      <c r="L15" s="21" t="n">
        <v>8.94</v>
      </c>
      <c r="M15" s="22">
        <f>IF(L15&gt;0, I15/L15, 0)</f>
        <v/>
      </c>
      <c r="N15" s="12">
        <f>IF(I15=0, "SIN CONSUMO (Inactiva)", IF(A15=1, IF(K15&lt;=0.85, "DENTRO DE RENDIMIENTO BASE", "EXCEDE RENDIMIENTO BASE"), IF(A15=2, IF(J15&lt;=0.38, "DENTRO DE RENDIMIENTO BASE", "EXCEDE RENDIMIENTO BASE"), IF(OR(A15=3,A15=4,A15=5,A15=6), IF(J15&lt;=0.08, "DENTRO DE RENDIMIENTO BASE", "EXCEDE RENDIMIENTO BASE"), IF(A15=7, IF(J15&lt;=0.07, "DENTRO DE RENDIMIENTO BASE", "EXCEDE RENDIMIENTO BASE"), IF(A15=8, IF(K15&lt;=0.22, "DENTRO DE RENDIMIENTO BASE", "EXCEDE RENDIMIENTO BASE"), IF(A15=9, IF(J15&lt;=0.075, "DENTRO DE RENDIMIENTO BASE", "EXCEDE RENDIMIENTO BASE"), "APOYO PUNTUAL")))))))</f>
        <v/>
      </c>
    </row>
    <row r="16" ht="19.5" customHeight="1" s="46">
      <c r="A16" s="12" t="n">
        <v>8</v>
      </c>
      <c r="B16" s="12" t="inlineStr">
        <is>
          <t>RT-05</t>
        </is>
      </c>
      <c r="C16" s="13" t="inlineStr">
        <is>
          <t>RETROEXCAVADORA JOHN DEERE 310SK</t>
        </is>
      </c>
      <c r="D16" s="13" t="inlineStr">
        <is>
          <t>ADOLFO NAVA LOPEZ</t>
        </is>
      </c>
      <c r="E16" s="13" t="inlineStr">
        <is>
          <t>Carga Fresado y Derrumbes</t>
        </is>
      </c>
      <c r="F16" s="14">
        <f>$C$5</f>
        <v/>
      </c>
      <c r="G16" s="37">
        <f>$E$5</f>
        <v/>
      </c>
      <c r="H16" s="18" t="inlineStr">
        <is>
          <t>-</t>
        </is>
      </c>
      <c r="I16" s="37">
        <f>AD34</f>
        <v/>
      </c>
      <c r="J16" s="19" t="inlineStr">
        <is>
          <t>-</t>
        </is>
      </c>
      <c r="K16" s="20">
        <f>IF(G16&gt;0, I16/G16, 0)</f>
        <v/>
      </c>
      <c r="L16" s="21" t="n">
        <v>7.44</v>
      </c>
      <c r="M16" s="22">
        <f>IF(L16&gt;0, I16/L16, 0)</f>
        <v/>
      </c>
      <c r="N16" s="12">
        <f>IF(I16=0, "SIN CONSUMO (Inactiva)", IF(A16=1, IF(K16&lt;=0.85, "DENTRO DE RENDIMIENTO BASE", "EXCEDE RENDIMIENTO BASE"), IF(A16=2, IF(J16&lt;=0.38, "DENTRO DE RENDIMIENTO BASE", "EXCEDE RENDIMIENTO BASE"), IF(OR(A16=3,A16=4,A16=5,A16=6), IF(J16&lt;=0.08, "DENTRO DE RENDIMIENTO BASE", "EXCEDE RENDIMIENTO BASE"), IF(A16=7, IF(J16&lt;=0.07, "DENTRO DE RENDIMIENTO BASE", "EXCEDE RENDIMIENTO BASE"), IF(A16=8, IF(K16&lt;=0.22, "DENTRO DE RENDIMIENTO BASE", "EXCEDE RENDIMIENTO BASE"), IF(A16=9, IF(J16&lt;=0.075, "DENTRO DE RENDIMIENTO BASE", "EXCEDE RENDIMIENTO BASE"), "APOYO PUNTUAL")))))))</f>
        <v/>
      </c>
    </row>
    <row r="17" ht="19.5" customHeight="1" s="46">
      <c r="A17" s="12" t="n">
        <v>9</v>
      </c>
      <c r="B17" s="12" t="inlineStr">
        <is>
          <t>PT-01</t>
        </is>
      </c>
      <c r="C17" s="13" t="inlineStr">
        <is>
          <t>PETROLIZADORA INTERNATIONAL / FORD F800</t>
        </is>
      </c>
      <c r="D17" s="13" t="inlineStr">
        <is>
          <t>ELTHON EDUARDO MARTINEZ GOMORA</t>
        </is>
      </c>
      <c r="E17" s="13" t="inlineStr">
        <is>
          <t>Riego de Liga / Emulsión</t>
        </is>
      </c>
      <c r="F17" s="14">
        <f>$C$6</f>
        <v/>
      </c>
      <c r="G17" s="37">
        <f>$E$6</f>
        <v/>
      </c>
      <c r="H17" s="16">
        <f>G17*$E$4</f>
        <v/>
      </c>
      <c r="I17" s="37">
        <f>AD35</f>
        <v/>
      </c>
      <c r="J17" s="20">
        <f>IF(H17&gt;0, I17/H17, 0)</f>
        <v/>
      </c>
      <c r="K17" s="20">
        <f>IF(G17&gt;0, I17/G17, 0)</f>
        <v/>
      </c>
      <c r="L17" s="21" t="n">
        <v>12.76</v>
      </c>
      <c r="M17" s="22">
        <f>IF(L17&gt;0, I17/L17, 0)</f>
        <v/>
      </c>
      <c r="N17" s="12">
        <f>IF(I17=0, "SIN CONSUMO (Inactiva)", IF(A17=1, IF(K17&lt;=0.85, "DENTRO DE RENDIMIENTO BASE", "EXCEDE RENDIMIENTO BASE"), IF(A17=2, IF(J17&lt;=0.38, "DENTRO DE RENDIMIENTO BASE", "EXCEDE RENDIMIENTO BASE"), IF(OR(A17=3,A17=4,A17=5,A17=6), IF(J17&lt;=0.08, "DENTRO DE RENDIMIENTO BASE", "EXCEDE RENDIMIENTO BASE"), IF(A17=7, IF(J17&lt;=0.07, "DENTRO DE RENDIMIENTO BASE", "EXCEDE RENDIMIENTO BASE"), IF(A17=8, IF(K17&lt;=0.22, "DENTRO DE RENDIMIENTO BASE", "EXCEDE RENDIMIENTO BASE"), IF(A17=9, IF(J17&lt;=0.075, "DENTRO DE RENDIMIENTO BASE", "EXCEDE RENDIMIENTO BASE"), "APOYO PUNTUAL")))))))</f>
        <v/>
      </c>
    </row>
    <row r="18" ht="19.5" customHeight="1" s="46">
      <c r="A18" s="12" t="n">
        <v>10</v>
      </c>
      <c r="B18" s="12" t="inlineStr">
        <is>
          <t>CPR-01</t>
        </is>
      </c>
      <c r="C18" s="13" t="inlineStr">
        <is>
          <t>COMPRESOR DE AIRE INGERSOLL RAND IR185</t>
        </is>
      </c>
      <c r="D18" s="13" t="inlineStr">
        <is>
          <t>CUADRILLA DE LIMPIEZA</t>
        </is>
      </c>
      <c r="E18" s="13" t="inlineStr">
        <is>
          <t>Sopleteado de Juntas</t>
        </is>
      </c>
      <c r="F18" s="14">
        <f>$C$6</f>
        <v/>
      </c>
      <c r="G18" s="37">
        <f>$E$6</f>
        <v/>
      </c>
      <c r="H18" s="16">
        <f>G18*$E$4</f>
        <v/>
      </c>
      <c r="I18" s="37">
        <f>AD36</f>
        <v/>
      </c>
      <c r="J18" s="20">
        <f>IF(H18&gt;0, I18/H18, 0)</f>
        <v/>
      </c>
      <c r="K18" s="20">
        <f>IF(G18&gt;0, I18/G18, 0)</f>
        <v/>
      </c>
      <c r="L18" s="21" t="n">
        <v>9.970000000000001</v>
      </c>
      <c r="M18" s="22">
        <f>IF(L18&gt;0, I18/L18, 0)</f>
        <v/>
      </c>
      <c r="N18" s="12">
        <f>IF(I18=0, "SIN CONSUMO (Inactiva)", IF(A18=1, IF(K18&lt;=0.85, "DENTRO DE RENDIMIENTO BASE", "EXCEDE RENDIMIENTO BASE"), IF(A18=2, IF(J18&lt;=0.38, "DENTRO DE RENDIMIENTO BASE", "EXCEDE RENDIMIENTO BASE"), IF(OR(A18=3,A18=4,A18=5,A18=6), IF(J18&lt;=0.08, "DENTRO DE RENDIMIENTO BASE", "EXCEDE RENDIMIENTO BASE"), IF(A18=7, IF(J18&lt;=0.07, "DENTRO DE RENDIMIENTO BASE", "EXCEDE RENDIMIENTO BASE"), IF(A18=8, IF(K18&lt;=0.22, "DENTRO DE RENDIMIENTO BASE", "EXCEDE RENDIMIENTO BASE"), IF(A18=9, IF(J18&lt;=0.075, "DENTRO DE RENDIMIENTO BASE", "EXCEDE RENDIMIENTO BASE"), "APOYO PUNTUAL")))))))</f>
        <v/>
      </c>
    </row>
    <row r="19" ht="19.5" customHeight="1" s="46">
      <c r="A19" s="12" t="n">
        <v>11</v>
      </c>
      <c r="B19" s="12" t="inlineStr">
        <is>
          <t>PP-01</t>
        </is>
      </c>
      <c r="C19" s="13" t="inlineStr">
        <is>
          <t>CAMIÓN IMPACTO / PIPA DE AGUA FORD</t>
        </is>
      </c>
      <c r="D19" s="13" t="inlineStr">
        <is>
          <t>CUADRILLA DE AGUA</t>
        </is>
      </c>
      <c r="E19" s="13" t="inlineStr">
        <is>
          <t>Enfriamiento Rodillos / Riego</t>
        </is>
      </c>
      <c r="F19" s="14">
        <f>$C$6</f>
        <v/>
      </c>
      <c r="G19" s="37">
        <f>$E$6</f>
        <v/>
      </c>
      <c r="H19" s="16">
        <f>G19*$E$4</f>
        <v/>
      </c>
      <c r="I19" s="37">
        <f>AD37</f>
        <v/>
      </c>
      <c r="J19" s="20">
        <f>IF(H19&gt;0, I19/H19, 0)</f>
        <v/>
      </c>
      <c r="K19" s="20">
        <f>IF(G19&gt;0, I19/G19, 0)</f>
        <v/>
      </c>
      <c r="L19" s="21" t="n">
        <v>3.03</v>
      </c>
      <c r="M19" s="22">
        <f>IF(L19&gt;0, I19/L19, 0)</f>
        <v/>
      </c>
      <c r="N19" s="12">
        <f>IF(I19=0, "SIN CONSUMO (Inactiva)", IF(A19=1, IF(K19&lt;=0.85, "DENTRO DE RENDIMIENTO BASE", "EXCEDE RENDIMIENTO BASE"), IF(A19=2, IF(J19&lt;=0.38, "DENTRO DE RENDIMIENTO BASE", "EXCEDE RENDIMIENTO BASE"), IF(OR(A19=3,A19=4,A19=5,A19=6), IF(J19&lt;=0.08, "DENTRO DE RENDIMIENTO BASE", "EXCEDE RENDIMIENTO BASE"), IF(A19=7, IF(J19&lt;=0.07, "DENTRO DE RENDIMIENTO BASE", "EXCEDE RENDIMIENTO BASE"), IF(A19=8, IF(K19&lt;=0.22, "DENTRO DE RENDIMIENTO BASE", "EXCEDE RENDIMIENTO BASE"), IF(A19=9, IF(J19&lt;=0.075, "DENTRO DE RENDIMIENTO BASE", "EXCEDE RENDIMIENTO BASE"), "APOYO PUNTUAL")))))))</f>
        <v/>
      </c>
    </row>
    <row r="20" ht="19.5" customHeight="1" s="46">
      <c r="A20" s="12" t="n">
        <v>12</v>
      </c>
      <c r="B20" s="12" t="inlineStr">
        <is>
          <t>TL-01</t>
        </is>
      </c>
      <c r="C20" s="13" t="inlineStr">
        <is>
          <t>TORRE DE LUZ MAXILIGHT 4X1000W</t>
        </is>
      </c>
      <c r="D20" s="13" t="inlineStr">
        <is>
          <t>CUADRILLA NOCTURNA</t>
        </is>
      </c>
      <c r="E20" s="13" t="inlineStr">
        <is>
          <t>Iluminación Nocturna</t>
        </is>
      </c>
      <c r="F20" s="14">
        <f>$C$6</f>
        <v/>
      </c>
      <c r="G20" s="37">
        <f>$E$6</f>
        <v/>
      </c>
      <c r="H20" s="16">
        <f>G20*$E$4</f>
        <v/>
      </c>
      <c r="I20" s="37">
        <f>AD38</f>
        <v/>
      </c>
      <c r="J20" s="20">
        <f>IF(H20&gt;0, I20/H20, 0)</f>
        <v/>
      </c>
      <c r="K20" s="20">
        <f>IF(G20&gt;0, I20/G20, 0)</f>
        <v/>
      </c>
      <c r="L20" s="21" t="n">
        <v>2.41</v>
      </c>
      <c r="M20" s="22">
        <f>IF(L20&gt;0, I20/L20, 0)</f>
        <v/>
      </c>
      <c r="N20" s="12">
        <f>IF(I20=0, "SIN CONSUMO (Inactiva)", IF(A20=1, IF(K20&lt;=0.85, "DENTRO DE RENDIMIENTO BASE", "EXCEDE RENDIMIENTO BASE"), IF(A20=2, IF(J20&lt;=0.38, "DENTRO DE RENDIMIENTO BASE", "EXCEDE RENDIMIENTO BASE"), IF(OR(A20=3,A20=4,A20=5,A20=6), IF(J20&lt;=0.08, "DENTRO DE RENDIMIENTO BASE", "EXCEDE RENDIMIENTO BASE"), IF(A20=7, IF(J20&lt;=0.07, "DENTRO DE RENDIMIENTO BASE", "EXCEDE RENDIMIENTO BASE"), IF(A20=8, IF(K20&lt;=0.22, "DENTRO DE RENDIMIENTO BASE", "EXCEDE RENDIMIENTO BASE"), IF(A20=9, IF(J20&lt;=0.075, "DENTRO DE RENDIMIENTO BASE", "EXCEDE RENDIMIENTO BASE"), "APOYO PUNTUAL")))))))</f>
        <v/>
      </c>
    </row>
    <row r="21" ht="21.75" customHeight="1" s="46">
      <c r="A21" s="30" t="inlineStr">
        <is>
          <t>TOTAL SEMANA 37 (OBRA CARRETERA MÉXICO-TOLUCA)</t>
        </is>
      </c>
      <c r="B21" s="50" t="n"/>
      <c r="C21" s="50" t="n"/>
      <c r="D21" s="50" t="n"/>
      <c r="E21" s="51" t="n"/>
      <c r="F21" s="26">
        <f>C5+C6</f>
        <v/>
      </c>
      <c r="G21" s="27">
        <f>E5+E6</f>
        <v/>
      </c>
      <c r="H21" s="28">
        <f>G6</f>
        <v/>
      </c>
      <c r="I21" s="27">
        <f>SUM(I9:I20)</f>
        <v/>
      </c>
      <c r="J21" s="29">
        <f>IF(H21&gt;0, I21/H21, 0)</f>
        <v/>
      </c>
      <c r="K21" s="29">
        <f>IF(G21&gt;0, I21/G21, 0)</f>
        <v/>
      </c>
      <c r="L21" s="30" t="inlineStr">
        <is>
          <t>—</t>
        </is>
      </c>
      <c r="M21" s="31">
        <f>SUM(M9:M20)</f>
        <v/>
      </c>
      <c r="N21" s="30" t="inlineStr">
        <is>
          <t>SEMANA REGISTRADA</t>
        </is>
      </c>
    </row>
    <row r="22" ht="15.75" customHeight="1" s="46"/>
    <row r="23" ht="15.75" customHeight="1" s="46"/>
    <row r="24" ht="24" customHeight="1" s="46">
      <c r="A24" s="96" t="inlineStr">
        <is>
          <t>DESGLOSE DIARIO DE COMBUSTIBLE, VOLUMEN, TONELAJE Y RENDIMIENTO — SEMANA 37</t>
        </is>
      </c>
    </row>
    <row r="25" ht="19.5" customHeight="1" s="46">
      <c r="A25" s="48" t="inlineStr">
        <is>
          <t>DATOS DEL EQUIPO</t>
        </is>
      </c>
      <c r="F25" s="48" t="inlineStr">
        <is>
          <t>LUNES</t>
        </is>
      </c>
      <c r="J25" s="48" t="inlineStr">
        <is>
          <t>MARTES</t>
        </is>
      </c>
      <c r="N25" s="48" t="inlineStr">
        <is>
          <t>MIÉRCOLES</t>
        </is>
      </c>
      <c r="R25" s="48" t="inlineStr">
        <is>
          <t>JUEVES</t>
        </is>
      </c>
      <c r="V25" s="48" t="inlineStr">
        <is>
          <t>VIERNES</t>
        </is>
      </c>
      <c r="Z25" s="48" t="inlineStr">
        <is>
          <t>SÁBADO</t>
        </is>
      </c>
      <c r="AD25" s="97" t="inlineStr">
        <is>
          <t>TOTAL SEMANAL</t>
        </is>
      </c>
    </row>
    <row r="26" ht="25.5" customHeight="1" s="46">
      <c r="A26" s="34" t="inlineStr">
        <is>
          <t>No.</t>
        </is>
      </c>
      <c r="B26" s="34" t="inlineStr">
        <is>
          <t>Económico</t>
        </is>
      </c>
      <c r="C26" s="34" t="inlineStr">
        <is>
          <t>Equipo / Maquinaria</t>
        </is>
      </c>
      <c r="D26" s="34" t="inlineStr">
        <is>
          <t>Operador Asignado</t>
        </is>
      </c>
      <c r="E26" s="34" t="inlineStr">
        <is>
          <t>Concepto de Trabajo</t>
        </is>
      </c>
      <c r="F26" s="34" t="inlineStr">
        <is>
          <t>Diésel (L)</t>
        </is>
      </c>
      <c r="G26" s="34" t="inlineStr">
        <is>
          <t>Volumen (m³)</t>
        </is>
      </c>
      <c r="H26" s="34" t="inlineStr">
        <is>
          <t>Toneladas (Ton)</t>
        </is>
      </c>
      <c r="I26" s="34" t="inlineStr">
        <is>
          <t>Rendimiento Real</t>
        </is>
      </c>
      <c r="J26" s="34" t="inlineStr">
        <is>
          <t>Diésel (L)</t>
        </is>
      </c>
      <c r="K26" s="34" t="inlineStr">
        <is>
          <t>Volumen (m³)</t>
        </is>
      </c>
      <c r="L26" s="34" t="inlineStr">
        <is>
          <t>Toneladas (Ton)</t>
        </is>
      </c>
      <c r="M26" s="34" t="inlineStr">
        <is>
          <t>Rendimiento Real</t>
        </is>
      </c>
      <c r="N26" s="34" t="inlineStr">
        <is>
          <t>Diésel (L)</t>
        </is>
      </c>
      <c r="O26" s="34" t="inlineStr">
        <is>
          <t>Volumen (m³)</t>
        </is>
      </c>
      <c r="P26" s="34" t="inlineStr">
        <is>
          <t>Toneladas (Ton)</t>
        </is>
      </c>
      <c r="Q26" s="34" t="inlineStr">
        <is>
          <t>Rendimiento Real</t>
        </is>
      </c>
      <c r="R26" s="34" t="inlineStr">
        <is>
          <t>Diésel (L)</t>
        </is>
      </c>
      <c r="S26" s="34" t="inlineStr">
        <is>
          <t>Volumen (m³)</t>
        </is>
      </c>
      <c r="T26" s="34" t="inlineStr">
        <is>
          <t>Toneladas (Ton)</t>
        </is>
      </c>
      <c r="U26" s="34" t="inlineStr">
        <is>
          <t>Rendimiento Real</t>
        </is>
      </c>
      <c r="V26" s="34" t="inlineStr">
        <is>
          <t>Diésel (L)</t>
        </is>
      </c>
      <c r="W26" s="34" t="inlineStr">
        <is>
          <t>Volumen (m³)</t>
        </is>
      </c>
      <c r="X26" s="34" t="inlineStr">
        <is>
          <t>Toneladas (Ton)</t>
        </is>
      </c>
      <c r="Y26" s="34" t="inlineStr">
        <is>
          <t>Rendimiento Real</t>
        </is>
      </c>
      <c r="Z26" s="34" t="inlineStr">
        <is>
          <t>Diésel (L)</t>
        </is>
      </c>
      <c r="AA26" s="34" t="inlineStr">
        <is>
          <t>Volumen (m³)</t>
        </is>
      </c>
      <c r="AB26" s="34" t="inlineStr">
        <is>
          <t>Toneladas (Ton)</t>
        </is>
      </c>
      <c r="AC26" s="34" t="inlineStr">
        <is>
          <t>Rendimiento Real</t>
        </is>
      </c>
      <c r="AD26" s="35" t="inlineStr">
        <is>
          <t>Total Diésel (L)</t>
        </is>
      </c>
      <c r="AE26" s="35" t="inlineStr">
        <is>
          <t>Total Vol (m³)</t>
        </is>
      </c>
      <c r="AF26" s="35" t="inlineStr">
        <is>
          <t>Total Ton (Ton)</t>
        </is>
      </c>
      <c r="AG26" s="35" t="inlineStr">
        <is>
          <t>Rend. Promedio</t>
        </is>
      </c>
    </row>
    <row r="27" ht="18.75" customHeight="1" s="46">
      <c r="A27" s="12" t="n">
        <v>1</v>
      </c>
      <c r="B27" s="12" t="inlineStr">
        <is>
          <t>PRR-01</t>
        </is>
      </c>
      <c r="C27" s="13" t="inlineStr">
        <is>
          <t>PERFILADORA WIRTGEN W200i</t>
        </is>
      </c>
      <c r="D27" s="13" t="inlineStr">
        <is>
          <t>JAVIER PAREDES CORTE</t>
        </is>
      </c>
      <c r="E27" s="13" t="inlineStr">
        <is>
          <t>Fresado de Pavimento</t>
        </is>
      </c>
      <c r="F27" s="37" t="n">
        <v>0</v>
      </c>
      <c r="G27" s="37" t="n">
        <v>399</v>
      </c>
      <c r="H27" s="16">
        <f>G27*$E$4</f>
        <v/>
      </c>
      <c r="I27" s="20">
        <f>IF(G27&gt;0, F27/G27, 0)</f>
        <v/>
      </c>
      <c r="J27" s="37" t="n">
        <v>400</v>
      </c>
      <c r="K27" s="37" t="n">
        <v>385</v>
      </c>
      <c r="L27" s="16">
        <f>K27*$E$4</f>
        <v/>
      </c>
      <c r="M27" s="20">
        <f>IF(K27&gt;0, J27/K27, 0)</f>
        <v/>
      </c>
      <c r="N27" s="37" t="n">
        <v>0</v>
      </c>
      <c r="O27" s="37" t="n">
        <v>399</v>
      </c>
      <c r="P27" s="16">
        <f>O27*$E$4</f>
        <v/>
      </c>
      <c r="Q27" s="20">
        <f>IF(O27&gt;0, N27/O27, 0)</f>
        <v/>
      </c>
      <c r="R27" s="37" t="n">
        <v>400</v>
      </c>
      <c r="S27" s="37" t="n">
        <v>231</v>
      </c>
      <c r="T27" s="16">
        <f>S27*$E$4</f>
        <v/>
      </c>
      <c r="U27" s="20">
        <f>IF(S27&gt;0, R27/S27, 0)</f>
        <v/>
      </c>
      <c r="V27" s="37" t="n">
        <v>0</v>
      </c>
      <c r="W27" s="37" t="n">
        <v>329</v>
      </c>
      <c r="X27" s="16">
        <f>W27*$E$4</f>
        <v/>
      </c>
      <c r="Y27" s="20">
        <f>IF(W27&gt;0, V27/W27, 0)</f>
        <v/>
      </c>
      <c r="Z27" s="37" t="n">
        <v>450</v>
      </c>
      <c r="AA27" s="37" t="n">
        <v>231</v>
      </c>
      <c r="AB27" s="16">
        <f>AA27*$E$4</f>
        <v/>
      </c>
      <c r="AC27" s="20">
        <f>IF(AA27&gt;0, Z27/AA27, 0)</f>
        <v/>
      </c>
      <c r="AD27" s="37">
        <f>F27+J27+N27+R27+V27+Z27</f>
        <v/>
      </c>
      <c r="AE27" s="37">
        <f>G27+K27+O27+S27+W27+AA27</f>
        <v/>
      </c>
      <c r="AF27" s="16">
        <f>H27+L27+P27+T27+X27+AB27</f>
        <v/>
      </c>
      <c r="AG27" s="20">
        <f>IF(AE27&gt;0, AD27/AE27, 0)</f>
        <v/>
      </c>
    </row>
    <row r="28" ht="18.75" customHeight="1" s="46">
      <c r="A28" s="12" t="n">
        <v>2</v>
      </c>
      <c r="B28" s="12" t="inlineStr">
        <is>
          <t>VG-01</t>
        </is>
      </c>
      <c r="C28" s="13" t="inlineStr">
        <is>
          <t>PAVIMENTADORA VÖGELE SUPER 1800-3i</t>
        </is>
      </c>
      <c r="D28" s="13" t="inlineStr">
        <is>
          <t>ERWIN CUTEÑO HERNANDEZ</t>
        </is>
      </c>
      <c r="E28" s="13" t="inlineStr">
        <is>
          <t>Tendido de Mezcla Asfáltica</t>
        </is>
      </c>
      <c r="F28" s="37" t="n">
        <v>0</v>
      </c>
      <c r="G28" s="37" t="n">
        <v>182</v>
      </c>
      <c r="H28" s="16">
        <f>G28*$E$4</f>
        <v/>
      </c>
      <c r="I28" s="20">
        <f>IF(H28&gt;0, F28/H28, 0)</f>
        <v/>
      </c>
      <c r="J28" s="37" t="n">
        <v>170</v>
      </c>
      <c r="K28" s="37" t="n">
        <v>280</v>
      </c>
      <c r="L28" s="16">
        <f>K28*$E$4</f>
        <v/>
      </c>
      <c r="M28" s="20">
        <f>IF(L28&gt;0, J28/L28, 0)</f>
        <v/>
      </c>
      <c r="N28" s="37" t="n">
        <v>0</v>
      </c>
      <c r="O28" s="37" t="n">
        <v>210</v>
      </c>
      <c r="P28" s="16">
        <f>O28*$E$4</f>
        <v/>
      </c>
      <c r="Q28" s="20">
        <f>IF(P28&gt;0, N28/P28, 0)</f>
        <v/>
      </c>
      <c r="R28" s="37" t="n">
        <v>180</v>
      </c>
      <c r="S28" s="37" t="n">
        <v>140</v>
      </c>
      <c r="T28" s="16">
        <f>S28*$E$4</f>
        <v/>
      </c>
      <c r="U28" s="20">
        <f>IF(T28&gt;0, R28/T28, 0)</f>
        <v/>
      </c>
      <c r="V28" s="37" t="n">
        <v>0</v>
      </c>
      <c r="W28" s="37" t="n">
        <v>224</v>
      </c>
      <c r="X28" s="16">
        <f>W28*$E$4</f>
        <v/>
      </c>
      <c r="Y28" s="20">
        <f>IF(X28&gt;0, V28/X28, 0)</f>
        <v/>
      </c>
      <c r="Z28" s="37" t="n">
        <v>170</v>
      </c>
      <c r="AA28" s="37" t="n">
        <v>168</v>
      </c>
      <c r="AB28" s="16">
        <f>AA28*$E$4</f>
        <v/>
      </c>
      <c r="AC28" s="20">
        <f>IF(AB28&gt;0, Z28/AB28, 0)</f>
        <v/>
      </c>
      <c r="AD28" s="37">
        <f>F28+J28+N28+R28+V28+Z28</f>
        <v/>
      </c>
      <c r="AE28" s="37">
        <f>G28+K28+O28+S28+W28+AA28</f>
        <v/>
      </c>
      <c r="AF28" s="16">
        <f>H28+L28+P28+T28+X28+AB28</f>
        <v/>
      </c>
      <c r="AG28" s="20">
        <f>IF(AF28&gt;0, AD28/AF28, 0)</f>
        <v/>
      </c>
    </row>
    <row r="29" ht="18.75" customHeight="1" s="46">
      <c r="A29" s="12" t="n">
        <v>3</v>
      </c>
      <c r="B29" s="12" t="inlineStr">
        <is>
          <t>DR-01</t>
        </is>
      </c>
      <c r="C29" s="13" t="inlineStr">
        <is>
          <t>COMPACTADOR TÁNDEM HAMM-HD120 VV</t>
        </is>
      </c>
      <c r="D29" s="13" t="inlineStr">
        <is>
          <t>JOEL ALBERTO RIVERA RIVAS</t>
        </is>
      </c>
      <c r="E29" s="13" t="inlineStr">
        <is>
          <t>Compactación Tándem Primaria</t>
        </is>
      </c>
      <c r="F29" s="37" t="n">
        <v>0</v>
      </c>
      <c r="G29" s="37" t="n">
        <v>182</v>
      </c>
      <c r="H29" s="16">
        <f>G29*$E$4</f>
        <v/>
      </c>
      <c r="I29" s="20">
        <f>IF(H29&gt;0, F29/H29, 0)</f>
        <v/>
      </c>
      <c r="J29" s="37" t="n">
        <v>50</v>
      </c>
      <c r="K29" s="37" t="n">
        <v>280</v>
      </c>
      <c r="L29" s="16">
        <f>K29*$E$4</f>
        <v/>
      </c>
      <c r="M29" s="20">
        <f>IF(L29&gt;0, J29/L29, 0)</f>
        <v/>
      </c>
      <c r="N29" s="37" t="n">
        <v>0</v>
      </c>
      <c r="O29" s="37" t="n">
        <v>210</v>
      </c>
      <c r="P29" s="16">
        <f>O29*$E$4</f>
        <v/>
      </c>
      <c r="Q29" s="20">
        <f>IF(P29&gt;0, N29/P29, 0)</f>
        <v/>
      </c>
      <c r="R29" s="37" t="n">
        <v>60</v>
      </c>
      <c r="S29" s="37" t="n">
        <v>140</v>
      </c>
      <c r="T29" s="16">
        <f>S29*$E$4</f>
        <v/>
      </c>
      <c r="U29" s="20">
        <f>IF(T29&gt;0, R29/T29, 0)</f>
        <v/>
      </c>
      <c r="V29" s="37" t="n">
        <v>0</v>
      </c>
      <c r="W29" s="37" t="n">
        <v>224</v>
      </c>
      <c r="X29" s="16">
        <f>W29*$E$4</f>
        <v/>
      </c>
      <c r="Y29" s="20">
        <f>IF(X29&gt;0, V29/X29, 0)</f>
        <v/>
      </c>
      <c r="Z29" s="37" t="n">
        <v>50</v>
      </c>
      <c r="AA29" s="37" t="n">
        <v>168</v>
      </c>
      <c r="AB29" s="16">
        <f>AA29*$E$4</f>
        <v/>
      </c>
      <c r="AC29" s="20">
        <f>IF(AB29&gt;0, Z29/AB29, 0)</f>
        <v/>
      </c>
      <c r="AD29" s="37">
        <f>F29+J29+N29+R29+V29+Z29</f>
        <v/>
      </c>
      <c r="AE29" s="37">
        <f>G29+K29+O29+S29+W29+AA29</f>
        <v/>
      </c>
      <c r="AF29" s="16">
        <f>H29+L29+P29+T29+X29+AB29</f>
        <v/>
      </c>
      <c r="AG29" s="20">
        <f>IF(AF29&gt;0, AD29/AF29, 0)</f>
        <v/>
      </c>
    </row>
    <row r="30" ht="18.75" customHeight="1" s="46">
      <c r="A30" s="12" t="n">
        <v>4</v>
      </c>
      <c r="B30" s="12" t="inlineStr">
        <is>
          <t>DR-02</t>
        </is>
      </c>
      <c r="C30" s="13" t="inlineStr">
        <is>
          <t>COMPACTADOR TÁNDEM HAMM-HD140</t>
        </is>
      </c>
      <c r="D30" s="13" t="inlineStr">
        <is>
          <t>ALEXIS RENDON DOMINGUEZ</t>
        </is>
      </c>
      <c r="E30" s="13" t="inlineStr">
        <is>
          <t>Compactación Tándem Pesada</t>
        </is>
      </c>
      <c r="F30" s="37" t="n">
        <v>0</v>
      </c>
      <c r="G30" s="37" t="n">
        <v>182</v>
      </c>
      <c r="H30" s="16">
        <f>G30*$E$4</f>
        <v/>
      </c>
      <c r="I30" s="20">
        <f>IF(H30&gt;0, F30/H30, 0)</f>
        <v/>
      </c>
      <c r="J30" s="37" t="n">
        <v>50</v>
      </c>
      <c r="K30" s="37" t="n">
        <v>280</v>
      </c>
      <c r="L30" s="16">
        <f>K30*$E$4</f>
        <v/>
      </c>
      <c r="M30" s="20">
        <f>IF(L30&gt;0, J30/L30, 0)</f>
        <v/>
      </c>
      <c r="N30" s="37" t="n">
        <v>0</v>
      </c>
      <c r="O30" s="37" t="n">
        <v>210</v>
      </c>
      <c r="P30" s="16">
        <f>O30*$E$4</f>
        <v/>
      </c>
      <c r="Q30" s="20">
        <f>IF(P30&gt;0, N30/P30, 0)</f>
        <v/>
      </c>
      <c r="R30" s="37" t="n">
        <v>60</v>
      </c>
      <c r="S30" s="37" t="n">
        <v>140</v>
      </c>
      <c r="T30" s="16">
        <f>S30*$E$4</f>
        <v/>
      </c>
      <c r="U30" s="20">
        <f>IF(T30&gt;0, R30/T30, 0)</f>
        <v/>
      </c>
      <c r="V30" s="37" t="n">
        <v>0</v>
      </c>
      <c r="W30" s="37" t="n">
        <v>224</v>
      </c>
      <c r="X30" s="16">
        <f>W30*$E$4</f>
        <v/>
      </c>
      <c r="Y30" s="20">
        <f>IF(X30&gt;0, V30/X30, 0)</f>
        <v/>
      </c>
      <c r="Z30" s="37" t="n">
        <v>35</v>
      </c>
      <c r="AA30" s="37" t="n">
        <v>168</v>
      </c>
      <c r="AB30" s="16">
        <f>AA30*$E$4</f>
        <v/>
      </c>
      <c r="AC30" s="20">
        <f>IF(AB30&gt;0, Z30/AB30, 0)</f>
        <v/>
      </c>
      <c r="AD30" s="37">
        <f>F30+J30+N30+R30+V30+Z30</f>
        <v/>
      </c>
      <c r="AE30" s="37">
        <f>G30+K30+O30+S30+W30+AA30</f>
        <v/>
      </c>
      <c r="AF30" s="16">
        <f>H30+L30+P30+T30+X30+AB30</f>
        <v/>
      </c>
      <c r="AG30" s="20">
        <f>IF(AF30&gt;0, AD30/AF30, 0)</f>
        <v/>
      </c>
    </row>
    <row r="31" ht="18.75" customHeight="1" s="46">
      <c r="A31" s="12" t="n">
        <v>5</v>
      </c>
      <c r="B31" s="12" t="inlineStr">
        <is>
          <t>NM-01</t>
        </is>
      </c>
      <c r="C31" s="13" t="inlineStr">
        <is>
          <t>COMPACTADOR NEUMÁTICO DYNAPAC CP271</t>
        </is>
      </c>
      <c r="D31" s="13" t="inlineStr">
        <is>
          <t>JOSE CARLOS ROMERO TELLEZ</t>
        </is>
      </c>
      <c r="E31" s="13" t="inlineStr">
        <is>
          <t>Compactación Neumática / Sellado</t>
        </is>
      </c>
      <c r="F31" s="37" t="n">
        <v>0</v>
      </c>
      <c r="G31" s="37" t="n">
        <v>182</v>
      </c>
      <c r="H31" s="16">
        <f>G31*$E$4</f>
        <v/>
      </c>
      <c r="I31" s="20">
        <f>IF(H31&gt;0, F31/H31, 0)</f>
        <v/>
      </c>
      <c r="J31" s="37" t="n">
        <v>40</v>
      </c>
      <c r="K31" s="37" t="n">
        <v>280</v>
      </c>
      <c r="L31" s="16">
        <f>K31*$E$4</f>
        <v/>
      </c>
      <c r="M31" s="20">
        <f>IF(L31&gt;0, J31/L31, 0)</f>
        <v/>
      </c>
      <c r="N31" s="37" t="n">
        <v>0</v>
      </c>
      <c r="O31" s="37" t="n">
        <v>210</v>
      </c>
      <c r="P31" s="16">
        <f>O31*$E$4</f>
        <v/>
      </c>
      <c r="Q31" s="20">
        <f>IF(P31&gt;0, N31/P31, 0)</f>
        <v/>
      </c>
      <c r="R31" s="37" t="n">
        <v>40</v>
      </c>
      <c r="S31" s="37" t="n">
        <v>140</v>
      </c>
      <c r="T31" s="16">
        <f>S31*$E$4</f>
        <v/>
      </c>
      <c r="U31" s="20">
        <f>IF(T31&gt;0, R31/T31, 0)</f>
        <v/>
      </c>
      <c r="V31" s="37" t="n">
        <v>0</v>
      </c>
      <c r="W31" s="37" t="n">
        <v>224</v>
      </c>
      <c r="X31" s="16">
        <f>W31*$E$4</f>
        <v/>
      </c>
      <c r="Y31" s="20">
        <f>IF(X31&gt;0, V31/X31, 0)</f>
        <v/>
      </c>
      <c r="Z31" s="37" t="n">
        <v>0</v>
      </c>
      <c r="AA31" s="37" t="n">
        <v>168</v>
      </c>
      <c r="AB31" s="16">
        <f>AA31*$E$4</f>
        <v/>
      </c>
      <c r="AC31" s="20">
        <f>IF(AB31&gt;0, Z31/AB31, 0)</f>
        <v/>
      </c>
      <c r="AD31" s="37">
        <f>F31+J31+N31+R31+V31+Z31</f>
        <v/>
      </c>
      <c r="AE31" s="37">
        <f>G31+K31+O31+S31+W31+AA31</f>
        <v/>
      </c>
      <c r="AF31" s="16">
        <f>H31+L31+P31+T31+X31+AB31</f>
        <v/>
      </c>
      <c r="AG31" s="20">
        <f>IF(AF31&gt;0, AD31/AF31, 0)</f>
        <v/>
      </c>
    </row>
    <row r="32" ht="18.75" customHeight="1" s="46">
      <c r="A32" s="12" t="n">
        <v>6</v>
      </c>
      <c r="B32" s="12" t="inlineStr">
        <is>
          <t>NM-09</t>
        </is>
      </c>
      <c r="C32" s="13" t="inlineStr">
        <is>
          <t>COMPACTADOR NEUMÁTICO HAMM 208</t>
        </is>
      </c>
      <c r="D32" s="13" t="inlineStr">
        <is>
          <t>NOLVIN DE JESUS PEREZ GOMEZ</t>
        </is>
      </c>
      <c r="E32" s="13" t="inlineStr">
        <is>
          <t>Compactación Neumática / Acabado</t>
        </is>
      </c>
      <c r="F32" s="37" t="n">
        <v>0</v>
      </c>
      <c r="G32" s="37" t="n">
        <v>182</v>
      </c>
      <c r="H32" s="16">
        <f>G32*$E$4</f>
        <v/>
      </c>
      <c r="I32" s="20">
        <f>IF(H32&gt;0, F32/H32, 0)</f>
        <v/>
      </c>
      <c r="J32" s="37" t="n">
        <v>100</v>
      </c>
      <c r="K32" s="37" t="n">
        <v>280</v>
      </c>
      <c r="L32" s="16">
        <f>K32*$E$4</f>
        <v/>
      </c>
      <c r="M32" s="20">
        <f>IF(L32&gt;0, J32/L32, 0)</f>
        <v/>
      </c>
      <c r="N32" s="37" t="n">
        <v>0</v>
      </c>
      <c r="O32" s="37" t="n">
        <v>210</v>
      </c>
      <c r="P32" s="16">
        <f>O32*$E$4</f>
        <v/>
      </c>
      <c r="Q32" s="20">
        <f>IF(P32&gt;0, N32/P32, 0)</f>
        <v/>
      </c>
      <c r="R32" s="37" t="n">
        <v>0</v>
      </c>
      <c r="S32" s="37" t="n">
        <v>140</v>
      </c>
      <c r="T32" s="16">
        <f>S32*$E$4</f>
        <v/>
      </c>
      <c r="U32" s="20">
        <f>IF(T32&gt;0, R32/T32, 0)</f>
        <v/>
      </c>
      <c r="V32" s="37" t="n">
        <v>0</v>
      </c>
      <c r="W32" s="37" t="n">
        <v>224</v>
      </c>
      <c r="X32" s="16">
        <f>W32*$E$4</f>
        <v/>
      </c>
      <c r="Y32" s="20">
        <f>IF(X32&gt;0, V32/X32, 0)</f>
        <v/>
      </c>
      <c r="Z32" s="37" t="n">
        <v>50</v>
      </c>
      <c r="AA32" s="37" t="n">
        <v>168</v>
      </c>
      <c r="AB32" s="16">
        <f>AA32*$E$4</f>
        <v/>
      </c>
      <c r="AC32" s="20">
        <f>IF(AB32&gt;0, Z32/AB32, 0)</f>
        <v/>
      </c>
      <c r="AD32" s="37">
        <f>F32+J32+N32+R32+V32+Z32</f>
        <v/>
      </c>
      <c r="AE32" s="37">
        <f>G32+K32+O32+S32+W32+AA32</f>
        <v/>
      </c>
      <c r="AF32" s="16">
        <f>H32+L32+P32+T32+X32+AB32</f>
        <v/>
      </c>
      <c r="AG32" s="20">
        <f>IF(AF32&gt;0, AD32/AF32, 0)</f>
        <v/>
      </c>
    </row>
    <row r="33" ht="18.75" customHeight="1" s="46">
      <c r="A33" s="12" t="n">
        <v>7</v>
      </c>
      <c r="B33" s="12" t="inlineStr">
        <is>
          <t>BR-01</t>
        </is>
      </c>
      <c r="C33" s="13" t="inlineStr">
        <is>
          <t>BARREDORA INDUSTRIAL BROCE BROOM-350</t>
        </is>
      </c>
      <c r="D33" s="13" t="inlineStr">
        <is>
          <t>EDGAR ROSALES MARTINEZ</t>
        </is>
      </c>
      <c r="E33" s="13" t="inlineStr">
        <is>
          <t>Limpieza y Barrido Previo</t>
        </is>
      </c>
      <c r="F33" s="37" t="n">
        <v>0</v>
      </c>
      <c r="G33" s="37" t="n">
        <v>182</v>
      </c>
      <c r="H33" s="16">
        <f>G33*$E$4</f>
        <v/>
      </c>
      <c r="I33" s="20">
        <f>IF(H33&gt;0, F33/H33, 0)</f>
        <v/>
      </c>
      <c r="J33" s="37" t="n">
        <v>20</v>
      </c>
      <c r="K33" s="37" t="n">
        <v>280</v>
      </c>
      <c r="L33" s="16">
        <f>K33*$E$4</f>
        <v/>
      </c>
      <c r="M33" s="20">
        <f>IF(L33&gt;0, J33/L33, 0)</f>
        <v/>
      </c>
      <c r="N33" s="37" t="n">
        <v>0</v>
      </c>
      <c r="O33" s="37" t="n">
        <v>210</v>
      </c>
      <c r="P33" s="16">
        <f>O33*$E$4</f>
        <v/>
      </c>
      <c r="Q33" s="20">
        <f>IF(P33&gt;0, N33/P33, 0)</f>
        <v/>
      </c>
      <c r="R33" s="37" t="n">
        <v>40</v>
      </c>
      <c r="S33" s="37" t="n">
        <v>140</v>
      </c>
      <c r="T33" s="16">
        <f>S33*$E$4</f>
        <v/>
      </c>
      <c r="U33" s="20">
        <f>IF(T33&gt;0, R33/T33, 0)</f>
        <v/>
      </c>
      <c r="V33" s="37" t="n">
        <v>0</v>
      </c>
      <c r="W33" s="37" t="n">
        <v>224</v>
      </c>
      <c r="X33" s="16">
        <f>W33*$E$4</f>
        <v/>
      </c>
      <c r="Y33" s="20">
        <f>IF(X33&gt;0, V33/X33, 0)</f>
        <v/>
      </c>
      <c r="Z33" s="37" t="n">
        <v>40</v>
      </c>
      <c r="AA33" s="37" t="n">
        <v>168</v>
      </c>
      <c r="AB33" s="16">
        <f>AA33*$E$4</f>
        <v/>
      </c>
      <c r="AC33" s="20">
        <f>IF(AB33&gt;0, Z33/AB33, 0)</f>
        <v/>
      </c>
      <c r="AD33" s="37">
        <f>F33+J33+N33+R33+V33+Z33</f>
        <v/>
      </c>
      <c r="AE33" s="37">
        <f>G33+K33+O33+S33+W33+AA33</f>
        <v/>
      </c>
      <c r="AF33" s="16">
        <f>H33+L33+P33+T33+X33+AB33</f>
        <v/>
      </c>
      <c r="AG33" s="20">
        <f>IF(AF33&gt;0, AD33/AF33, 0)</f>
        <v/>
      </c>
    </row>
    <row r="34" ht="18.75" customHeight="1" s="46">
      <c r="A34" s="12" t="n">
        <v>8</v>
      </c>
      <c r="B34" s="12" t="inlineStr">
        <is>
          <t>RT-05</t>
        </is>
      </c>
      <c r="C34" s="13" t="inlineStr">
        <is>
          <t>RETROEXCAVADORA JOHN DEERE 310SK</t>
        </is>
      </c>
      <c r="D34" s="13" t="inlineStr">
        <is>
          <t>ADOLFO NAVA LOPEZ</t>
        </is>
      </c>
      <c r="E34" s="13" t="inlineStr">
        <is>
          <t>Carga Fresado y Derrumbes</t>
        </is>
      </c>
      <c r="F34" s="37" t="n">
        <v>0</v>
      </c>
      <c r="G34" s="37" t="n">
        <v>399</v>
      </c>
      <c r="H34" s="16">
        <f>G34*$E$4</f>
        <v/>
      </c>
      <c r="I34" s="20">
        <f>IF(G34&gt;0, F34/G34, 0)</f>
        <v/>
      </c>
      <c r="J34" s="37" t="n">
        <v>100</v>
      </c>
      <c r="K34" s="37" t="n">
        <v>385</v>
      </c>
      <c r="L34" s="16">
        <f>K34*$E$4</f>
        <v/>
      </c>
      <c r="M34" s="20">
        <f>IF(K34&gt;0, J34/K34, 0)</f>
        <v/>
      </c>
      <c r="N34" s="37" t="n">
        <v>0</v>
      </c>
      <c r="O34" s="37" t="n">
        <v>399</v>
      </c>
      <c r="P34" s="16">
        <f>O34*$E$4</f>
        <v/>
      </c>
      <c r="Q34" s="20">
        <f>IF(O34&gt;0, N34/O34, 0)</f>
        <v/>
      </c>
      <c r="R34" s="37" t="n">
        <v>60</v>
      </c>
      <c r="S34" s="37" t="n">
        <v>231</v>
      </c>
      <c r="T34" s="16">
        <f>S34*$E$4</f>
        <v/>
      </c>
      <c r="U34" s="20">
        <f>IF(S34&gt;0, R34/S34, 0)</f>
        <v/>
      </c>
      <c r="V34" s="37" t="n">
        <v>50</v>
      </c>
      <c r="W34" s="37" t="n">
        <v>329</v>
      </c>
      <c r="X34" s="16">
        <f>W34*$E$4</f>
        <v/>
      </c>
      <c r="Y34" s="20">
        <f>IF(W34&gt;0, V34/W34, 0)</f>
        <v/>
      </c>
      <c r="Z34" s="37" t="n">
        <v>80</v>
      </c>
      <c r="AA34" s="37" t="n">
        <v>231</v>
      </c>
      <c r="AB34" s="16">
        <f>AA34*$E$4</f>
        <v/>
      </c>
      <c r="AC34" s="20">
        <f>IF(AA34&gt;0, Z34/AA34, 0)</f>
        <v/>
      </c>
      <c r="AD34" s="37">
        <f>F34+J34+N34+R34+V34+Z34</f>
        <v/>
      </c>
      <c r="AE34" s="37">
        <f>G34+K34+O34+S34+W34+AA34</f>
        <v/>
      </c>
      <c r="AF34" s="16">
        <f>H34+L34+P34+T34+X34+AB34</f>
        <v/>
      </c>
      <c r="AG34" s="20">
        <f>IF(AE34&gt;0, AD34/AE34, 0)</f>
        <v/>
      </c>
    </row>
    <row r="35" ht="18.75" customHeight="1" s="46">
      <c r="A35" s="12" t="n">
        <v>9</v>
      </c>
      <c r="B35" s="12" t="inlineStr">
        <is>
          <t>PT-01</t>
        </is>
      </c>
      <c r="C35" s="13" t="inlineStr">
        <is>
          <t>PETROLIZADORA INTERNATIONAL / FORD F800</t>
        </is>
      </c>
      <c r="D35" s="13" t="inlineStr">
        <is>
          <t>ELTHON EDUARDO MARTINEZ GOMORA</t>
        </is>
      </c>
      <c r="E35" s="13" t="inlineStr">
        <is>
          <t>Riego de Liga / Emulsión</t>
        </is>
      </c>
      <c r="F35" s="37" t="n">
        <v>0</v>
      </c>
      <c r="G35" s="37" t="n">
        <v>182</v>
      </c>
      <c r="H35" s="16">
        <f>G35*$E$4</f>
        <v/>
      </c>
      <c r="I35" s="20">
        <f>IF(H35&gt;0, F35/H35, 0)</f>
        <v/>
      </c>
      <c r="J35" s="37" t="n">
        <v>80</v>
      </c>
      <c r="K35" s="37" t="n">
        <v>280</v>
      </c>
      <c r="L35" s="16">
        <f>K35*$E$4</f>
        <v/>
      </c>
      <c r="M35" s="20">
        <f>IF(L35&gt;0, J35/L35, 0)</f>
        <v/>
      </c>
      <c r="N35" s="37" t="n">
        <v>0</v>
      </c>
      <c r="O35" s="37" t="n">
        <v>210</v>
      </c>
      <c r="P35" s="16">
        <f>O35*$E$4</f>
        <v/>
      </c>
      <c r="Q35" s="20">
        <f>IF(P35&gt;0, N35/P35, 0)</f>
        <v/>
      </c>
      <c r="R35" s="37" t="n">
        <v>80</v>
      </c>
      <c r="S35" s="37" t="n">
        <v>140</v>
      </c>
      <c r="T35" s="16">
        <f>S35*$E$4</f>
        <v/>
      </c>
      <c r="U35" s="20">
        <f>IF(T35&gt;0, R35/T35, 0)</f>
        <v/>
      </c>
      <c r="V35" s="37" t="n">
        <v>0</v>
      </c>
      <c r="W35" s="37" t="n">
        <v>224</v>
      </c>
      <c r="X35" s="16">
        <f>W35*$E$4</f>
        <v/>
      </c>
      <c r="Y35" s="20">
        <f>IF(X35&gt;0, V35/X35, 0)</f>
        <v/>
      </c>
      <c r="Z35" s="37" t="n">
        <v>65</v>
      </c>
      <c r="AA35" s="37" t="n">
        <v>168</v>
      </c>
      <c r="AB35" s="16">
        <f>AA35*$E$4</f>
        <v/>
      </c>
      <c r="AC35" s="20">
        <f>IF(AB35&gt;0, Z35/AB35, 0)</f>
        <v/>
      </c>
      <c r="AD35" s="37">
        <f>F35+J35+N35+R35+V35+Z35</f>
        <v/>
      </c>
      <c r="AE35" s="37">
        <f>G35+K35+O35+S35+W35+AA35</f>
        <v/>
      </c>
      <c r="AF35" s="16">
        <f>H35+L35+P35+T35+X35+AB35</f>
        <v/>
      </c>
      <c r="AG35" s="20">
        <f>IF(AF35&gt;0, AD35/AF35, 0)</f>
        <v/>
      </c>
    </row>
    <row r="36" ht="18.75" customHeight="1" s="46">
      <c r="A36" s="12" t="n">
        <v>10</v>
      </c>
      <c r="B36" s="12" t="inlineStr">
        <is>
          <t>CPR-01</t>
        </is>
      </c>
      <c r="C36" s="13" t="inlineStr">
        <is>
          <t>COMPRESOR DE AIRE INGERSOLL RAND IR185</t>
        </is>
      </c>
      <c r="D36" s="13" t="inlineStr">
        <is>
          <t>CUADRILLA DE LIMPIEZA</t>
        </is>
      </c>
      <c r="E36" s="13" t="inlineStr">
        <is>
          <t>Sopleteado de Juntas</t>
        </is>
      </c>
      <c r="F36" s="37" t="n">
        <v>0</v>
      </c>
      <c r="G36" s="37" t="n">
        <v>0</v>
      </c>
      <c r="H36" s="16">
        <f>G36*$E$4</f>
        <v/>
      </c>
      <c r="I36" s="20">
        <f>IF(H36&gt;0, F36/H36, 0)</f>
        <v/>
      </c>
      <c r="J36" s="37" t="n">
        <v>0</v>
      </c>
      <c r="K36" s="37" t="n">
        <v>0</v>
      </c>
      <c r="L36" s="16">
        <f>K36*$E$4</f>
        <v/>
      </c>
      <c r="M36" s="20">
        <f>IF(L36&gt;0, J36/L36, 0)</f>
        <v/>
      </c>
      <c r="N36" s="37" t="n">
        <v>0</v>
      </c>
      <c r="O36" s="37" t="n">
        <v>0</v>
      </c>
      <c r="P36" s="16">
        <f>O36*$E$4</f>
        <v/>
      </c>
      <c r="Q36" s="20">
        <f>IF(P36&gt;0, N36/P36, 0)</f>
        <v/>
      </c>
      <c r="R36" s="37" t="n">
        <v>0</v>
      </c>
      <c r="S36" s="37" t="n">
        <v>0</v>
      </c>
      <c r="T36" s="16">
        <f>S36*$E$4</f>
        <v/>
      </c>
      <c r="U36" s="20">
        <f>IF(T36&gt;0, R36/T36, 0)</f>
        <v/>
      </c>
      <c r="V36" s="37" t="n">
        <v>0</v>
      </c>
      <c r="W36" s="37" t="n">
        <v>0</v>
      </c>
      <c r="X36" s="16">
        <f>W36*$E$4</f>
        <v/>
      </c>
      <c r="Y36" s="20">
        <f>IF(X36&gt;0, V36/X36, 0)</f>
        <v/>
      </c>
      <c r="Z36" s="37" t="n">
        <v>0</v>
      </c>
      <c r="AA36" s="37" t="n">
        <v>0</v>
      </c>
      <c r="AB36" s="16">
        <f>AA36*$E$4</f>
        <v/>
      </c>
      <c r="AC36" s="20">
        <f>IF(AB36&gt;0, Z36/AB36, 0)</f>
        <v/>
      </c>
      <c r="AD36" s="37">
        <f>F36+J36+N36+R36+V36+Z36</f>
        <v/>
      </c>
      <c r="AE36" s="37">
        <f>G36+K36+O36+S36+W36+AA36</f>
        <v/>
      </c>
      <c r="AF36" s="16">
        <f>H36+L36+P36+T36+X36+AB36</f>
        <v/>
      </c>
      <c r="AG36" s="20">
        <f>IF(AF36&gt;0, AD36/AF36, 0)</f>
        <v/>
      </c>
    </row>
    <row r="37" ht="18.75" customHeight="1" s="46">
      <c r="A37" s="12" t="n">
        <v>11</v>
      </c>
      <c r="B37" s="12" t="inlineStr">
        <is>
          <t>PP-01</t>
        </is>
      </c>
      <c r="C37" s="13" t="inlineStr">
        <is>
          <t>CAMIÓN IMPACTO / PIPA DE AGUA FORD</t>
        </is>
      </c>
      <c r="D37" s="13" t="inlineStr">
        <is>
          <t>CUADRILLA DE AGUA</t>
        </is>
      </c>
      <c r="E37" s="13" t="inlineStr">
        <is>
          <t>Enfriamiento Rodillos / Riego</t>
        </is>
      </c>
      <c r="F37" s="37" t="n">
        <v>0</v>
      </c>
      <c r="G37" s="37" t="n">
        <v>0</v>
      </c>
      <c r="H37" s="16">
        <f>G37*$E$4</f>
        <v/>
      </c>
      <c r="I37" s="20">
        <f>IF(H37&gt;0, F37/H37, 0)</f>
        <v/>
      </c>
      <c r="J37" s="37" t="n">
        <v>0</v>
      </c>
      <c r="K37" s="37" t="n">
        <v>0</v>
      </c>
      <c r="L37" s="16">
        <f>K37*$E$4</f>
        <v/>
      </c>
      <c r="M37" s="20">
        <f>IF(L37&gt;0, J37/L37, 0)</f>
        <v/>
      </c>
      <c r="N37" s="37" t="n">
        <v>0</v>
      </c>
      <c r="O37" s="37" t="n">
        <v>0</v>
      </c>
      <c r="P37" s="16">
        <f>O37*$E$4</f>
        <v/>
      </c>
      <c r="Q37" s="20">
        <f>IF(P37&gt;0, N37/P37, 0)</f>
        <v/>
      </c>
      <c r="R37" s="37" t="n">
        <v>0</v>
      </c>
      <c r="S37" s="37" t="n">
        <v>0</v>
      </c>
      <c r="T37" s="16">
        <f>S37*$E$4</f>
        <v/>
      </c>
      <c r="U37" s="20">
        <f>IF(T37&gt;0, R37/T37, 0)</f>
        <v/>
      </c>
      <c r="V37" s="37" t="n">
        <v>0</v>
      </c>
      <c r="W37" s="37" t="n">
        <v>0</v>
      </c>
      <c r="X37" s="16">
        <f>W37*$E$4</f>
        <v/>
      </c>
      <c r="Y37" s="20">
        <f>IF(X37&gt;0, V37/X37, 0)</f>
        <v/>
      </c>
      <c r="Z37" s="37" t="n">
        <v>0</v>
      </c>
      <c r="AA37" s="37" t="n">
        <v>0</v>
      </c>
      <c r="AB37" s="16">
        <f>AA37*$E$4</f>
        <v/>
      </c>
      <c r="AC37" s="20">
        <f>IF(AB37&gt;0, Z37/AB37, 0)</f>
        <v/>
      </c>
      <c r="AD37" s="37">
        <f>F37+J37+N37+R37+V37+Z37</f>
        <v/>
      </c>
      <c r="AE37" s="37">
        <f>G37+K37+O37+S37+W37+AA37</f>
        <v/>
      </c>
      <c r="AF37" s="16">
        <f>H37+L37+P37+T37+X37+AB37</f>
        <v/>
      </c>
      <c r="AG37" s="20">
        <f>IF(AF37&gt;0, AD37/AF37, 0)</f>
        <v/>
      </c>
    </row>
    <row r="38" ht="18.75" customHeight="1" s="46">
      <c r="A38" s="12" t="n">
        <v>12</v>
      </c>
      <c r="B38" s="12" t="inlineStr">
        <is>
          <t>TL-01</t>
        </is>
      </c>
      <c r="C38" s="13" t="inlineStr">
        <is>
          <t>TORRE DE LUZ MAXILIGHT 4X1000W</t>
        </is>
      </c>
      <c r="D38" s="13" t="inlineStr">
        <is>
          <t>CUADRILLA NOCTURNA</t>
        </is>
      </c>
      <c r="E38" s="13" t="inlineStr">
        <is>
          <t>Iluminación Nocturna</t>
        </is>
      </c>
      <c r="F38" s="37" t="n">
        <v>0</v>
      </c>
      <c r="G38" s="37" t="n">
        <v>0</v>
      </c>
      <c r="H38" s="16">
        <f>G38*$E$4</f>
        <v/>
      </c>
      <c r="I38" s="20">
        <f>IF(H38&gt;0, F38/H38, 0)</f>
        <v/>
      </c>
      <c r="J38" s="37" t="n">
        <v>30</v>
      </c>
      <c r="K38" s="37" t="n">
        <v>0</v>
      </c>
      <c r="L38" s="16">
        <f>K38*$E$4</f>
        <v/>
      </c>
      <c r="M38" s="20">
        <f>IF(L38&gt;0, J38/L38, 0)</f>
        <v/>
      </c>
      <c r="N38" s="37" t="n">
        <v>0</v>
      </c>
      <c r="O38" s="37" t="n">
        <v>0</v>
      </c>
      <c r="P38" s="16">
        <f>O38*$E$4</f>
        <v/>
      </c>
      <c r="Q38" s="20">
        <f>IF(P38&gt;0, N38/P38, 0)</f>
        <v/>
      </c>
      <c r="R38" s="37" t="n">
        <v>10</v>
      </c>
      <c r="S38" s="37" t="n">
        <v>0</v>
      </c>
      <c r="T38" s="16">
        <f>S38*$E$4</f>
        <v/>
      </c>
      <c r="U38" s="20">
        <f>IF(T38&gt;0, R38/T38, 0)</f>
        <v/>
      </c>
      <c r="V38" s="37" t="n">
        <v>0</v>
      </c>
      <c r="W38" s="37" t="n">
        <v>0</v>
      </c>
      <c r="X38" s="16">
        <f>W38*$E$4</f>
        <v/>
      </c>
      <c r="Y38" s="20">
        <f>IF(X38&gt;0, V38/X38, 0)</f>
        <v/>
      </c>
      <c r="Z38" s="37" t="n">
        <v>20</v>
      </c>
      <c r="AA38" s="37" t="n">
        <v>0</v>
      </c>
      <c r="AB38" s="16">
        <f>AA38*$E$4</f>
        <v/>
      </c>
      <c r="AC38" s="20">
        <f>IF(AB38&gt;0, Z38/AB38, 0)</f>
        <v/>
      </c>
      <c r="AD38" s="37">
        <f>F38+J38+N38+R38+V38+Z38</f>
        <v/>
      </c>
      <c r="AE38" s="37">
        <f>G38+K38+O38+S38+W38+AA38</f>
        <v/>
      </c>
      <c r="AF38" s="16">
        <f>H38+L38+P38+T38+X38+AB38</f>
        <v/>
      </c>
      <c r="AG38" s="20">
        <f>IF(AF38&gt;0, AD38/AF38, 0)</f>
        <v/>
      </c>
    </row>
    <row r="39" ht="21.75" customHeight="1" s="46">
      <c r="A39" s="30" t="inlineStr">
        <is>
          <t>TOTAL DIARIO CONSOLIDADO (OBRA MÉXICO-TOLUCA)</t>
        </is>
      </c>
      <c r="B39" s="50" t="n"/>
      <c r="C39" s="50" t="n"/>
      <c r="D39" s="50" t="n"/>
      <c r="E39" s="51" t="n"/>
      <c r="F39" s="27">
        <f>SUM(F27:F38)</f>
        <v/>
      </c>
      <c r="G39" s="27">
        <f>MAX(G27:G38)</f>
        <v/>
      </c>
      <c r="H39" s="28">
        <f>H39*$E$4</f>
        <v/>
      </c>
      <c r="I39" s="29">
        <f>IF(H39&gt;0, F39/H39, 0)</f>
        <v/>
      </c>
      <c r="J39" s="27">
        <f>SUM(J27:J38)</f>
        <v/>
      </c>
      <c r="K39" s="27">
        <f>MAX(K27:K38)</f>
        <v/>
      </c>
      <c r="L39" s="28">
        <f>L39*$E$4</f>
        <v/>
      </c>
      <c r="M39" s="29">
        <f>IF(L39&gt;0, J39/L39, 0)</f>
        <v/>
      </c>
      <c r="N39" s="27">
        <f>SUM(N27:N38)</f>
        <v/>
      </c>
      <c r="O39" s="27">
        <f>MAX(O27:O38)</f>
        <v/>
      </c>
      <c r="P39" s="28">
        <f>P39*$E$4</f>
        <v/>
      </c>
      <c r="Q39" s="29">
        <f>IF(P39&gt;0, N39/P39, 0)</f>
        <v/>
      </c>
      <c r="R39" s="27">
        <f>SUM(R27:R38)</f>
        <v/>
      </c>
      <c r="S39" s="27">
        <f>MAX(S27:S38)</f>
        <v/>
      </c>
      <c r="T39" s="28">
        <f>T39*$E$4</f>
        <v/>
      </c>
      <c r="U39" s="29">
        <f>IF(T39&gt;0, R39/T39, 0)</f>
        <v/>
      </c>
      <c r="V39" s="27">
        <f>SUM(V27:V38)</f>
        <v/>
      </c>
      <c r="W39" s="27">
        <f>MAX(W27:W38)</f>
        <v/>
      </c>
      <c r="X39" s="28">
        <f>X39*$E$4</f>
        <v/>
      </c>
      <c r="Y39" s="29">
        <f>IF(X39&gt;0, V39/X39, 0)</f>
        <v/>
      </c>
      <c r="Z39" s="27">
        <f>SUM(Z27:Z38)</f>
        <v/>
      </c>
      <c r="AA39" s="27">
        <f>MAX(AA27:AA38)</f>
        <v/>
      </c>
      <c r="AB39" s="28">
        <f>AB39*$E$4</f>
        <v/>
      </c>
      <c r="AC39" s="29">
        <f>IF(AB39&gt;0, Z39/AB39, 0)</f>
        <v/>
      </c>
      <c r="AD39" s="27">
        <f>SUM(AD27:AD38)</f>
        <v/>
      </c>
      <c r="AE39" s="27">
        <f>MAX(AE27:AE38)</f>
        <v/>
      </c>
      <c r="AF39" s="28">
        <f>AE39*$E$4</f>
        <v/>
      </c>
      <c r="AG39" s="29">
        <f>IF(AF39&gt;0, AD39/AF39, 0)</f>
        <v/>
      </c>
    </row>
    <row r="40" ht="15.75" customHeight="1" s="46"/>
    <row r="41" ht="15.75" customHeight="1" s="46">
      <c r="A41" s="40" t="inlineStr">
        <is>
          <t>NOTA TÉCNICA Y CRITERIOS DE CONTROL DE RENDIMIENTO — OBRA MÉXICO-TOLUCA:
1. Peso Volumétrico Oficial del Asfalto: 1.742 Ton/m³ (Toneladas = m³ Carpeta × 1.742).
2. Rendimiento Base (L/h): Consumo nominal de fabricante ajustado con 1.2% anual de desgaste por antigüedad al 2026.
3. Rendimiento Real: Diésel Surtido / Toneladas Tendidas (L/Ton) o Diésel Surtido / Volumen Fresado (L/m³).
4. Estatus Operativo: DENTRO DE RENDIMIENTO BASE (Verde) / EXCEDE RENDIMIENTO BASE (Rojo) / SIN CONSUMO (Gris).</t>
        </is>
      </c>
    </row>
    <row r="42" ht="15.75" customHeight="1" s="46"/>
    <row r="43" ht="15.75" customHeight="1" s="46"/>
    <row r="44" ht="15.75" customHeight="1" s="46"/>
    <row r="45" ht="15.75" customHeight="1" s="46"/>
    <row r="46" ht="15.75" customHeight="1" s="46"/>
    <row r="47" ht="15.75" customHeight="1" s="46"/>
    <row r="48" ht="15.75" customHeight="1" s="46"/>
    <row r="49" ht="15.75" customHeight="1" s="46"/>
    <row r="50" ht="15.75" customHeight="1" s="46"/>
    <row r="51" ht="15.75" customHeight="1" s="46"/>
    <row r="52" ht="15.75" customHeight="1" s="46"/>
    <row r="53" ht="15.75" customHeight="1" s="46"/>
    <row r="54" ht="15.75" customHeight="1" s="46"/>
    <row r="55" ht="15.75" customHeight="1" s="46"/>
    <row r="56" ht="15.75" customHeight="1" s="46"/>
    <row r="57" ht="15.75" customHeight="1" s="46"/>
    <row r="58" ht="15.75" customHeight="1" s="46"/>
    <row r="59" ht="15.75" customHeight="1" s="46"/>
    <row r="60" ht="15.75" customHeight="1" s="46"/>
    <row r="61" ht="15.75" customHeight="1" s="46"/>
    <row r="62" ht="15.75" customHeight="1" s="46"/>
    <row r="63" ht="15.75" customHeight="1" s="46"/>
    <row r="64" ht="15.75" customHeight="1" s="46"/>
    <row r="65" ht="15.75" customHeight="1" s="46"/>
    <row r="66" ht="15.75" customHeight="1" s="46"/>
    <row r="67" ht="15.75" customHeight="1" s="46"/>
    <row r="68" ht="15.75" customHeight="1" s="46"/>
    <row r="69" ht="15.75" customHeight="1" s="46"/>
    <row r="70" ht="15.75" customHeight="1" s="46"/>
    <row r="71" ht="15.75" customHeight="1" s="46"/>
    <row r="72" ht="15.75" customHeight="1" s="46"/>
    <row r="73" ht="15.75" customHeight="1" s="46"/>
    <row r="74" ht="15.75" customHeight="1" s="46"/>
    <row r="75" ht="15.75" customHeight="1" s="46"/>
    <row r="76" ht="15.75" customHeight="1" s="46"/>
    <row r="77" ht="15.75" customHeight="1" s="46"/>
    <row r="78" ht="15.75" customHeight="1" s="46"/>
    <row r="79" ht="15.75" customHeight="1" s="46"/>
    <row r="80" ht="15.75" customHeight="1" s="46"/>
    <row r="81" ht="15.75" customHeight="1" s="46"/>
    <row r="82" ht="15.75" customHeight="1" s="46"/>
    <row r="83" ht="15.75" customHeight="1" s="46"/>
    <row r="84" ht="15.75" customHeight="1" s="46"/>
    <row r="85" ht="15.75" customHeight="1" s="46"/>
    <row r="86" ht="15.75" customHeight="1" s="46"/>
    <row r="87" ht="15.75" customHeight="1" s="46"/>
    <row r="88" ht="15.75" customHeight="1" s="46"/>
    <row r="89" ht="15.75" customHeight="1" s="46"/>
    <row r="90" ht="15.75" customHeight="1" s="46"/>
    <row r="91" ht="15.75" customHeight="1" s="46"/>
    <row r="92" ht="15.75" customHeight="1" s="46"/>
    <row r="93" ht="15.75" customHeight="1" s="46"/>
    <row r="94" ht="15.75" customHeight="1" s="46"/>
    <row r="95" ht="15.75" customHeight="1" s="46"/>
    <row r="96" ht="15.75" customHeight="1" s="46"/>
    <row r="97" ht="15.75" customHeight="1" s="46"/>
    <row r="98" ht="15.75" customHeight="1" s="46"/>
    <row r="99" ht="15.75" customHeight="1" s="46"/>
    <row r="100" ht="15.75" customHeight="1" s="46"/>
    <row r="101" ht="15.75" customHeight="1" s="46"/>
    <row r="102" ht="15.75" customHeight="1" s="46"/>
    <row r="103" ht="15.75" customHeight="1" s="46"/>
    <row r="104" ht="15.75" customHeight="1" s="46"/>
    <row r="105" ht="15.75" customHeight="1" s="46"/>
    <row r="106" ht="15.75" customHeight="1" s="46"/>
    <row r="107" ht="15.75" customHeight="1" s="46"/>
    <row r="108" ht="15.75" customHeight="1" s="46"/>
    <row r="109" ht="15.75" customHeight="1" s="46"/>
    <row r="110" ht="15.75" customHeight="1" s="46"/>
    <row r="111" ht="15.75" customHeight="1" s="46"/>
    <row r="112" ht="15.75" customHeight="1" s="46"/>
    <row r="113" ht="15.75" customHeight="1" s="46"/>
    <row r="114" ht="15.75" customHeight="1" s="46"/>
    <row r="115" ht="15.75" customHeight="1" s="46"/>
    <row r="116" ht="15.75" customHeight="1" s="46"/>
    <row r="117" ht="15.75" customHeight="1" s="46"/>
    <row r="118" ht="15.75" customHeight="1" s="46"/>
    <row r="119" ht="15.75" customHeight="1" s="46"/>
    <row r="120" ht="15.75" customHeight="1" s="46"/>
    <row r="121" ht="15.75" customHeight="1" s="46"/>
    <row r="122" ht="15.75" customHeight="1" s="46"/>
    <row r="123" ht="15.75" customHeight="1" s="46"/>
    <row r="124" ht="15.75" customHeight="1" s="46"/>
    <row r="125" ht="15.75" customHeight="1" s="46"/>
    <row r="126" ht="15.75" customHeight="1" s="46"/>
    <row r="127" ht="15.75" customHeight="1" s="46"/>
    <row r="128" ht="15.75" customHeight="1" s="46"/>
    <row r="129" ht="15.75" customHeight="1" s="46"/>
    <row r="130" ht="15.75" customHeight="1" s="46"/>
    <row r="131" ht="15.75" customHeight="1" s="46"/>
    <row r="132" ht="15.75" customHeight="1" s="46"/>
    <row r="133" ht="15.75" customHeight="1" s="46"/>
    <row r="134" ht="15.75" customHeight="1" s="46"/>
    <row r="135" ht="15.75" customHeight="1" s="46"/>
    <row r="136" ht="15.75" customHeight="1" s="46"/>
    <row r="137" ht="15.75" customHeight="1" s="46"/>
    <row r="138" ht="15.75" customHeight="1" s="46"/>
    <row r="139" ht="15.75" customHeight="1" s="46"/>
    <row r="140" ht="15.75" customHeight="1" s="46"/>
    <row r="141" ht="15.75" customHeight="1" s="46"/>
    <row r="142" ht="15.75" customHeight="1" s="46"/>
    <row r="143" ht="15.75" customHeight="1" s="46"/>
    <row r="144" ht="15.75" customHeight="1" s="46"/>
    <row r="145" ht="15.75" customHeight="1" s="46"/>
    <row r="146" ht="15.75" customHeight="1" s="46"/>
    <row r="147" ht="15.75" customHeight="1" s="46"/>
    <row r="148" ht="15.75" customHeight="1" s="46"/>
    <row r="149" ht="15.75" customHeight="1" s="46"/>
    <row r="150" ht="15.75" customHeight="1" s="46"/>
    <row r="151" ht="15.75" customHeight="1" s="46"/>
    <row r="152" ht="15.75" customHeight="1" s="46"/>
    <row r="153" ht="15.75" customHeight="1" s="46"/>
    <row r="154" ht="15.75" customHeight="1" s="46"/>
    <row r="155" ht="15.75" customHeight="1" s="46"/>
    <row r="156" ht="15.75" customHeight="1" s="46"/>
    <row r="157" ht="15.75" customHeight="1" s="46"/>
    <row r="158" ht="15.75" customHeight="1" s="46"/>
    <row r="159" ht="15.75" customHeight="1" s="46"/>
    <row r="160" ht="15.75" customHeight="1" s="46"/>
    <row r="161" ht="15.75" customHeight="1" s="46"/>
    <row r="162" ht="15.75" customHeight="1" s="46"/>
    <row r="163" ht="15.75" customHeight="1" s="46"/>
    <row r="164" ht="15.75" customHeight="1" s="46"/>
    <row r="165" ht="15.75" customHeight="1" s="46"/>
    <row r="166" ht="15.75" customHeight="1" s="46"/>
    <row r="167" ht="15.75" customHeight="1" s="46"/>
    <row r="168" ht="15.75" customHeight="1" s="46"/>
    <row r="169" ht="15.75" customHeight="1" s="46"/>
    <row r="170" ht="15.75" customHeight="1" s="46"/>
    <row r="171" ht="15.75" customHeight="1" s="46"/>
    <row r="172" ht="15.75" customHeight="1" s="46"/>
    <row r="173" ht="15.75" customHeight="1" s="46"/>
    <row r="174" ht="15.75" customHeight="1" s="46"/>
    <row r="175" ht="15.75" customHeight="1" s="46"/>
    <row r="176" ht="15.75" customHeight="1" s="46"/>
    <row r="177" ht="15.75" customHeight="1" s="46"/>
    <row r="178" ht="15.75" customHeight="1" s="46"/>
    <row r="179" ht="15.75" customHeight="1" s="46"/>
    <row r="180" ht="15.75" customHeight="1" s="46"/>
    <row r="181" ht="15.75" customHeight="1" s="46"/>
    <row r="182" ht="15.75" customHeight="1" s="46"/>
    <row r="183" ht="15.75" customHeight="1" s="46"/>
    <row r="184" ht="15.75" customHeight="1" s="46"/>
    <row r="185" ht="15.75" customHeight="1" s="46"/>
    <row r="186" ht="15.75" customHeight="1" s="46"/>
    <row r="187" ht="15.75" customHeight="1" s="46"/>
    <row r="188" ht="15.75" customHeight="1" s="46"/>
    <row r="189" ht="15.75" customHeight="1" s="46"/>
    <row r="190" ht="15.75" customHeight="1" s="46"/>
    <row r="191" ht="15.75" customHeight="1" s="46"/>
    <row r="192" ht="15.75" customHeight="1" s="46"/>
    <row r="193" ht="15.75" customHeight="1" s="46"/>
    <row r="194" ht="15.75" customHeight="1" s="46"/>
    <row r="195" ht="15.75" customHeight="1" s="46"/>
    <row r="196" ht="15.75" customHeight="1" s="46"/>
    <row r="197" ht="15.75" customHeight="1" s="46"/>
    <row r="198" ht="15.75" customHeight="1" s="46"/>
    <row r="199" ht="15.75" customHeight="1" s="46"/>
    <row r="200" ht="15.75" customHeight="1" s="46"/>
    <row r="201" ht="15.75" customHeight="1" s="46"/>
    <row r="202" ht="15.75" customHeight="1" s="46"/>
    <row r="203" ht="15.75" customHeight="1" s="46"/>
    <row r="204" ht="15.75" customHeight="1" s="46"/>
    <row r="205" ht="15.75" customHeight="1" s="46"/>
    <row r="206" ht="15.75" customHeight="1" s="46"/>
    <row r="207" ht="15.75" customHeight="1" s="46"/>
    <row r="208" ht="15.75" customHeight="1" s="46"/>
    <row r="209" ht="15.75" customHeight="1" s="46"/>
    <row r="210" ht="15.75" customHeight="1" s="46"/>
    <row r="211" ht="15.75" customHeight="1" s="46"/>
    <row r="212" ht="15.75" customHeight="1" s="46"/>
    <row r="213" ht="15.75" customHeight="1" s="46"/>
    <row r="214" ht="15.75" customHeight="1" s="46"/>
    <row r="215" ht="15.75" customHeight="1" s="46"/>
    <row r="216" ht="15.75" customHeight="1" s="46"/>
    <row r="217" ht="15.75" customHeight="1" s="46"/>
    <row r="218" ht="15.75" customHeight="1" s="46"/>
    <row r="219" ht="15.75" customHeight="1" s="46"/>
    <row r="220" ht="15.75" customHeight="1" s="46"/>
    <row r="221" ht="15.75" customHeight="1" s="46"/>
    <row r="222" ht="15.75" customHeight="1" s="46"/>
    <row r="223" ht="15.75" customHeight="1" s="46"/>
    <row r="224" ht="15.75" customHeight="1" s="46"/>
    <row r="225" ht="15.75" customHeight="1" s="46"/>
    <row r="226" ht="15.75" customHeight="1" s="46"/>
    <row r="227" ht="15.75" customHeight="1" s="46"/>
    <row r="228" ht="15.75" customHeight="1" s="46"/>
    <row r="229" ht="15.75" customHeight="1" s="46"/>
    <row r="230" ht="15.75" customHeight="1" s="46"/>
    <row r="231" ht="15.75" customHeight="1" s="46"/>
    <row r="232" ht="15.75" customHeight="1" s="46"/>
    <row r="233" ht="15.75" customHeight="1" s="46"/>
    <row r="234" ht="15.75" customHeight="1" s="46"/>
    <row r="235" ht="15.75" customHeight="1" s="46"/>
    <row r="236" ht="15.75" customHeight="1" s="46"/>
    <row r="237" ht="15.75" customHeight="1" s="46"/>
    <row r="238" ht="15.75" customHeight="1" s="46"/>
    <row r="239" ht="15.75" customHeight="1" s="46"/>
    <row r="240" ht="15.75" customHeight="1" s="46"/>
    <row r="241" ht="15.75" customHeight="1" s="46"/>
    <row r="242" ht="15.75" customHeight="1" s="46"/>
    <row r="243" ht="15.75" customHeight="1" s="46"/>
    <row r="244" ht="15.75" customHeight="1" s="46"/>
    <row r="245" ht="15.75" customHeight="1" s="46"/>
    <row r="246" ht="15.75" customHeight="1" s="46"/>
    <row r="247" ht="15.75" customHeight="1" s="46"/>
    <row r="248" ht="15.75" customHeight="1" s="46"/>
    <row r="249" ht="15.75" customHeight="1" s="46"/>
    <row r="250" ht="15.75" customHeight="1" s="46"/>
    <row r="251" ht="15.75" customHeight="1" s="46"/>
    <row r="252" ht="15.75" customHeight="1" s="46"/>
    <row r="253" ht="15.75" customHeight="1" s="46"/>
    <row r="254" ht="15.75" customHeight="1" s="46"/>
    <row r="255" ht="15.75" customHeight="1" s="46"/>
    <row r="256" ht="15.75" customHeight="1" s="46"/>
    <row r="257" ht="15.75" customHeight="1" s="46"/>
    <row r="258" ht="15.75" customHeight="1" s="46"/>
    <row r="259" ht="15.75" customHeight="1" s="46"/>
    <row r="260" ht="15.75" customHeight="1" s="46"/>
    <row r="261" ht="15.75" customHeight="1" s="46"/>
    <row r="262" ht="15.75" customHeight="1" s="46"/>
    <row r="263" ht="15.75" customHeight="1" s="46"/>
    <row r="264" ht="15.75" customHeight="1" s="46"/>
    <row r="265" ht="15.75" customHeight="1" s="46"/>
    <row r="266" ht="15.75" customHeight="1" s="46"/>
    <row r="267" ht="15.75" customHeight="1" s="46"/>
    <row r="268" ht="15.75" customHeight="1" s="46"/>
    <row r="269" ht="15.75" customHeight="1" s="46"/>
    <row r="270" ht="15.75" customHeight="1" s="46"/>
    <row r="271" ht="15.75" customHeight="1" s="46"/>
    <row r="272" ht="15.75" customHeight="1" s="46"/>
    <row r="273" ht="15.75" customHeight="1" s="46"/>
    <row r="274" ht="15.75" customHeight="1" s="46"/>
    <row r="275" ht="15.75" customHeight="1" s="46"/>
    <row r="276" ht="15.75" customHeight="1" s="46"/>
    <row r="277" ht="15.75" customHeight="1" s="46"/>
    <row r="278" ht="15.75" customHeight="1" s="46"/>
    <row r="279" ht="15.75" customHeight="1" s="46"/>
    <row r="280" ht="15.75" customHeight="1" s="46"/>
    <row r="281" ht="15.75" customHeight="1" s="46"/>
    <row r="282" ht="15.75" customHeight="1" s="46"/>
    <row r="283" ht="15.75" customHeight="1" s="46"/>
    <row r="284" ht="15.75" customHeight="1" s="46"/>
    <row r="285" ht="15.75" customHeight="1" s="46"/>
    <row r="286" ht="15.75" customHeight="1" s="46"/>
    <row r="287" ht="15.75" customHeight="1" s="46"/>
    <row r="288" ht="15.75" customHeight="1" s="46"/>
    <row r="289" ht="15.75" customHeight="1" s="46"/>
    <row r="290" ht="15.75" customHeight="1" s="46"/>
    <row r="291" ht="15.75" customHeight="1" s="46"/>
    <row r="292" ht="15.75" customHeight="1" s="46"/>
    <row r="293" ht="15.75" customHeight="1" s="46"/>
    <row r="294" ht="15.75" customHeight="1" s="46"/>
    <row r="295" ht="15.75" customHeight="1" s="46"/>
    <row r="296" ht="15.75" customHeight="1" s="46"/>
    <row r="297" ht="15.75" customHeight="1" s="46"/>
    <row r="298" ht="15.75" customHeight="1" s="46"/>
    <row r="299" ht="15.75" customHeight="1" s="46"/>
    <row r="300" ht="15.75" customHeight="1" s="46"/>
    <row r="301" ht="15.75" customHeight="1" s="46"/>
    <row r="302" ht="15.75" customHeight="1" s="46"/>
    <row r="303" ht="15.75" customHeight="1" s="46"/>
    <row r="304" ht="15.75" customHeight="1" s="46"/>
    <row r="305" ht="15.75" customHeight="1" s="46"/>
    <row r="306" ht="15.75" customHeight="1" s="46"/>
    <row r="307" ht="15.75" customHeight="1" s="46"/>
    <row r="308" ht="15.75" customHeight="1" s="46"/>
    <row r="309" ht="15.75" customHeight="1" s="46"/>
    <row r="310" ht="15.75" customHeight="1" s="46"/>
    <row r="311" ht="15.75" customHeight="1" s="46"/>
    <row r="312" ht="15.75" customHeight="1" s="46"/>
    <row r="313" ht="15.75" customHeight="1" s="46"/>
    <row r="314" ht="15.75" customHeight="1" s="46"/>
    <row r="315" ht="15.75" customHeight="1" s="46"/>
    <row r="316" ht="15.75" customHeight="1" s="46"/>
    <row r="317" ht="15.75" customHeight="1" s="46"/>
    <row r="318" ht="15.75" customHeight="1" s="46"/>
    <row r="319" ht="15.75" customHeight="1" s="46"/>
    <row r="320" ht="15.75" customHeight="1" s="46"/>
    <row r="321" ht="15.75" customHeight="1" s="46"/>
    <row r="322" ht="15.75" customHeight="1" s="46"/>
    <row r="323" ht="15.75" customHeight="1" s="46"/>
    <row r="324" ht="15.75" customHeight="1" s="46"/>
    <row r="325" ht="15.75" customHeight="1" s="46"/>
    <row r="326" ht="15.75" customHeight="1" s="46"/>
    <row r="327" ht="15.75" customHeight="1" s="46"/>
    <row r="328" ht="15.75" customHeight="1" s="46"/>
    <row r="329" ht="15.75" customHeight="1" s="46"/>
    <row r="330" ht="15.75" customHeight="1" s="46"/>
    <row r="331" ht="15.75" customHeight="1" s="46"/>
    <row r="332" ht="15.75" customHeight="1" s="46"/>
    <row r="333" ht="15.75" customHeight="1" s="46"/>
    <row r="334" ht="15.75" customHeight="1" s="46"/>
    <row r="335" ht="15.75" customHeight="1" s="46"/>
    <row r="336" ht="15.75" customHeight="1" s="46"/>
    <row r="337" ht="15.75" customHeight="1" s="46"/>
    <row r="338" ht="15.75" customHeight="1" s="46"/>
    <row r="339" ht="15.75" customHeight="1" s="46"/>
    <row r="340" ht="15.75" customHeight="1" s="46"/>
    <row r="341" ht="15.75" customHeight="1" s="46"/>
    <row r="342" ht="15.75" customHeight="1" s="46"/>
    <row r="343" ht="15.75" customHeight="1" s="46"/>
    <row r="344" ht="15.75" customHeight="1" s="46"/>
    <row r="345" ht="15.75" customHeight="1" s="46"/>
    <row r="346" ht="15.75" customHeight="1" s="46"/>
    <row r="347" ht="15.75" customHeight="1" s="46"/>
    <row r="348" ht="15.75" customHeight="1" s="46"/>
    <row r="349" ht="15.75" customHeight="1" s="46"/>
    <row r="350" ht="15.75" customHeight="1" s="46"/>
    <row r="351" ht="15.75" customHeight="1" s="46"/>
    <row r="352" ht="15.75" customHeight="1" s="46"/>
    <row r="353" ht="15.75" customHeight="1" s="46"/>
    <row r="354" ht="15.75" customHeight="1" s="46"/>
    <row r="355" ht="15.75" customHeight="1" s="46"/>
    <row r="356" ht="15.75" customHeight="1" s="46"/>
    <row r="357" ht="15.75" customHeight="1" s="46"/>
    <row r="358" ht="15.75" customHeight="1" s="46"/>
    <row r="359" ht="15.75" customHeight="1" s="46"/>
    <row r="360" ht="15.75" customHeight="1" s="46"/>
    <row r="361" ht="15.75" customHeight="1" s="46"/>
    <row r="362" ht="15.75" customHeight="1" s="46"/>
    <row r="363" ht="15.75" customHeight="1" s="46"/>
    <row r="364" ht="15.75" customHeight="1" s="46"/>
    <row r="365" ht="15.75" customHeight="1" s="46"/>
    <row r="366" ht="15.75" customHeight="1" s="46"/>
    <row r="367" ht="15.75" customHeight="1" s="46"/>
    <row r="368" ht="15.75" customHeight="1" s="46"/>
    <row r="369" ht="15.75" customHeight="1" s="46"/>
    <row r="370" ht="15.75" customHeight="1" s="46"/>
    <row r="371" ht="15.75" customHeight="1" s="46"/>
    <row r="372" ht="15.75" customHeight="1" s="46"/>
    <row r="373" ht="15.75" customHeight="1" s="46"/>
    <row r="374" ht="15.75" customHeight="1" s="46"/>
    <row r="375" ht="15.75" customHeight="1" s="46"/>
    <row r="376" ht="15.75" customHeight="1" s="46"/>
    <row r="377" ht="15.75" customHeight="1" s="46"/>
    <row r="378" ht="15.75" customHeight="1" s="46"/>
    <row r="379" ht="15.75" customHeight="1" s="46"/>
    <row r="380" ht="15.75" customHeight="1" s="46"/>
    <row r="381" ht="15.75" customHeight="1" s="46"/>
    <row r="382" ht="15.75" customHeight="1" s="46"/>
    <row r="383" ht="15.75" customHeight="1" s="46"/>
    <row r="384" ht="15.75" customHeight="1" s="46"/>
    <row r="385" ht="15.75" customHeight="1" s="46"/>
    <row r="386" ht="15.75" customHeight="1" s="46"/>
    <row r="387" ht="15.75" customHeight="1" s="46"/>
    <row r="388" ht="15.75" customHeight="1" s="46"/>
    <row r="389" ht="15.75" customHeight="1" s="46"/>
    <row r="390" ht="15.75" customHeight="1" s="46"/>
    <row r="391" ht="15.75" customHeight="1" s="46"/>
    <row r="392" ht="15.75" customHeight="1" s="46"/>
    <row r="393" ht="15.75" customHeight="1" s="46"/>
    <row r="394" ht="15.75" customHeight="1" s="46"/>
    <row r="395" ht="15.75" customHeight="1" s="46"/>
    <row r="396" ht="15.75" customHeight="1" s="46"/>
    <row r="397" ht="15.75" customHeight="1" s="46"/>
    <row r="398" ht="15.75" customHeight="1" s="46"/>
    <row r="399" ht="15.75" customHeight="1" s="46"/>
    <row r="400" ht="15.75" customHeight="1" s="46"/>
    <row r="401" ht="15.75" customHeight="1" s="46"/>
    <row r="402" ht="15.75" customHeight="1" s="46"/>
    <row r="403" ht="15.75" customHeight="1" s="46"/>
    <row r="404" ht="15.75" customHeight="1" s="46"/>
    <row r="405" ht="15.75" customHeight="1" s="46"/>
    <row r="406" ht="15.75" customHeight="1" s="46"/>
    <row r="407" ht="15.75" customHeight="1" s="46"/>
    <row r="408" ht="15.75" customHeight="1" s="46"/>
    <row r="409" ht="15.75" customHeight="1" s="46"/>
    <row r="410" ht="15.75" customHeight="1" s="46"/>
    <row r="411" ht="15.75" customHeight="1" s="46"/>
    <row r="412" ht="15.75" customHeight="1" s="46"/>
    <row r="413" ht="15.75" customHeight="1" s="46"/>
    <row r="414" ht="15.75" customHeight="1" s="46"/>
    <row r="415" ht="15.75" customHeight="1" s="46"/>
    <row r="416" ht="15.75" customHeight="1" s="46"/>
    <row r="417" ht="15.75" customHeight="1" s="46"/>
    <row r="418" ht="15.75" customHeight="1" s="46"/>
    <row r="419" ht="15.75" customHeight="1" s="46"/>
    <row r="420" ht="15.75" customHeight="1" s="46"/>
    <row r="421" ht="15.75" customHeight="1" s="46"/>
    <row r="422" ht="15.75" customHeight="1" s="46"/>
    <row r="423" ht="15.75" customHeight="1" s="46"/>
    <row r="424" ht="15.75" customHeight="1" s="46"/>
    <row r="425" ht="15.75" customHeight="1" s="46"/>
    <row r="426" ht="15.75" customHeight="1" s="46"/>
    <row r="427" ht="15.75" customHeight="1" s="46"/>
    <row r="428" ht="15.75" customHeight="1" s="46"/>
    <row r="429" ht="15.75" customHeight="1" s="46"/>
    <row r="430" ht="15.75" customHeight="1" s="46"/>
    <row r="431" ht="15.75" customHeight="1" s="46"/>
    <row r="432" ht="15.75" customHeight="1" s="46"/>
    <row r="433" ht="15.75" customHeight="1" s="46"/>
    <row r="434" ht="15.75" customHeight="1" s="46"/>
    <row r="435" ht="15.75" customHeight="1" s="46"/>
    <row r="436" ht="15.75" customHeight="1" s="46"/>
    <row r="437" ht="15.75" customHeight="1" s="46"/>
    <row r="438" ht="15.75" customHeight="1" s="46"/>
    <row r="439" ht="15.75" customHeight="1" s="46"/>
    <row r="440" ht="15.75" customHeight="1" s="46"/>
    <row r="441" ht="15.75" customHeight="1" s="46"/>
    <row r="442" ht="15.75" customHeight="1" s="46"/>
    <row r="443" ht="15.75" customHeight="1" s="46"/>
    <row r="444" ht="15.75" customHeight="1" s="46"/>
    <row r="445" ht="15.75" customHeight="1" s="46"/>
    <row r="446" ht="15.75" customHeight="1" s="46"/>
    <row r="447" ht="15.75" customHeight="1" s="46"/>
    <row r="448" ht="15.75" customHeight="1" s="46"/>
    <row r="449" ht="15.75" customHeight="1" s="46"/>
    <row r="450" ht="15.75" customHeight="1" s="46"/>
    <row r="451" ht="15.75" customHeight="1" s="46"/>
    <row r="452" ht="15.75" customHeight="1" s="46"/>
    <row r="453" ht="15.75" customHeight="1" s="46"/>
    <row r="454" ht="15.75" customHeight="1" s="46"/>
    <row r="455" ht="15.75" customHeight="1" s="46"/>
    <row r="456" ht="15.75" customHeight="1" s="46"/>
    <row r="457" ht="15.75" customHeight="1" s="46"/>
    <row r="458" ht="15.75" customHeight="1" s="46"/>
    <row r="459" ht="15.75" customHeight="1" s="46"/>
    <row r="460" ht="15.75" customHeight="1" s="46"/>
    <row r="461" ht="15.75" customHeight="1" s="46"/>
    <row r="462" ht="15.75" customHeight="1" s="46"/>
    <row r="463" ht="15.75" customHeight="1" s="46"/>
    <row r="464" ht="15.75" customHeight="1" s="46"/>
    <row r="465" ht="15.75" customHeight="1" s="46"/>
    <row r="466" ht="15.75" customHeight="1" s="46"/>
    <row r="467" ht="15.75" customHeight="1" s="46"/>
    <row r="468" ht="15.75" customHeight="1" s="46"/>
    <row r="469" ht="15.75" customHeight="1" s="46"/>
    <row r="470" ht="15.75" customHeight="1" s="46"/>
    <row r="471" ht="15.75" customHeight="1" s="46"/>
    <row r="472" ht="15.75" customHeight="1" s="46"/>
    <row r="473" ht="15.75" customHeight="1" s="46"/>
    <row r="474" ht="15.75" customHeight="1" s="46"/>
    <row r="475" ht="15.75" customHeight="1" s="46"/>
    <row r="476" ht="15.75" customHeight="1" s="46"/>
    <row r="477" ht="15.75" customHeight="1" s="46"/>
    <row r="478" ht="15.75" customHeight="1" s="46"/>
    <row r="479" ht="15.75" customHeight="1" s="46"/>
    <row r="480" ht="15.75" customHeight="1" s="46"/>
    <row r="481" ht="15.75" customHeight="1" s="46"/>
    <row r="482" ht="15.75" customHeight="1" s="46"/>
    <row r="483" ht="15.75" customHeight="1" s="46"/>
    <row r="484" ht="15.75" customHeight="1" s="46"/>
    <row r="485" ht="15.75" customHeight="1" s="46"/>
    <row r="486" ht="15.75" customHeight="1" s="46"/>
    <row r="487" ht="15.75" customHeight="1" s="46"/>
    <row r="488" ht="15.75" customHeight="1" s="46"/>
    <row r="489" ht="15.75" customHeight="1" s="46"/>
    <row r="490" ht="15.75" customHeight="1" s="46"/>
    <row r="491" ht="15.75" customHeight="1" s="46"/>
    <row r="492" ht="15.75" customHeight="1" s="46"/>
    <row r="493" ht="15.75" customHeight="1" s="46"/>
    <row r="494" ht="15.75" customHeight="1" s="46"/>
    <row r="495" ht="15.75" customHeight="1" s="46"/>
    <row r="496" ht="15.75" customHeight="1" s="46"/>
    <row r="497" ht="15.75" customHeight="1" s="46"/>
    <row r="498" ht="15.75" customHeight="1" s="46"/>
    <row r="499" ht="15.75" customHeight="1" s="46"/>
    <row r="500" ht="15.75" customHeight="1" s="46"/>
    <row r="501" ht="15.75" customHeight="1" s="46"/>
    <row r="502" ht="15.75" customHeight="1" s="46"/>
    <row r="503" ht="15.75" customHeight="1" s="46"/>
    <row r="504" ht="15.75" customHeight="1" s="46"/>
    <row r="505" ht="15.75" customHeight="1" s="46"/>
    <row r="506" ht="15.75" customHeight="1" s="46"/>
    <row r="507" ht="15.75" customHeight="1" s="46"/>
    <row r="508" ht="15.75" customHeight="1" s="46"/>
    <row r="509" ht="15.75" customHeight="1" s="46"/>
    <row r="510" ht="15.75" customHeight="1" s="46"/>
    <row r="511" ht="15.75" customHeight="1" s="46"/>
    <row r="512" ht="15.75" customHeight="1" s="46"/>
    <row r="513" ht="15.75" customHeight="1" s="46"/>
    <row r="514" ht="15.75" customHeight="1" s="46"/>
    <row r="515" ht="15.75" customHeight="1" s="46"/>
    <row r="516" ht="15.75" customHeight="1" s="46"/>
    <row r="517" ht="15.75" customHeight="1" s="46"/>
    <row r="518" ht="15.75" customHeight="1" s="46"/>
    <row r="519" ht="15.75" customHeight="1" s="46"/>
    <row r="520" ht="15.75" customHeight="1" s="46"/>
    <row r="521" ht="15.75" customHeight="1" s="46"/>
    <row r="522" ht="15.75" customHeight="1" s="46"/>
    <row r="523" ht="15.75" customHeight="1" s="46"/>
    <row r="524" ht="15.75" customHeight="1" s="46"/>
    <row r="525" ht="15.75" customHeight="1" s="46"/>
    <row r="526" ht="15.75" customHeight="1" s="46"/>
    <row r="527" ht="15.75" customHeight="1" s="46"/>
    <row r="528" ht="15.75" customHeight="1" s="46"/>
    <row r="529" ht="15.75" customHeight="1" s="46"/>
    <row r="530" ht="15.75" customHeight="1" s="46"/>
    <row r="531" ht="15.75" customHeight="1" s="46"/>
    <row r="532" ht="15.75" customHeight="1" s="46"/>
    <row r="533" ht="15.75" customHeight="1" s="46"/>
    <row r="534" ht="15.75" customHeight="1" s="46"/>
    <row r="535" ht="15.75" customHeight="1" s="46"/>
    <row r="536" ht="15.75" customHeight="1" s="46"/>
    <row r="537" ht="15.75" customHeight="1" s="46"/>
    <row r="538" ht="15.75" customHeight="1" s="46"/>
    <row r="539" ht="15.75" customHeight="1" s="46"/>
    <row r="540" ht="15.75" customHeight="1" s="46"/>
    <row r="541" ht="15.75" customHeight="1" s="46"/>
    <row r="542" ht="15.75" customHeight="1" s="46"/>
    <row r="543" ht="15.75" customHeight="1" s="46"/>
    <row r="544" ht="15.75" customHeight="1" s="46"/>
    <row r="545" ht="15.75" customHeight="1" s="46"/>
    <row r="546" ht="15.75" customHeight="1" s="46"/>
    <row r="547" ht="15.75" customHeight="1" s="46"/>
    <row r="548" ht="15.75" customHeight="1" s="46"/>
    <row r="549" ht="15.75" customHeight="1" s="46"/>
    <row r="550" ht="15.75" customHeight="1" s="46"/>
    <row r="551" ht="15.75" customHeight="1" s="46"/>
    <row r="552" ht="15.75" customHeight="1" s="46"/>
    <row r="553" ht="15.75" customHeight="1" s="46"/>
    <row r="554" ht="15.75" customHeight="1" s="46"/>
    <row r="555" ht="15.75" customHeight="1" s="46"/>
    <row r="556" ht="15.75" customHeight="1" s="46"/>
    <row r="557" ht="15.75" customHeight="1" s="46"/>
    <row r="558" ht="15.75" customHeight="1" s="46"/>
    <row r="559" ht="15.75" customHeight="1" s="46"/>
    <row r="560" ht="15.75" customHeight="1" s="46"/>
    <row r="561" ht="15.75" customHeight="1" s="46"/>
    <row r="562" ht="15.75" customHeight="1" s="46"/>
    <row r="563" ht="15.75" customHeight="1" s="46"/>
    <row r="564" ht="15.75" customHeight="1" s="46"/>
    <row r="565" ht="15.75" customHeight="1" s="46"/>
    <row r="566" ht="15.75" customHeight="1" s="46"/>
    <row r="567" ht="15.75" customHeight="1" s="46"/>
    <row r="568" ht="15.75" customHeight="1" s="46"/>
    <row r="569" ht="15.75" customHeight="1" s="46"/>
    <row r="570" ht="15.75" customHeight="1" s="46"/>
    <row r="571" ht="15.75" customHeight="1" s="46"/>
    <row r="572" ht="15.75" customHeight="1" s="46"/>
    <row r="573" ht="15.75" customHeight="1" s="46"/>
    <row r="574" ht="15.75" customHeight="1" s="46"/>
    <row r="575" ht="15.75" customHeight="1" s="46"/>
    <row r="576" ht="15.75" customHeight="1" s="46"/>
    <row r="577" ht="15.75" customHeight="1" s="46"/>
    <row r="578" ht="15.75" customHeight="1" s="46"/>
    <row r="579" ht="15.75" customHeight="1" s="46"/>
    <row r="580" ht="15.75" customHeight="1" s="46"/>
    <row r="581" ht="15.75" customHeight="1" s="46"/>
    <row r="582" ht="15.75" customHeight="1" s="46"/>
    <row r="583" ht="15.75" customHeight="1" s="46"/>
    <row r="584" ht="15.75" customHeight="1" s="46"/>
    <row r="585" ht="15.75" customHeight="1" s="46"/>
    <row r="586" ht="15.75" customHeight="1" s="46"/>
    <row r="587" ht="15.75" customHeight="1" s="46"/>
    <row r="588" ht="15.75" customHeight="1" s="46"/>
    <row r="589" ht="15.75" customHeight="1" s="46"/>
    <row r="590" ht="15.75" customHeight="1" s="46"/>
    <row r="591" ht="15.75" customHeight="1" s="46"/>
    <row r="592" ht="15.75" customHeight="1" s="46"/>
    <row r="593" ht="15.75" customHeight="1" s="46"/>
    <row r="594" ht="15.75" customHeight="1" s="46"/>
    <row r="595" ht="15.75" customHeight="1" s="46"/>
    <row r="596" ht="15.75" customHeight="1" s="46"/>
    <row r="597" ht="15.75" customHeight="1" s="46"/>
    <row r="598" ht="15.75" customHeight="1" s="46"/>
    <row r="599" ht="15.75" customHeight="1" s="46"/>
    <row r="600" ht="15.75" customHeight="1" s="46"/>
    <row r="601" ht="15.75" customHeight="1" s="46"/>
    <row r="602" ht="15.75" customHeight="1" s="46"/>
    <row r="603" ht="15.75" customHeight="1" s="46"/>
    <row r="604" ht="15.75" customHeight="1" s="46"/>
    <row r="605" ht="15.75" customHeight="1" s="46"/>
    <row r="606" ht="15.75" customHeight="1" s="46"/>
    <row r="607" ht="15.75" customHeight="1" s="46"/>
    <row r="608" ht="15.75" customHeight="1" s="46"/>
    <row r="609" ht="15.75" customHeight="1" s="46"/>
    <row r="610" ht="15.75" customHeight="1" s="46"/>
    <row r="611" ht="15.75" customHeight="1" s="46"/>
    <row r="612" ht="15.75" customHeight="1" s="46"/>
    <row r="613" ht="15.75" customHeight="1" s="46"/>
    <row r="614" ht="15.75" customHeight="1" s="46"/>
    <row r="615" ht="15.75" customHeight="1" s="46"/>
    <row r="616" ht="15.75" customHeight="1" s="46"/>
    <row r="617" ht="15.75" customHeight="1" s="46"/>
    <row r="618" ht="15.75" customHeight="1" s="46"/>
    <row r="619" ht="15.75" customHeight="1" s="46"/>
    <row r="620" ht="15.75" customHeight="1" s="46"/>
    <row r="621" ht="15.75" customHeight="1" s="46"/>
    <row r="622" ht="15.75" customHeight="1" s="46"/>
    <row r="623" ht="15.75" customHeight="1" s="46"/>
    <row r="624" ht="15.75" customHeight="1" s="46"/>
    <row r="625" ht="15.75" customHeight="1" s="46"/>
    <row r="626" ht="15.75" customHeight="1" s="46"/>
    <row r="627" ht="15.75" customHeight="1" s="46"/>
    <row r="628" ht="15.75" customHeight="1" s="46"/>
    <row r="629" ht="15.75" customHeight="1" s="46"/>
    <row r="630" ht="15.75" customHeight="1" s="46"/>
    <row r="631" ht="15.75" customHeight="1" s="46"/>
    <row r="632" ht="15.75" customHeight="1" s="46"/>
    <row r="633" ht="15.75" customHeight="1" s="46"/>
    <row r="634" ht="15.75" customHeight="1" s="46"/>
    <row r="635" ht="15.75" customHeight="1" s="46"/>
    <row r="636" ht="15.75" customHeight="1" s="46"/>
    <row r="637" ht="15.75" customHeight="1" s="46"/>
    <row r="638" ht="15.75" customHeight="1" s="46"/>
    <row r="639" ht="15.75" customHeight="1" s="46"/>
    <row r="640" ht="15.75" customHeight="1" s="46"/>
    <row r="641" ht="15.75" customHeight="1" s="46"/>
    <row r="642" ht="15.75" customHeight="1" s="46"/>
    <row r="643" ht="15.75" customHeight="1" s="46"/>
    <row r="644" ht="15.75" customHeight="1" s="46"/>
    <row r="645" ht="15.75" customHeight="1" s="46"/>
    <row r="646" ht="15.75" customHeight="1" s="46"/>
    <row r="647" ht="15.75" customHeight="1" s="46"/>
    <row r="648" ht="15.75" customHeight="1" s="46"/>
    <row r="649" ht="15.75" customHeight="1" s="46"/>
    <row r="650" ht="15.75" customHeight="1" s="46"/>
    <row r="651" ht="15.75" customHeight="1" s="46"/>
    <row r="652" ht="15.75" customHeight="1" s="46"/>
    <row r="653" ht="15.75" customHeight="1" s="46"/>
    <row r="654" ht="15.75" customHeight="1" s="46"/>
    <row r="655" ht="15.75" customHeight="1" s="46"/>
    <row r="656" ht="15.75" customHeight="1" s="46"/>
    <row r="657" ht="15.75" customHeight="1" s="46"/>
    <row r="658" ht="15.75" customHeight="1" s="46"/>
    <row r="659" ht="15.75" customHeight="1" s="46"/>
    <row r="660" ht="15.75" customHeight="1" s="46"/>
    <row r="661" ht="15.75" customHeight="1" s="46"/>
    <row r="662" ht="15.75" customHeight="1" s="46"/>
    <row r="663" ht="15.75" customHeight="1" s="46"/>
    <row r="664" ht="15.75" customHeight="1" s="46"/>
    <row r="665" ht="15.75" customHeight="1" s="46"/>
    <row r="666" ht="15.75" customHeight="1" s="46"/>
    <row r="667" ht="15.75" customHeight="1" s="46"/>
    <row r="668" ht="15.75" customHeight="1" s="46"/>
    <row r="669" ht="15.75" customHeight="1" s="46"/>
    <row r="670" ht="15.75" customHeight="1" s="46"/>
    <row r="671" ht="15.75" customHeight="1" s="46"/>
    <row r="672" ht="15.75" customHeight="1" s="46"/>
    <row r="673" ht="15.75" customHeight="1" s="46"/>
    <row r="674" ht="15.75" customHeight="1" s="46"/>
    <row r="675" ht="15.75" customHeight="1" s="46"/>
    <row r="676" ht="15.75" customHeight="1" s="46"/>
    <row r="677" ht="15.75" customHeight="1" s="46"/>
    <row r="678" ht="15.75" customHeight="1" s="46"/>
    <row r="679" ht="15.75" customHeight="1" s="46"/>
    <row r="680" ht="15.75" customHeight="1" s="46"/>
    <row r="681" ht="15.75" customHeight="1" s="46"/>
    <row r="682" ht="15.75" customHeight="1" s="46"/>
    <row r="683" ht="15.75" customHeight="1" s="46"/>
    <row r="684" ht="15.75" customHeight="1" s="46"/>
    <row r="685" ht="15.75" customHeight="1" s="46"/>
    <row r="686" ht="15.75" customHeight="1" s="46"/>
    <row r="687" ht="15.75" customHeight="1" s="46"/>
    <row r="688" ht="15.75" customHeight="1" s="46"/>
    <row r="689" ht="15.75" customHeight="1" s="46"/>
    <row r="690" ht="15.75" customHeight="1" s="46"/>
    <row r="691" ht="15.75" customHeight="1" s="46"/>
    <row r="692" ht="15.75" customHeight="1" s="46"/>
    <row r="693" ht="15.75" customHeight="1" s="46"/>
    <row r="694" ht="15.75" customHeight="1" s="46"/>
    <row r="695" ht="15.75" customHeight="1" s="46"/>
    <row r="696" ht="15.75" customHeight="1" s="46"/>
    <row r="697" ht="15.75" customHeight="1" s="46"/>
    <row r="698" ht="15.75" customHeight="1" s="46"/>
    <row r="699" ht="15.75" customHeight="1" s="46"/>
    <row r="700" ht="15.75" customHeight="1" s="46"/>
    <row r="701" ht="15.75" customHeight="1" s="46"/>
    <row r="702" ht="15.75" customHeight="1" s="46"/>
    <row r="703" ht="15.75" customHeight="1" s="46"/>
    <row r="704" ht="15.75" customHeight="1" s="46"/>
    <row r="705" ht="15.75" customHeight="1" s="46"/>
    <row r="706" ht="15.75" customHeight="1" s="46"/>
    <row r="707" ht="15.75" customHeight="1" s="46"/>
    <row r="708" ht="15.75" customHeight="1" s="46"/>
    <row r="709" ht="15.75" customHeight="1" s="46"/>
    <row r="710" ht="15.75" customHeight="1" s="46"/>
    <row r="711" ht="15.75" customHeight="1" s="46"/>
    <row r="712" ht="15.75" customHeight="1" s="46"/>
    <row r="713" ht="15.75" customHeight="1" s="46"/>
    <row r="714" ht="15.75" customHeight="1" s="46"/>
    <row r="715" ht="15.75" customHeight="1" s="46"/>
    <row r="716" ht="15.75" customHeight="1" s="46"/>
    <row r="717" ht="15.75" customHeight="1" s="46"/>
    <row r="718" ht="15.75" customHeight="1" s="46"/>
    <row r="719" ht="15.75" customHeight="1" s="46"/>
    <row r="720" ht="15.75" customHeight="1" s="46"/>
    <row r="721" ht="15.75" customHeight="1" s="46"/>
    <row r="722" ht="15.75" customHeight="1" s="46"/>
    <row r="723" ht="15.75" customHeight="1" s="46"/>
    <row r="724" ht="15.75" customHeight="1" s="46"/>
    <row r="725" ht="15.75" customHeight="1" s="46"/>
    <row r="726" ht="15.75" customHeight="1" s="46"/>
    <row r="727" ht="15.75" customHeight="1" s="46"/>
    <row r="728" ht="15.75" customHeight="1" s="46"/>
    <row r="729" ht="15.75" customHeight="1" s="46"/>
    <row r="730" ht="15.75" customHeight="1" s="46"/>
    <row r="731" ht="15.75" customHeight="1" s="46"/>
    <row r="732" ht="15.75" customHeight="1" s="46"/>
    <row r="733" ht="15.75" customHeight="1" s="46"/>
    <row r="734" ht="15.75" customHeight="1" s="46"/>
    <row r="735" ht="15.75" customHeight="1" s="46"/>
    <row r="736" ht="15.75" customHeight="1" s="46"/>
    <row r="737" ht="15.75" customHeight="1" s="46"/>
    <row r="738" ht="15.75" customHeight="1" s="46"/>
    <row r="739" ht="15.75" customHeight="1" s="46"/>
    <row r="740" ht="15.75" customHeight="1" s="46"/>
    <row r="741" ht="15.75" customHeight="1" s="46"/>
    <row r="742" ht="15.75" customHeight="1" s="46"/>
    <row r="743" ht="15.75" customHeight="1" s="46"/>
    <row r="744" ht="15.75" customHeight="1" s="46"/>
    <row r="745" ht="15.75" customHeight="1" s="46"/>
    <row r="746" ht="15.75" customHeight="1" s="46"/>
    <row r="747" ht="15.75" customHeight="1" s="46"/>
    <row r="748" ht="15.75" customHeight="1" s="46"/>
    <row r="749" ht="15.75" customHeight="1" s="46"/>
    <row r="750" ht="15.75" customHeight="1" s="46"/>
    <row r="751" ht="15.75" customHeight="1" s="46"/>
    <row r="752" ht="15.75" customHeight="1" s="46"/>
    <row r="753" ht="15.75" customHeight="1" s="46"/>
    <row r="754" ht="15.75" customHeight="1" s="46"/>
    <row r="755" ht="15.75" customHeight="1" s="46"/>
    <row r="756" ht="15.75" customHeight="1" s="46"/>
    <row r="757" ht="15.75" customHeight="1" s="46"/>
    <row r="758" ht="15.75" customHeight="1" s="46"/>
    <row r="759" ht="15.75" customHeight="1" s="46"/>
    <row r="760" ht="15.75" customHeight="1" s="46"/>
    <row r="761" ht="15.75" customHeight="1" s="46"/>
    <row r="762" ht="15.75" customHeight="1" s="46"/>
    <row r="763" ht="15.75" customHeight="1" s="46"/>
    <row r="764" ht="15.75" customHeight="1" s="46"/>
    <row r="765" ht="15.75" customHeight="1" s="46"/>
    <row r="766" ht="15.75" customHeight="1" s="46"/>
    <row r="767" ht="15.75" customHeight="1" s="46"/>
    <row r="768" ht="15.75" customHeight="1" s="46"/>
    <row r="769" ht="15.75" customHeight="1" s="46"/>
    <row r="770" ht="15.75" customHeight="1" s="46"/>
    <row r="771" ht="15.75" customHeight="1" s="46"/>
    <row r="772" ht="15.75" customHeight="1" s="46"/>
    <row r="773" ht="15.75" customHeight="1" s="46"/>
    <row r="774" ht="15.75" customHeight="1" s="46"/>
    <row r="775" ht="15.75" customHeight="1" s="46"/>
    <row r="776" ht="15.75" customHeight="1" s="46"/>
    <row r="777" ht="15.75" customHeight="1" s="46"/>
    <row r="778" ht="15.75" customHeight="1" s="46"/>
    <row r="779" ht="15.75" customHeight="1" s="46"/>
    <row r="780" ht="15.75" customHeight="1" s="46"/>
    <row r="781" ht="15.75" customHeight="1" s="46"/>
    <row r="782" ht="15.75" customHeight="1" s="46"/>
    <row r="783" ht="15.75" customHeight="1" s="46"/>
    <row r="784" ht="15.75" customHeight="1" s="46"/>
    <row r="785" ht="15.75" customHeight="1" s="46"/>
    <row r="786" ht="15.75" customHeight="1" s="46"/>
    <row r="787" ht="15.75" customHeight="1" s="46"/>
    <row r="788" ht="15.75" customHeight="1" s="46"/>
    <row r="789" ht="15.75" customHeight="1" s="46"/>
    <row r="790" ht="15.75" customHeight="1" s="46"/>
    <row r="791" ht="15.75" customHeight="1" s="46"/>
    <row r="792" ht="15.75" customHeight="1" s="46"/>
    <row r="793" ht="15.75" customHeight="1" s="46"/>
    <row r="794" ht="15.75" customHeight="1" s="46"/>
    <row r="795" ht="15.75" customHeight="1" s="46"/>
    <row r="796" ht="15.75" customHeight="1" s="46"/>
    <row r="797" ht="15.75" customHeight="1" s="46"/>
    <row r="798" ht="15.75" customHeight="1" s="46"/>
    <row r="799" ht="15.75" customHeight="1" s="46"/>
    <row r="800" ht="15.75" customHeight="1" s="46"/>
    <row r="801" ht="15.75" customHeight="1" s="46"/>
    <row r="802" ht="15.75" customHeight="1" s="46"/>
    <row r="803" ht="15.75" customHeight="1" s="46"/>
    <row r="804" ht="15.75" customHeight="1" s="46"/>
    <row r="805" ht="15.75" customHeight="1" s="46"/>
    <row r="806" ht="15.75" customHeight="1" s="46"/>
    <row r="807" ht="15.75" customHeight="1" s="46"/>
    <row r="808" ht="15.75" customHeight="1" s="46"/>
    <row r="809" ht="15.75" customHeight="1" s="46"/>
    <row r="810" ht="15.75" customHeight="1" s="46"/>
    <row r="811" ht="15.75" customHeight="1" s="46"/>
    <row r="812" ht="15.75" customHeight="1" s="46"/>
    <row r="813" ht="15.75" customHeight="1" s="46"/>
    <row r="814" ht="15.75" customHeight="1" s="46"/>
    <row r="815" ht="15.75" customHeight="1" s="46"/>
    <row r="816" ht="15.75" customHeight="1" s="46"/>
    <row r="817" ht="15.75" customHeight="1" s="46"/>
    <row r="818" ht="15.75" customHeight="1" s="46"/>
    <row r="819" ht="15.75" customHeight="1" s="46"/>
    <row r="820" ht="15.75" customHeight="1" s="46"/>
    <row r="821" ht="15.75" customHeight="1" s="46"/>
    <row r="822" ht="15.75" customHeight="1" s="46"/>
    <row r="823" ht="15.75" customHeight="1" s="46"/>
    <row r="824" ht="15.75" customHeight="1" s="46"/>
    <row r="825" ht="15.75" customHeight="1" s="46"/>
    <row r="826" ht="15.75" customHeight="1" s="46"/>
    <row r="827" ht="15.75" customHeight="1" s="46"/>
    <row r="828" ht="15.75" customHeight="1" s="46"/>
    <row r="829" ht="15.75" customHeight="1" s="46"/>
    <row r="830" ht="15.75" customHeight="1" s="46"/>
    <row r="831" ht="15.75" customHeight="1" s="46"/>
    <row r="832" ht="15.75" customHeight="1" s="46"/>
    <row r="833" ht="15.75" customHeight="1" s="46"/>
    <row r="834" ht="15.75" customHeight="1" s="46"/>
    <row r="835" ht="15.75" customHeight="1" s="46"/>
    <row r="836" ht="15.75" customHeight="1" s="46"/>
    <row r="837" ht="15.75" customHeight="1" s="46"/>
    <row r="838" ht="15.75" customHeight="1" s="46"/>
    <row r="839" ht="15.75" customHeight="1" s="46"/>
    <row r="840" ht="15.75" customHeight="1" s="46"/>
    <row r="841" ht="15.75" customHeight="1" s="46"/>
    <row r="842" ht="15.75" customHeight="1" s="46"/>
    <row r="843" ht="15.75" customHeight="1" s="46"/>
    <row r="844" ht="15.75" customHeight="1" s="46"/>
    <row r="845" ht="15.75" customHeight="1" s="46"/>
    <row r="846" ht="15.75" customHeight="1" s="46"/>
    <row r="847" ht="15.75" customHeight="1" s="46"/>
    <row r="848" ht="15.75" customHeight="1" s="46"/>
    <row r="849" ht="15.75" customHeight="1" s="46"/>
    <row r="850" ht="15.75" customHeight="1" s="46"/>
    <row r="851" ht="15.75" customHeight="1" s="46"/>
    <row r="852" ht="15.75" customHeight="1" s="46"/>
    <row r="853" ht="15.75" customHeight="1" s="46"/>
    <row r="854" ht="15.75" customHeight="1" s="46"/>
    <row r="855" ht="15.75" customHeight="1" s="46"/>
    <row r="856" ht="15.75" customHeight="1" s="46"/>
    <row r="857" ht="15.75" customHeight="1" s="46"/>
    <row r="858" ht="15.75" customHeight="1" s="46"/>
    <row r="859" ht="15.75" customHeight="1" s="46"/>
    <row r="860" ht="15.75" customHeight="1" s="46"/>
    <row r="861" ht="15.75" customHeight="1" s="46"/>
    <row r="862" ht="15.75" customHeight="1" s="46"/>
    <row r="863" ht="15.75" customHeight="1" s="46"/>
    <row r="864" ht="15.75" customHeight="1" s="46"/>
    <row r="865" ht="15.75" customHeight="1" s="46"/>
    <row r="866" ht="15.75" customHeight="1" s="46"/>
    <row r="867" ht="15.75" customHeight="1" s="46"/>
    <row r="868" ht="15.75" customHeight="1" s="46"/>
    <row r="869" ht="15.75" customHeight="1" s="46"/>
    <row r="870" ht="15.75" customHeight="1" s="46"/>
    <row r="871" ht="15.75" customHeight="1" s="46"/>
    <row r="872" ht="15.75" customHeight="1" s="46"/>
    <row r="873" ht="15.75" customHeight="1" s="46"/>
    <row r="874" ht="15.75" customHeight="1" s="46"/>
    <row r="875" ht="15.75" customHeight="1" s="46"/>
    <row r="876" ht="15.75" customHeight="1" s="46"/>
    <row r="877" ht="15.75" customHeight="1" s="46"/>
    <row r="878" ht="15.75" customHeight="1" s="46"/>
    <row r="879" ht="15.75" customHeight="1" s="46"/>
    <row r="880" ht="15.75" customHeight="1" s="46"/>
    <row r="881" ht="15.75" customHeight="1" s="46"/>
    <row r="882" ht="15.75" customHeight="1" s="46"/>
    <row r="883" ht="15.75" customHeight="1" s="46"/>
    <row r="884" ht="15.75" customHeight="1" s="46"/>
    <row r="885" ht="15.75" customHeight="1" s="46"/>
    <row r="886" ht="15.75" customHeight="1" s="46"/>
    <row r="887" ht="15.75" customHeight="1" s="46"/>
    <row r="888" ht="15.75" customHeight="1" s="46"/>
    <row r="889" ht="15.75" customHeight="1" s="46"/>
    <row r="890" ht="15.75" customHeight="1" s="46"/>
    <row r="891" ht="15.75" customHeight="1" s="46"/>
    <row r="892" ht="15.75" customHeight="1" s="46"/>
    <row r="893" ht="15.75" customHeight="1" s="46"/>
    <row r="894" ht="15.75" customHeight="1" s="46"/>
    <row r="895" ht="15.75" customHeight="1" s="46"/>
    <row r="896" ht="15.75" customHeight="1" s="46"/>
    <row r="897" ht="15.75" customHeight="1" s="46"/>
    <row r="898" ht="15.75" customHeight="1" s="46"/>
    <row r="899" ht="15.75" customHeight="1" s="46"/>
    <row r="900" ht="15.75" customHeight="1" s="46"/>
    <row r="901" ht="15.75" customHeight="1" s="46"/>
    <row r="902" ht="15.75" customHeight="1" s="46"/>
    <row r="903" ht="15.75" customHeight="1" s="46"/>
    <row r="904" ht="15.75" customHeight="1" s="46"/>
    <row r="905" ht="15.75" customHeight="1" s="46"/>
    <row r="906" ht="15.75" customHeight="1" s="46"/>
    <row r="907" ht="15.75" customHeight="1" s="46"/>
    <row r="908" ht="15.75" customHeight="1" s="46"/>
    <row r="909" ht="15.75" customHeight="1" s="46"/>
    <row r="910" ht="15.75" customHeight="1" s="46"/>
    <row r="911" ht="15.75" customHeight="1" s="46"/>
    <row r="912" ht="15.75" customHeight="1" s="46"/>
    <row r="913" ht="15.75" customHeight="1" s="46"/>
    <row r="914" ht="15.75" customHeight="1" s="46"/>
    <row r="915" ht="15.75" customHeight="1" s="46"/>
    <row r="916" ht="15.75" customHeight="1" s="46"/>
    <row r="917" ht="15.75" customHeight="1" s="46"/>
    <row r="918" ht="15.75" customHeight="1" s="46"/>
    <row r="919" ht="15.75" customHeight="1" s="46"/>
    <row r="920" ht="15.75" customHeight="1" s="46"/>
    <row r="921" ht="15.75" customHeight="1" s="46"/>
    <row r="922" ht="15.75" customHeight="1" s="46"/>
    <row r="923" ht="15.75" customHeight="1" s="46"/>
    <row r="924" ht="15.75" customHeight="1" s="46"/>
    <row r="925" ht="15.75" customHeight="1" s="46"/>
    <row r="926" ht="15.75" customHeight="1" s="46"/>
    <row r="927" ht="15.75" customHeight="1" s="46"/>
    <row r="928" ht="15.75" customHeight="1" s="46"/>
    <row r="929" ht="15.75" customHeight="1" s="46"/>
    <row r="930" ht="15.75" customHeight="1" s="46"/>
    <row r="931" ht="15.75" customHeight="1" s="46"/>
    <row r="932" ht="15.75" customHeight="1" s="46"/>
    <row r="933" ht="15.75" customHeight="1" s="46"/>
    <row r="934" ht="15.75" customHeight="1" s="46"/>
    <row r="935" ht="15.75" customHeight="1" s="46"/>
    <row r="936" ht="15.75" customHeight="1" s="46"/>
    <row r="937" ht="15.75" customHeight="1" s="46"/>
    <row r="938" ht="15.75" customHeight="1" s="46"/>
    <row r="939" ht="15.75" customHeight="1" s="46"/>
    <row r="940" ht="15.75" customHeight="1" s="46"/>
    <row r="941" ht="15.75" customHeight="1" s="46"/>
    <row r="942" ht="15.75" customHeight="1" s="46"/>
    <row r="943" ht="15.75" customHeight="1" s="46"/>
    <row r="944" ht="15.75" customHeight="1" s="46"/>
    <row r="945" ht="15.75" customHeight="1" s="46"/>
    <row r="946" ht="15.75" customHeight="1" s="46"/>
    <row r="947" ht="15.75" customHeight="1" s="46"/>
    <row r="948" ht="15.75" customHeight="1" s="46"/>
    <row r="949" ht="15.75" customHeight="1" s="46"/>
    <row r="950" ht="15.75" customHeight="1" s="46"/>
    <row r="951" ht="15.75" customHeight="1" s="46"/>
    <row r="952" ht="15.75" customHeight="1" s="46"/>
    <row r="953" ht="15.75" customHeight="1" s="46"/>
    <row r="954" ht="15.75" customHeight="1" s="46"/>
    <row r="955" ht="15.75" customHeight="1" s="46"/>
    <row r="956" ht="15.75" customHeight="1" s="46"/>
    <row r="957" ht="15.75" customHeight="1" s="46"/>
    <row r="958" ht="15.75" customHeight="1" s="46"/>
    <row r="959" ht="15.75" customHeight="1" s="46"/>
    <row r="960" ht="15.75" customHeight="1" s="46"/>
    <row r="961" ht="15.75" customHeight="1" s="46"/>
    <row r="962" ht="15.75" customHeight="1" s="46"/>
    <row r="963" ht="15.75" customHeight="1" s="46"/>
    <row r="964" ht="15.75" customHeight="1" s="46"/>
    <row r="965" ht="15.75" customHeight="1" s="46"/>
    <row r="966" ht="15.75" customHeight="1" s="46"/>
    <row r="967" ht="15.75" customHeight="1" s="46"/>
    <row r="968" ht="15.75" customHeight="1" s="46"/>
    <row r="969" ht="15.75" customHeight="1" s="46"/>
    <row r="970" ht="15.75" customHeight="1" s="46"/>
    <row r="971" ht="15.75" customHeight="1" s="46"/>
    <row r="972" ht="15.75" customHeight="1" s="46"/>
    <row r="973" ht="15.75" customHeight="1" s="46"/>
    <row r="974" ht="15.75" customHeight="1" s="46"/>
    <row r="975" ht="15.75" customHeight="1" s="46"/>
    <row r="976" ht="15.75" customHeight="1" s="46"/>
    <row r="977" ht="15.75" customHeight="1" s="46"/>
    <row r="978" ht="15.75" customHeight="1" s="46"/>
    <row r="979" ht="15.75" customHeight="1" s="46"/>
    <row r="980" ht="15.75" customHeight="1" s="46"/>
    <row r="981" ht="15.75" customHeight="1" s="46"/>
    <row r="982" ht="15.75" customHeight="1" s="46"/>
    <row r="983" ht="15.75" customHeight="1" s="46"/>
    <row r="984" ht="15.75" customHeight="1" s="46"/>
    <row r="985" ht="15.75" customHeight="1" s="46"/>
    <row r="986" ht="15.75" customHeight="1" s="46"/>
    <row r="987" ht="15.75" customHeight="1" s="46"/>
    <row r="988" ht="15.75" customHeight="1" s="46"/>
    <row r="989" ht="15.75" customHeight="1" s="46"/>
    <row r="990" ht="15.75" customHeight="1" s="46"/>
    <row r="991" ht="15.75" customHeight="1" s="46"/>
    <row r="992" ht="15.75" customHeight="1" s="46"/>
    <row r="993" ht="15.75" customHeight="1" s="46"/>
    <row r="994" ht="15.75" customHeight="1" s="46"/>
    <row r="995" ht="15.75" customHeight="1" s="46"/>
    <row r="996" ht="15.75" customHeight="1" s="46"/>
    <row r="997" ht="15.75" customHeight="1" s="46"/>
    <row r="998" ht="15.75" customHeight="1" s="46"/>
    <row r="999" ht="15.75" customHeight="1" s="46"/>
    <row r="1000" ht="15.75" customHeight="1" s="46"/>
  </sheetData>
  <mergeCells count="14">
    <mergeCell ref="A21:E21"/>
    <mergeCell ref="A39:E39"/>
    <mergeCell ref="N25:Q25"/>
    <mergeCell ref="A25:E25"/>
    <mergeCell ref="A2:N2"/>
    <mergeCell ref="A41:N45"/>
    <mergeCell ref="A24:AG24"/>
    <mergeCell ref="R25:U25"/>
    <mergeCell ref="V25:Y25"/>
    <mergeCell ref="Z25:AC25"/>
    <mergeCell ref="F25:I25"/>
    <mergeCell ref="J25:M25"/>
    <mergeCell ref="AD25:AG25"/>
    <mergeCell ref="A1:N1"/>
  </mergeCells>
  <pageMargins left="0.75" right="0.75" top="1" bottom="1" header="0" footer="0"/>
  <pageSetup orientation="landscape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selection activeCell="A1" sqref="A1"/>
    </sheetView>
  </sheetViews>
  <sheetFormatPr baseColWidth="8" defaultColWidth="14.43" defaultRowHeight="15" customHeight="1"/>
  <cols>
    <col width="4" customWidth="1" style="46" min="1" max="1"/>
    <col width="10" customWidth="1" style="46" min="2" max="2"/>
    <col width="34" customWidth="1" style="46" min="3" max="3"/>
    <col width="12" customWidth="1" style="46" min="4" max="14"/>
    <col width="15" customWidth="1" style="46" min="15" max="15"/>
    <col width="8.710000000000001" customWidth="1" style="46" min="16" max="26"/>
  </cols>
  <sheetData>
    <row r="1">
      <c r="A1" s="47" t="inlineStr">
        <is>
          <t>RESUMEN EJECUTIVO Y MATRIZ COMPARATIVA DE RENDIMIENTOS</t>
        </is>
      </c>
    </row>
    <row r="2">
      <c r="A2" s="48" t="inlineStr">
        <is>
          <t>EVOLUCIÓN SEMANAL DE CONSUMO DE COMBUSTIBLE Y PRODUCCIÓN EN CARRETERA MÉXICO-TOLUCA (SEM 24 A 37)</t>
        </is>
      </c>
    </row>
    <row r="4">
      <c r="A4" s="98" t="inlineStr">
        <is>
          <t>MATRIZ 1: CONSUMO DE DIÉSEL POR EQUIPO SEMANA A SEMANA (LITROS)</t>
        </is>
      </c>
    </row>
    <row r="5" ht="24" customHeight="1" s="46">
      <c r="A5" s="10" t="inlineStr">
        <is>
          <t>No.</t>
        </is>
      </c>
      <c r="B5" s="10" t="inlineStr">
        <is>
          <t>Económico</t>
        </is>
      </c>
      <c r="C5" s="10" t="inlineStr">
        <is>
          <t>Equipo / Maquinaria</t>
        </is>
      </c>
      <c r="D5" s="10" t="inlineStr">
        <is>
          <t>Sem 24</t>
        </is>
      </c>
      <c r="E5" s="10" t="inlineStr">
        <is>
          <t>Sem 25</t>
        </is>
      </c>
      <c r="F5" s="10" t="inlineStr">
        <is>
          <t>Sem 26</t>
        </is>
      </c>
      <c r="G5" s="10" t="inlineStr">
        <is>
          <t>Sem 27</t>
        </is>
      </c>
      <c r="H5" s="10" t="inlineStr">
        <is>
          <t>Sem 28</t>
        </is>
      </c>
      <c r="I5" s="10" t="inlineStr">
        <is>
          <t>Sem 29</t>
        </is>
      </c>
      <c r="J5" s="10" t="inlineStr">
        <is>
          <t>Sem 30</t>
        </is>
      </c>
      <c r="K5" s="10" t="inlineStr">
        <is>
          <t>Sem 31</t>
        </is>
      </c>
      <c r="L5" s="10" t="inlineStr">
        <is>
          <t>Sem 32</t>
        </is>
      </c>
      <c r="M5" s="10" t="inlineStr">
        <is>
          <t>Sem 33</t>
        </is>
      </c>
      <c r="N5" s="10" t="inlineStr">
        <is>
          <t>Sem 34</t>
        </is>
      </c>
      <c r="O5" s="10" t="inlineStr">
        <is>
          <t>Sem 35</t>
        </is>
      </c>
      <c r="P5" s="8" t="inlineStr">
        <is>
          <t>Sem 36</t>
        </is>
      </c>
      <c r="Q5" s="8" t="inlineStr">
        <is>
          <t>Sem 37</t>
        </is>
      </c>
      <c r="R5" s="8" t="inlineStr">
        <is>
          <t>TOTAL ACUMULADO</t>
        </is>
      </c>
    </row>
    <row r="6" ht="18.75" customHeight="1" s="46">
      <c r="A6" s="12" t="n">
        <v>1</v>
      </c>
      <c r="B6" s="12" t="inlineStr">
        <is>
          <t>PRR-01</t>
        </is>
      </c>
      <c r="C6" s="13" t="inlineStr">
        <is>
          <t>PERFILADORA WIRTGEN W200i</t>
        </is>
      </c>
      <c r="D6" s="37">
        <f>'Semana 24'!I9</f>
        <v/>
      </c>
      <c r="E6" s="37">
        <f>'Semana 25'!I9</f>
        <v/>
      </c>
      <c r="F6" s="37">
        <f>'Semana 26'!I9</f>
        <v/>
      </c>
      <c r="G6" s="37">
        <f>'Semana 27'!I9</f>
        <v/>
      </c>
      <c r="H6" s="37">
        <f>'Semana 28'!I9</f>
        <v/>
      </c>
      <c r="I6" s="37">
        <f>'Semana 29'!I9</f>
        <v/>
      </c>
      <c r="J6" s="37">
        <f>'Semana 30'!I9</f>
        <v/>
      </c>
      <c r="K6" s="37">
        <f>'Semana 31'!I9</f>
        <v/>
      </c>
      <c r="L6" s="37">
        <f>'Semana 32'!I9</f>
        <v/>
      </c>
      <c r="M6" s="37">
        <f>'Semana 33'!I9</f>
        <v/>
      </c>
      <c r="N6" s="37">
        <f>'Semana 34'!I9</f>
        <v/>
      </c>
      <c r="O6" s="37">
        <f>'Semana 35'!I9</f>
        <v/>
      </c>
      <c r="P6" s="44">
        <f>'Semana 36'!I9</f>
        <v/>
      </c>
      <c r="Q6" s="44">
        <f>'Semana 37'!I9</f>
        <v/>
      </c>
      <c r="R6" s="44">
        <f>SUM(D6:Q6)</f>
        <v/>
      </c>
    </row>
    <row r="7" ht="18.75" customHeight="1" s="46">
      <c r="A7" s="12" t="n">
        <v>2</v>
      </c>
      <c r="B7" s="12" t="inlineStr">
        <is>
          <t>VG-01</t>
        </is>
      </c>
      <c r="C7" s="13" t="inlineStr">
        <is>
          <t>PAVIMENTADORA VÖGELE SUPER 1800-3i</t>
        </is>
      </c>
      <c r="D7" s="37">
        <f>'Semana 24'!I10</f>
        <v/>
      </c>
      <c r="E7" s="37">
        <f>'Semana 25'!I10</f>
        <v/>
      </c>
      <c r="F7" s="37">
        <f>'Semana 26'!I10</f>
        <v/>
      </c>
      <c r="G7" s="37">
        <f>'Semana 27'!I10</f>
        <v/>
      </c>
      <c r="H7" s="37">
        <f>'Semana 28'!I10</f>
        <v/>
      </c>
      <c r="I7" s="37">
        <f>'Semana 29'!I10</f>
        <v/>
      </c>
      <c r="J7" s="37">
        <f>'Semana 30'!I10</f>
        <v/>
      </c>
      <c r="K7" s="37">
        <f>'Semana 31'!I10</f>
        <v/>
      </c>
      <c r="L7" s="37">
        <f>'Semana 32'!I10</f>
        <v/>
      </c>
      <c r="M7" s="37">
        <f>'Semana 33'!I10</f>
        <v/>
      </c>
      <c r="N7" s="37">
        <f>'Semana 34'!I10</f>
        <v/>
      </c>
      <c r="O7" s="37">
        <f>'Semana 35'!I10</f>
        <v/>
      </c>
      <c r="P7" s="44">
        <f>'Semana 36'!I10</f>
        <v/>
      </c>
      <c r="Q7" s="44">
        <f>'Semana 37'!I10</f>
        <v/>
      </c>
      <c r="R7" s="44">
        <f>SUM(D7:Q7)</f>
        <v/>
      </c>
    </row>
    <row r="8" ht="18.75" customHeight="1" s="46">
      <c r="A8" s="12" t="n">
        <v>3</v>
      </c>
      <c r="B8" s="12" t="inlineStr">
        <is>
          <t>DR-01</t>
        </is>
      </c>
      <c r="C8" s="13" t="inlineStr">
        <is>
          <t>COMPACTADOR TÁNDEM HAMM-HD120 VV</t>
        </is>
      </c>
      <c r="D8" s="37">
        <f>'Semana 24'!I11</f>
        <v/>
      </c>
      <c r="E8" s="37">
        <f>'Semana 25'!I11</f>
        <v/>
      </c>
      <c r="F8" s="37">
        <f>'Semana 26'!I11</f>
        <v/>
      </c>
      <c r="G8" s="37">
        <f>'Semana 27'!I11</f>
        <v/>
      </c>
      <c r="H8" s="37">
        <f>'Semana 28'!I11</f>
        <v/>
      </c>
      <c r="I8" s="37">
        <f>'Semana 29'!I11</f>
        <v/>
      </c>
      <c r="J8" s="37">
        <f>'Semana 30'!I11</f>
        <v/>
      </c>
      <c r="K8" s="37">
        <f>'Semana 31'!I11</f>
        <v/>
      </c>
      <c r="L8" s="37">
        <f>'Semana 32'!I11</f>
        <v/>
      </c>
      <c r="M8" s="37">
        <f>'Semana 33'!I11</f>
        <v/>
      </c>
      <c r="N8" s="37">
        <f>'Semana 34'!I11</f>
        <v/>
      </c>
      <c r="O8" s="37">
        <f>'Semana 35'!I11</f>
        <v/>
      </c>
      <c r="P8" s="44">
        <f>'Semana 36'!I11</f>
        <v/>
      </c>
      <c r="Q8" s="44">
        <f>'Semana 37'!I11</f>
        <v/>
      </c>
      <c r="R8" s="44">
        <f>SUM(D8:Q8)</f>
        <v/>
      </c>
    </row>
    <row r="9" ht="18.75" customHeight="1" s="46">
      <c r="A9" s="12" t="n">
        <v>4</v>
      </c>
      <c r="B9" s="12" t="inlineStr">
        <is>
          <t>DR-02</t>
        </is>
      </c>
      <c r="C9" s="13" t="inlineStr">
        <is>
          <t>COMPACTADOR TÁNDEM HAMM-HD140</t>
        </is>
      </c>
      <c r="D9" s="37">
        <f>'Semana 24'!I12</f>
        <v/>
      </c>
      <c r="E9" s="37">
        <f>'Semana 25'!I12</f>
        <v/>
      </c>
      <c r="F9" s="37">
        <f>'Semana 26'!I12</f>
        <v/>
      </c>
      <c r="G9" s="37">
        <f>'Semana 27'!I12</f>
        <v/>
      </c>
      <c r="H9" s="37">
        <f>'Semana 28'!I12</f>
        <v/>
      </c>
      <c r="I9" s="37">
        <f>'Semana 29'!I12</f>
        <v/>
      </c>
      <c r="J9" s="37">
        <f>'Semana 30'!I12</f>
        <v/>
      </c>
      <c r="K9" s="37">
        <f>'Semana 31'!I12</f>
        <v/>
      </c>
      <c r="L9" s="37">
        <f>'Semana 32'!I12</f>
        <v/>
      </c>
      <c r="M9" s="37">
        <f>'Semana 33'!I12</f>
        <v/>
      </c>
      <c r="N9" s="37">
        <f>'Semana 34'!I12</f>
        <v/>
      </c>
      <c r="O9" s="37">
        <f>'Semana 35'!I12</f>
        <v/>
      </c>
      <c r="P9" s="44">
        <f>'Semana 36'!I12</f>
        <v/>
      </c>
      <c r="Q9" s="44">
        <f>'Semana 37'!I12</f>
        <v/>
      </c>
      <c r="R9" s="44">
        <f>SUM(D9:Q9)</f>
        <v/>
      </c>
    </row>
    <row r="10" ht="18.75" customHeight="1" s="46">
      <c r="A10" s="12" t="n">
        <v>5</v>
      </c>
      <c r="B10" s="12" t="inlineStr">
        <is>
          <t>NM-01</t>
        </is>
      </c>
      <c r="C10" s="13" t="inlineStr">
        <is>
          <t>COMPACTADOR NEUMÁTICO DYNAPAC CP271</t>
        </is>
      </c>
      <c r="D10" s="37">
        <f>'Semana 24'!I13</f>
        <v/>
      </c>
      <c r="E10" s="37">
        <f>'Semana 25'!I13</f>
        <v/>
      </c>
      <c r="F10" s="37">
        <f>'Semana 26'!I13</f>
        <v/>
      </c>
      <c r="G10" s="37">
        <f>'Semana 27'!I13</f>
        <v/>
      </c>
      <c r="H10" s="37">
        <f>'Semana 28'!I13</f>
        <v/>
      </c>
      <c r="I10" s="37">
        <f>'Semana 29'!I13</f>
        <v/>
      </c>
      <c r="J10" s="37">
        <f>'Semana 30'!I13</f>
        <v/>
      </c>
      <c r="K10" s="37">
        <f>'Semana 31'!I13</f>
        <v/>
      </c>
      <c r="L10" s="37">
        <f>'Semana 32'!I13</f>
        <v/>
      </c>
      <c r="M10" s="37">
        <f>'Semana 33'!I13</f>
        <v/>
      </c>
      <c r="N10" s="37">
        <f>'Semana 34'!I13</f>
        <v/>
      </c>
      <c r="O10" s="37">
        <f>'Semana 35'!I13</f>
        <v/>
      </c>
      <c r="P10" s="44">
        <f>'Semana 36'!I13</f>
        <v/>
      </c>
      <c r="Q10" s="44">
        <f>'Semana 37'!I13</f>
        <v/>
      </c>
      <c r="R10" s="44">
        <f>SUM(D10:Q10)</f>
        <v/>
      </c>
    </row>
    <row r="11" ht="18.75" customHeight="1" s="46">
      <c r="A11" s="12" t="n">
        <v>6</v>
      </c>
      <c r="B11" s="12" t="inlineStr">
        <is>
          <t>NM-09</t>
        </is>
      </c>
      <c r="C11" s="13" t="inlineStr">
        <is>
          <t>COMPACTADOR NEUMÁTICO HAMM 208</t>
        </is>
      </c>
      <c r="D11" s="37">
        <f>'Semana 24'!I14</f>
        <v/>
      </c>
      <c r="E11" s="37">
        <f>'Semana 25'!I14</f>
        <v/>
      </c>
      <c r="F11" s="37">
        <f>'Semana 26'!I14</f>
        <v/>
      </c>
      <c r="G11" s="37">
        <f>'Semana 27'!I14</f>
        <v/>
      </c>
      <c r="H11" s="37">
        <f>'Semana 28'!I14</f>
        <v/>
      </c>
      <c r="I11" s="37">
        <f>'Semana 29'!I14</f>
        <v/>
      </c>
      <c r="J11" s="37">
        <f>'Semana 30'!I14</f>
        <v/>
      </c>
      <c r="K11" s="37">
        <f>'Semana 31'!I14</f>
        <v/>
      </c>
      <c r="L11" s="37">
        <f>'Semana 32'!I14</f>
        <v/>
      </c>
      <c r="M11" s="37">
        <f>'Semana 33'!I14</f>
        <v/>
      </c>
      <c r="N11" s="37">
        <f>'Semana 34'!I14</f>
        <v/>
      </c>
      <c r="O11" s="37">
        <f>'Semana 35'!I14</f>
        <v/>
      </c>
      <c r="P11" s="44">
        <f>'Semana 36'!I14</f>
        <v/>
      </c>
      <c r="Q11" s="44">
        <f>'Semana 37'!I14</f>
        <v/>
      </c>
      <c r="R11" s="44">
        <f>SUM(D11:Q11)</f>
        <v/>
      </c>
    </row>
    <row r="12" ht="18.75" customHeight="1" s="46">
      <c r="A12" s="12" t="n">
        <v>7</v>
      </c>
      <c r="B12" s="12" t="inlineStr">
        <is>
          <t>BR-01</t>
        </is>
      </c>
      <c r="C12" s="13" t="inlineStr">
        <is>
          <t>BARREDORA INDUSTRIAL BROCE BROOM-350</t>
        </is>
      </c>
      <c r="D12" s="37">
        <f>'Semana 24'!I15</f>
        <v/>
      </c>
      <c r="E12" s="37">
        <f>'Semana 25'!I15</f>
        <v/>
      </c>
      <c r="F12" s="37">
        <f>'Semana 26'!I15</f>
        <v/>
      </c>
      <c r="G12" s="37">
        <f>'Semana 27'!I15</f>
        <v/>
      </c>
      <c r="H12" s="37">
        <f>'Semana 28'!I15</f>
        <v/>
      </c>
      <c r="I12" s="37">
        <f>'Semana 29'!I15</f>
        <v/>
      </c>
      <c r="J12" s="37">
        <f>'Semana 30'!I15</f>
        <v/>
      </c>
      <c r="K12" s="37">
        <f>'Semana 31'!I15</f>
        <v/>
      </c>
      <c r="L12" s="37">
        <f>'Semana 32'!I15</f>
        <v/>
      </c>
      <c r="M12" s="37">
        <f>'Semana 33'!I15</f>
        <v/>
      </c>
      <c r="N12" s="37">
        <f>'Semana 34'!I15</f>
        <v/>
      </c>
      <c r="O12" s="37">
        <f>'Semana 35'!I15</f>
        <v/>
      </c>
      <c r="P12" s="44">
        <f>'Semana 36'!I15</f>
        <v/>
      </c>
      <c r="Q12" s="44">
        <f>'Semana 37'!I15</f>
        <v/>
      </c>
      <c r="R12" s="44">
        <f>SUM(D12:Q12)</f>
        <v/>
      </c>
    </row>
    <row r="13" ht="18.75" customHeight="1" s="46">
      <c r="A13" s="12" t="n">
        <v>8</v>
      </c>
      <c r="B13" s="12" t="inlineStr">
        <is>
          <t>RT-05</t>
        </is>
      </c>
      <c r="C13" s="13" t="inlineStr">
        <is>
          <t>RETROEXCAVADORA JOHN DEERE 310SK</t>
        </is>
      </c>
      <c r="D13" s="37">
        <f>'Semana 24'!I16</f>
        <v/>
      </c>
      <c r="E13" s="37">
        <f>'Semana 25'!I16</f>
        <v/>
      </c>
      <c r="F13" s="37">
        <f>'Semana 26'!I16</f>
        <v/>
      </c>
      <c r="G13" s="37">
        <f>'Semana 27'!I16</f>
        <v/>
      </c>
      <c r="H13" s="37">
        <f>'Semana 28'!I16</f>
        <v/>
      </c>
      <c r="I13" s="37">
        <f>'Semana 29'!I16</f>
        <v/>
      </c>
      <c r="J13" s="37">
        <f>'Semana 30'!I16</f>
        <v/>
      </c>
      <c r="K13" s="37">
        <f>'Semana 31'!I16</f>
        <v/>
      </c>
      <c r="L13" s="37">
        <f>'Semana 32'!I16</f>
        <v/>
      </c>
      <c r="M13" s="37">
        <f>'Semana 33'!I16</f>
        <v/>
      </c>
      <c r="N13" s="37">
        <f>'Semana 34'!I16</f>
        <v/>
      </c>
      <c r="O13" s="37">
        <f>'Semana 35'!I16</f>
        <v/>
      </c>
      <c r="P13" s="44">
        <f>'Semana 36'!I16</f>
        <v/>
      </c>
      <c r="Q13" s="44">
        <f>'Semana 37'!I16</f>
        <v/>
      </c>
      <c r="R13" s="44">
        <f>SUM(D13:Q13)</f>
        <v/>
      </c>
    </row>
    <row r="14" ht="18.75" customHeight="1" s="46">
      <c r="A14" s="12" t="n">
        <v>9</v>
      </c>
      <c r="B14" s="12" t="inlineStr">
        <is>
          <t>PT-01</t>
        </is>
      </c>
      <c r="C14" s="13" t="inlineStr">
        <is>
          <t>PETROLIZADORA INTERNATIONAL / FORD F800</t>
        </is>
      </c>
      <c r="D14" s="37">
        <f>'Semana 24'!I17</f>
        <v/>
      </c>
      <c r="E14" s="37">
        <f>'Semana 25'!I17</f>
        <v/>
      </c>
      <c r="F14" s="37">
        <f>'Semana 26'!I17</f>
        <v/>
      </c>
      <c r="G14" s="37">
        <f>'Semana 27'!I17</f>
        <v/>
      </c>
      <c r="H14" s="37">
        <f>'Semana 28'!I17</f>
        <v/>
      </c>
      <c r="I14" s="37">
        <f>'Semana 29'!I17</f>
        <v/>
      </c>
      <c r="J14" s="37">
        <f>'Semana 30'!I17</f>
        <v/>
      </c>
      <c r="K14" s="37">
        <f>'Semana 31'!I17</f>
        <v/>
      </c>
      <c r="L14" s="37">
        <f>'Semana 32'!I17</f>
        <v/>
      </c>
      <c r="M14" s="37">
        <f>'Semana 33'!I17</f>
        <v/>
      </c>
      <c r="N14" s="37">
        <f>'Semana 34'!I17</f>
        <v/>
      </c>
      <c r="O14" s="37">
        <f>'Semana 35'!I17</f>
        <v/>
      </c>
      <c r="P14" s="44">
        <f>'Semana 36'!I17</f>
        <v/>
      </c>
      <c r="Q14" s="44">
        <f>'Semana 37'!I17</f>
        <v/>
      </c>
      <c r="R14" s="44">
        <f>SUM(D14:Q14)</f>
        <v/>
      </c>
    </row>
    <row r="15" ht="18.75" customHeight="1" s="46">
      <c r="A15" s="12" t="n">
        <v>10</v>
      </c>
      <c r="B15" s="12" t="inlineStr">
        <is>
          <t>CPR-01</t>
        </is>
      </c>
      <c r="C15" s="13" t="inlineStr">
        <is>
          <t>COMPRESOR DE AIRE INGERSOLL RAND IR185</t>
        </is>
      </c>
      <c r="D15" s="37">
        <f>'Semana 24'!I18</f>
        <v/>
      </c>
      <c r="E15" s="37">
        <f>'Semana 25'!I18</f>
        <v/>
      </c>
      <c r="F15" s="37">
        <f>'Semana 26'!I18</f>
        <v/>
      </c>
      <c r="G15" s="37">
        <f>'Semana 27'!I18</f>
        <v/>
      </c>
      <c r="H15" s="37">
        <f>'Semana 28'!I18</f>
        <v/>
      </c>
      <c r="I15" s="37">
        <f>'Semana 29'!I18</f>
        <v/>
      </c>
      <c r="J15" s="37">
        <f>'Semana 30'!I18</f>
        <v/>
      </c>
      <c r="K15" s="37">
        <f>'Semana 31'!I18</f>
        <v/>
      </c>
      <c r="L15" s="37">
        <f>'Semana 32'!I18</f>
        <v/>
      </c>
      <c r="M15" s="37">
        <f>'Semana 33'!I18</f>
        <v/>
      </c>
      <c r="N15" s="37">
        <f>'Semana 34'!I18</f>
        <v/>
      </c>
      <c r="O15" s="37">
        <f>'Semana 35'!I18</f>
        <v/>
      </c>
      <c r="P15" s="44">
        <f>'Semana 36'!I18</f>
        <v/>
      </c>
      <c r="Q15" s="44">
        <f>'Semana 37'!I18</f>
        <v/>
      </c>
      <c r="R15" s="44">
        <f>SUM(D15:Q15)</f>
        <v/>
      </c>
    </row>
    <row r="16" ht="18.75" customHeight="1" s="46">
      <c r="A16" s="12" t="n">
        <v>11</v>
      </c>
      <c r="B16" s="12" t="inlineStr">
        <is>
          <t>PP-01</t>
        </is>
      </c>
      <c r="C16" s="13" t="inlineStr">
        <is>
          <t>CAMIÓN IMPACTO / PIPA DE AGUA FORD</t>
        </is>
      </c>
      <c r="D16" s="37">
        <f>'Semana 24'!I19</f>
        <v/>
      </c>
      <c r="E16" s="37">
        <f>'Semana 25'!I19</f>
        <v/>
      </c>
      <c r="F16" s="37">
        <f>'Semana 26'!I19</f>
        <v/>
      </c>
      <c r="G16" s="37">
        <f>'Semana 27'!I19</f>
        <v/>
      </c>
      <c r="H16" s="37">
        <f>'Semana 28'!I19</f>
        <v/>
      </c>
      <c r="I16" s="37">
        <f>'Semana 29'!I19</f>
        <v/>
      </c>
      <c r="J16" s="37">
        <f>'Semana 30'!I19</f>
        <v/>
      </c>
      <c r="K16" s="37">
        <f>'Semana 31'!I19</f>
        <v/>
      </c>
      <c r="L16" s="37">
        <f>'Semana 32'!I19</f>
        <v/>
      </c>
      <c r="M16" s="37">
        <f>'Semana 33'!I19</f>
        <v/>
      </c>
      <c r="N16" s="37">
        <f>'Semana 34'!I19</f>
        <v/>
      </c>
      <c r="O16" s="37">
        <f>'Semana 35'!I19</f>
        <v/>
      </c>
      <c r="P16" s="44">
        <f>'Semana 36'!I19</f>
        <v/>
      </c>
      <c r="Q16" s="44">
        <f>'Semana 37'!I19</f>
        <v/>
      </c>
      <c r="R16" s="44">
        <f>SUM(D16:Q16)</f>
        <v/>
      </c>
    </row>
    <row r="17" ht="18.75" customHeight="1" s="46">
      <c r="A17" s="12" t="n">
        <v>12</v>
      </c>
      <c r="B17" s="12" t="inlineStr">
        <is>
          <t>TL-01</t>
        </is>
      </c>
      <c r="C17" s="13" t="inlineStr">
        <is>
          <t>TORRE DE LUZ MAXILIGHT 4X1000W</t>
        </is>
      </c>
      <c r="D17" s="37">
        <f>'Semana 24'!I20</f>
        <v/>
      </c>
      <c r="E17" s="37">
        <f>'Semana 25'!I20</f>
        <v/>
      </c>
      <c r="F17" s="37">
        <f>'Semana 26'!I20</f>
        <v/>
      </c>
      <c r="G17" s="37">
        <f>'Semana 27'!I20</f>
        <v/>
      </c>
      <c r="H17" s="37">
        <f>'Semana 28'!I20</f>
        <v/>
      </c>
      <c r="I17" s="37">
        <f>'Semana 29'!I20</f>
        <v/>
      </c>
      <c r="J17" s="37">
        <f>'Semana 30'!I20</f>
        <v/>
      </c>
      <c r="K17" s="37">
        <f>'Semana 31'!I20</f>
        <v/>
      </c>
      <c r="L17" s="37">
        <f>'Semana 32'!I20</f>
        <v/>
      </c>
      <c r="M17" s="37">
        <f>'Semana 33'!I20</f>
        <v/>
      </c>
      <c r="N17" s="37">
        <f>'Semana 34'!I20</f>
        <v/>
      </c>
      <c r="O17" s="37">
        <f>'Semana 35'!I20</f>
        <v/>
      </c>
      <c r="P17" s="44">
        <f>'Semana 36'!I20</f>
        <v/>
      </c>
      <c r="Q17" s="44">
        <f>'Semana 37'!I20</f>
        <v/>
      </c>
      <c r="R17" s="44">
        <f>SUM(D17:Q17)</f>
        <v/>
      </c>
    </row>
    <row r="18" ht="18.75" customHeight="1" s="46">
      <c r="A18" s="12" t="n">
        <v>13</v>
      </c>
      <c r="B18" s="12" t="inlineStr">
        <is>
          <t>APOYO</t>
        </is>
      </c>
      <c r="C18" s="13" t="inlineStr">
        <is>
          <t>Equipos de Apoyo / Bidones / Ajustes</t>
        </is>
      </c>
      <c r="D18" s="37" t="n">
        <v>392</v>
      </c>
      <c r="E18" s="37" t="n">
        <v>80</v>
      </c>
      <c r="F18" s="37" t="n">
        <v>-287</v>
      </c>
      <c r="G18" s="37" t="n">
        <v>1149</v>
      </c>
      <c r="H18" s="37" t="n">
        <v>1828</v>
      </c>
      <c r="I18" s="37" t="n">
        <v>325.77</v>
      </c>
      <c r="J18" s="37" t="n">
        <v>989.1799999999999</v>
      </c>
      <c r="K18" s="37" t="n">
        <v>3.71</v>
      </c>
      <c r="L18" s="37" t="n">
        <v>338</v>
      </c>
      <c r="M18" s="37" t="n">
        <v>0</v>
      </c>
      <c r="N18" s="37" t="n">
        <v>-141</v>
      </c>
      <c r="O18" s="37">
        <f>SUM(O6:O17)</f>
        <v/>
      </c>
      <c r="P18" s="44">
        <f>SUM(P6:P17)</f>
        <v/>
      </c>
      <c r="Q18" s="44">
        <f>SUM(Q6:Q17)</f>
        <v/>
      </c>
      <c r="R18" s="44">
        <f>SUM(R6:R17)</f>
        <v/>
      </c>
    </row>
    <row r="19" ht="21.75" customHeight="1" s="46">
      <c r="A19" s="30" t="inlineStr">
        <is>
          <t>TOTAL CONSUMO DIÉSEL OBRA (L)</t>
        </is>
      </c>
      <c r="B19" s="50" t="n"/>
      <c r="C19" s="51" t="n"/>
      <c r="D19" s="27">
        <f>SUM(D6:D18)</f>
        <v/>
      </c>
      <c r="E19" s="27">
        <f>SUM(E6:E18)</f>
        <v/>
      </c>
      <c r="F19" s="27">
        <f>SUM(F6:F18)</f>
        <v/>
      </c>
      <c r="G19" s="27">
        <f>SUM(G6:G18)</f>
        <v/>
      </c>
      <c r="H19" s="27">
        <f>SUM(H6:H18)</f>
        <v/>
      </c>
      <c r="I19" s="27">
        <f>SUM(I6:I18)</f>
        <v/>
      </c>
      <c r="J19" s="27">
        <f>SUM(J6:J18)</f>
        <v/>
      </c>
      <c r="K19" s="27">
        <f>SUM(K6:K18)</f>
        <v/>
      </c>
      <c r="L19" s="27">
        <f>SUM(L6:L18)</f>
        <v/>
      </c>
      <c r="M19" s="27">
        <f>SUM(M6:M18)</f>
        <v/>
      </c>
      <c r="N19" s="27">
        <f>SUM(N6:N18)</f>
        <v/>
      </c>
      <c r="O19" s="27">
        <f>SUM(O6:O18)</f>
        <v/>
      </c>
    </row>
    <row r="21" ht="15.75" customHeight="1" s="46"/>
    <row r="22" ht="15.75" customHeight="1" s="46">
      <c r="A22" s="98" t="inlineStr">
        <is>
          <t>MATRIZ 2: EVOLUCIÓN SEMANAL DE PRODUCCIÓN EN CAMPO (SEM 24 A 34)</t>
        </is>
      </c>
    </row>
    <row r="23" ht="24" customHeight="1" s="46">
      <c r="A23" s="10" t="n"/>
      <c r="B23" s="10" t="inlineStr">
        <is>
          <t>Concepto de Producción</t>
        </is>
      </c>
      <c r="C23" s="10" t="inlineStr">
        <is>
          <t>Unidad</t>
        </is>
      </c>
      <c r="D23" s="10" t="inlineStr">
        <is>
          <t>Sem 24</t>
        </is>
      </c>
      <c r="E23" s="10" t="inlineStr">
        <is>
          <t>Sem 25</t>
        </is>
      </c>
      <c r="F23" s="10" t="inlineStr">
        <is>
          <t>Sem 26</t>
        </is>
      </c>
      <c r="G23" s="10" t="inlineStr">
        <is>
          <t>Sem 27</t>
        </is>
      </c>
      <c r="H23" s="10" t="inlineStr">
        <is>
          <t>Sem 28</t>
        </is>
      </c>
      <c r="I23" s="10" t="inlineStr">
        <is>
          <t>Sem 29</t>
        </is>
      </c>
      <c r="J23" s="10" t="inlineStr">
        <is>
          <t>Sem 30</t>
        </is>
      </c>
      <c r="K23" s="10" t="inlineStr">
        <is>
          <t>Sem 31</t>
        </is>
      </c>
      <c r="L23" s="10" t="inlineStr">
        <is>
          <t>Sem 32</t>
        </is>
      </c>
      <c r="M23" s="10" t="inlineStr">
        <is>
          <t>Sem 33</t>
        </is>
      </c>
      <c r="N23" s="10" t="inlineStr">
        <is>
          <t>Sem 34</t>
        </is>
      </c>
      <c r="O23" s="10" t="inlineStr">
        <is>
          <t>Total Acumulado</t>
        </is>
      </c>
    </row>
    <row r="24" ht="18.75" customHeight="1" s="46">
      <c r="A24" s="45" t="n"/>
      <c r="B24" s="13" t="inlineStr">
        <is>
          <t>Fresado de Pavimento (Volumen)</t>
        </is>
      </c>
      <c r="C24" s="12" t="inlineStr">
        <is>
          <t>m³</t>
        </is>
      </c>
      <c r="D24" s="37">
        <f>'Semana 24'!E5</f>
        <v/>
      </c>
      <c r="E24" s="37">
        <f>'Semana 25'!E5</f>
        <v/>
      </c>
      <c r="F24" s="37">
        <f>'Semana 26'!E5</f>
        <v/>
      </c>
      <c r="G24" s="37">
        <f>'Semana 27'!E5</f>
        <v/>
      </c>
      <c r="H24" s="37">
        <f>'Semana 28'!E5</f>
        <v/>
      </c>
      <c r="I24" s="37">
        <f>'Semana 29'!E5</f>
        <v/>
      </c>
      <c r="J24" s="37">
        <f>'Semana 30'!E5</f>
        <v/>
      </c>
      <c r="K24" s="37">
        <f>'Semana 31'!E5</f>
        <v/>
      </c>
      <c r="L24" s="37">
        <f>'Semana 32'!E5</f>
        <v/>
      </c>
      <c r="M24" s="37">
        <f>'Semana 33'!E5</f>
        <v/>
      </c>
      <c r="N24" s="37">
        <f>'Semana 34'!E5</f>
        <v/>
      </c>
      <c r="O24" s="37">
        <f>SUM(D24:N24)</f>
        <v/>
      </c>
    </row>
    <row r="25" ht="18.75" customHeight="1" s="46">
      <c r="A25" s="45" t="n"/>
      <c r="B25" s="13" t="inlineStr">
        <is>
          <t>Fresado de Pavimento (Peso)</t>
        </is>
      </c>
      <c r="C25" s="12" t="inlineStr">
        <is>
          <t>Ton</t>
        </is>
      </c>
      <c r="D25" s="16">
        <f>'Semana 24'!E5*'Semana 24'!$E$4</f>
        <v/>
      </c>
      <c r="E25" s="16">
        <f>'Semana 25'!E5*'Semana 25'!$E$4</f>
        <v/>
      </c>
      <c r="F25" s="16">
        <f>'Semana 26'!E5*'Semana 26'!$E$4</f>
        <v/>
      </c>
      <c r="G25" s="16">
        <f>'Semana 27'!E5*'Semana 27'!$E$4</f>
        <v/>
      </c>
      <c r="H25" s="16">
        <f>'Semana 28'!E5*'Semana 28'!$E$4</f>
        <v/>
      </c>
      <c r="I25" s="16">
        <f>'Semana 29'!E5*'Semana 29'!$E$4</f>
        <v/>
      </c>
      <c r="J25" s="16">
        <f>'Semana 30'!E5*'Semana 30'!$E$4</f>
        <v/>
      </c>
      <c r="K25" s="16">
        <f>'Semana 31'!E5*'Semana 31'!$E$4</f>
        <v/>
      </c>
      <c r="L25" s="16">
        <f>'Semana 32'!E5*'Semana 32'!$E$4</f>
        <v/>
      </c>
      <c r="M25" s="16">
        <f>'Semana 33'!E5*'Semana 33'!$E$4</f>
        <v/>
      </c>
      <c r="N25" s="16">
        <f>'Semana 34'!E5*'Semana 34'!$E$4</f>
        <v/>
      </c>
      <c r="O25" s="16">
        <f>SUM(D25:N25)</f>
        <v/>
      </c>
    </row>
    <row r="26" ht="18.75" customHeight="1" s="46">
      <c r="A26" s="45" t="n"/>
      <c r="B26" s="13" t="inlineStr">
        <is>
          <t>Fresado de Pavimento (Viajes)</t>
        </is>
      </c>
      <c r="C26" s="12" t="inlineStr">
        <is>
          <t>Viajes</t>
        </is>
      </c>
      <c r="D26" s="14">
        <f>'Semana 24'!C5</f>
        <v/>
      </c>
      <c r="E26" s="14">
        <f>'Semana 25'!C5</f>
        <v/>
      </c>
      <c r="F26" s="14">
        <f>'Semana 26'!C5</f>
        <v/>
      </c>
      <c r="G26" s="14">
        <f>'Semana 27'!C5</f>
        <v/>
      </c>
      <c r="H26" s="14">
        <f>'Semana 28'!C5</f>
        <v/>
      </c>
      <c r="I26" s="14">
        <f>'Semana 29'!C5</f>
        <v/>
      </c>
      <c r="J26" s="14">
        <f>'Semana 30'!C5</f>
        <v/>
      </c>
      <c r="K26" s="14">
        <f>'Semana 31'!C5</f>
        <v/>
      </c>
      <c r="L26" s="14">
        <f>'Semana 32'!C5</f>
        <v/>
      </c>
      <c r="M26" s="14">
        <f>'Semana 33'!C5</f>
        <v/>
      </c>
      <c r="N26" s="14">
        <f>'Semana 34'!C5</f>
        <v/>
      </c>
      <c r="O26" s="14">
        <f>SUM(D26:N26)</f>
        <v/>
      </c>
    </row>
    <row r="27" ht="18.75" customHeight="1" s="46">
      <c r="A27" s="45" t="n"/>
      <c r="B27" s="13" t="inlineStr">
        <is>
          <t>Carpeta Asfáltica (Volumen)</t>
        </is>
      </c>
      <c r="C27" s="12" t="inlineStr">
        <is>
          <t>m³</t>
        </is>
      </c>
      <c r="D27" s="37">
        <f>'Semana 24'!E6</f>
        <v/>
      </c>
      <c r="E27" s="37">
        <f>'Semana 25'!E6</f>
        <v/>
      </c>
      <c r="F27" s="37">
        <f>'Semana 26'!E6</f>
        <v/>
      </c>
      <c r="G27" s="37">
        <f>'Semana 27'!E6</f>
        <v/>
      </c>
      <c r="H27" s="37">
        <f>'Semana 28'!E6</f>
        <v/>
      </c>
      <c r="I27" s="37">
        <f>'Semana 29'!E6</f>
        <v/>
      </c>
      <c r="J27" s="37">
        <f>'Semana 30'!E6</f>
        <v/>
      </c>
      <c r="K27" s="37">
        <f>'Semana 31'!E6</f>
        <v/>
      </c>
      <c r="L27" s="37">
        <f>'Semana 32'!E6</f>
        <v/>
      </c>
      <c r="M27" s="37">
        <f>'Semana 33'!E6</f>
        <v/>
      </c>
      <c r="N27" s="37">
        <f>'Semana 34'!E6</f>
        <v/>
      </c>
      <c r="O27" s="37">
        <f>SUM(D27:N27)</f>
        <v/>
      </c>
    </row>
    <row r="28" ht="18.75" customHeight="1" s="46">
      <c r="A28" s="45" t="n"/>
      <c r="B28" s="13" t="inlineStr">
        <is>
          <t>Carpeta Asfáltica (Peso)</t>
        </is>
      </c>
      <c r="C28" s="12" t="inlineStr">
        <is>
          <t>Ton</t>
        </is>
      </c>
      <c r="D28" s="16">
        <f>'Semana 24'!G6</f>
        <v/>
      </c>
      <c r="E28" s="16">
        <f>'Semana 25'!G6</f>
        <v/>
      </c>
      <c r="F28" s="16">
        <f>'Semana 26'!G6</f>
        <v/>
      </c>
      <c r="G28" s="16">
        <f>'Semana 27'!G6</f>
        <v/>
      </c>
      <c r="H28" s="16">
        <f>'Semana 28'!G6</f>
        <v/>
      </c>
      <c r="I28" s="16">
        <f>'Semana 29'!G6</f>
        <v/>
      </c>
      <c r="J28" s="16">
        <f>'Semana 30'!G6</f>
        <v/>
      </c>
      <c r="K28" s="16">
        <f>'Semana 31'!G6</f>
        <v/>
      </c>
      <c r="L28" s="16">
        <f>'Semana 32'!G6</f>
        <v/>
      </c>
      <c r="M28" s="16">
        <f>'Semana 33'!G6</f>
        <v/>
      </c>
      <c r="N28" s="16">
        <f>'Semana 34'!G6</f>
        <v/>
      </c>
      <c r="O28" s="16">
        <f>SUM(D28:N28)</f>
        <v/>
      </c>
    </row>
    <row r="29" ht="18.75" customHeight="1" s="46">
      <c r="A29" s="45" t="n"/>
      <c r="B29" s="13" t="inlineStr">
        <is>
          <t>Carpeta Asfáltica (Viajes Mezcla)</t>
        </is>
      </c>
      <c r="C29" s="12" t="inlineStr">
        <is>
          <t>Viajes</t>
        </is>
      </c>
      <c r="D29" s="14">
        <f>'Semana 24'!C6</f>
        <v/>
      </c>
      <c r="E29" s="14">
        <f>'Semana 25'!C6</f>
        <v/>
      </c>
      <c r="F29" s="14">
        <f>'Semana 26'!C6</f>
        <v/>
      </c>
      <c r="G29" s="14">
        <f>'Semana 27'!C6</f>
        <v/>
      </c>
      <c r="H29" s="14">
        <f>'Semana 28'!C6</f>
        <v/>
      </c>
      <c r="I29" s="14">
        <f>'Semana 29'!C6</f>
        <v/>
      </c>
      <c r="J29" s="14">
        <f>'Semana 30'!C6</f>
        <v/>
      </c>
      <c r="K29" s="14">
        <f>'Semana 31'!C6</f>
        <v/>
      </c>
      <c r="L29" s="14">
        <f>'Semana 32'!C6</f>
        <v/>
      </c>
      <c r="M29" s="14">
        <f>'Semana 33'!C6</f>
        <v/>
      </c>
      <c r="N29" s="14">
        <f>'Semana 34'!C6</f>
        <v/>
      </c>
      <c r="O29" s="14">
        <f>SUM(D29:N29)</f>
        <v/>
      </c>
    </row>
    <row r="30" ht="15.75" customHeight="1" s="46"/>
    <row r="31" ht="15.75" customHeight="1" s="46"/>
    <row r="32" ht="15.75" customHeight="1" s="46"/>
    <row r="33" ht="15.75" customHeight="1" s="46"/>
    <row r="34" ht="15.75" customHeight="1" s="46"/>
    <row r="35" ht="15.75" customHeight="1" s="46"/>
    <row r="36" ht="15.75" customHeight="1" s="46"/>
    <row r="37" ht="15.75" customHeight="1" s="46"/>
    <row r="38" ht="15.75" customHeight="1" s="46"/>
    <row r="39" ht="15.75" customHeight="1" s="46"/>
    <row r="40" ht="15.75" customHeight="1" s="46"/>
    <row r="41" ht="15.75" customHeight="1" s="46"/>
    <row r="42" ht="15.75" customHeight="1" s="46"/>
    <row r="43" ht="15.75" customHeight="1" s="46"/>
    <row r="44" ht="15.75" customHeight="1" s="46"/>
    <row r="45" ht="15.75" customHeight="1" s="46"/>
    <row r="46" ht="15.75" customHeight="1" s="46"/>
    <row r="47" ht="15.75" customHeight="1" s="46"/>
    <row r="48" ht="15.75" customHeight="1" s="46"/>
    <row r="49" ht="15.75" customHeight="1" s="46"/>
    <row r="50" ht="15.75" customHeight="1" s="46"/>
    <row r="51" ht="15.75" customHeight="1" s="46"/>
    <row r="52" ht="15.75" customHeight="1" s="46"/>
    <row r="53" ht="15.75" customHeight="1" s="46"/>
    <row r="54" ht="15.75" customHeight="1" s="46"/>
    <row r="55" ht="15.75" customHeight="1" s="46"/>
    <row r="56" ht="15.75" customHeight="1" s="46"/>
    <row r="57" ht="15.75" customHeight="1" s="46"/>
    <row r="58" ht="15.75" customHeight="1" s="46"/>
    <row r="59" ht="15.75" customHeight="1" s="46"/>
    <row r="60" ht="15.75" customHeight="1" s="46"/>
    <row r="61" ht="15.75" customHeight="1" s="46"/>
    <row r="62" ht="15.75" customHeight="1" s="46"/>
    <row r="63" ht="15.75" customHeight="1" s="46"/>
    <row r="64" ht="15.75" customHeight="1" s="46"/>
    <row r="65" ht="15.75" customHeight="1" s="46"/>
    <row r="66" ht="15.75" customHeight="1" s="46"/>
    <row r="67" ht="15.75" customHeight="1" s="46"/>
    <row r="68" ht="15.75" customHeight="1" s="46"/>
    <row r="69" ht="15.75" customHeight="1" s="46"/>
    <row r="70" ht="15.75" customHeight="1" s="46"/>
    <row r="71" ht="15.75" customHeight="1" s="46"/>
    <row r="72" ht="15.75" customHeight="1" s="46"/>
    <row r="73" ht="15.75" customHeight="1" s="46"/>
    <row r="74" ht="15.75" customHeight="1" s="46"/>
    <row r="75" ht="15.75" customHeight="1" s="46"/>
    <row r="76" ht="15.75" customHeight="1" s="46"/>
    <row r="77" ht="15.75" customHeight="1" s="46"/>
    <row r="78" ht="15.75" customHeight="1" s="46"/>
    <row r="79" ht="15.75" customHeight="1" s="46"/>
    <row r="80" ht="15.75" customHeight="1" s="46"/>
    <row r="81" ht="15.75" customHeight="1" s="46"/>
    <row r="82" ht="15.75" customHeight="1" s="46"/>
    <row r="83" ht="15.75" customHeight="1" s="46"/>
    <row r="84" ht="15.75" customHeight="1" s="46"/>
    <row r="85" ht="15.75" customHeight="1" s="46"/>
    <row r="86" ht="15.75" customHeight="1" s="46"/>
    <row r="87" ht="15.75" customHeight="1" s="46"/>
    <row r="88" ht="15.75" customHeight="1" s="46"/>
    <row r="89" ht="15.75" customHeight="1" s="46"/>
    <row r="90" ht="15.75" customHeight="1" s="46"/>
    <row r="91" ht="15.75" customHeight="1" s="46"/>
    <row r="92" ht="15.75" customHeight="1" s="46"/>
    <row r="93" ht="15.75" customHeight="1" s="46"/>
    <row r="94" ht="15.75" customHeight="1" s="46"/>
    <row r="95" ht="15.75" customHeight="1" s="46"/>
    <row r="96" ht="15.75" customHeight="1" s="46"/>
    <row r="97" ht="15.75" customHeight="1" s="46"/>
    <row r="98" ht="15.75" customHeight="1" s="46"/>
    <row r="99" ht="15.75" customHeight="1" s="46"/>
    <row r="100" ht="15.75" customHeight="1" s="46"/>
    <row r="101" ht="15.75" customHeight="1" s="46"/>
    <row r="102" ht="15.75" customHeight="1" s="46"/>
    <row r="103" ht="15.75" customHeight="1" s="46"/>
    <row r="104" ht="15.75" customHeight="1" s="46"/>
    <row r="105" ht="15.75" customHeight="1" s="46"/>
    <row r="106" ht="15.75" customHeight="1" s="46"/>
    <row r="107" ht="15.75" customHeight="1" s="46"/>
    <row r="108" ht="15.75" customHeight="1" s="46"/>
    <row r="109" ht="15.75" customHeight="1" s="46"/>
    <row r="110" ht="15.75" customHeight="1" s="46"/>
    <row r="111" ht="15.75" customHeight="1" s="46"/>
    <row r="112" ht="15.75" customHeight="1" s="46"/>
    <row r="113" ht="15.75" customHeight="1" s="46"/>
    <row r="114" ht="15.75" customHeight="1" s="46"/>
    <row r="115" ht="15.75" customHeight="1" s="46"/>
    <row r="116" ht="15.75" customHeight="1" s="46"/>
    <row r="117" ht="15.75" customHeight="1" s="46"/>
    <row r="118" ht="15.75" customHeight="1" s="46"/>
    <row r="119" ht="15.75" customHeight="1" s="46"/>
    <row r="120" ht="15.75" customHeight="1" s="46"/>
    <row r="121" ht="15.75" customHeight="1" s="46"/>
    <row r="122" ht="15.75" customHeight="1" s="46"/>
    <row r="123" ht="15.75" customHeight="1" s="46"/>
    <row r="124" ht="15.75" customHeight="1" s="46"/>
    <row r="125" ht="15.75" customHeight="1" s="46"/>
    <row r="126" ht="15.75" customHeight="1" s="46"/>
    <row r="127" ht="15.75" customHeight="1" s="46"/>
    <row r="128" ht="15.75" customHeight="1" s="46"/>
    <row r="129" ht="15.75" customHeight="1" s="46"/>
    <row r="130" ht="15.75" customHeight="1" s="46"/>
    <row r="131" ht="15.75" customHeight="1" s="46"/>
    <row r="132" ht="15.75" customHeight="1" s="46"/>
    <row r="133" ht="15.75" customHeight="1" s="46"/>
    <row r="134" ht="15.75" customHeight="1" s="46"/>
    <row r="135" ht="15.75" customHeight="1" s="46"/>
    <row r="136" ht="15.75" customHeight="1" s="46"/>
    <row r="137" ht="15.75" customHeight="1" s="46"/>
    <row r="138" ht="15.75" customHeight="1" s="46"/>
    <row r="139" ht="15.75" customHeight="1" s="46"/>
    <row r="140" ht="15.75" customHeight="1" s="46"/>
    <row r="141" ht="15.75" customHeight="1" s="46"/>
    <row r="142" ht="15.75" customHeight="1" s="46"/>
    <row r="143" ht="15.75" customHeight="1" s="46"/>
    <row r="144" ht="15.75" customHeight="1" s="46"/>
    <row r="145" ht="15.75" customHeight="1" s="46"/>
    <row r="146" ht="15.75" customHeight="1" s="46"/>
    <row r="147" ht="15.75" customHeight="1" s="46"/>
    <row r="148" ht="15.75" customHeight="1" s="46"/>
    <row r="149" ht="15.75" customHeight="1" s="46"/>
    <row r="150" ht="15.75" customHeight="1" s="46"/>
    <row r="151" ht="15.75" customHeight="1" s="46"/>
    <row r="152" ht="15.75" customHeight="1" s="46"/>
    <row r="153" ht="15.75" customHeight="1" s="46"/>
    <row r="154" ht="15.75" customHeight="1" s="46"/>
    <row r="155" ht="15.75" customHeight="1" s="46"/>
    <row r="156" ht="15.75" customHeight="1" s="46"/>
    <row r="157" ht="15.75" customHeight="1" s="46"/>
    <row r="158" ht="15.75" customHeight="1" s="46"/>
    <row r="159" ht="15.75" customHeight="1" s="46"/>
    <row r="160" ht="15.75" customHeight="1" s="46"/>
    <row r="161" ht="15.75" customHeight="1" s="46"/>
    <row r="162" ht="15.75" customHeight="1" s="46"/>
    <row r="163" ht="15.75" customHeight="1" s="46"/>
    <row r="164" ht="15.75" customHeight="1" s="46"/>
    <row r="165" ht="15.75" customHeight="1" s="46"/>
    <row r="166" ht="15.75" customHeight="1" s="46"/>
    <row r="167" ht="15.75" customHeight="1" s="46"/>
    <row r="168" ht="15.75" customHeight="1" s="46"/>
    <row r="169" ht="15.75" customHeight="1" s="46"/>
    <row r="170" ht="15.75" customHeight="1" s="46"/>
    <row r="171" ht="15.75" customHeight="1" s="46"/>
    <row r="172" ht="15.75" customHeight="1" s="46"/>
    <row r="173" ht="15.75" customHeight="1" s="46"/>
    <row r="174" ht="15.75" customHeight="1" s="46"/>
    <row r="175" ht="15.75" customHeight="1" s="46"/>
    <row r="176" ht="15.75" customHeight="1" s="46"/>
    <row r="177" ht="15.75" customHeight="1" s="46"/>
    <row r="178" ht="15.75" customHeight="1" s="46"/>
    <row r="179" ht="15.75" customHeight="1" s="46"/>
    <row r="180" ht="15.75" customHeight="1" s="46"/>
    <row r="181" ht="15.75" customHeight="1" s="46"/>
    <row r="182" ht="15.75" customHeight="1" s="46"/>
    <row r="183" ht="15.75" customHeight="1" s="46"/>
    <row r="184" ht="15.75" customHeight="1" s="46"/>
    <row r="185" ht="15.75" customHeight="1" s="46"/>
    <row r="186" ht="15.75" customHeight="1" s="46"/>
    <row r="187" ht="15.75" customHeight="1" s="46"/>
    <row r="188" ht="15.75" customHeight="1" s="46"/>
    <row r="189" ht="15.75" customHeight="1" s="46"/>
    <row r="190" ht="15.75" customHeight="1" s="46"/>
    <row r="191" ht="15.75" customHeight="1" s="46"/>
    <row r="192" ht="15.75" customHeight="1" s="46"/>
    <row r="193" ht="15.75" customHeight="1" s="46"/>
    <row r="194" ht="15.75" customHeight="1" s="46"/>
    <row r="195" ht="15.75" customHeight="1" s="46"/>
    <row r="196" ht="15.75" customHeight="1" s="46"/>
    <row r="197" ht="15.75" customHeight="1" s="46"/>
    <row r="198" ht="15.75" customHeight="1" s="46"/>
    <row r="199" ht="15.75" customHeight="1" s="46"/>
    <row r="200" ht="15.75" customHeight="1" s="46"/>
    <row r="201" ht="15.75" customHeight="1" s="46"/>
    <row r="202" ht="15.75" customHeight="1" s="46"/>
    <row r="203" ht="15.75" customHeight="1" s="46"/>
    <row r="204" ht="15.75" customHeight="1" s="46"/>
    <row r="205" ht="15.75" customHeight="1" s="46"/>
    <row r="206" ht="15.75" customHeight="1" s="46"/>
    <row r="207" ht="15.75" customHeight="1" s="46"/>
    <row r="208" ht="15.75" customHeight="1" s="46"/>
    <row r="209" ht="15.75" customHeight="1" s="46"/>
    <row r="210" ht="15.75" customHeight="1" s="46"/>
    <row r="211" ht="15.75" customHeight="1" s="46"/>
    <row r="212" ht="15.75" customHeight="1" s="46"/>
    <row r="213" ht="15.75" customHeight="1" s="46"/>
    <row r="214" ht="15.75" customHeight="1" s="46"/>
    <row r="215" ht="15.75" customHeight="1" s="46"/>
    <row r="216" ht="15.75" customHeight="1" s="46"/>
    <row r="217" ht="15.75" customHeight="1" s="46"/>
    <row r="218" ht="15.75" customHeight="1" s="46"/>
    <row r="219" ht="15.75" customHeight="1" s="46"/>
    <row r="220" ht="15.75" customHeight="1" s="46"/>
    <row r="221" ht="15.75" customHeight="1" s="46"/>
    <row r="222" ht="15.75" customHeight="1" s="46"/>
    <row r="223" ht="15.75" customHeight="1" s="46"/>
    <row r="224" ht="15.75" customHeight="1" s="46"/>
    <row r="225" ht="15.75" customHeight="1" s="46"/>
    <row r="226" ht="15.75" customHeight="1" s="46"/>
    <row r="227" ht="15.75" customHeight="1" s="46"/>
    <row r="228" ht="15.75" customHeight="1" s="46"/>
    <row r="229" ht="15.75" customHeight="1" s="46"/>
    <row r="230" ht="15.75" customHeight="1" s="46"/>
    <row r="231" ht="15.75" customHeight="1" s="46"/>
    <row r="232" ht="15.75" customHeight="1" s="46"/>
    <row r="233" ht="15.75" customHeight="1" s="46"/>
    <row r="234" ht="15.75" customHeight="1" s="46"/>
    <row r="235" ht="15.75" customHeight="1" s="46"/>
    <row r="236" ht="15.75" customHeight="1" s="46"/>
    <row r="237" ht="15.75" customHeight="1" s="46"/>
    <row r="238" ht="15.75" customHeight="1" s="46"/>
    <row r="239" ht="15.75" customHeight="1" s="46"/>
    <row r="240" ht="15.75" customHeight="1" s="46"/>
    <row r="241" ht="15.75" customHeight="1" s="46"/>
    <row r="242" ht="15.75" customHeight="1" s="46"/>
    <row r="243" ht="15.75" customHeight="1" s="46"/>
    <row r="244" ht="15.75" customHeight="1" s="46"/>
    <row r="245" ht="15.75" customHeight="1" s="46"/>
    <row r="246" ht="15.75" customHeight="1" s="46"/>
    <row r="247" ht="15.75" customHeight="1" s="46"/>
    <row r="248" ht="15.75" customHeight="1" s="46"/>
    <row r="249" ht="15.75" customHeight="1" s="46"/>
    <row r="250" ht="15.75" customHeight="1" s="46"/>
    <row r="251" ht="15.75" customHeight="1" s="46"/>
    <row r="252" ht="15.75" customHeight="1" s="46"/>
    <row r="253" ht="15.75" customHeight="1" s="46"/>
    <row r="254" ht="15.75" customHeight="1" s="46"/>
    <row r="255" ht="15.75" customHeight="1" s="46"/>
    <row r="256" ht="15.75" customHeight="1" s="46"/>
    <row r="257" ht="15.75" customHeight="1" s="46"/>
    <row r="258" ht="15.75" customHeight="1" s="46"/>
    <row r="259" ht="15.75" customHeight="1" s="46"/>
    <row r="260" ht="15.75" customHeight="1" s="46"/>
    <row r="261" ht="15.75" customHeight="1" s="46"/>
    <row r="262" ht="15.75" customHeight="1" s="46"/>
    <row r="263" ht="15.75" customHeight="1" s="46"/>
    <row r="264" ht="15.75" customHeight="1" s="46"/>
    <row r="265" ht="15.75" customHeight="1" s="46"/>
    <row r="266" ht="15.75" customHeight="1" s="46"/>
    <row r="267" ht="15.75" customHeight="1" s="46"/>
    <row r="268" ht="15.75" customHeight="1" s="46"/>
    <row r="269" ht="15.75" customHeight="1" s="46"/>
    <row r="270" ht="15.75" customHeight="1" s="46"/>
    <row r="271" ht="15.75" customHeight="1" s="46"/>
    <row r="272" ht="15.75" customHeight="1" s="46"/>
    <row r="273" ht="15.75" customHeight="1" s="46"/>
    <row r="274" ht="15.75" customHeight="1" s="46"/>
    <row r="275" ht="15.75" customHeight="1" s="46"/>
    <row r="276" ht="15.75" customHeight="1" s="46"/>
    <row r="277" ht="15.75" customHeight="1" s="46"/>
    <row r="278" ht="15.75" customHeight="1" s="46"/>
    <row r="279" ht="15.75" customHeight="1" s="46"/>
    <row r="280" ht="15.75" customHeight="1" s="46"/>
    <row r="281" ht="15.75" customHeight="1" s="46"/>
    <row r="282" ht="15.75" customHeight="1" s="46"/>
    <row r="283" ht="15.75" customHeight="1" s="46"/>
    <row r="284" ht="15.75" customHeight="1" s="46"/>
    <row r="285" ht="15.75" customHeight="1" s="46"/>
    <row r="286" ht="15.75" customHeight="1" s="46"/>
    <row r="287" ht="15.75" customHeight="1" s="46"/>
    <row r="288" ht="15.75" customHeight="1" s="46"/>
    <row r="289" ht="15.75" customHeight="1" s="46"/>
    <row r="290" ht="15.75" customHeight="1" s="46"/>
    <row r="291" ht="15.75" customHeight="1" s="46"/>
    <row r="292" ht="15.75" customHeight="1" s="46"/>
    <row r="293" ht="15.75" customHeight="1" s="46"/>
    <row r="294" ht="15.75" customHeight="1" s="46"/>
    <row r="295" ht="15.75" customHeight="1" s="46"/>
    <row r="296" ht="15.75" customHeight="1" s="46"/>
    <row r="297" ht="15.75" customHeight="1" s="46"/>
    <row r="298" ht="15.75" customHeight="1" s="46"/>
    <row r="299" ht="15.75" customHeight="1" s="46"/>
    <row r="300" ht="15.75" customHeight="1" s="46"/>
    <row r="301" ht="15.75" customHeight="1" s="46"/>
    <row r="302" ht="15.75" customHeight="1" s="46"/>
    <row r="303" ht="15.75" customHeight="1" s="46"/>
    <row r="304" ht="15.75" customHeight="1" s="46"/>
    <row r="305" ht="15.75" customHeight="1" s="46"/>
    <row r="306" ht="15.75" customHeight="1" s="46"/>
    <row r="307" ht="15.75" customHeight="1" s="46"/>
    <row r="308" ht="15.75" customHeight="1" s="46"/>
    <row r="309" ht="15.75" customHeight="1" s="46"/>
    <row r="310" ht="15.75" customHeight="1" s="46"/>
    <row r="311" ht="15.75" customHeight="1" s="46"/>
    <row r="312" ht="15.75" customHeight="1" s="46"/>
    <row r="313" ht="15.75" customHeight="1" s="46"/>
    <row r="314" ht="15.75" customHeight="1" s="46"/>
    <row r="315" ht="15.75" customHeight="1" s="46"/>
    <row r="316" ht="15.75" customHeight="1" s="46"/>
    <row r="317" ht="15.75" customHeight="1" s="46"/>
    <row r="318" ht="15.75" customHeight="1" s="46"/>
    <row r="319" ht="15.75" customHeight="1" s="46"/>
    <row r="320" ht="15.75" customHeight="1" s="46"/>
    <row r="321" ht="15.75" customHeight="1" s="46"/>
    <row r="322" ht="15.75" customHeight="1" s="46"/>
    <row r="323" ht="15.75" customHeight="1" s="46"/>
    <row r="324" ht="15.75" customHeight="1" s="46"/>
    <row r="325" ht="15.75" customHeight="1" s="46"/>
    <row r="326" ht="15.75" customHeight="1" s="46"/>
    <row r="327" ht="15.75" customHeight="1" s="46"/>
    <row r="328" ht="15.75" customHeight="1" s="46"/>
    <row r="329" ht="15.75" customHeight="1" s="46"/>
    <row r="330" ht="15.75" customHeight="1" s="46"/>
    <row r="331" ht="15.75" customHeight="1" s="46"/>
    <row r="332" ht="15.75" customHeight="1" s="46"/>
    <row r="333" ht="15.75" customHeight="1" s="46"/>
    <row r="334" ht="15.75" customHeight="1" s="46"/>
    <row r="335" ht="15.75" customHeight="1" s="46"/>
    <row r="336" ht="15.75" customHeight="1" s="46"/>
    <row r="337" ht="15.75" customHeight="1" s="46"/>
    <row r="338" ht="15.75" customHeight="1" s="46"/>
    <row r="339" ht="15.75" customHeight="1" s="46"/>
    <row r="340" ht="15.75" customHeight="1" s="46"/>
    <row r="341" ht="15.75" customHeight="1" s="46"/>
    <row r="342" ht="15.75" customHeight="1" s="46"/>
    <row r="343" ht="15.75" customHeight="1" s="46"/>
    <row r="344" ht="15.75" customHeight="1" s="46"/>
    <row r="345" ht="15.75" customHeight="1" s="46"/>
    <row r="346" ht="15.75" customHeight="1" s="46"/>
    <row r="347" ht="15.75" customHeight="1" s="46"/>
    <row r="348" ht="15.75" customHeight="1" s="46"/>
    <row r="349" ht="15.75" customHeight="1" s="46"/>
    <row r="350" ht="15.75" customHeight="1" s="46"/>
    <row r="351" ht="15.75" customHeight="1" s="46"/>
    <row r="352" ht="15.75" customHeight="1" s="46"/>
    <row r="353" ht="15.75" customHeight="1" s="46"/>
    <row r="354" ht="15.75" customHeight="1" s="46"/>
    <row r="355" ht="15.75" customHeight="1" s="46"/>
    <row r="356" ht="15.75" customHeight="1" s="46"/>
    <row r="357" ht="15.75" customHeight="1" s="46"/>
    <row r="358" ht="15.75" customHeight="1" s="46"/>
    <row r="359" ht="15.75" customHeight="1" s="46"/>
    <row r="360" ht="15.75" customHeight="1" s="46"/>
    <row r="361" ht="15.75" customHeight="1" s="46"/>
    <row r="362" ht="15.75" customHeight="1" s="46"/>
    <row r="363" ht="15.75" customHeight="1" s="46"/>
    <row r="364" ht="15.75" customHeight="1" s="46"/>
    <row r="365" ht="15.75" customHeight="1" s="46"/>
    <row r="366" ht="15.75" customHeight="1" s="46"/>
    <row r="367" ht="15.75" customHeight="1" s="46"/>
    <row r="368" ht="15.75" customHeight="1" s="46"/>
    <row r="369" ht="15.75" customHeight="1" s="46"/>
    <row r="370" ht="15.75" customHeight="1" s="46"/>
    <row r="371" ht="15.75" customHeight="1" s="46"/>
    <row r="372" ht="15.75" customHeight="1" s="46"/>
    <row r="373" ht="15.75" customHeight="1" s="46"/>
    <row r="374" ht="15.75" customHeight="1" s="46"/>
    <row r="375" ht="15.75" customHeight="1" s="46"/>
    <row r="376" ht="15.75" customHeight="1" s="46"/>
    <row r="377" ht="15.75" customHeight="1" s="46"/>
    <row r="378" ht="15.75" customHeight="1" s="46"/>
    <row r="379" ht="15.75" customHeight="1" s="46"/>
    <row r="380" ht="15.75" customHeight="1" s="46"/>
    <row r="381" ht="15.75" customHeight="1" s="46"/>
    <row r="382" ht="15.75" customHeight="1" s="46"/>
    <row r="383" ht="15.75" customHeight="1" s="46"/>
    <row r="384" ht="15.75" customHeight="1" s="46"/>
    <row r="385" ht="15.75" customHeight="1" s="46"/>
    <row r="386" ht="15.75" customHeight="1" s="46"/>
    <row r="387" ht="15.75" customHeight="1" s="46"/>
    <row r="388" ht="15.75" customHeight="1" s="46"/>
    <row r="389" ht="15.75" customHeight="1" s="46"/>
    <row r="390" ht="15.75" customHeight="1" s="46"/>
    <row r="391" ht="15.75" customHeight="1" s="46"/>
    <row r="392" ht="15.75" customHeight="1" s="46"/>
    <row r="393" ht="15.75" customHeight="1" s="46"/>
    <row r="394" ht="15.75" customHeight="1" s="46"/>
    <row r="395" ht="15.75" customHeight="1" s="46"/>
    <row r="396" ht="15.75" customHeight="1" s="46"/>
    <row r="397" ht="15.75" customHeight="1" s="46"/>
    <row r="398" ht="15.75" customHeight="1" s="46"/>
    <row r="399" ht="15.75" customHeight="1" s="46"/>
    <row r="400" ht="15.75" customHeight="1" s="46"/>
    <row r="401" ht="15.75" customHeight="1" s="46"/>
    <row r="402" ht="15.75" customHeight="1" s="46"/>
    <row r="403" ht="15.75" customHeight="1" s="46"/>
    <row r="404" ht="15.75" customHeight="1" s="46"/>
    <row r="405" ht="15.75" customHeight="1" s="46"/>
    <row r="406" ht="15.75" customHeight="1" s="46"/>
    <row r="407" ht="15.75" customHeight="1" s="46"/>
    <row r="408" ht="15.75" customHeight="1" s="46"/>
    <row r="409" ht="15.75" customHeight="1" s="46"/>
    <row r="410" ht="15.75" customHeight="1" s="46"/>
    <row r="411" ht="15.75" customHeight="1" s="46"/>
    <row r="412" ht="15.75" customHeight="1" s="46"/>
    <row r="413" ht="15.75" customHeight="1" s="46"/>
    <row r="414" ht="15.75" customHeight="1" s="46"/>
    <row r="415" ht="15.75" customHeight="1" s="46"/>
    <row r="416" ht="15.75" customHeight="1" s="46"/>
    <row r="417" ht="15.75" customHeight="1" s="46"/>
    <row r="418" ht="15.75" customHeight="1" s="46"/>
    <row r="419" ht="15.75" customHeight="1" s="46"/>
    <row r="420" ht="15.75" customHeight="1" s="46"/>
    <row r="421" ht="15.75" customHeight="1" s="46"/>
    <row r="422" ht="15.75" customHeight="1" s="46"/>
    <row r="423" ht="15.75" customHeight="1" s="46"/>
    <row r="424" ht="15.75" customHeight="1" s="46"/>
    <row r="425" ht="15.75" customHeight="1" s="46"/>
    <row r="426" ht="15.75" customHeight="1" s="46"/>
    <row r="427" ht="15.75" customHeight="1" s="46"/>
    <row r="428" ht="15.75" customHeight="1" s="46"/>
    <row r="429" ht="15.75" customHeight="1" s="46"/>
    <row r="430" ht="15.75" customHeight="1" s="46"/>
    <row r="431" ht="15.75" customHeight="1" s="46"/>
    <row r="432" ht="15.75" customHeight="1" s="46"/>
    <row r="433" ht="15.75" customHeight="1" s="46"/>
    <row r="434" ht="15.75" customHeight="1" s="46"/>
    <row r="435" ht="15.75" customHeight="1" s="46"/>
    <row r="436" ht="15.75" customHeight="1" s="46"/>
    <row r="437" ht="15.75" customHeight="1" s="46"/>
    <row r="438" ht="15.75" customHeight="1" s="46"/>
    <row r="439" ht="15.75" customHeight="1" s="46"/>
    <row r="440" ht="15.75" customHeight="1" s="46"/>
    <row r="441" ht="15.75" customHeight="1" s="46"/>
    <row r="442" ht="15.75" customHeight="1" s="46"/>
    <row r="443" ht="15.75" customHeight="1" s="46"/>
    <row r="444" ht="15.75" customHeight="1" s="46"/>
    <row r="445" ht="15.75" customHeight="1" s="46"/>
    <row r="446" ht="15.75" customHeight="1" s="46"/>
    <row r="447" ht="15.75" customHeight="1" s="46"/>
    <row r="448" ht="15.75" customHeight="1" s="46"/>
    <row r="449" ht="15.75" customHeight="1" s="46"/>
    <row r="450" ht="15.75" customHeight="1" s="46"/>
    <row r="451" ht="15.75" customHeight="1" s="46"/>
    <row r="452" ht="15.75" customHeight="1" s="46"/>
    <row r="453" ht="15.75" customHeight="1" s="46"/>
    <row r="454" ht="15.75" customHeight="1" s="46"/>
    <row r="455" ht="15.75" customHeight="1" s="46"/>
    <row r="456" ht="15.75" customHeight="1" s="46"/>
    <row r="457" ht="15.75" customHeight="1" s="46"/>
    <row r="458" ht="15.75" customHeight="1" s="46"/>
    <row r="459" ht="15.75" customHeight="1" s="46"/>
    <row r="460" ht="15.75" customHeight="1" s="46"/>
    <row r="461" ht="15.75" customHeight="1" s="46"/>
    <row r="462" ht="15.75" customHeight="1" s="46"/>
    <row r="463" ht="15.75" customHeight="1" s="46"/>
    <row r="464" ht="15.75" customHeight="1" s="46"/>
    <row r="465" ht="15.75" customHeight="1" s="46"/>
    <row r="466" ht="15.75" customHeight="1" s="46"/>
    <row r="467" ht="15.75" customHeight="1" s="46"/>
    <row r="468" ht="15.75" customHeight="1" s="46"/>
    <row r="469" ht="15.75" customHeight="1" s="46"/>
    <row r="470" ht="15.75" customHeight="1" s="46"/>
    <row r="471" ht="15.75" customHeight="1" s="46"/>
    <row r="472" ht="15.75" customHeight="1" s="46"/>
    <row r="473" ht="15.75" customHeight="1" s="46"/>
    <row r="474" ht="15.75" customHeight="1" s="46"/>
    <row r="475" ht="15.75" customHeight="1" s="46"/>
    <row r="476" ht="15.75" customHeight="1" s="46"/>
    <row r="477" ht="15.75" customHeight="1" s="46"/>
    <row r="478" ht="15.75" customHeight="1" s="46"/>
    <row r="479" ht="15.75" customHeight="1" s="46"/>
    <row r="480" ht="15.75" customHeight="1" s="46"/>
    <row r="481" ht="15.75" customHeight="1" s="46"/>
    <row r="482" ht="15.75" customHeight="1" s="46"/>
    <row r="483" ht="15.75" customHeight="1" s="46"/>
    <row r="484" ht="15.75" customHeight="1" s="46"/>
    <row r="485" ht="15.75" customHeight="1" s="46"/>
    <row r="486" ht="15.75" customHeight="1" s="46"/>
    <row r="487" ht="15.75" customHeight="1" s="46"/>
    <row r="488" ht="15.75" customHeight="1" s="46"/>
    <row r="489" ht="15.75" customHeight="1" s="46"/>
    <row r="490" ht="15.75" customHeight="1" s="46"/>
    <row r="491" ht="15.75" customHeight="1" s="46"/>
    <row r="492" ht="15.75" customHeight="1" s="46"/>
    <row r="493" ht="15.75" customHeight="1" s="46"/>
    <row r="494" ht="15.75" customHeight="1" s="46"/>
    <row r="495" ht="15.75" customHeight="1" s="46"/>
    <row r="496" ht="15.75" customHeight="1" s="46"/>
    <row r="497" ht="15.75" customHeight="1" s="46"/>
    <row r="498" ht="15.75" customHeight="1" s="46"/>
    <row r="499" ht="15.75" customHeight="1" s="46"/>
    <row r="500" ht="15.75" customHeight="1" s="46"/>
    <row r="501" ht="15.75" customHeight="1" s="46"/>
    <row r="502" ht="15.75" customHeight="1" s="46"/>
    <row r="503" ht="15.75" customHeight="1" s="46"/>
    <row r="504" ht="15.75" customHeight="1" s="46"/>
    <row r="505" ht="15.75" customHeight="1" s="46"/>
    <row r="506" ht="15.75" customHeight="1" s="46"/>
    <row r="507" ht="15.75" customHeight="1" s="46"/>
    <row r="508" ht="15.75" customHeight="1" s="46"/>
    <row r="509" ht="15.75" customHeight="1" s="46"/>
    <row r="510" ht="15.75" customHeight="1" s="46"/>
    <row r="511" ht="15.75" customHeight="1" s="46"/>
    <row r="512" ht="15.75" customHeight="1" s="46"/>
    <row r="513" ht="15.75" customHeight="1" s="46"/>
    <row r="514" ht="15.75" customHeight="1" s="46"/>
    <row r="515" ht="15.75" customHeight="1" s="46"/>
    <row r="516" ht="15.75" customHeight="1" s="46"/>
    <row r="517" ht="15.75" customHeight="1" s="46"/>
    <row r="518" ht="15.75" customHeight="1" s="46"/>
    <row r="519" ht="15.75" customHeight="1" s="46"/>
    <row r="520" ht="15.75" customHeight="1" s="46"/>
    <row r="521" ht="15.75" customHeight="1" s="46"/>
    <row r="522" ht="15.75" customHeight="1" s="46"/>
    <row r="523" ht="15.75" customHeight="1" s="46"/>
    <row r="524" ht="15.75" customHeight="1" s="46"/>
    <row r="525" ht="15.75" customHeight="1" s="46"/>
    <row r="526" ht="15.75" customHeight="1" s="46"/>
    <row r="527" ht="15.75" customHeight="1" s="46"/>
    <row r="528" ht="15.75" customHeight="1" s="46"/>
    <row r="529" ht="15.75" customHeight="1" s="46"/>
    <row r="530" ht="15.75" customHeight="1" s="46"/>
    <row r="531" ht="15.75" customHeight="1" s="46"/>
    <row r="532" ht="15.75" customHeight="1" s="46"/>
    <row r="533" ht="15.75" customHeight="1" s="46"/>
    <row r="534" ht="15.75" customHeight="1" s="46"/>
    <row r="535" ht="15.75" customHeight="1" s="46"/>
    <row r="536" ht="15.75" customHeight="1" s="46"/>
    <row r="537" ht="15.75" customHeight="1" s="46"/>
    <row r="538" ht="15.75" customHeight="1" s="46"/>
    <row r="539" ht="15.75" customHeight="1" s="46"/>
    <row r="540" ht="15.75" customHeight="1" s="46"/>
    <row r="541" ht="15.75" customHeight="1" s="46"/>
    <row r="542" ht="15.75" customHeight="1" s="46"/>
    <row r="543" ht="15.75" customHeight="1" s="46"/>
    <row r="544" ht="15.75" customHeight="1" s="46"/>
    <row r="545" ht="15.75" customHeight="1" s="46"/>
    <row r="546" ht="15.75" customHeight="1" s="46"/>
    <row r="547" ht="15.75" customHeight="1" s="46"/>
    <row r="548" ht="15.75" customHeight="1" s="46"/>
    <row r="549" ht="15.75" customHeight="1" s="46"/>
    <row r="550" ht="15.75" customHeight="1" s="46"/>
    <row r="551" ht="15.75" customHeight="1" s="46"/>
    <row r="552" ht="15.75" customHeight="1" s="46"/>
    <row r="553" ht="15.75" customHeight="1" s="46"/>
    <row r="554" ht="15.75" customHeight="1" s="46"/>
    <row r="555" ht="15.75" customHeight="1" s="46"/>
    <row r="556" ht="15.75" customHeight="1" s="46"/>
    <row r="557" ht="15.75" customHeight="1" s="46"/>
    <row r="558" ht="15.75" customHeight="1" s="46"/>
    <row r="559" ht="15.75" customHeight="1" s="46"/>
    <row r="560" ht="15.75" customHeight="1" s="46"/>
    <row r="561" ht="15.75" customHeight="1" s="46"/>
    <row r="562" ht="15.75" customHeight="1" s="46"/>
    <row r="563" ht="15.75" customHeight="1" s="46"/>
    <row r="564" ht="15.75" customHeight="1" s="46"/>
    <row r="565" ht="15.75" customHeight="1" s="46"/>
    <row r="566" ht="15.75" customHeight="1" s="46"/>
    <row r="567" ht="15.75" customHeight="1" s="46"/>
    <row r="568" ht="15.75" customHeight="1" s="46"/>
    <row r="569" ht="15.75" customHeight="1" s="46"/>
    <row r="570" ht="15.75" customHeight="1" s="46"/>
    <row r="571" ht="15.75" customHeight="1" s="46"/>
    <row r="572" ht="15.75" customHeight="1" s="46"/>
    <row r="573" ht="15.75" customHeight="1" s="46"/>
    <row r="574" ht="15.75" customHeight="1" s="46"/>
    <row r="575" ht="15.75" customHeight="1" s="46"/>
    <row r="576" ht="15.75" customHeight="1" s="46"/>
    <row r="577" ht="15.75" customHeight="1" s="46"/>
    <row r="578" ht="15.75" customHeight="1" s="46"/>
    <row r="579" ht="15.75" customHeight="1" s="46"/>
    <row r="580" ht="15.75" customHeight="1" s="46"/>
    <row r="581" ht="15.75" customHeight="1" s="46"/>
    <row r="582" ht="15.75" customHeight="1" s="46"/>
    <row r="583" ht="15.75" customHeight="1" s="46"/>
    <row r="584" ht="15.75" customHeight="1" s="46"/>
    <row r="585" ht="15.75" customHeight="1" s="46"/>
    <row r="586" ht="15.75" customHeight="1" s="46"/>
    <row r="587" ht="15.75" customHeight="1" s="46"/>
    <row r="588" ht="15.75" customHeight="1" s="46"/>
    <row r="589" ht="15.75" customHeight="1" s="46"/>
    <row r="590" ht="15.75" customHeight="1" s="46"/>
    <row r="591" ht="15.75" customHeight="1" s="46"/>
    <row r="592" ht="15.75" customHeight="1" s="46"/>
    <row r="593" ht="15.75" customHeight="1" s="46"/>
    <row r="594" ht="15.75" customHeight="1" s="46"/>
    <row r="595" ht="15.75" customHeight="1" s="46"/>
    <row r="596" ht="15.75" customHeight="1" s="46"/>
    <row r="597" ht="15.75" customHeight="1" s="46"/>
    <row r="598" ht="15.75" customHeight="1" s="46"/>
    <row r="599" ht="15.75" customHeight="1" s="46"/>
    <row r="600" ht="15.75" customHeight="1" s="46"/>
    <row r="601" ht="15.75" customHeight="1" s="46"/>
    <row r="602" ht="15.75" customHeight="1" s="46"/>
    <row r="603" ht="15.75" customHeight="1" s="46"/>
    <row r="604" ht="15.75" customHeight="1" s="46"/>
    <row r="605" ht="15.75" customHeight="1" s="46"/>
    <row r="606" ht="15.75" customHeight="1" s="46"/>
    <row r="607" ht="15.75" customHeight="1" s="46"/>
    <row r="608" ht="15.75" customHeight="1" s="46"/>
    <row r="609" ht="15.75" customHeight="1" s="46"/>
    <row r="610" ht="15.75" customHeight="1" s="46"/>
    <row r="611" ht="15.75" customHeight="1" s="46"/>
    <row r="612" ht="15.75" customHeight="1" s="46"/>
    <row r="613" ht="15.75" customHeight="1" s="46"/>
    <row r="614" ht="15.75" customHeight="1" s="46"/>
    <row r="615" ht="15.75" customHeight="1" s="46"/>
    <row r="616" ht="15.75" customHeight="1" s="46"/>
    <row r="617" ht="15.75" customHeight="1" s="46"/>
    <row r="618" ht="15.75" customHeight="1" s="46"/>
    <row r="619" ht="15.75" customHeight="1" s="46"/>
    <row r="620" ht="15.75" customHeight="1" s="46"/>
    <row r="621" ht="15.75" customHeight="1" s="46"/>
    <row r="622" ht="15.75" customHeight="1" s="46"/>
    <row r="623" ht="15.75" customHeight="1" s="46"/>
    <row r="624" ht="15.75" customHeight="1" s="46"/>
    <row r="625" ht="15.75" customHeight="1" s="46"/>
    <row r="626" ht="15.75" customHeight="1" s="46"/>
    <row r="627" ht="15.75" customHeight="1" s="46"/>
    <row r="628" ht="15.75" customHeight="1" s="46"/>
    <row r="629" ht="15.75" customHeight="1" s="46"/>
    <row r="630" ht="15.75" customHeight="1" s="46"/>
    <row r="631" ht="15.75" customHeight="1" s="46"/>
    <row r="632" ht="15.75" customHeight="1" s="46"/>
    <row r="633" ht="15.75" customHeight="1" s="46"/>
    <row r="634" ht="15.75" customHeight="1" s="46"/>
    <row r="635" ht="15.75" customHeight="1" s="46"/>
    <row r="636" ht="15.75" customHeight="1" s="46"/>
    <row r="637" ht="15.75" customHeight="1" s="46"/>
    <row r="638" ht="15.75" customHeight="1" s="46"/>
    <row r="639" ht="15.75" customHeight="1" s="46"/>
    <row r="640" ht="15.75" customHeight="1" s="46"/>
    <row r="641" ht="15.75" customHeight="1" s="46"/>
    <row r="642" ht="15.75" customHeight="1" s="46"/>
    <row r="643" ht="15.75" customHeight="1" s="46"/>
    <row r="644" ht="15.75" customHeight="1" s="46"/>
    <row r="645" ht="15.75" customHeight="1" s="46"/>
    <row r="646" ht="15.75" customHeight="1" s="46"/>
    <row r="647" ht="15.75" customHeight="1" s="46"/>
    <row r="648" ht="15.75" customHeight="1" s="46"/>
    <row r="649" ht="15.75" customHeight="1" s="46"/>
    <row r="650" ht="15.75" customHeight="1" s="46"/>
    <row r="651" ht="15.75" customHeight="1" s="46"/>
    <row r="652" ht="15.75" customHeight="1" s="46"/>
    <row r="653" ht="15.75" customHeight="1" s="46"/>
    <row r="654" ht="15.75" customHeight="1" s="46"/>
    <row r="655" ht="15.75" customHeight="1" s="46"/>
    <row r="656" ht="15.75" customHeight="1" s="46"/>
    <row r="657" ht="15.75" customHeight="1" s="46"/>
    <row r="658" ht="15.75" customHeight="1" s="46"/>
    <row r="659" ht="15.75" customHeight="1" s="46"/>
    <row r="660" ht="15.75" customHeight="1" s="46"/>
    <row r="661" ht="15.75" customHeight="1" s="46"/>
    <row r="662" ht="15.75" customHeight="1" s="46"/>
    <row r="663" ht="15.75" customHeight="1" s="46"/>
    <row r="664" ht="15.75" customHeight="1" s="46"/>
    <row r="665" ht="15.75" customHeight="1" s="46"/>
    <row r="666" ht="15.75" customHeight="1" s="46"/>
    <row r="667" ht="15.75" customHeight="1" s="46"/>
    <row r="668" ht="15.75" customHeight="1" s="46"/>
    <row r="669" ht="15.75" customHeight="1" s="46"/>
    <row r="670" ht="15.75" customHeight="1" s="46"/>
    <row r="671" ht="15.75" customHeight="1" s="46"/>
    <row r="672" ht="15.75" customHeight="1" s="46"/>
    <row r="673" ht="15.75" customHeight="1" s="46"/>
    <row r="674" ht="15.75" customHeight="1" s="46"/>
    <row r="675" ht="15.75" customHeight="1" s="46"/>
    <row r="676" ht="15.75" customHeight="1" s="46"/>
    <row r="677" ht="15.75" customHeight="1" s="46"/>
    <row r="678" ht="15.75" customHeight="1" s="46"/>
    <row r="679" ht="15.75" customHeight="1" s="46"/>
    <row r="680" ht="15.75" customHeight="1" s="46"/>
    <row r="681" ht="15.75" customHeight="1" s="46"/>
    <row r="682" ht="15.75" customHeight="1" s="46"/>
    <row r="683" ht="15.75" customHeight="1" s="46"/>
    <row r="684" ht="15.75" customHeight="1" s="46"/>
    <row r="685" ht="15.75" customHeight="1" s="46"/>
    <row r="686" ht="15.75" customHeight="1" s="46"/>
    <row r="687" ht="15.75" customHeight="1" s="46"/>
    <row r="688" ht="15.75" customHeight="1" s="46"/>
    <row r="689" ht="15.75" customHeight="1" s="46"/>
    <row r="690" ht="15.75" customHeight="1" s="46"/>
    <row r="691" ht="15.75" customHeight="1" s="46"/>
    <row r="692" ht="15.75" customHeight="1" s="46"/>
    <row r="693" ht="15.75" customHeight="1" s="46"/>
    <row r="694" ht="15.75" customHeight="1" s="46"/>
    <row r="695" ht="15.75" customHeight="1" s="46"/>
    <row r="696" ht="15.75" customHeight="1" s="46"/>
    <row r="697" ht="15.75" customHeight="1" s="46"/>
    <row r="698" ht="15.75" customHeight="1" s="46"/>
    <row r="699" ht="15.75" customHeight="1" s="46"/>
    <row r="700" ht="15.75" customHeight="1" s="46"/>
    <row r="701" ht="15.75" customHeight="1" s="46"/>
    <row r="702" ht="15.75" customHeight="1" s="46"/>
    <row r="703" ht="15.75" customHeight="1" s="46"/>
    <row r="704" ht="15.75" customHeight="1" s="46"/>
    <row r="705" ht="15.75" customHeight="1" s="46"/>
    <row r="706" ht="15.75" customHeight="1" s="46"/>
    <row r="707" ht="15.75" customHeight="1" s="46"/>
    <row r="708" ht="15.75" customHeight="1" s="46"/>
    <row r="709" ht="15.75" customHeight="1" s="46"/>
    <row r="710" ht="15.75" customHeight="1" s="46"/>
    <row r="711" ht="15.75" customHeight="1" s="46"/>
    <row r="712" ht="15.75" customHeight="1" s="46"/>
    <row r="713" ht="15.75" customHeight="1" s="46"/>
    <row r="714" ht="15.75" customHeight="1" s="46"/>
    <row r="715" ht="15.75" customHeight="1" s="46"/>
    <row r="716" ht="15.75" customHeight="1" s="46"/>
    <row r="717" ht="15.75" customHeight="1" s="46"/>
    <row r="718" ht="15.75" customHeight="1" s="46"/>
    <row r="719" ht="15.75" customHeight="1" s="46"/>
    <row r="720" ht="15.75" customHeight="1" s="46"/>
    <row r="721" ht="15.75" customHeight="1" s="46"/>
    <row r="722" ht="15.75" customHeight="1" s="46"/>
    <row r="723" ht="15.75" customHeight="1" s="46"/>
    <row r="724" ht="15.75" customHeight="1" s="46"/>
    <row r="725" ht="15.75" customHeight="1" s="46"/>
    <row r="726" ht="15.75" customHeight="1" s="46"/>
    <row r="727" ht="15.75" customHeight="1" s="46"/>
    <row r="728" ht="15.75" customHeight="1" s="46"/>
    <row r="729" ht="15.75" customHeight="1" s="46"/>
    <row r="730" ht="15.75" customHeight="1" s="46"/>
    <row r="731" ht="15.75" customHeight="1" s="46"/>
    <row r="732" ht="15.75" customHeight="1" s="46"/>
    <row r="733" ht="15.75" customHeight="1" s="46"/>
    <row r="734" ht="15.75" customHeight="1" s="46"/>
    <row r="735" ht="15.75" customHeight="1" s="46"/>
    <row r="736" ht="15.75" customHeight="1" s="46"/>
    <row r="737" ht="15.75" customHeight="1" s="46"/>
    <row r="738" ht="15.75" customHeight="1" s="46"/>
    <row r="739" ht="15.75" customHeight="1" s="46"/>
    <row r="740" ht="15.75" customHeight="1" s="46"/>
    <row r="741" ht="15.75" customHeight="1" s="46"/>
    <row r="742" ht="15.75" customHeight="1" s="46"/>
    <row r="743" ht="15.75" customHeight="1" s="46"/>
    <row r="744" ht="15.75" customHeight="1" s="46"/>
    <row r="745" ht="15.75" customHeight="1" s="46"/>
    <row r="746" ht="15.75" customHeight="1" s="46"/>
    <row r="747" ht="15.75" customHeight="1" s="46"/>
    <row r="748" ht="15.75" customHeight="1" s="46"/>
    <row r="749" ht="15.75" customHeight="1" s="46"/>
    <row r="750" ht="15.75" customHeight="1" s="46"/>
    <row r="751" ht="15.75" customHeight="1" s="46"/>
    <row r="752" ht="15.75" customHeight="1" s="46"/>
    <row r="753" ht="15.75" customHeight="1" s="46"/>
    <row r="754" ht="15.75" customHeight="1" s="46"/>
    <row r="755" ht="15.75" customHeight="1" s="46"/>
    <row r="756" ht="15.75" customHeight="1" s="46"/>
    <row r="757" ht="15.75" customHeight="1" s="46"/>
    <row r="758" ht="15.75" customHeight="1" s="46"/>
    <row r="759" ht="15.75" customHeight="1" s="46"/>
    <row r="760" ht="15.75" customHeight="1" s="46"/>
    <row r="761" ht="15.75" customHeight="1" s="46"/>
    <row r="762" ht="15.75" customHeight="1" s="46"/>
    <row r="763" ht="15.75" customHeight="1" s="46"/>
    <row r="764" ht="15.75" customHeight="1" s="46"/>
    <row r="765" ht="15.75" customHeight="1" s="46"/>
    <row r="766" ht="15.75" customHeight="1" s="46"/>
    <row r="767" ht="15.75" customHeight="1" s="46"/>
    <row r="768" ht="15.75" customHeight="1" s="46"/>
    <row r="769" ht="15.75" customHeight="1" s="46"/>
    <row r="770" ht="15.75" customHeight="1" s="46"/>
    <row r="771" ht="15.75" customHeight="1" s="46"/>
    <row r="772" ht="15.75" customHeight="1" s="46"/>
    <row r="773" ht="15.75" customHeight="1" s="46"/>
    <row r="774" ht="15.75" customHeight="1" s="46"/>
    <row r="775" ht="15.75" customHeight="1" s="46"/>
    <row r="776" ht="15.75" customHeight="1" s="46"/>
    <row r="777" ht="15.75" customHeight="1" s="46"/>
    <row r="778" ht="15.75" customHeight="1" s="46"/>
    <row r="779" ht="15.75" customHeight="1" s="46"/>
    <row r="780" ht="15.75" customHeight="1" s="46"/>
    <row r="781" ht="15.75" customHeight="1" s="46"/>
    <row r="782" ht="15.75" customHeight="1" s="46"/>
    <row r="783" ht="15.75" customHeight="1" s="46"/>
    <row r="784" ht="15.75" customHeight="1" s="46"/>
    <row r="785" ht="15.75" customHeight="1" s="46"/>
    <row r="786" ht="15.75" customHeight="1" s="46"/>
    <row r="787" ht="15.75" customHeight="1" s="46"/>
    <row r="788" ht="15.75" customHeight="1" s="46"/>
    <row r="789" ht="15.75" customHeight="1" s="46"/>
    <row r="790" ht="15.75" customHeight="1" s="46"/>
    <row r="791" ht="15.75" customHeight="1" s="46"/>
    <row r="792" ht="15.75" customHeight="1" s="46"/>
    <row r="793" ht="15.75" customHeight="1" s="46"/>
    <row r="794" ht="15.75" customHeight="1" s="46"/>
    <row r="795" ht="15.75" customHeight="1" s="46"/>
    <row r="796" ht="15.75" customHeight="1" s="46"/>
    <row r="797" ht="15.75" customHeight="1" s="46"/>
    <row r="798" ht="15.75" customHeight="1" s="46"/>
    <row r="799" ht="15.75" customHeight="1" s="46"/>
    <row r="800" ht="15.75" customHeight="1" s="46"/>
    <row r="801" ht="15.75" customHeight="1" s="46"/>
    <row r="802" ht="15.75" customHeight="1" s="46"/>
    <row r="803" ht="15.75" customHeight="1" s="46"/>
    <row r="804" ht="15.75" customHeight="1" s="46"/>
    <row r="805" ht="15.75" customHeight="1" s="46"/>
    <row r="806" ht="15.75" customHeight="1" s="46"/>
    <row r="807" ht="15.75" customHeight="1" s="46"/>
    <row r="808" ht="15.75" customHeight="1" s="46"/>
    <row r="809" ht="15.75" customHeight="1" s="46"/>
    <row r="810" ht="15.75" customHeight="1" s="46"/>
    <row r="811" ht="15.75" customHeight="1" s="46"/>
    <row r="812" ht="15.75" customHeight="1" s="46"/>
    <row r="813" ht="15.75" customHeight="1" s="46"/>
    <row r="814" ht="15.75" customHeight="1" s="46"/>
    <row r="815" ht="15.75" customHeight="1" s="46"/>
    <row r="816" ht="15.75" customHeight="1" s="46"/>
    <row r="817" ht="15.75" customHeight="1" s="46"/>
    <row r="818" ht="15.75" customHeight="1" s="46"/>
    <row r="819" ht="15.75" customHeight="1" s="46"/>
    <row r="820" ht="15.75" customHeight="1" s="46"/>
    <row r="821" ht="15.75" customHeight="1" s="46"/>
    <row r="822" ht="15.75" customHeight="1" s="46"/>
    <row r="823" ht="15.75" customHeight="1" s="46"/>
    <row r="824" ht="15.75" customHeight="1" s="46"/>
    <row r="825" ht="15.75" customHeight="1" s="46"/>
    <row r="826" ht="15.75" customHeight="1" s="46"/>
    <row r="827" ht="15.75" customHeight="1" s="46"/>
    <row r="828" ht="15.75" customHeight="1" s="46"/>
    <row r="829" ht="15.75" customHeight="1" s="46"/>
    <row r="830" ht="15.75" customHeight="1" s="46"/>
    <row r="831" ht="15.75" customHeight="1" s="46"/>
    <row r="832" ht="15.75" customHeight="1" s="46"/>
    <row r="833" ht="15.75" customHeight="1" s="46"/>
    <row r="834" ht="15.75" customHeight="1" s="46"/>
    <row r="835" ht="15.75" customHeight="1" s="46"/>
    <row r="836" ht="15.75" customHeight="1" s="46"/>
    <row r="837" ht="15.75" customHeight="1" s="46"/>
    <row r="838" ht="15.75" customHeight="1" s="46"/>
    <row r="839" ht="15.75" customHeight="1" s="46"/>
    <row r="840" ht="15.75" customHeight="1" s="46"/>
    <row r="841" ht="15.75" customHeight="1" s="46"/>
    <row r="842" ht="15.75" customHeight="1" s="46"/>
    <row r="843" ht="15.75" customHeight="1" s="46"/>
    <row r="844" ht="15.75" customHeight="1" s="46"/>
    <row r="845" ht="15.75" customHeight="1" s="46"/>
    <row r="846" ht="15.75" customHeight="1" s="46"/>
    <row r="847" ht="15.75" customHeight="1" s="46"/>
    <row r="848" ht="15.75" customHeight="1" s="46"/>
    <row r="849" ht="15.75" customHeight="1" s="46"/>
    <row r="850" ht="15.75" customHeight="1" s="46"/>
    <row r="851" ht="15.75" customHeight="1" s="46"/>
    <row r="852" ht="15.75" customHeight="1" s="46"/>
    <row r="853" ht="15.75" customHeight="1" s="46"/>
    <row r="854" ht="15.75" customHeight="1" s="46"/>
    <row r="855" ht="15.75" customHeight="1" s="46"/>
    <row r="856" ht="15.75" customHeight="1" s="46"/>
    <row r="857" ht="15.75" customHeight="1" s="46"/>
    <row r="858" ht="15.75" customHeight="1" s="46"/>
    <row r="859" ht="15.75" customHeight="1" s="46"/>
    <row r="860" ht="15.75" customHeight="1" s="46"/>
    <row r="861" ht="15.75" customHeight="1" s="46"/>
    <row r="862" ht="15.75" customHeight="1" s="46"/>
    <row r="863" ht="15.75" customHeight="1" s="46"/>
    <row r="864" ht="15.75" customHeight="1" s="46"/>
    <row r="865" ht="15.75" customHeight="1" s="46"/>
    <row r="866" ht="15.75" customHeight="1" s="46"/>
    <row r="867" ht="15.75" customHeight="1" s="46"/>
    <row r="868" ht="15.75" customHeight="1" s="46"/>
    <row r="869" ht="15.75" customHeight="1" s="46"/>
    <row r="870" ht="15.75" customHeight="1" s="46"/>
    <row r="871" ht="15.75" customHeight="1" s="46"/>
    <row r="872" ht="15.75" customHeight="1" s="46"/>
    <row r="873" ht="15.75" customHeight="1" s="46"/>
    <row r="874" ht="15.75" customHeight="1" s="46"/>
    <row r="875" ht="15.75" customHeight="1" s="46"/>
    <row r="876" ht="15.75" customHeight="1" s="46"/>
    <row r="877" ht="15.75" customHeight="1" s="46"/>
    <row r="878" ht="15.75" customHeight="1" s="46"/>
    <row r="879" ht="15.75" customHeight="1" s="46"/>
    <row r="880" ht="15.75" customHeight="1" s="46"/>
    <row r="881" ht="15.75" customHeight="1" s="46"/>
    <row r="882" ht="15.75" customHeight="1" s="46"/>
    <row r="883" ht="15.75" customHeight="1" s="46"/>
    <row r="884" ht="15.75" customHeight="1" s="46"/>
    <row r="885" ht="15.75" customHeight="1" s="46"/>
    <row r="886" ht="15.75" customHeight="1" s="46"/>
    <row r="887" ht="15.75" customHeight="1" s="46"/>
    <row r="888" ht="15.75" customHeight="1" s="46"/>
    <row r="889" ht="15.75" customHeight="1" s="46"/>
    <row r="890" ht="15.75" customHeight="1" s="46"/>
    <row r="891" ht="15.75" customHeight="1" s="46"/>
    <row r="892" ht="15.75" customHeight="1" s="46"/>
    <row r="893" ht="15.75" customHeight="1" s="46"/>
    <row r="894" ht="15.75" customHeight="1" s="46"/>
    <row r="895" ht="15.75" customHeight="1" s="46"/>
    <row r="896" ht="15.75" customHeight="1" s="46"/>
    <row r="897" ht="15.75" customHeight="1" s="46"/>
    <row r="898" ht="15.75" customHeight="1" s="46"/>
    <row r="899" ht="15.75" customHeight="1" s="46"/>
    <row r="900" ht="15.75" customHeight="1" s="46"/>
    <row r="901" ht="15.75" customHeight="1" s="46"/>
    <row r="902" ht="15.75" customHeight="1" s="46"/>
    <row r="903" ht="15.75" customHeight="1" s="46"/>
    <row r="904" ht="15.75" customHeight="1" s="46"/>
    <row r="905" ht="15.75" customHeight="1" s="46"/>
    <row r="906" ht="15.75" customHeight="1" s="46"/>
    <row r="907" ht="15.75" customHeight="1" s="46"/>
    <row r="908" ht="15.75" customHeight="1" s="46"/>
    <row r="909" ht="15.75" customHeight="1" s="46"/>
    <row r="910" ht="15.75" customHeight="1" s="46"/>
    <row r="911" ht="15.75" customHeight="1" s="46"/>
    <row r="912" ht="15.75" customHeight="1" s="46"/>
    <row r="913" ht="15.75" customHeight="1" s="46"/>
    <row r="914" ht="15.75" customHeight="1" s="46"/>
    <row r="915" ht="15.75" customHeight="1" s="46"/>
    <row r="916" ht="15.75" customHeight="1" s="46"/>
    <row r="917" ht="15.75" customHeight="1" s="46"/>
    <row r="918" ht="15.75" customHeight="1" s="46"/>
    <row r="919" ht="15.75" customHeight="1" s="46"/>
    <row r="920" ht="15.75" customHeight="1" s="46"/>
    <row r="921" ht="15.75" customHeight="1" s="46"/>
    <row r="922" ht="15.75" customHeight="1" s="46"/>
    <row r="923" ht="15.75" customHeight="1" s="46"/>
    <row r="924" ht="15.75" customHeight="1" s="46"/>
    <row r="925" ht="15.75" customHeight="1" s="46"/>
    <row r="926" ht="15.75" customHeight="1" s="46"/>
    <row r="927" ht="15.75" customHeight="1" s="46"/>
    <row r="928" ht="15.75" customHeight="1" s="46"/>
    <row r="929" ht="15.75" customHeight="1" s="46"/>
    <row r="930" ht="15.75" customHeight="1" s="46"/>
    <row r="931" ht="15.75" customHeight="1" s="46"/>
    <row r="932" ht="15.75" customHeight="1" s="46"/>
    <row r="933" ht="15.75" customHeight="1" s="46"/>
    <row r="934" ht="15.75" customHeight="1" s="46"/>
    <row r="935" ht="15.75" customHeight="1" s="46"/>
    <row r="936" ht="15.75" customHeight="1" s="46"/>
    <row r="937" ht="15.75" customHeight="1" s="46"/>
    <row r="938" ht="15.75" customHeight="1" s="46"/>
    <row r="939" ht="15.75" customHeight="1" s="46"/>
    <row r="940" ht="15.75" customHeight="1" s="46"/>
    <row r="941" ht="15.75" customHeight="1" s="46"/>
    <row r="942" ht="15.75" customHeight="1" s="46"/>
    <row r="943" ht="15.75" customHeight="1" s="46"/>
    <row r="944" ht="15.75" customHeight="1" s="46"/>
    <row r="945" ht="15.75" customHeight="1" s="46"/>
    <row r="946" ht="15.75" customHeight="1" s="46"/>
    <row r="947" ht="15.75" customHeight="1" s="46"/>
    <row r="948" ht="15.75" customHeight="1" s="46"/>
    <row r="949" ht="15.75" customHeight="1" s="46"/>
    <row r="950" ht="15.75" customHeight="1" s="46"/>
    <row r="951" ht="15.75" customHeight="1" s="46"/>
    <row r="952" ht="15.75" customHeight="1" s="46"/>
    <row r="953" ht="15.75" customHeight="1" s="46"/>
    <row r="954" ht="15.75" customHeight="1" s="46"/>
    <row r="955" ht="15.75" customHeight="1" s="46"/>
    <row r="956" ht="15.75" customHeight="1" s="46"/>
    <row r="957" ht="15.75" customHeight="1" s="46"/>
    <row r="958" ht="15.75" customHeight="1" s="46"/>
    <row r="959" ht="15.75" customHeight="1" s="46"/>
    <row r="960" ht="15.75" customHeight="1" s="46"/>
    <row r="961" ht="15.75" customHeight="1" s="46"/>
    <row r="962" ht="15.75" customHeight="1" s="46"/>
    <row r="963" ht="15.75" customHeight="1" s="46"/>
    <row r="964" ht="15.75" customHeight="1" s="46"/>
    <row r="965" ht="15.75" customHeight="1" s="46"/>
    <row r="966" ht="15.75" customHeight="1" s="46"/>
    <row r="967" ht="15.75" customHeight="1" s="46"/>
    <row r="968" ht="15.75" customHeight="1" s="46"/>
    <row r="969" ht="15.75" customHeight="1" s="46"/>
    <row r="970" ht="15.75" customHeight="1" s="46"/>
    <row r="971" ht="15.75" customHeight="1" s="46"/>
    <row r="972" ht="15.75" customHeight="1" s="46"/>
    <row r="973" ht="15.75" customHeight="1" s="46"/>
    <row r="974" ht="15.75" customHeight="1" s="46"/>
    <row r="975" ht="15.75" customHeight="1" s="46"/>
    <row r="976" ht="15.75" customHeight="1" s="46"/>
    <row r="977" ht="15.75" customHeight="1" s="46"/>
    <row r="978" ht="15.75" customHeight="1" s="46"/>
    <row r="979" ht="15.75" customHeight="1" s="46"/>
    <row r="980" ht="15.75" customHeight="1" s="46"/>
    <row r="981" ht="15.75" customHeight="1" s="46"/>
    <row r="982" ht="15.75" customHeight="1" s="46"/>
    <row r="983" ht="15.75" customHeight="1" s="46"/>
    <row r="984" ht="15.75" customHeight="1" s="46"/>
    <row r="985" ht="15.75" customHeight="1" s="46"/>
    <row r="986" ht="15.75" customHeight="1" s="46"/>
    <row r="987" ht="15.75" customHeight="1" s="46"/>
    <row r="988" ht="15.75" customHeight="1" s="46"/>
    <row r="989" ht="15.75" customHeight="1" s="46"/>
    <row r="990" ht="15.75" customHeight="1" s="46"/>
    <row r="991" ht="15.75" customHeight="1" s="46"/>
    <row r="992" ht="15.75" customHeight="1" s="46"/>
    <row r="993" ht="15.75" customHeight="1" s="46"/>
    <row r="994" ht="15.75" customHeight="1" s="46"/>
    <row r="995" ht="15.75" customHeight="1" s="46"/>
    <row r="996" ht="15.75" customHeight="1" s="46"/>
    <row r="997" ht="15.75" customHeight="1" s="46"/>
    <row r="998" ht="15.75" customHeight="1" s="46"/>
    <row r="999" ht="15.75" customHeight="1" s="46"/>
    <row r="1000" ht="15.75" customHeight="1" s="46"/>
  </sheetData>
  <mergeCells count="5">
    <mergeCell ref="A19:C19"/>
    <mergeCell ref="A2:O2"/>
    <mergeCell ref="A1:O1"/>
    <mergeCell ref="A22:O22"/>
    <mergeCell ref="A4:O4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2026-09-21T18:38:16Z</dcterms:created>
  <dcterms:modified xsi:type="dcterms:W3CDTF">2026-09-21T19:02:32Z</dcterms:modified>
</cp:coreProperties>
</file>