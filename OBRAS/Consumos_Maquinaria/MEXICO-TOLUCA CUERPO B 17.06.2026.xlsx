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 IBAÑEZ\Desktop\Registro de Diesel\MEXICO-TOLUCA\"/>
    </mc:Choice>
  </mc:AlternateContent>
  <xr:revisionPtr revIDLastSave="0" documentId="8_{FB1851F2-68F3-4BBB-B0B0-311897FC2A9C}" xr6:coauthVersionLast="47" xr6:coauthVersionMax="47" xr10:uidLastSave="{00000000-0000-0000-0000-000000000000}"/>
  <bookViews>
    <workbookView xWindow="-108" yWindow="-108" windowWidth="23256" windowHeight="12456" xr2:uid="{F41246E2-CB9A-44F3-B58F-40832D0F180A}"/>
  </bookViews>
  <sheets>
    <sheet name="FORMATO" sheetId="7" r:id="rId1"/>
    <sheet name="Hoja1" sheetId="8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0" i="8" l="1"/>
  <c r="H369" i="8"/>
  <c r="H368" i="8"/>
  <c r="H367" i="8"/>
  <c r="H366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M314" i="8"/>
  <c r="P314" i="8"/>
  <c r="O314" i="8"/>
  <c r="H310" i="8"/>
  <c r="H309" i="8"/>
  <c r="H308" i="8"/>
  <c r="H307" i="8"/>
  <c r="H306" i="8"/>
  <c r="H305" i="8"/>
  <c r="H304" i="8"/>
  <c r="H303" i="8"/>
  <c r="H302" i="8"/>
  <c r="H301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T262" i="8"/>
  <c r="S262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6" i="8"/>
  <c r="H245" i="8"/>
  <c r="H244" i="8"/>
  <c r="U243" i="8"/>
  <c r="S243" i="8"/>
  <c r="H243" i="8"/>
  <c r="H242" i="8"/>
  <c r="H241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0" i="8"/>
  <c r="H219" i="8"/>
  <c r="H218" i="8"/>
  <c r="H217" i="8"/>
  <c r="H216" i="8"/>
  <c r="H215" i="8"/>
  <c r="H214" i="8"/>
  <c r="H213" i="8"/>
  <c r="H212" i="8"/>
  <c r="H211" i="8"/>
  <c r="H210" i="8"/>
  <c r="H208" i="8"/>
  <c r="H207" i="8"/>
  <c r="H206" i="8"/>
  <c r="H205" i="8"/>
  <c r="H204" i="8"/>
  <c r="H203" i="8"/>
  <c r="H201" i="8"/>
  <c r="H200" i="8"/>
  <c r="N199" i="8"/>
  <c r="L199" i="8"/>
  <c r="H199" i="8"/>
  <c r="H198" i="8"/>
  <c r="H197" i="8"/>
  <c r="N196" i="8"/>
  <c r="M196" i="8"/>
  <c r="L196" i="8"/>
  <c r="H196" i="8"/>
  <c r="H195" i="8"/>
  <c r="H194" i="8"/>
  <c r="H193" i="8"/>
  <c r="H192" i="8"/>
  <c r="H191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N149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Q106" i="8"/>
  <c r="O106" i="8"/>
  <c r="M106" i="8"/>
  <c r="H104" i="8"/>
  <c r="H103" i="8"/>
  <c r="H102" i="8"/>
  <c r="H101" i="8"/>
  <c r="H100" i="8"/>
  <c r="H99" i="8"/>
  <c r="H98" i="8"/>
  <c r="H97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W81" i="8"/>
  <c r="H81" i="8"/>
  <c r="H80" i="8"/>
  <c r="H79" i="8"/>
  <c r="H78" i="8"/>
  <c r="H77" i="8"/>
  <c r="H76" i="8"/>
  <c r="H74" i="8"/>
  <c r="H73" i="8"/>
  <c r="H72" i="8"/>
  <c r="H71" i="8"/>
  <c r="H70" i="8"/>
  <c r="H69" i="8"/>
  <c r="H68" i="8"/>
  <c r="H67" i="8"/>
  <c r="H66" i="8"/>
  <c r="H65" i="8"/>
  <c r="H64" i="8"/>
  <c r="Q61" i="8"/>
  <c r="P61" i="8"/>
  <c r="O61" i="8"/>
  <c r="N61" i="8"/>
  <c r="M61" i="8" a="1"/>
  <c r="K61" i="8"/>
  <c r="H57" i="8"/>
  <c r="H56" i="8"/>
  <c r="H55" i="8"/>
  <c r="H54" i="8"/>
  <c r="H53" i="8"/>
  <c r="H52" i="8"/>
  <c r="H51" i="8"/>
  <c r="H50" i="8"/>
  <c r="H49" i="8"/>
  <c r="H48" i="8"/>
  <c r="H47" i="8"/>
  <c r="P46" i="8"/>
  <c r="H46" i="8"/>
  <c r="H45" i="8"/>
  <c r="H44" i="8"/>
  <c r="H43" i="8"/>
  <c r="H42" i="8"/>
  <c r="H41" i="8"/>
  <c r="H40" i="8"/>
  <c r="H39" i="8"/>
  <c r="H38" i="8"/>
  <c r="M37" i="8"/>
  <c r="H37" i="8"/>
  <c r="Q34" i="8"/>
  <c r="P34" i="8"/>
  <c r="O34" i="8"/>
  <c r="M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4" i="8"/>
  <c r="H13" i="8"/>
  <c r="H12" i="8"/>
  <c r="H11" i="8"/>
  <c r="H10" i="8"/>
  <c r="H9" i="8"/>
  <c r="H8" i="8"/>
  <c r="H7" i="8"/>
  <c r="H6" i="8"/>
  <c r="K5" i="8"/>
  <c r="H5" i="8"/>
  <c r="Q3" i="8"/>
  <c r="P3" i="8"/>
  <c r="O3" i="8"/>
  <c r="N3" i="8"/>
  <c r="M3" i="8"/>
  <c r="I29" i="7"/>
  <c r="H29" i="7"/>
  <c r="E10" i="7"/>
  <c r="F10" i="7" s="1"/>
  <c r="E11" i="7" s="1"/>
  <c r="F11" i="7" s="1"/>
  <c r="E12" i="7" s="1"/>
  <c r="Q314" i="8" l="1"/>
  <c r="N314" i="8"/>
  <c r="P106" i="8"/>
  <c r="L149" i="8"/>
  <c r="N106" i="8"/>
  <c r="R314" i="8"/>
  <c r="R240" i="8"/>
  <c r="R106" i="8"/>
  <c r="T106" i="8" s="1"/>
  <c r="M64" i="8"/>
  <c r="K62" i="8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6" i="8"/>
  <c r="K7" i="8" s="1"/>
  <c r="K8" i="8" s="1"/>
  <c r="K9" i="8" s="1"/>
  <c r="K10" i="8" s="1"/>
  <c r="K11" i="8" s="1"/>
  <c r="K12" i="8" s="1"/>
  <c r="K13" i="8" s="1"/>
  <c r="K14" i="8" s="1"/>
  <c r="K16" i="8" s="1"/>
  <c r="R3" i="8"/>
  <c r="T3" i="8" s="1"/>
  <c r="T243" i="8"/>
  <c r="O196" i="8"/>
  <c r="Q196" i="8" s="1"/>
  <c r="M96" i="8"/>
  <c r="R96" i="8" s="1"/>
  <c r="T96" i="8" s="1"/>
  <c r="K17" i="8"/>
  <c r="K18" i="8" s="1"/>
  <c r="K19" i="8" s="1"/>
  <c r="K150" i="8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R34" i="8"/>
  <c r="T34" i="8" s="1"/>
  <c r="H34" i="8"/>
  <c r="K20" i="8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107" i="8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L30" i="8"/>
  <c r="R243" i="8"/>
  <c r="U240" i="8"/>
  <c r="S240" i="8"/>
  <c r="P240" i="8"/>
  <c r="M149" i="8"/>
  <c r="K97" i="8"/>
  <c r="K98" i="8" s="1"/>
  <c r="K99" i="8" s="1"/>
  <c r="K100" i="8" s="1"/>
  <c r="K101" i="8" s="1"/>
  <c r="K102" i="8" s="1"/>
  <c r="K103" i="8" s="1"/>
  <c r="K104" i="8" s="1"/>
  <c r="W83" i="8"/>
  <c r="K76" i="8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P243" i="8"/>
  <c r="K37" i="8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D29" i="7"/>
  <c r="E8" i="7" s="1"/>
  <c r="T240" i="8" l="1"/>
  <c r="T314" i="8"/>
  <c r="M75" i="8"/>
  <c r="K141" i="8"/>
  <c r="K142" i="8" s="1"/>
  <c r="K143" i="8" s="1"/>
  <c r="K144" i="8" s="1"/>
  <c r="K145" i="8" s="1"/>
  <c r="K146" i="8" s="1"/>
  <c r="K147" i="8" s="1"/>
  <c r="Q240" i="8"/>
  <c r="R247" i="8" s="1"/>
  <c r="T247" i="8" s="1"/>
  <c r="K171" i="8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90" i="8"/>
  <c r="K91" i="8" s="1"/>
  <c r="K92" i="8" s="1"/>
  <c r="K93" i="8" s="1"/>
  <c r="K94" i="8" s="1"/>
  <c r="R61" i="8"/>
  <c r="T61" i="8" s="1"/>
  <c r="O149" i="8"/>
  <c r="Q149" i="8" s="1"/>
  <c r="F12" i="7"/>
  <c r="E13" i="7" s="1"/>
  <c r="M14" i="8" l="1"/>
  <c r="F13" i="7"/>
  <c r="E14" i="7" s="1"/>
  <c r="F14" i="7" l="1"/>
  <c r="E15" i="7" l="1"/>
  <c r="F15" i="7" s="1"/>
  <c r="E16" i="7" s="1"/>
  <c r="F16" i="7" s="1"/>
  <c r="E17" i="7" s="1"/>
  <c r="F17" i="7" l="1"/>
  <c r="E18" i="7" s="1"/>
  <c r="F18" i="7" l="1"/>
  <c r="E19" i="7" s="1"/>
  <c r="F19" i="7" l="1"/>
  <c r="E20" i="7" s="1"/>
  <c r="F20" i="7" l="1"/>
  <c r="E21" i="7" s="1"/>
  <c r="F21" i="7" l="1"/>
  <c r="E22" i="7" s="1"/>
  <c r="F22" i="7" l="1"/>
  <c r="E23" i="7" s="1"/>
  <c r="F23" i="7" l="1"/>
  <c r="E24" i="7" s="1"/>
  <c r="F24" i="7" l="1"/>
  <c r="E25" i="7" s="1"/>
  <c r="F25" i="7" l="1"/>
  <c r="E26" i="7" s="1"/>
  <c r="F26" i="7" l="1"/>
  <c r="E27" i="7" s="1"/>
  <c r="F27" i="7" l="1"/>
  <c r="E28" i="7" s="1"/>
  <c r="F28" i="7" l="1"/>
  <c r="F29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<sst xmlns="http://schemas.openxmlformats.org/spreadsheetml/2006/main" count="1803" uniqueCount="415">
  <si>
    <t>CENTRO DE TRABAJO:</t>
  </si>
  <si>
    <t>SEMANA No:</t>
  </si>
  <si>
    <t>REPORTE SEMANAL DE DIESEL</t>
  </si>
  <si>
    <t>FECHA DE CARGA</t>
  </si>
  <si>
    <t xml:space="preserve">EQUIPO </t>
  </si>
  <si>
    <t>OPERADOR</t>
  </si>
  <si>
    <t>FECHA DE ENTRADA</t>
  </si>
  <si>
    <t>LITROS</t>
  </si>
  <si>
    <t>FACTURADO</t>
  </si>
  <si>
    <t>ENTRADA EN LITROS</t>
  </si>
  <si>
    <t>DIESEL INICIAL SEMANAL :</t>
  </si>
  <si>
    <t>DIESEL FINAL :</t>
  </si>
  <si>
    <t>TOTAL:</t>
  </si>
  <si>
    <t>LITROS SOBRANTES:</t>
  </si>
  <si>
    <t>LITROS INICIALES</t>
  </si>
  <si>
    <t>LITROS FINALES</t>
  </si>
  <si>
    <t>PERIODO:</t>
  </si>
  <si>
    <t>ELABORO:</t>
  </si>
  <si>
    <t>OPERADOR MARIMBA:</t>
  </si>
  <si>
    <t>ENCARGADO DE CENTRO DE TRABAJO:</t>
  </si>
  <si>
    <t>REVISO:</t>
  </si>
  <si>
    <t>JDJ EQUIPO Y CONSTRUCCIONES SA DE CV.</t>
  </si>
  <si>
    <t>REGISTRO SOLICITUD DE DIESEL/MAQUINARIA</t>
  </si>
  <si>
    <t>SEMANA 09</t>
  </si>
  <si>
    <t>FECHA</t>
  </si>
  <si>
    <t>CENTRO DE OBRA</t>
  </si>
  <si>
    <t>LITROS SOL</t>
  </si>
  <si>
    <t>LTS SURT</t>
  </si>
  <si>
    <t>MAQUINA</t>
  </si>
  <si>
    <t>NOMBRE DEL OPERADOR</t>
  </si>
  <si>
    <t>LECTURA DE CUENTA LITROS</t>
  </si>
  <si>
    <t>TOTAL</t>
  </si>
  <si>
    <t>FECHA SOLICITUD DE DIESEL</t>
  </si>
  <si>
    <t>LTS ENTREGADOS</t>
  </si>
  <si>
    <t>LTS HASTA EL MOMENTO</t>
  </si>
  <si>
    <t>LIBRAMIENTO</t>
  </si>
  <si>
    <t>NIÑOS HEROES</t>
  </si>
  <si>
    <t>CHAMAPA LA VENTA</t>
  </si>
  <si>
    <t>OBRAS PUBLICAS</t>
  </si>
  <si>
    <t>PLANTA PEGASO</t>
  </si>
  <si>
    <t xml:space="preserve">LIT ENTREGADOS </t>
  </si>
  <si>
    <t xml:space="preserve">SOBRANTE </t>
  </si>
  <si>
    <t xml:space="preserve">LIBRAMIENTO </t>
  </si>
  <si>
    <t>100LTS</t>
  </si>
  <si>
    <t>VOGELE/LIMPIEZA</t>
  </si>
  <si>
    <t>JOSE</t>
  </si>
  <si>
    <t>4000LTS</t>
  </si>
  <si>
    <t>NIÑOS  HEROES</t>
  </si>
  <si>
    <t>300LTS</t>
  </si>
  <si>
    <t>MARIMBA</t>
  </si>
  <si>
    <t>BRANDON CISNEROS</t>
  </si>
  <si>
    <t>-</t>
  </si>
  <si>
    <t>BACHEO</t>
  </si>
  <si>
    <t>115LTS</t>
  </si>
  <si>
    <t>VBDONES</t>
  </si>
  <si>
    <t>TOMAS ARANDA</t>
  </si>
  <si>
    <t>204LTS</t>
  </si>
  <si>
    <t>PAYLODER</t>
  </si>
  <si>
    <t>JOSE ALVAREZ</t>
  </si>
  <si>
    <t>460LTS</t>
  </si>
  <si>
    <t>BIDONES</t>
  </si>
  <si>
    <t>BRIAN ALFONSO</t>
  </si>
  <si>
    <t>400LTS</t>
  </si>
  <si>
    <t>PERFILADORA 2</t>
  </si>
  <si>
    <t>ALAN GUTIERREZ</t>
  </si>
  <si>
    <t>50LTS</t>
  </si>
  <si>
    <t>PIPA DE AGUA</t>
  </si>
  <si>
    <t>BROCOLI</t>
  </si>
  <si>
    <t>20LTS</t>
  </si>
  <si>
    <t>60LTS</t>
  </si>
  <si>
    <t>PETROLIZADORA</t>
  </si>
  <si>
    <t>PETRO BROCOLI</t>
  </si>
  <si>
    <t>30LTS</t>
  </si>
  <si>
    <t>NEUMATICO DINAPAC</t>
  </si>
  <si>
    <t>SOBRANTE TOTAL</t>
  </si>
  <si>
    <t>68LTS</t>
  </si>
  <si>
    <t>COMPACTADOR</t>
  </si>
  <si>
    <t>200LTS</t>
  </si>
  <si>
    <t>PERFILADORA</t>
  </si>
  <si>
    <t>117LTS</t>
  </si>
  <si>
    <t>VOGELE</t>
  </si>
  <si>
    <t>BRANDON</t>
  </si>
  <si>
    <t>IMPACTO</t>
  </si>
  <si>
    <t>89LTS</t>
  </si>
  <si>
    <t>COMPRESOR</t>
  </si>
  <si>
    <t>LEONCIO MARTINEZ</t>
  </si>
  <si>
    <t>40LTS</t>
  </si>
  <si>
    <t>BARREDORA</t>
  </si>
  <si>
    <t>FERNANDO ANGELES</t>
  </si>
  <si>
    <t>RETROEXCAVADORA</t>
  </si>
  <si>
    <t xml:space="preserve">FRANCISCO </t>
  </si>
  <si>
    <t>80LTS</t>
  </si>
  <si>
    <t>FRANCISCO GOMORA</t>
  </si>
  <si>
    <t xml:space="preserve">BIDON </t>
  </si>
  <si>
    <t>ELTHON EDUARDO</t>
  </si>
  <si>
    <t>18LTS</t>
  </si>
  <si>
    <t>PLANCHA CAT</t>
  </si>
  <si>
    <t>TOTAL GASTADO</t>
  </si>
  <si>
    <t>70LTS</t>
  </si>
  <si>
    <t xml:space="preserve">BRANDON </t>
  </si>
  <si>
    <t>261LTS</t>
  </si>
  <si>
    <t>SEMANA 10</t>
  </si>
  <si>
    <t>SAUL</t>
  </si>
  <si>
    <t>BULEVARD AEROPUERTO</t>
  </si>
  <si>
    <t>04.03.2026</t>
  </si>
  <si>
    <t>NEUMATICO</t>
  </si>
  <si>
    <t>410LTS</t>
  </si>
  <si>
    <t>BIDON</t>
  </si>
  <si>
    <t>BARREDORA LAY MOR NARANJA</t>
  </si>
  <si>
    <t>21LTS</t>
  </si>
  <si>
    <t>BARREDORA SUPERIOR BROM</t>
  </si>
  <si>
    <t>PIPA</t>
  </si>
  <si>
    <t>ELTHON</t>
  </si>
  <si>
    <t>BARREDORA LAYMOR</t>
  </si>
  <si>
    <t xml:space="preserve">RETROEXCAVADORA </t>
  </si>
  <si>
    <t>FACTURA EMITIDA</t>
  </si>
  <si>
    <t>LITROS ADQ</t>
  </si>
  <si>
    <t>Lts adquiridos</t>
  </si>
  <si>
    <t>600/80</t>
  </si>
  <si>
    <t>CRIBA,TECNO</t>
  </si>
  <si>
    <t>JOSE DE JESUS</t>
  </si>
  <si>
    <t>DOBLE RODILLO</t>
  </si>
  <si>
    <t>JOSE MANUEL</t>
  </si>
  <si>
    <t>NEUMATICO VOLVO</t>
  </si>
  <si>
    <t>MARCO ESTRADA</t>
  </si>
  <si>
    <t>04.02.2026</t>
  </si>
  <si>
    <t>303LTS</t>
  </si>
  <si>
    <t xml:space="preserve">PERFILADORA </t>
  </si>
  <si>
    <t>JUAN CARLOS</t>
  </si>
  <si>
    <t>05.03.2026</t>
  </si>
  <si>
    <t>800LTS</t>
  </si>
  <si>
    <t>CRIBA, BIDON</t>
  </si>
  <si>
    <t>SAUL GARCIA</t>
  </si>
  <si>
    <t>BOULEVARD AEROPUERTO</t>
  </si>
  <si>
    <t>MAXILIFE</t>
  </si>
  <si>
    <t>FRANCISCO</t>
  </si>
  <si>
    <t>HUIXQUILUCAN</t>
  </si>
  <si>
    <t>05.023.2026</t>
  </si>
  <si>
    <t xml:space="preserve">BARREDORA </t>
  </si>
  <si>
    <t>BOULEVARD AEROPUERTO70LTS</t>
  </si>
  <si>
    <t>06.03.2026</t>
  </si>
  <si>
    <t>TOMAS</t>
  </si>
  <si>
    <t xml:space="preserve">DIESEL DE RESERVA </t>
  </si>
  <si>
    <t>500LTS</t>
  </si>
  <si>
    <t>92LTS</t>
  </si>
  <si>
    <t>380LTS</t>
  </si>
  <si>
    <t>25LTS</t>
  </si>
  <si>
    <t>TOTAL SOBRANTE</t>
  </si>
  <si>
    <t>RESERVA</t>
  </si>
  <si>
    <t>NEUMATICO DYNAPAC</t>
  </si>
  <si>
    <t>195LTS</t>
  </si>
  <si>
    <t>07.03.2026</t>
  </si>
  <si>
    <t>FERNANDO</t>
  </si>
  <si>
    <t>40LLTS</t>
  </si>
  <si>
    <t>FRANCISCO J</t>
  </si>
  <si>
    <t>140LTS</t>
  </si>
  <si>
    <t>SE AGARRO</t>
  </si>
  <si>
    <t>25.03.2026</t>
  </si>
  <si>
    <t>65LTS</t>
  </si>
  <si>
    <t>DOBLE RODILLO HAMM</t>
  </si>
  <si>
    <t>QUEDAN</t>
  </si>
  <si>
    <t>BIDON PARA BARREDORA</t>
  </si>
  <si>
    <t>BIDON BARREDORA AMARRILLA</t>
  </si>
  <si>
    <t>09.03.2026</t>
  </si>
  <si>
    <t>NEU. DYNAPAC</t>
  </si>
  <si>
    <t>151LTS</t>
  </si>
  <si>
    <t>102LTS</t>
  </si>
  <si>
    <t>10.03.2026</t>
  </si>
  <si>
    <t>DIEGO</t>
  </si>
  <si>
    <t>PLANTA  PEGASO</t>
  </si>
  <si>
    <t>170LTS</t>
  </si>
  <si>
    <t>FRANCISCO G</t>
  </si>
  <si>
    <t>SEMANA 11</t>
  </si>
  <si>
    <t>ARCO NORTE</t>
  </si>
  <si>
    <t>11.03.2026</t>
  </si>
  <si>
    <t>127LTS</t>
  </si>
  <si>
    <t>VOGEL</t>
  </si>
  <si>
    <t>MILITARES</t>
  </si>
  <si>
    <t>12.03.2026</t>
  </si>
  <si>
    <t>45LTS</t>
  </si>
  <si>
    <t>URIEL GOMORA</t>
  </si>
  <si>
    <t>13.02.2026</t>
  </si>
  <si>
    <t>13.03.2026</t>
  </si>
  <si>
    <t>136LTS</t>
  </si>
  <si>
    <t xml:space="preserve">VOGEL </t>
  </si>
  <si>
    <t>NEUMÁTICO</t>
  </si>
  <si>
    <t>RODILLO HAMM</t>
  </si>
  <si>
    <t>LUIS AANGEL</t>
  </si>
  <si>
    <t>1000LTS</t>
  </si>
  <si>
    <t>BIDON/TECNO</t>
  </si>
  <si>
    <t>14.03.2026</t>
  </si>
  <si>
    <t>17.03.2026</t>
  </si>
  <si>
    <t>304LTS</t>
  </si>
  <si>
    <t>JOSE AL</t>
  </si>
  <si>
    <t>150LTS</t>
  </si>
  <si>
    <t xml:space="preserve">ELTHON </t>
  </si>
  <si>
    <t>20/LIMPIEZA</t>
  </si>
  <si>
    <t>VOGELE-3</t>
  </si>
  <si>
    <t>BONAICE</t>
  </si>
  <si>
    <t>18.03.2026</t>
  </si>
  <si>
    <t>55LTS</t>
  </si>
  <si>
    <t>RETROEXCAVADORA 580N</t>
  </si>
  <si>
    <t>ALEJANDRO M</t>
  </si>
  <si>
    <t>152LTS</t>
  </si>
  <si>
    <t>20 LIMPIEZA</t>
  </si>
  <si>
    <t>RETROEXCAVADORA 426C</t>
  </si>
  <si>
    <t>ALFREDO</t>
  </si>
  <si>
    <t>203LTS</t>
  </si>
  <si>
    <t>LUIS ANGEL</t>
  </si>
  <si>
    <t>DOBLE RODILLO CAT</t>
  </si>
  <si>
    <t>160LTS</t>
  </si>
  <si>
    <t>NEUMATICO CAT</t>
  </si>
  <si>
    <t>HUMBERTO</t>
  </si>
  <si>
    <t>87LTS</t>
  </si>
  <si>
    <t>DOBLE RODI.HAMM</t>
  </si>
  <si>
    <t>HUGO SANCHEZ</t>
  </si>
  <si>
    <t>SEMANA 12</t>
  </si>
  <si>
    <t>3958LTS</t>
  </si>
  <si>
    <t>19.03.2026</t>
  </si>
  <si>
    <t>MAXILIGHT</t>
  </si>
  <si>
    <t>TAMBO</t>
  </si>
  <si>
    <t>RETROEXCAVADORA 310K</t>
  </si>
  <si>
    <t>165LTS</t>
  </si>
  <si>
    <t>250LTS</t>
  </si>
  <si>
    <t>34LTS</t>
  </si>
  <si>
    <t>811LTS</t>
  </si>
  <si>
    <t>21.03.2026</t>
  </si>
  <si>
    <t>350LTS</t>
  </si>
  <si>
    <t>42LTS</t>
  </si>
  <si>
    <t>JUAN MANUEL</t>
  </si>
  <si>
    <t>MARCO</t>
  </si>
  <si>
    <t>64LTS</t>
  </si>
  <si>
    <t>32LTS</t>
  </si>
  <si>
    <t>23.03.2026</t>
  </si>
  <si>
    <t>81LTS</t>
  </si>
  <si>
    <t>24.03.2026</t>
  </si>
  <si>
    <t>168LTS</t>
  </si>
  <si>
    <t>230LTS</t>
  </si>
  <si>
    <t>62LTS</t>
  </si>
  <si>
    <t>TADEM</t>
  </si>
  <si>
    <t>TOTAL EN  FACTURA</t>
  </si>
  <si>
    <t>22LTS</t>
  </si>
  <si>
    <t>VOGELE -3</t>
  </si>
  <si>
    <t>CRISTIAN</t>
  </si>
  <si>
    <t>91LTS</t>
  </si>
  <si>
    <t>JONATHAN</t>
  </si>
  <si>
    <t>PLANTA PEGASO/ASFALTOS</t>
  </si>
  <si>
    <t>700LTS</t>
  </si>
  <si>
    <t>BARREDORA BROOM</t>
  </si>
  <si>
    <t>INOCENTE</t>
  </si>
  <si>
    <t>MARIMBA 25.03.2026</t>
  </si>
  <si>
    <t>1001LTS</t>
  </si>
  <si>
    <t>PLANCHA</t>
  </si>
  <si>
    <t>PLANTA  PEGASO/ASFALTOS</t>
  </si>
  <si>
    <t xml:space="preserve">SEMANA 14 </t>
  </si>
  <si>
    <t>26.03.2026</t>
  </si>
  <si>
    <t>MIGUEL</t>
  </si>
  <si>
    <t>VICENTE LOMBARDO</t>
  </si>
  <si>
    <t xml:space="preserve">PLANTA ASFALTOS </t>
  </si>
  <si>
    <t>SUPER VIA</t>
  </si>
  <si>
    <t>174LTS</t>
  </si>
  <si>
    <t>MARIMBA 1001</t>
  </si>
  <si>
    <t>180LTS</t>
  </si>
  <si>
    <t>23LTS</t>
  </si>
  <si>
    <t>RETRO 310K</t>
  </si>
  <si>
    <t>FRANCISCO JAVIER</t>
  </si>
  <si>
    <t>LIMPIEZA/VOGELE</t>
  </si>
  <si>
    <t>27.03.2026</t>
  </si>
  <si>
    <t xml:space="preserve">JOSE DE JESUS </t>
  </si>
  <si>
    <t>30.03.2026</t>
  </si>
  <si>
    <t xml:space="preserve">FRANCISCO JAVIER </t>
  </si>
  <si>
    <t>155LTS</t>
  </si>
  <si>
    <t>27LTS</t>
  </si>
  <si>
    <t>59LTS</t>
  </si>
  <si>
    <t>RETRO 426C</t>
  </si>
  <si>
    <t>206LTS</t>
  </si>
  <si>
    <t>MAEIMBA</t>
  </si>
  <si>
    <t>CAMIONETA 3/2</t>
  </si>
  <si>
    <t>38LTS</t>
  </si>
  <si>
    <t>NAUMATICO DYNAPAC</t>
  </si>
  <si>
    <t>39LTS</t>
  </si>
  <si>
    <t>BARREDORA NARANJA</t>
  </si>
  <si>
    <t>MARIMBA TRAJO 1000LTS A MAQUINARIA</t>
  </si>
  <si>
    <t>PLANTA PEGASO/ASSFALTOS</t>
  </si>
  <si>
    <t>56lts</t>
  </si>
  <si>
    <t>31.03.2026</t>
  </si>
  <si>
    <t>NAUMATICO VOLVO</t>
  </si>
  <si>
    <t>TADEM CAT</t>
  </si>
  <si>
    <t>HUGIO SANCHEZ</t>
  </si>
  <si>
    <t>600LTS</t>
  </si>
  <si>
    <t>ING. ABRAHAM</t>
  </si>
  <si>
    <t>01.04.2026</t>
  </si>
  <si>
    <t>A</t>
  </si>
  <si>
    <t>CHAMAPA</t>
  </si>
  <si>
    <t>SUPERVIA</t>
  </si>
  <si>
    <t xml:space="preserve">PLANTA PEGASO </t>
  </si>
  <si>
    <t>BULEVARD</t>
  </si>
  <si>
    <t>HUIXQUI</t>
  </si>
  <si>
    <t>61LTS</t>
  </si>
  <si>
    <t>06.04.2026</t>
  </si>
  <si>
    <t>FACTURAS RECIBIDAS</t>
  </si>
  <si>
    <t>185LTS</t>
  </si>
  <si>
    <t>A-8637</t>
  </si>
  <si>
    <t>A-8713</t>
  </si>
  <si>
    <t>A-8734</t>
  </si>
  <si>
    <t>41LTS</t>
  </si>
  <si>
    <t>A-8739</t>
  </si>
  <si>
    <t>A-8774</t>
  </si>
  <si>
    <t>31LTS</t>
  </si>
  <si>
    <t>A-8845</t>
  </si>
  <si>
    <t>47LTS</t>
  </si>
  <si>
    <t>A-8884</t>
  </si>
  <si>
    <t>06..04.2026</t>
  </si>
  <si>
    <t>A-8900</t>
  </si>
  <si>
    <t>A-8903</t>
  </si>
  <si>
    <t>A-9002</t>
  </si>
  <si>
    <t>A-8969</t>
  </si>
  <si>
    <t>A-9035</t>
  </si>
  <si>
    <t>06.01.2026</t>
  </si>
  <si>
    <t>207LTS</t>
  </si>
  <si>
    <t>10LTS</t>
  </si>
  <si>
    <t>07.04.2026</t>
  </si>
  <si>
    <t>196KTS</t>
  </si>
  <si>
    <t>54LTS</t>
  </si>
  <si>
    <t>19LTS</t>
  </si>
  <si>
    <t>08.04.2026</t>
  </si>
  <si>
    <t>175LTS</t>
  </si>
  <si>
    <t>GERARDO PIÑA</t>
  </si>
  <si>
    <t>INOCEMTE</t>
  </si>
  <si>
    <t>RETRO</t>
  </si>
  <si>
    <t>BONICE</t>
  </si>
  <si>
    <t>09.04.2026</t>
  </si>
  <si>
    <t>PAYLODER HUIXQUI</t>
  </si>
  <si>
    <t>67LTS</t>
  </si>
  <si>
    <t>ALEJANDRO</t>
  </si>
  <si>
    <t>JULIAN</t>
  </si>
  <si>
    <t>10.04.2026</t>
  </si>
  <si>
    <t>435LTS</t>
  </si>
  <si>
    <t>77LTS</t>
  </si>
  <si>
    <t>11.04.2026</t>
  </si>
  <si>
    <t>56LTS</t>
  </si>
  <si>
    <t>JULIAN PIÑA</t>
  </si>
  <si>
    <t>223LTS</t>
  </si>
  <si>
    <t>13.04.2026</t>
  </si>
  <si>
    <t>BARREDORA BROM</t>
  </si>
  <si>
    <t>18lts</t>
  </si>
  <si>
    <t>48LTS</t>
  </si>
  <si>
    <t>14.04.2026</t>
  </si>
  <si>
    <t>49LTS</t>
  </si>
  <si>
    <t>200LTA</t>
  </si>
  <si>
    <t>15.04.2026</t>
  </si>
  <si>
    <t>182LTS</t>
  </si>
  <si>
    <t xml:space="preserve">TOMAS ARANDA </t>
  </si>
  <si>
    <t>MARIMBA 1000</t>
  </si>
  <si>
    <t>CAMIONETA 3/2 4000LTS</t>
  </si>
  <si>
    <t>16.04.2026</t>
  </si>
  <si>
    <t>BIDONES/CRIBA</t>
  </si>
  <si>
    <t>BIDONES/GENERADOR</t>
  </si>
  <si>
    <t>110LTS</t>
  </si>
  <si>
    <t>CARMELO</t>
  </si>
  <si>
    <t>17.04.2026</t>
  </si>
  <si>
    <t>VOGELE-2</t>
  </si>
  <si>
    <t>ARRIBA 120</t>
  </si>
  <si>
    <t>98LTS</t>
  </si>
  <si>
    <t>25 POR TURNO</t>
  </si>
  <si>
    <t>PERFILADORA LITRO POR CORTE MAXIMO 200LTS</t>
  </si>
  <si>
    <t>44LTS</t>
  </si>
  <si>
    <t>RETRO 310SK</t>
  </si>
  <si>
    <t>18.04.2026</t>
  </si>
  <si>
    <t>1200LTS</t>
  </si>
  <si>
    <t>20.04.2026</t>
  </si>
  <si>
    <t>21.04.2026</t>
  </si>
  <si>
    <t>22.04.2026</t>
  </si>
  <si>
    <t>23.04.2026</t>
  </si>
  <si>
    <t xml:space="preserve">MAQUINARIA </t>
  </si>
  <si>
    <t>24LTS</t>
  </si>
  <si>
    <t>51LTS</t>
  </si>
  <si>
    <t>74LTS</t>
  </si>
  <si>
    <t>16LTS</t>
  </si>
  <si>
    <t>120LTS</t>
  </si>
  <si>
    <t>137LTS</t>
  </si>
  <si>
    <t>86LTS</t>
  </si>
  <si>
    <t>190LTS</t>
  </si>
  <si>
    <t>SE REGRESO</t>
  </si>
  <si>
    <t>GENERADOR, CRIBA Y TECNO</t>
  </si>
  <si>
    <t>BARREDORA ANARANJADA</t>
  </si>
  <si>
    <t>GENERADOR</t>
  </si>
  <si>
    <t xml:space="preserve">PETROLIZADORA </t>
  </si>
  <si>
    <t>BARREDORA AMARILLA</t>
  </si>
  <si>
    <t>BARREDPRA NARANJA</t>
  </si>
  <si>
    <t xml:space="preserve">GENERADOR </t>
  </si>
  <si>
    <t>TRIAZO</t>
  </si>
  <si>
    <t>BIDON/ PRUEBA</t>
  </si>
  <si>
    <t>RODILLO HAM 120H</t>
  </si>
  <si>
    <t xml:space="preserve">JOSE ALVAREZ </t>
  </si>
  <si>
    <t xml:space="preserve">GERARDO PIÑA </t>
  </si>
  <si>
    <t>CHIQUILLO</t>
  </si>
  <si>
    <t>ALBERTO</t>
  </si>
  <si>
    <t>DAMIAN</t>
  </si>
  <si>
    <t>ING</t>
  </si>
  <si>
    <t>HUGO</t>
  </si>
  <si>
    <t>MEXICO-TOLUCA</t>
  </si>
  <si>
    <t xml:space="preserve">DAYAN VILLEGAS </t>
  </si>
  <si>
    <t xml:space="preserve">ING. FRANCISCO JAVIER PEREZ </t>
  </si>
  <si>
    <t>INICIO 12/JUNIO/2026</t>
  </si>
  <si>
    <t xml:space="preserve">PERFILADORA WIRTGEN RENTADA </t>
  </si>
  <si>
    <t>CUERPO B</t>
  </si>
  <si>
    <t>RETROEXCAVADORA 310SK</t>
  </si>
  <si>
    <t xml:space="preserve">ADOLFO </t>
  </si>
  <si>
    <t>TANDEM HAMM</t>
  </si>
  <si>
    <t xml:space="preserve">JULIAN PIÑA </t>
  </si>
  <si>
    <t xml:space="preserve">NEUMATICO VOLVO </t>
  </si>
  <si>
    <t xml:space="preserve">LUIS ANGEL </t>
  </si>
  <si>
    <t>EDGAR</t>
  </si>
  <si>
    <t xml:space="preserve">17 DE JUNIO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</si>
</sst>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#,##0&quot; LTS&quot;"/>
    <numFmt numFmtId="165" formatCode="[$-F800]dddd\,\ mmmm\ dd\,\ yyyy"/>
  </numFmts>
  <fonts count="21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3"/>
      <color theme="0"/>
      <name val="Arial"/>
      <family val="2"/>
    </font>
    <font>
      <sz val="20"/>
      <name val="Arial"/>
      <family val="2"/>
    </font>
    <font>
      <b/>
      <sz val="22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Segoe UI Semibold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2" borderId="3" xfId="0" applyFill="1" applyBorder="1"/>
    <xf numFmtId="0" fontId="3" fillId="3" borderId="4" xfId="0" applyFont="1" applyFill="1" applyBorder="1" applyAlignment="1">
      <alignment horizontal="right" vertical="center"/>
    </xf>
    <xf numFmtId="0" fontId="0" fillId="2" borderId="7" xfId="0" applyFill="1" applyBorder="1" applyAlignment="1">
      <alignment horizontal="right"/>
    </xf>
    <xf numFmtId="0" fontId="7" fillId="2" borderId="8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4" fontId="11" fillId="5" borderId="10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164" fontId="12" fillId="0" borderId="11" xfId="0" applyNumberFormat="1" applyFont="1" applyBorder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14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right" vertical="center"/>
    </xf>
    <xf numFmtId="2" fontId="8" fillId="4" borderId="0" xfId="0" applyNumberFormat="1" applyFont="1" applyFill="1" applyAlignment="1">
      <alignment horizontal="center" vertical="center"/>
    </xf>
    <xf numFmtId="44" fontId="8" fillId="4" borderId="0" xfId="0" applyNumberFormat="1" applyFont="1" applyFill="1" applyAlignment="1">
      <alignment horizontal="center" vertical="center"/>
    </xf>
    <xf numFmtId="0" fontId="8" fillId="0" borderId="0" xfId="0" applyFont="1"/>
    <xf numFmtId="0" fontId="8" fillId="4" borderId="0" xfId="0" applyFont="1" applyFill="1" applyAlignment="1">
      <alignment horizontal="center" vertical="center" wrapText="1"/>
    </xf>
    <xf numFmtId="165" fontId="0" fillId="2" borderId="2" xfId="0" applyNumberFormat="1" applyFill="1" applyBorder="1"/>
    <xf numFmtId="165" fontId="0" fillId="2" borderId="6" xfId="0" applyNumberFormat="1" applyFill="1" applyBorder="1"/>
    <xf numFmtId="165" fontId="10" fillId="3" borderId="4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165" fontId="0" fillId="0" borderId="0" xfId="0" applyNumberFormat="1"/>
    <xf numFmtId="164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4" fillId="0" borderId="5" xfId="0" applyFont="1" applyBorder="1" applyAlignment="1">
      <alignment horizont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9" borderId="18" xfId="0" applyFill="1" applyBorder="1" applyAlignment="1">
      <alignment wrapText="1"/>
    </xf>
    <xf numFmtId="0" fontId="0" fillId="5" borderId="18" xfId="0" applyFill="1" applyBorder="1" applyAlignment="1">
      <alignment wrapText="1"/>
    </xf>
    <xf numFmtId="0" fontId="0" fillId="10" borderId="18" xfId="0" applyFill="1" applyBorder="1" applyAlignment="1">
      <alignment wrapText="1"/>
    </xf>
    <xf numFmtId="0" fontId="0" fillId="11" borderId="18" xfId="0" applyFill="1" applyBorder="1" applyAlignment="1">
      <alignment wrapText="1"/>
    </xf>
    <xf numFmtId="0" fontId="0" fillId="12" borderId="18" xfId="0" applyFill="1" applyBorder="1" applyAlignment="1">
      <alignment wrapText="1"/>
    </xf>
    <xf numFmtId="0" fontId="17" fillId="13" borderId="18" xfId="0" applyFont="1" applyFill="1" applyBorder="1"/>
    <xf numFmtId="0" fontId="0" fillId="13" borderId="18" xfId="0" applyFill="1" applyBorder="1"/>
    <xf numFmtId="0" fontId="0" fillId="8" borderId="17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8" xfId="0" applyBorder="1"/>
    <xf numFmtId="14" fontId="0" fillId="0" borderId="23" xfId="0" applyNumberFormat="1" applyBorder="1"/>
    <xf numFmtId="0" fontId="0" fillId="9" borderId="23" xfId="0" applyFill="1" applyBorder="1"/>
    <xf numFmtId="0" fontId="0" fillId="0" borderId="23" xfId="0" applyBorder="1"/>
    <xf numFmtId="14" fontId="0" fillId="0" borderId="18" xfId="0" applyNumberFormat="1" applyBorder="1"/>
    <xf numFmtId="0" fontId="0" fillId="5" borderId="18" xfId="0" applyFill="1" applyBorder="1"/>
    <xf numFmtId="0" fontId="0" fillId="0" borderId="18" xfId="0" applyBorder="1" applyAlignment="1">
      <alignment horizontal="right" vertical="center"/>
    </xf>
    <xf numFmtId="0" fontId="0" fillId="14" borderId="18" xfId="0" applyFill="1" applyBorder="1"/>
    <xf numFmtId="0" fontId="0" fillId="11" borderId="18" xfId="0" applyFill="1" applyBorder="1"/>
    <xf numFmtId="0" fontId="0" fillId="12" borderId="18" xfId="0" applyFill="1" applyBorder="1"/>
    <xf numFmtId="0" fontId="0" fillId="10" borderId="18" xfId="0" applyFill="1" applyBorder="1"/>
    <xf numFmtId="0" fontId="0" fillId="9" borderId="18" xfId="0" applyFill="1" applyBorder="1"/>
    <xf numFmtId="0" fontId="0" fillId="0" borderId="24" xfId="0" applyBorder="1"/>
    <xf numFmtId="0" fontId="0" fillId="15" borderId="18" xfId="0" applyFill="1" applyBorder="1" applyAlignment="1">
      <alignment horizontal="center"/>
    </xf>
    <xf numFmtId="14" fontId="0" fillId="16" borderId="18" xfId="0" applyNumberFormat="1" applyFill="1" applyBorder="1"/>
    <xf numFmtId="0" fontId="0" fillId="16" borderId="18" xfId="0" applyFill="1" applyBorder="1" applyAlignment="1">
      <alignment horizontal="center"/>
    </xf>
    <xf numFmtId="0" fontId="0" fillId="16" borderId="18" xfId="0" applyFill="1" applyBorder="1"/>
    <xf numFmtId="0" fontId="0" fillId="16" borderId="0" xfId="0" applyFill="1"/>
    <xf numFmtId="0" fontId="0" fillId="17" borderId="18" xfId="0" applyFill="1" applyBorder="1"/>
    <xf numFmtId="0" fontId="0" fillId="18" borderId="18" xfId="0" applyFill="1" applyBorder="1"/>
    <xf numFmtId="0" fontId="0" fillId="15" borderId="18" xfId="0" applyFill="1" applyBorder="1"/>
    <xf numFmtId="0" fontId="0" fillId="2" borderId="18" xfId="0" applyFill="1" applyBorder="1"/>
    <xf numFmtId="0" fontId="0" fillId="19" borderId="18" xfId="0" applyFill="1" applyBorder="1"/>
    <xf numFmtId="0" fontId="0" fillId="20" borderId="0" xfId="0" applyFill="1"/>
    <xf numFmtId="0" fontId="0" fillId="20" borderId="18" xfId="0" applyFill="1" applyBorder="1"/>
    <xf numFmtId="14" fontId="0" fillId="0" borderId="0" xfId="0" applyNumberFormat="1"/>
    <xf numFmtId="0" fontId="0" fillId="20" borderId="22" xfId="0" applyFill="1" applyBorder="1"/>
    <xf numFmtId="0" fontId="0" fillId="0" borderId="22" xfId="0" applyBorder="1"/>
    <xf numFmtId="0" fontId="0" fillId="21" borderId="18" xfId="0" applyFill="1" applyBorder="1"/>
    <xf numFmtId="0" fontId="0" fillId="21" borderId="0" xfId="0" applyFill="1"/>
    <xf numFmtId="0" fontId="0" fillId="22" borderId="18" xfId="0" applyFill="1" applyBorder="1"/>
    <xf numFmtId="0" fontId="0" fillId="23" borderId="18" xfId="0" applyFill="1" applyBorder="1"/>
    <xf numFmtId="0" fontId="0" fillId="23" borderId="0" xfId="0" applyFill="1"/>
    <xf numFmtId="0" fontId="0" fillId="0" borderId="31" xfId="0" applyBorder="1"/>
    <xf numFmtId="0" fontId="0" fillId="23" borderId="34" xfId="0" applyFill="1" applyBorder="1"/>
    <xf numFmtId="0" fontId="0" fillId="25" borderId="18" xfId="0" applyFill="1" applyBorder="1"/>
    <xf numFmtId="0" fontId="0" fillId="19" borderId="0" xfId="0" applyFill="1"/>
    <xf numFmtId="0" fontId="0" fillId="26" borderId="18" xfId="0" applyFill="1" applyBorder="1"/>
    <xf numFmtId="0" fontId="0" fillId="21" borderId="22" xfId="0" applyFill="1" applyBorder="1"/>
    <xf numFmtId="0" fontId="0" fillId="7" borderId="18" xfId="0" applyFill="1" applyBorder="1"/>
    <xf numFmtId="0" fontId="0" fillId="27" borderId="18" xfId="0" applyFill="1" applyBorder="1" applyAlignment="1">
      <alignment wrapText="1"/>
    </xf>
    <xf numFmtId="0" fontId="0" fillId="28" borderId="18" xfId="0" applyFill="1" applyBorder="1"/>
    <xf numFmtId="0" fontId="0" fillId="27" borderId="18" xfId="0" applyFill="1" applyBorder="1"/>
    <xf numFmtId="3" fontId="0" fillId="0" borderId="0" xfId="0" applyNumberFormat="1"/>
    <xf numFmtId="0" fontId="0" fillId="29" borderId="0" xfId="0" applyFill="1"/>
    <xf numFmtId="0" fontId="0" fillId="30" borderId="18" xfId="0" applyFill="1" applyBorder="1"/>
    <xf numFmtId="0" fontId="0" fillId="31" borderId="18" xfId="0" applyFill="1" applyBorder="1"/>
    <xf numFmtId="16" fontId="0" fillId="0" borderId="18" xfId="0" applyNumberFormat="1" applyBorder="1"/>
    <xf numFmtId="0" fontId="0" fillId="32" borderId="18" xfId="0" applyFill="1" applyBorder="1"/>
    <xf numFmtId="0" fontId="0" fillId="24" borderId="18" xfId="0" applyFill="1" applyBorder="1"/>
    <xf numFmtId="0" fontId="18" fillId="24" borderId="18" xfId="0" applyFont="1" applyFill="1" applyBorder="1"/>
    <xf numFmtId="49" fontId="20" fillId="0" borderId="18" xfId="0" applyNumberFormat="1" applyFont="1" applyBorder="1" applyAlignment="1">
      <alignment horizontal="center"/>
    </xf>
    <xf numFmtId="14" fontId="20" fillId="0" borderId="18" xfId="0" applyNumberFormat="1" applyFont="1" applyBorder="1" applyAlignment="1">
      <alignment horizontal="center"/>
    </xf>
    <xf numFmtId="44" fontId="20" fillId="0" borderId="18" xfId="0" applyNumberFormat="1" applyFont="1" applyBorder="1" applyAlignment="1">
      <alignment horizontal="center"/>
    </xf>
    <xf numFmtId="44" fontId="0" fillId="0" borderId="0" xfId="0" applyNumberFormat="1"/>
    <xf numFmtId="14" fontId="0" fillId="14" borderId="18" xfId="0" applyNumberFormat="1" applyFill="1" applyBorder="1"/>
    <xf numFmtId="0" fontId="0" fillId="15" borderId="18" xfId="0" applyFill="1" applyBorder="1" applyAlignment="1">
      <alignment wrapText="1"/>
    </xf>
    <xf numFmtId="0" fontId="0" fillId="26" borderId="18" xfId="0" applyFill="1" applyBorder="1" applyAlignment="1">
      <alignment wrapText="1"/>
    </xf>
    <xf numFmtId="0" fontId="0" fillId="33" borderId="18" xfId="0" applyFill="1" applyBorder="1"/>
    <xf numFmtId="0" fontId="13" fillId="6" borderId="15" xfId="0" applyFont="1" applyFill="1" applyBorder="1" applyAlignment="1">
      <alignment horizontal="center" vertical="center"/>
    </xf>
    <xf numFmtId="0" fontId="14" fillId="6" borderId="16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6" fillId="0" borderId="14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14" fontId="6" fillId="2" borderId="1" xfId="0" applyNumberFormat="1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35" xfId="0" applyBorder="1" applyAlignment="1">
      <alignment horizontal="center"/>
    </xf>
    <xf numFmtId="0" fontId="0" fillId="25" borderId="21" xfId="0" applyFill="1" applyBorder="1" applyAlignment="1">
      <alignment horizontal="center"/>
    </xf>
    <xf numFmtId="0" fontId="0" fillId="25" borderId="32" xfId="0" applyFill="1" applyBorder="1" applyAlignment="1">
      <alignment horizontal="center"/>
    </xf>
    <xf numFmtId="0" fontId="0" fillId="25" borderId="33" xfId="0" applyFill="1" applyBorder="1" applyAlignment="1">
      <alignment horizontal="center"/>
    </xf>
    <xf numFmtId="0" fontId="15" fillId="7" borderId="0" xfId="0" applyFont="1" applyFill="1" applyAlignment="1">
      <alignment horizontal="center"/>
    </xf>
    <xf numFmtId="0" fontId="15" fillId="7" borderId="17" xfId="0" applyFont="1" applyFill="1" applyBorder="1" applyAlignment="1">
      <alignment horizontal="center"/>
    </xf>
    <xf numFmtId="0" fontId="0" fillId="24" borderId="25" xfId="0" applyFill="1" applyBorder="1" applyAlignment="1">
      <alignment horizontal="center"/>
    </xf>
    <xf numFmtId="0" fontId="0" fillId="24" borderId="26" xfId="0" applyFill="1" applyBorder="1" applyAlignment="1">
      <alignment horizontal="center"/>
    </xf>
    <xf numFmtId="0" fontId="0" fillId="24" borderId="27" xfId="0" applyFill="1" applyBorder="1" applyAlignment="1">
      <alignment horizontal="center"/>
    </xf>
    <xf numFmtId="0" fontId="0" fillId="24" borderId="24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24" borderId="17" xfId="0" applyFill="1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24" borderId="30" xfId="0" applyFill="1" applyBorder="1" applyAlignment="1">
      <alignment horizontal="center"/>
    </xf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9" formatCode="dd/mm/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numFmt numFmtId="165" formatCode="[$-F800]dddd\,\ mmmm\ dd\,\ yyyy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</border>
    </dxf>
    <dxf>
      <numFmt numFmtId="3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#,##0&quot; LTS&quot;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rgb="FF002060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15239</xdr:colOff>
      <xdr:row>0</xdr:row>
      <xdr:rowOff>129540</xdr:rowOff>
    </xdr:from>
    <xdr:ext cx="1501141" cy="769620"/>
    <xdr:pic>
      <xdr:nvPicPr>
        <xdr:cNvPr id="3" name="image1.png">
          <a:extLst>
            <a:ext uri="{FF2B5EF4-FFF2-40B4-BE49-F238E27FC236}">
              <a16:creationId xmlns:a16="http://schemas.microsoft.com/office/drawing/2014/main" id="{5380DA91-AB5C-465F-9904-C4DDE61A51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73839" y="129540"/>
          <a:ext cx="1501141" cy="76962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804334</xdr:colOff>
      <xdr:row>0</xdr:row>
      <xdr:rowOff>0</xdr:rowOff>
    </xdr:from>
    <xdr:to>
      <xdr:col>1</xdr:col>
      <xdr:colOff>825848</xdr:colOff>
      <xdr:row>6</xdr:row>
      <xdr:rowOff>51229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99040A-0DE6-FD80-04EC-6112F5DD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4334" y="0"/>
          <a:ext cx="2222500" cy="17657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ARGAS%20DE%20DIESEL%2015ABRIL2026.xlsx" TargetMode="External"/><Relationship Id="rId2" Type="http://schemas.openxmlformats.org/officeDocument/2006/relationships/externalLinkPath" Target="file:///C:\Users\ANTONIO%20IBA&#209;EZ\Desktop\Registro%20de%20Diesel\CARGAS%20DE%20DIESEL%2015ABRIL2026.xlsx" TargetMode="External"/><Relationship Id="rId1" Type="http://schemas.openxmlformats.org/officeDocument/2006/relationships/externalLinkPath" Target="/Users/ANTONIO%20IBA&#209;EZ/Desktop/Registro%20de%20Diesel/CARGAS%20DE%20DIESEL%2015ABRIL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RGAS"/>
      <sheetName val="FACTURAS"/>
      <sheetName val="Hoja3"/>
      <sheetName val="C.LIB"/>
      <sheetName val="Hoja1"/>
      <sheetName val="LIBRAMIENTO"/>
      <sheetName val="CON.OBRAS"/>
      <sheetName val="CON.PLANTA"/>
      <sheetName val="CON.ASFALTO"/>
    </sheetNames>
    <sheetDataSet>
      <sheetData sheetId="0"/>
      <sheetData sheetId="1"/>
      <sheetData sheetId="2"/>
      <sheetData sheetId="3">
        <row r="183">
          <cell r="H183">
            <v>260804</v>
          </cell>
        </row>
        <row r="184">
          <cell r="H184">
            <v>260854</v>
          </cell>
        </row>
        <row r="185">
          <cell r="H185">
            <v>261054</v>
          </cell>
        </row>
        <row r="186">
          <cell r="H186">
            <v>261084</v>
          </cell>
        </row>
        <row r="187">
          <cell r="H187">
            <v>261175</v>
          </cell>
        </row>
        <row r="188">
          <cell r="H188">
            <v>261975</v>
          </cell>
        </row>
        <row r="189">
          <cell r="H189">
            <v>262675</v>
          </cell>
        </row>
        <row r="190">
          <cell r="H190"/>
        </row>
        <row r="191">
          <cell r="H191">
            <v>262726</v>
          </cell>
        </row>
        <row r="192">
          <cell r="H192">
            <v>262756</v>
          </cell>
        </row>
        <row r="193">
          <cell r="H193">
            <v>262796</v>
          </cell>
        </row>
        <row r="194">
          <cell r="H194">
            <v>263796</v>
          </cell>
        </row>
        <row r="195">
          <cell r="H195">
            <v>263866</v>
          </cell>
        </row>
        <row r="196">
          <cell r="H196">
            <v>263896</v>
          </cell>
        </row>
        <row r="197">
          <cell r="H197">
            <v>263966</v>
          </cell>
        </row>
        <row r="198">
          <cell r="H198">
            <v>264267</v>
          </cell>
        </row>
        <row r="199">
          <cell r="H199">
            <v>265267</v>
          </cell>
        </row>
        <row r="200">
          <cell r="H200">
            <v>265441</v>
          </cell>
        </row>
        <row r="201">
          <cell r="H201">
            <v>265842</v>
          </cell>
        </row>
        <row r="202">
          <cell r="H202"/>
        </row>
        <row r="203">
          <cell r="H203">
            <v>266022</v>
          </cell>
        </row>
        <row r="204">
          <cell r="H204">
            <v>266045</v>
          </cell>
        </row>
        <row r="205">
          <cell r="H205">
            <v>266095</v>
          </cell>
        </row>
        <row r="206">
          <cell r="H206">
            <v>266135</v>
          </cell>
        </row>
        <row r="207">
          <cell r="H207">
            <v>266155</v>
          </cell>
        </row>
        <row r="208">
          <cell r="H208">
            <v>267155</v>
          </cell>
        </row>
        <row r="209">
          <cell r="H209"/>
        </row>
        <row r="210">
          <cell r="H210">
            <v>267226</v>
          </cell>
        </row>
        <row r="211">
          <cell r="H211">
            <v>267276</v>
          </cell>
        </row>
        <row r="212">
          <cell r="H212">
            <v>267526</v>
          </cell>
        </row>
        <row r="213">
          <cell r="H213">
            <v>267586</v>
          </cell>
        </row>
        <row r="214">
          <cell r="H214">
            <v>267637</v>
          </cell>
        </row>
        <row r="215">
          <cell r="H215">
            <v>267792</v>
          </cell>
        </row>
        <row r="216">
          <cell r="H216">
            <v>267818</v>
          </cell>
        </row>
        <row r="217">
          <cell r="H217">
            <v>267877</v>
          </cell>
        </row>
        <row r="218">
          <cell r="H218">
            <v>267918</v>
          </cell>
        </row>
        <row r="219">
          <cell r="H219">
            <v>268124</v>
          </cell>
        </row>
        <row r="220">
          <cell r="H220">
            <v>269124</v>
          </cell>
        </row>
        <row r="221">
          <cell r="H221"/>
        </row>
        <row r="222">
          <cell r="H222">
            <v>269163</v>
          </cell>
        </row>
        <row r="223">
          <cell r="H223">
            <v>269213</v>
          </cell>
        </row>
        <row r="224">
          <cell r="H224">
            <v>270213</v>
          </cell>
        </row>
        <row r="225">
          <cell r="H225">
            <v>270253</v>
          </cell>
        </row>
        <row r="226">
          <cell r="H226">
            <v>271253</v>
          </cell>
        </row>
        <row r="227">
          <cell r="H227">
            <v>271753</v>
          </cell>
        </row>
        <row r="228">
          <cell r="H228">
            <v>271809</v>
          </cell>
        </row>
        <row r="229">
          <cell r="H229">
            <v>271849</v>
          </cell>
        </row>
        <row r="230">
          <cell r="H230">
            <v>271899</v>
          </cell>
        </row>
        <row r="231">
          <cell r="H231">
            <v>271920</v>
          </cell>
        </row>
        <row r="232">
          <cell r="H232">
            <v>271980</v>
          </cell>
        </row>
        <row r="233">
          <cell r="H233">
            <v>272030</v>
          </cell>
        </row>
        <row r="234">
          <cell r="H234">
            <v>272080</v>
          </cell>
        </row>
        <row r="235">
          <cell r="H235">
            <v>272680</v>
          </cell>
        </row>
        <row r="236">
          <cell r="H236">
            <v>272731</v>
          </cell>
        </row>
        <row r="237">
          <cell r="H237">
            <v>272781</v>
          </cell>
        </row>
        <row r="238">
          <cell r="H238">
            <v>272831</v>
          </cell>
        </row>
        <row r="239">
          <cell r="H239">
            <v>272981</v>
          </cell>
        </row>
        <row r="240">
          <cell r="H240">
            <v>273042</v>
          </cell>
        </row>
        <row r="241">
          <cell r="H241">
            <v>273092</v>
          </cell>
        </row>
        <row r="242">
          <cell r="H242">
            <v>273192</v>
          </cell>
        </row>
        <row r="243">
          <cell r="H243">
            <v>273273</v>
          </cell>
        </row>
        <row r="244">
          <cell r="H244">
            <v>273333</v>
          </cell>
        </row>
        <row r="245">
          <cell r="H245">
            <v>273733</v>
          </cell>
        </row>
        <row r="246">
          <cell r="H246">
            <v>273963</v>
          </cell>
        </row>
        <row r="247">
          <cell r="H247">
            <v>274162</v>
          </cell>
        </row>
        <row r="248">
          <cell r="H248">
            <v>274222</v>
          </cell>
        </row>
        <row r="249">
          <cell r="H249">
            <v>274273</v>
          </cell>
        </row>
        <row r="250">
          <cell r="H250">
            <v>274458</v>
          </cell>
        </row>
        <row r="251">
          <cell r="H251">
            <v>274499</v>
          </cell>
        </row>
        <row r="252">
          <cell r="H252">
            <v>274539</v>
          </cell>
        </row>
        <row r="253">
          <cell r="H253">
            <v>274580</v>
          </cell>
        </row>
        <row r="254">
          <cell r="H254">
            <v>274641</v>
          </cell>
        </row>
        <row r="255">
          <cell r="H255">
            <v>274672</v>
          </cell>
        </row>
        <row r="256">
          <cell r="H256">
            <v>274719</v>
          </cell>
        </row>
        <row r="257">
          <cell r="H257">
            <v>274750</v>
          </cell>
        </row>
        <row r="258">
          <cell r="H258">
            <v>274800</v>
          </cell>
        </row>
        <row r="259">
          <cell r="H259">
            <v>274901</v>
          </cell>
        </row>
        <row r="260">
          <cell r="H260">
            <v>275701</v>
          </cell>
        </row>
        <row r="261">
          <cell r="H261">
            <v>275771</v>
          </cell>
        </row>
        <row r="262">
          <cell r="H262">
            <v>275978</v>
          </cell>
        </row>
        <row r="263">
          <cell r="H263">
            <v>275988</v>
          </cell>
        </row>
        <row r="264">
          <cell r="H264">
            <v>276008</v>
          </cell>
        </row>
        <row r="265">
          <cell r="H265">
            <v>276205</v>
          </cell>
        </row>
        <row r="266">
          <cell r="H266">
            <v>276259</v>
          </cell>
        </row>
        <row r="267">
          <cell r="H267">
            <v>276278</v>
          </cell>
        </row>
        <row r="268">
          <cell r="H268">
            <v>276358</v>
          </cell>
        </row>
        <row r="269">
          <cell r="H269">
            <v>276378</v>
          </cell>
        </row>
        <row r="270">
          <cell r="H270">
            <v>276429</v>
          </cell>
        </row>
        <row r="271">
          <cell r="H271">
            <v>276575</v>
          </cell>
        </row>
        <row r="272">
          <cell r="H272">
            <v>276635</v>
          </cell>
        </row>
        <row r="273">
          <cell r="H273">
            <v>277035</v>
          </cell>
        </row>
        <row r="274">
          <cell r="H274">
            <v>277210</v>
          </cell>
        </row>
        <row r="275">
          <cell r="H275">
            <v>277240</v>
          </cell>
        </row>
        <row r="276">
          <cell r="H276">
            <v>277281</v>
          </cell>
        </row>
        <row r="277">
          <cell r="H277">
            <v>277341</v>
          </cell>
        </row>
        <row r="278">
          <cell r="H278">
            <v>277382</v>
          </cell>
        </row>
        <row r="279">
          <cell r="H279">
            <v>277402</v>
          </cell>
        </row>
        <row r="280">
          <cell r="H280">
            <v>277432</v>
          </cell>
        </row>
        <row r="281">
          <cell r="H281">
            <v>277452</v>
          </cell>
        </row>
        <row r="282">
          <cell r="H282">
            <v>277640</v>
          </cell>
        </row>
        <row r="283">
          <cell r="H283">
            <v>277740</v>
          </cell>
        </row>
        <row r="284">
          <cell r="H284">
            <v>277807</v>
          </cell>
        </row>
        <row r="285">
          <cell r="H285">
            <v>277837</v>
          </cell>
        </row>
        <row r="286">
          <cell r="H286">
            <v>277892</v>
          </cell>
        </row>
        <row r="287">
          <cell r="H287">
            <v>277912</v>
          </cell>
        </row>
        <row r="288">
          <cell r="H288">
            <v>277947</v>
          </cell>
        </row>
        <row r="289">
          <cell r="H289">
            <v>278007</v>
          </cell>
        </row>
        <row r="290">
          <cell r="H290">
            <v>278442</v>
          </cell>
        </row>
        <row r="291">
          <cell r="H291">
            <v>279242</v>
          </cell>
        </row>
        <row r="292">
          <cell r="H292">
            <v>279417</v>
          </cell>
        </row>
        <row r="293">
          <cell r="H293">
            <v>279494</v>
          </cell>
        </row>
        <row r="294">
          <cell r="H294">
            <v>279574</v>
          </cell>
        </row>
        <row r="295">
          <cell r="H295">
            <v>279634</v>
          </cell>
        </row>
        <row r="296">
          <cell r="H296">
            <v>279691</v>
          </cell>
        </row>
        <row r="297">
          <cell r="H297">
            <v>279914</v>
          </cell>
        </row>
        <row r="298">
          <cell r="H298">
            <v>280914</v>
          </cell>
        </row>
        <row r="299">
          <cell r="H299">
            <v>280992</v>
          </cell>
        </row>
        <row r="300">
          <cell r="H300">
            <v>281084</v>
          </cell>
        </row>
        <row r="301">
          <cell r="H301">
            <v>281132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A9A36-0D3B-4AAC-A840-F53D337A36D7}" name="Tabla1" displayName="Tabla1" ref="A9:I29" totalsRowCount="1" headerRowDxfId="32" totalsRowDxfId="30" headerRowBorderDxfId="31">
  <autoFilter ref="A9:I28" xr:uid="{D18A9A36-0D3B-4AAC-A840-F53D337A36D7}"/>
  <tableColumns count="9">
    <tableColumn id="1" xr3:uid="{28BA6049-4DF0-4FA5-919D-BFB495A3898C}" name="FECHA DE CARGA" dataDxfId="29" totalsRowDxfId="8"/>
    <tableColumn id="2" xr3:uid="{C63565F4-20FD-4190-9CFF-168ED116ABED}" name="EQUIPO " dataDxfId="28" totalsRowDxfId="7"/>
    <tableColumn id="3" xr3:uid="{8C3A1241-FBBC-49B4-93A3-B7649322712C}" name="OPERADOR" totalsRowLabel="TOTAL:" dataDxfId="27" totalsRowDxfId="6"/>
    <tableColumn id="4" xr3:uid="{98D8F8DB-8143-4086-9F71-5391EAA2CD11}" name="LITROS" totalsRowFunction="custom" dataDxfId="26" totalsRowDxfId="5">
      <totalsRowFormula>SUM(Tabla1[LITROS])</totalsRowFormula>
    </tableColumn>
    <tableColumn id="5" xr3:uid="{0AB5A328-B763-4A76-9338-F48BD6FB244B}" name="LITROS INICIALES" totalsRowLabel="LITROS SOBRANTES:" dataDxfId="25" totalsRowDxfId="4">
      <calculatedColumnFormula>C8+Tabla1[[#This Row],[ENTRADA EN LITROS]]-D10</calculatedColumnFormula>
    </tableColumn>
    <tableColumn id="6" xr3:uid="{86B7E1E6-765B-4290-84C0-9E4F27CD408A}" name="LITROS FINALES" totalsRowFunction="custom" dataDxfId="24" totalsRowDxfId="3">
      <calculatedColumnFormula>E10+H10-Tabla1[[#This Row],[LITROS]]</calculatedColumnFormula>
      <totalsRowFormula>F28</totalsRowFormula>
    </tableColumn>
    <tableColumn id="7" xr3:uid="{65CA88D7-958F-408F-AC34-225662B181DC}" name="FECHA DE ENTRADA" dataDxfId="23" totalsRowDxfId="2"/>
    <tableColumn id="8" xr3:uid="{8F20BF8F-6516-4178-A216-2866330717D6}" name="ENTRADA EN LITROS" totalsRowFunction="custom" dataDxfId="22" totalsRowDxfId="1">
      <totalsRowFormula>SUM(Tabla1[ENTRADA EN LITROS])</totalsRowFormula>
    </tableColumn>
    <tableColumn id="9" xr3:uid="{A511BE44-22AC-46C6-8E87-5FC2B7E23C5E}" name="FACTURADO" totalsRowFunction="custom" dataDxfId="21" totalsRowDxfId="0">
      <totalsRowFormula>SUM(Tabla1[FACTURADO])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E8F2D4-B160-44DA-9668-511F8AD61434}" name="Tabla2" displayName="Tabla2" ref="A2:K3" insertRow="1" insertRowShift="1" totalsRowShown="0" tableBorderDxfId="20">
  <autoFilter ref="A2:K3" xr:uid="{25E8F2D4-B160-44DA-9668-511F8AD61434}"/>
  <tableColumns count="11">
    <tableColumn id="1" xr3:uid="{60E6792A-DF61-4867-B92A-CF1AF272ED8A}" name="FECHA" dataDxfId="19"/>
    <tableColumn id="2" xr3:uid="{89E748CE-44A3-45BF-96B2-F6DDE5D97F61}" name="CENTRO DE OBRA" dataDxfId="18"/>
    <tableColumn id="3" xr3:uid="{90E603C7-162C-4F8E-9CB5-D4A70C472E74}" name="LITROS SOL" dataDxfId="17"/>
    <tableColumn id="4" xr3:uid="{E7F063D2-3FD2-4E1C-90B0-A62A3035B1B3}" name="LTS SURT" dataDxfId="16"/>
    <tableColumn id="5" xr3:uid="{2A05426C-538D-4823-9DBF-E53BB24465AF}" name="MAQUINA" dataDxfId="15"/>
    <tableColumn id="6" xr3:uid="{92EDA584-845F-47AA-90F3-CA15EB01B227}" name="NOMBRE DEL OPERADOR" dataDxfId="14"/>
    <tableColumn id="7" xr3:uid="{7044F547-9007-4F67-A746-B3C7BB1F34AC}" name="LECTURA DE CUENTA LITROS" dataDxfId="13"/>
    <tableColumn id="8" xr3:uid="{8FBF3100-86F6-45AF-894D-7366A09CE023}" name="TOTAL" dataDxfId="12"/>
    <tableColumn id="9" xr3:uid="{26AA5248-BB05-4825-B664-EEB9B25FA7DB}" name="FECHA SOLICITUD DE DIESEL" dataDxfId="11"/>
    <tableColumn id="10" xr3:uid="{6BA359B3-5D0F-4244-BCC9-B1BC11BF0C77}" name="LTS ENTREGADOS" dataDxfId="10"/>
    <tableColumn id="11" xr3:uid="{E61A445A-6D00-45E8-9163-EF55FA0D4A76}" name="LTS HASTA EL MOMENTO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AC41-2F04-4E4A-B539-ECF1197713A8}">
  <sheetPr>
    <pageSetUpPr fitToPage="1"/>
  </sheetPr>
  <dimension ref="A1:I35"/>
  <sheetViews>
    <sheetView tabSelected="1" zoomScale="53" zoomScaleNormal="53" workbookViewId="0">
      <selection activeCell="C13" sqref="C13"/>
    </sheetView>
  </sheetViews>
  <sheetFormatPr baseColWidth="10" defaultRowHeight="14.4" x14ac:dyDescent="0.3"/>
  <cols>
    <col min="1" max="1" width="32" style="28" customWidth="1"/>
    <col min="2" max="2" width="36.109375" customWidth="1"/>
    <col min="3" max="3" width="35.21875" customWidth="1"/>
    <col min="4" max="4" width="19.44140625" customWidth="1"/>
    <col min="5" max="5" width="19.33203125" customWidth="1"/>
    <col min="6" max="6" width="19.6640625" customWidth="1"/>
    <col min="7" max="7" width="22.88671875" customWidth="1"/>
    <col min="8" max="8" width="20.88671875" customWidth="1"/>
    <col min="9" max="9" width="26.33203125" customWidth="1"/>
  </cols>
  <sheetData>
    <row r="1" spans="1:9" ht="25.2" thickBot="1" x14ac:dyDescent="0.45">
      <c r="A1" s="23"/>
      <c r="B1" s="1"/>
      <c r="C1" s="1"/>
      <c r="D1" s="1"/>
      <c r="E1" s="1"/>
      <c r="F1" s="1"/>
      <c r="G1" s="1"/>
      <c r="H1" s="2" t="s">
        <v>1</v>
      </c>
      <c r="I1" s="31">
        <v>25</v>
      </c>
    </row>
    <row r="2" spans="1:9" ht="28.2" x14ac:dyDescent="0.5">
      <c r="A2" s="118" t="s">
        <v>21</v>
      </c>
      <c r="B2" s="119"/>
      <c r="C2" s="119"/>
      <c r="D2" s="119"/>
      <c r="E2" s="119"/>
      <c r="F2" s="119"/>
      <c r="G2" s="119"/>
      <c r="H2" s="119"/>
      <c r="I2" s="120"/>
    </row>
    <row r="3" spans="1:9" ht="23.4" thickBot="1" x14ac:dyDescent="0.45">
      <c r="A3" s="121" t="s">
        <v>2</v>
      </c>
      <c r="B3" s="122"/>
      <c r="C3" s="122"/>
      <c r="D3" s="122"/>
      <c r="E3" s="122"/>
      <c r="F3" s="122"/>
      <c r="G3" s="122"/>
      <c r="H3" s="122"/>
      <c r="I3" s="123"/>
    </row>
    <row r="4" spans="1:9" ht="21.6" customHeight="1" thickBot="1" x14ac:dyDescent="0.35">
      <c r="A4" s="24"/>
      <c r="B4" s="14"/>
      <c r="C4" s="15"/>
      <c r="D4" s="15"/>
      <c r="E4" s="15"/>
      <c r="F4" s="15"/>
      <c r="G4" s="124" t="s">
        <v>0</v>
      </c>
      <c r="H4" s="124"/>
      <c r="I4" s="4" t="s">
        <v>401</v>
      </c>
    </row>
    <row r="5" spans="1:9" ht="21.6" customHeight="1" thickBot="1" x14ac:dyDescent="0.35">
      <c r="A5" s="24"/>
      <c r="B5" s="14"/>
      <c r="C5" s="15"/>
      <c r="D5" s="15"/>
      <c r="E5" s="15"/>
      <c r="F5" s="15"/>
      <c r="G5" s="30" t="s">
        <v>16</v>
      </c>
      <c r="H5" s="127" t="s">
        <v>414</v>
      </c>
      <c r="I5" s="128"/>
    </row>
    <row r="6" spans="1:9" ht="15" thickBot="1" x14ac:dyDescent="0.35">
      <c r="A6" s="25"/>
      <c r="B6" s="5"/>
      <c r="C6" s="5"/>
      <c r="D6" s="5"/>
      <c r="E6" s="5"/>
      <c r="F6" s="5"/>
      <c r="G6" s="5"/>
      <c r="H6" s="5"/>
      <c r="I6" s="6"/>
    </row>
    <row r="7" spans="1:9" x14ac:dyDescent="0.3">
      <c r="A7" s="24"/>
      <c r="B7" s="14"/>
      <c r="C7" s="14"/>
      <c r="D7" s="14"/>
      <c r="E7" s="14"/>
      <c r="F7" s="14"/>
      <c r="G7" s="14"/>
      <c r="H7" s="129" t="s">
        <v>404</v>
      </c>
      <c r="I7" s="130"/>
    </row>
    <row r="8" spans="1:9" ht="19.8" customHeight="1" thickBot="1" x14ac:dyDescent="0.35">
      <c r="A8" s="125" t="s">
        <v>10</v>
      </c>
      <c r="B8" s="126"/>
      <c r="C8" s="11">
        <v>520</v>
      </c>
      <c r="D8" s="12" t="s">
        <v>11</v>
      </c>
      <c r="E8" s="13">
        <f>C8+Tabla1[[#Totals],[ENTRADA EN LITROS]]-Tabla1[[#Totals],[LITROS]]</f>
        <v>0</v>
      </c>
      <c r="H8" s="14"/>
      <c r="I8" s="3" t="s">
        <v>406</v>
      </c>
    </row>
    <row r="9" spans="1:9" ht="28.2" thickBot="1" x14ac:dyDescent="0.35">
      <c r="A9" s="25" t="s">
        <v>3</v>
      </c>
      <c r="B9" s="5" t="s">
        <v>4</v>
      </c>
      <c r="C9" s="5" t="s">
        <v>5</v>
      </c>
      <c r="D9" s="5" t="s">
        <v>7</v>
      </c>
      <c r="E9" s="5" t="s">
        <v>14</v>
      </c>
      <c r="F9" s="5" t="s">
        <v>15</v>
      </c>
      <c r="G9" s="5" t="s">
        <v>6</v>
      </c>
      <c r="H9" s="5" t="s">
        <v>9</v>
      </c>
      <c r="I9" s="6" t="s">
        <v>8</v>
      </c>
    </row>
    <row r="10" spans="1:9" x14ac:dyDescent="0.3">
      <c r="A10" s="26">
        <v>46190</v>
      </c>
      <c r="B10" s="8" t="s">
        <v>405</v>
      </c>
      <c r="C10" s="8"/>
      <c r="D10" s="9">
        <v>200</v>
      </c>
      <c r="E10" s="29">
        <f>C8</f>
        <v>520</v>
      </c>
      <c r="F10" s="8">
        <f>E10+H10-Tabla1[[#This Row],[LITROS]]</f>
        <v>320</v>
      </c>
      <c r="G10" s="7"/>
      <c r="H10" s="8"/>
      <c r="I10" s="10"/>
    </row>
    <row r="11" spans="1:9" x14ac:dyDescent="0.3">
      <c r="A11" s="26">
        <v>46190</v>
      </c>
      <c r="B11" s="8" t="s">
        <v>407</v>
      </c>
      <c r="C11" s="8" t="s">
        <v>408</v>
      </c>
      <c r="D11" s="9">
        <v>60</v>
      </c>
      <c r="E11" s="29">
        <f>F10</f>
        <v>320</v>
      </c>
      <c r="F11" s="29">
        <f>E11+H11-Tabla1[[#This Row],[LITROS]]</f>
        <v>260</v>
      </c>
      <c r="G11" s="7"/>
      <c r="H11" s="8"/>
      <c r="I11" s="10"/>
    </row>
    <row r="12" spans="1:9" x14ac:dyDescent="0.3">
      <c r="A12" s="26">
        <v>46190</v>
      </c>
      <c r="B12" s="8" t="s">
        <v>409</v>
      </c>
      <c r="C12" s="8" t="s">
        <v>410</v>
      </c>
      <c r="D12" s="9">
        <v>32</v>
      </c>
      <c r="E12" s="29">
        <f t="shared" ref="E12:E28" si="0">F11</f>
        <v>260</v>
      </c>
      <c r="F12" s="8">
        <f>E12+H12-Tabla1[[#This Row],[LITROS]]</f>
        <v>228</v>
      </c>
      <c r="G12" s="7"/>
      <c r="H12" s="8"/>
      <c r="I12" s="10"/>
    </row>
    <row r="13" spans="1:9" x14ac:dyDescent="0.3">
      <c r="A13" s="26">
        <v>46190</v>
      </c>
      <c r="B13" s="8" t="s">
        <v>411</v>
      </c>
      <c r="C13" s="8" t="s">
        <v>412</v>
      </c>
      <c r="D13" s="9">
        <v>30</v>
      </c>
      <c r="E13" s="29">
        <f t="shared" si="0"/>
        <v>228</v>
      </c>
      <c r="F13" s="8">
        <f>E13+H13-Tabla1[[#This Row],[LITROS]]</f>
        <v>198</v>
      </c>
      <c r="G13" s="7"/>
      <c r="H13" s="8"/>
      <c r="I13" s="10"/>
    </row>
    <row r="14" spans="1:9" x14ac:dyDescent="0.3">
      <c r="A14" s="26">
        <v>46190</v>
      </c>
      <c r="B14" s="8" t="s">
        <v>197</v>
      </c>
      <c r="C14" s="8" t="s">
        <v>395</v>
      </c>
      <c r="D14" s="9">
        <v>120</v>
      </c>
      <c r="E14" s="29">
        <f t="shared" si="0"/>
        <v>198</v>
      </c>
      <c r="F14" s="8">
        <f>E14+H14-Tabla1[[#This Row],[LITROS]]</f>
        <v>78</v>
      </c>
      <c r="G14" s="7"/>
      <c r="H14" s="8"/>
      <c r="I14" s="10"/>
    </row>
    <row r="15" spans="1:9" x14ac:dyDescent="0.3">
      <c r="A15" s="26">
        <v>46190</v>
      </c>
      <c r="B15" s="8" t="s">
        <v>138</v>
      </c>
      <c r="C15" s="8" t="s">
        <v>413</v>
      </c>
      <c r="D15" s="9">
        <v>28</v>
      </c>
      <c r="E15" s="29">
        <f t="shared" si="0"/>
        <v>78</v>
      </c>
      <c r="F15" s="8">
        <f>E15+H15-Tabla1[[#This Row],[LITROS]]</f>
        <v>50</v>
      </c>
      <c r="G15" s="7"/>
      <c r="H15" s="8"/>
      <c r="I15" s="10"/>
    </row>
    <row r="16" spans="1:9" x14ac:dyDescent="0.3">
      <c r="A16" s="26">
        <v>46190</v>
      </c>
      <c r="B16" s="8" t="s">
        <v>387</v>
      </c>
      <c r="C16" s="8" t="s">
        <v>112</v>
      </c>
      <c r="D16" s="9">
        <v>50</v>
      </c>
      <c r="E16" s="29">
        <f t="shared" si="0"/>
        <v>50</v>
      </c>
      <c r="F16" s="8">
        <f>E16+H16-Tabla1[[#This Row],[LITROS]]</f>
        <v>0</v>
      </c>
      <c r="G16" s="7"/>
      <c r="H16" s="8"/>
      <c r="I16" s="10"/>
    </row>
    <row r="17" spans="1:9" x14ac:dyDescent="0.3">
      <c r="A17" s="26"/>
      <c r="B17" s="8"/>
      <c r="C17" s="8"/>
      <c r="D17" s="9"/>
      <c r="E17" s="29">
        <f t="shared" si="0"/>
        <v>0</v>
      </c>
      <c r="F17" s="8">
        <f>E17+H17-Tabla1[[#This Row],[LITROS]]</f>
        <v>0</v>
      </c>
      <c r="G17" s="7"/>
      <c r="H17" s="8"/>
      <c r="I17" s="10"/>
    </row>
    <row r="18" spans="1:9" x14ac:dyDescent="0.3">
      <c r="A18" s="26"/>
      <c r="B18" s="8"/>
      <c r="C18" s="8"/>
      <c r="D18" s="9"/>
      <c r="E18" s="29">
        <f t="shared" si="0"/>
        <v>0</v>
      </c>
      <c r="F18" s="8">
        <f>E18+H18-Tabla1[[#This Row],[LITROS]]</f>
        <v>0</v>
      </c>
      <c r="G18" s="7"/>
      <c r="H18" s="8"/>
      <c r="I18" s="10"/>
    </row>
    <row r="19" spans="1:9" x14ac:dyDescent="0.3">
      <c r="A19" s="26"/>
      <c r="B19" s="8"/>
      <c r="C19" s="8"/>
      <c r="D19" s="9"/>
      <c r="E19" s="29">
        <f t="shared" si="0"/>
        <v>0</v>
      </c>
      <c r="F19" s="8">
        <f>E19+H19-Tabla1[[#This Row],[LITROS]]</f>
        <v>0</v>
      </c>
      <c r="G19" s="7"/>
      <c r="H19" s="8"/>
      <c r="I19" s="10"/>
    </row>
    <row r="20" spans="1:9" x14ac:dyDescent="0.3">
      <c r="A20" s="26"/>
      <c r="B20" s="8"/>
      <c r="C20" s="8"/>
      <c r="D20" s="9"/>
      <c r="E20" s="29">
        <f t="shared" si="0"/>
        <v>0</v>
      </c>
      <c r="F20" s="8">
        <f>E20+H20-Tabla1[[#This Row],[LITROS]]</f>
        <v>0</v>
      </c>
      <c r="G20" s="7"/>
      <c r="H20" s="8"/>
      <c r="I20" s="10"/>
    </row>
    <row r="21" spans="1:9" x14ac:dyDescent="0.3">
      <c r="A21" s="26"/>
      <c r="B21" s="8"/>
      <c r="C21" s="8"/>
      <c r="D21" s="9"/>
      <c r="E21" s="29">
        <f t="shared" si="0"/>
        <v>0</v>
      </c>
      <c r="F21" s="8">
        <f>E21+H21-Tabla1[[#This Row],[LITROS]]</f>
        <v>0</v>
      </c>
      <c r="G21" s="7"/>
      <c r="H21" s="8"/>
      <c r="I21" s="10"/>
    </row>
    <row r="22" spans="1:9" x14ac:dyDescent="0.3">
      <c r="A22" s="26"/>
      <c r="B22" s="8"/>
      <c r="C22" s="8"/>
      <c r="D22" s="9"/>
      <c r="E22" s="29">
        <f t="shared" si="0"/>
        <v>0</v>
      </c>
      <c r="F22" s="8">
        <f>E22+H22-Tabla1[[#This Row],[LITROS]]</f>
        <v>0</v>
      </c>
      <c r="G22" s="7"/>
      <c r="H22" s="8"/>
      <c r="I22" s="10"/>
    </row>
    <row r="23" spans="1:9" x14ac:dyDescent="0.3">
      <c r="A23" s="26"/>
      <c r="B23" s="8"/>
      <c r="C23" s="8"/>
      <c r="D23" s="9"/>
      <c r="E23" s="29">
        <f t="shared" si="0"/>
        <v>0</v>
      </c>
      <c r="F23" s="8">
        <f>E23+H23-Tabla1[[#This Row],[LITROS]]</f>
        <v>0</v>
      </c>
      <c r="G23" s="7"/>
      <c r="H23" s="8"/>
      <c r="I23" s="10"/>
    </row>
    <row r="24" spans="1:9" x14ac:dyDescent="0.3">
      <c r="A24" s="26"/>
      <c r="B24" s="8"/>
      <c r="C24" s="8"/>
      <c r="D24" s="9"/>
      <c r="E24" s="29">
        <f t="shared" si="0"/>
        <v>0</v>
      </c>
      <c r="F24" s="8">
        <f>E24+H24-Tabla1[[#This Row],[LITROS]]</f>
        <v>0</v>
      </c>
      <c r="G24" s="7"/>
      <c r="H24" s="8"/>
      <c r="I24" s="10"/>
    </row>
    <row r="25" spans="1:9" x14ac:dyDescent="0.3">
      <c r="A25" s="26"/>
      <c r="B25" s="8"/>
      <c r="C25" s="8"/>
      <c r="D25" s="9"/>
      <c r="E25" s="29">
        <f t="shared" si="0"/>
        <v>0</v>
      </c>
      <c r="F25" s="8">
        <f>E25+H25-Tabla1[[#This Row],[LITROS]]</f>
        <v>0</v>
      </c>
      <c r="G25" s="7"/>
      <c r="H25" s="8"/>
      <c r="I25" s="10"/>
    </row>
    <row r="26" spans="1:9" x14ac:dyDescent="0.3">
      <c r="A26" s="26"/>
      <c r="B26" s="8"/>
      <c r="C26" s="8"/>
      <c r="D26" s="9"/>
      <c r="E26" s="29">
        <f t="shared" si="0"/>
        <v>0</v>
      </c>
      <c r="F26" s="8">
        <f>E26+H26-Tabla1[[#This Row],[LITROS]]</f>
        <v>0</v>
      </c>
      <c r="G26" s="7"/>
      <c r="H26" s="8"/>
      <c r="I26" s="10"/>
    </row>
    <row r="27" spans="1:9" x14ac:dyDescent="0.3">
      <c r="A27" s="26"/>
      <c r="B27" s="8"/>
      <c r="C27" s="8"/>
      <c r="D27" s="9"/>
      <c r="E27" s="29">
        <f t="shared" si="0"/>
        <v>0</v>
      </c>
      <c r="F27" s="8">
        <f>E27+H27-Tabla1[[#This Row],[LITROS]]</f>
        <v>0</v>
      </c>
      <c r="G27" s="7"/>
      <c r="H27" s="8"/>
      <c r="I27" s="10"/>
    </row>
    <row r="28" spans="1:9" x14ac:dyDescent="0.3">
      <c r="A28" s="26"/>
      <c r="B28" s="8"/>
      <c r="C28" s="8"/>
      <c r="D28" s="9"/>
      <c r="E28" s="29">
        <f t="shared" si="0"/>
        <v>0</v>
      </c>
      <c r="F28" s="8">
        <f>E28+H28-Tabla1[[#This Row],[LITROS]]</f>
        <v>0</v>
      </c>
      <c r="G28" s="7"/>
      <c r="H28" s="8"/>
      <c r="I28" s="10"/>
    </row>
    <row r="29" spans="1:9" s="21" customFormat="1" ht="30.6" customHeight="1" x14ac:dyDescent="0.3">
      <c r="A29" s="27"/>
      <c r="B29" s="17"/>
      <c r="C29" s="18" t="s">
        <v>12</v>
      </c>
      <c r="D29" s="19">
        <f>SUM(Tabla1[LITROS])</f>
        <v>520</v>
      </c>
      <c r="E29" s="22" t="s">
        <v>13</v>
      </c>
      <c r="F29" s="17">
        <f>F28</f>
        <v>0</v>
      </c>
      <c r="G29" s="16"/>
      <c r="H29" s="19">
        <f>SUM(Tabla1[ENTRADA EN LITROS])</f>
        <v>0</v>
      </c>
      <c r="I29" s="20">
        <f>SUM(Tabla1[FACTURADO])</f>
        <v>0</v>
      </c>
    </row>
    <row r="31" spans="1:9" ht="15" thickBot="1" x14ac:dyDescent="0.35"/>
    <row r="32" spans="1:9" ht="43.2" customHeight="1" thickBot="1" x14ac:dyDescent="0.35">
      <c r="A32" s="114" t="s">
        <v>17</v>
      </c>
      <c r="B32" s="110"/>
      <c r="C32" s="111" t="s">
        <v>402</v>
      </c>
      <c r="D32" s="112"/>
      <c r="E32" s="112"/>
      <c r="F32" s="113"/>
    </row>
    <row r="33" spans="1:6" ht="43.2" customHeight="1" thickBot="1" x14ac:dyDescent="0.35">
      <c r="A33" s="114" t="s">
        <v>18</v>
      </c>
      <c r="B33" s="110"/>
      <c r="C33" s="115" t="s">
        <v>99</v>
      </c>
      <c r="D33" s="116"/>
      <c r="E33" s="116"/>
      <c r="F33" s="117"/>
    </row>
    <row r="34" spans="1:6" ht="43.2" customHeight="1" thickBot="1" x14ac:dyDescent="0.35">
      <c r="A34" s="109" t="s">
        <v>19</v>
      </c>
      <c r="B34" s="110"/>
      <c r="C34" s="115" t="s">
        <v>403</v>
      </c>
      <c r="D34" s="116"/>
      <c r="E34" s="116"/>
      <c r="F34" s="117"/>
    </row>
    <row r="35" spans="1:6" ht="43.2" customHeight="1" thickBot="1" x14ac:dyDescent="0.35">
      <c r="A35" s="109" t="s">
        <v>20</v>
      </c>
      <c r="B35" s="110"/>
      <c r="C35" s="111"/>
      <c r="D35" s="112"/>
      <c r="E35" s="112"/>
      <c r="F35" s="113"/>
    </row>
  </sheetData>
  <mergeCells count="14">
    <mergeCell ref="A2:I2"/>
    <mergeCell ref="A3:I3"/>
    <mergeCell ref="G4:H4"/>
    <mergeCell ref="A8:B8"/>
    <mergeCell ref="H5:I5"/>
    <mergeCell ref="H7:I7"/>
    <mergeCell ref="A35:B35"/>
    <mergeCell ref="C35:F35"/>
    <mergeCell ref="A32:B32"/>
    <mergeCell ref="C32:F32"/>
    <mergeCell ref="A33:B33"/>
    <mergeCell ref="C33:F33"/>
    <mergeCell ref="A34:B34"/>
    <mergeCell ref="C34:F34"/>
  </mergeCells>
  <phoneticPr fontId="9" type="noConversion"/>
  <pageMargins left="0.25" right="0.25" top="0.75" bottom="0.75" header="0.3" footer="0.3"/>
  <pageSetup scale="58" orientation="landscape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2FC4-5D65-4918-BAA0-C10A9D0E014D}">
  <dimension ref="A1:W430"/>
  <sheetViews>
    <sheetView topLeftCell="A340" zoomScale="45" workbookViewId="0">
      <selection activeCell="E326" sqref="E326"/>
    </sheetView>
  </sheetViews>
  <sheetFormatPr baseColWidth="10" defaultRowHeight="14.4" x14ac:dyDescent="0.3"/>
  <cols>
    <col min="1" max="1" width="15.77734375" customWidth="1"/>
    <col min="2" max="2" width="24.88671875" customWidth="1"/>
    <col min="3" max="3" width="18.109375" customWidth="1"/>
    <col min="4" max="4" width="15.44140625" customWidth="1"/>
    <col min="5" max="5" width="16.77734375" customWidth="1"/>
    <col min="6" max="6" width="33.6640625" customWidth="1"/>
    <col min="7" max="7" width="38.88671875" customWidth="1"/>
    <col min="9" max="9" width="38.88671875" customWidth="1"/>
    <col min="10" max="10" width="25.44140625" customWidth="1"/>
    <col min="11" max="11" width="33.6640625" customWidth="1"/>
    <col min="12" max="12" width="14.21875" customWidth="1"/>
    <col min="13" max="13" width="18.88671875" customWidth="1"/>
    <col min="14" max="14" width="14.6640625" customWidth="1"/>
    <col min="15" max="15" width="16.21875" customWidth="1"/>
    <col min="16" max="16" width="18" customWidth="1"/>
    <col min="17" max="17" width="17.44140625" customWidth="1"/>
    <col min="18" max="18" width="17.6640625" customWidth="1"/>
    <col min="19" max="20" width="17.88671875" customWidth="1"/>
  </cols>
  <sheetData>
    <row r="1" spans="1:20" ht="61.8" thickBot="1" x14ac:dyDescent="1.1499999999999999">
      <c r="A1" s="139" t="s">
        <v>22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40"/>
      <c r="M1" s="132" t="s">
        <v>23</v>
      </c>
      <c r="N1" s="133"/>
      <c r="O1" s="133"/>
      <c r="P1" s="133"/>
    </row>
    <row r="2" spans="1:20" ht="32.4" thickBot="1" x14ac:dyDescent="0.6">
      <c r="A2" s="32" t="s">
        <v>24</v>
      </c>
      <c r="B2" s="33" t="s">
        <v>25</v>
      </c>
      <c r="C2" s="33" t="s">
        <v>26</v>
      </c>
      <c r="D2" s="33" t="s">
        <v>27</v>
      </c>
      <c r="E2" s="33" t="s">
        <v>28</v>
      </c>
      <c r="F2" s="34" t="s">
        <v>29</v>
      </c>
      <c r="G2" s="35" t="s">
        <v>30</v>
      </c>
      <c r="H2" s="36" t="s">
        <v>31</v>
      </c>
      <c r="I2" s="37" t="s">
        <v>32</v>
      </c>
      <c r="J2" s="35" t="s">
        <v>33</v>
      </c>
      <c r="K2" s="38" t="s">
        <v>34</v>
      </c>
      <c r="M2" s="39" t="s">
        <v>35</v>
      </c>
      <c r="N2" s="40" t="s">
        <v>36</v>
      </c>
      <c r="O2" s="41" t="s">
        <v>37</v>
      </c>
      <c r="P2" s="42" t="s">
        <v>38</v>
      </c>
      <c r="Q2" s="43" t="s">
        <v>39</v>
      </c>
      <c r="R2" s="44" t="s">
        <v>31</v>
      </c>
      <c r="S2" s="45" t="s">
        <v>40</v>
      </c>
      <c r="T2" s="45" t="s">
        <v>41</v>
      </c>
    </row>
    <row r="3" spans="1:20" x14ac:dyDescent="0.3">
      <c r="A3" s="46"/>
      <c r="B3" s="47"/>
      <c r="C3" s="47"/>
      <c r="D3" s="47"/>
      <c r="E3" s="47"/>
      <c r="F3" s="48"/>
      <c r="G3" s="35"/>
      <c r="H3" s="49"/>
      <c r="I3" s="37"/>
      <c r="J3" s="35"/>
      <c r="K3" s="38"/>
      <c r="M3" s="50">
        <f>D4+D10+D11+D12+D17+D18+D19+D13+D21+D22+D23+D24+D28+D29</f>
        <v>1002</v>
      </c>
      <c r="N3" s="50">
        <f>D5+D20+D31</f>
        <v>900</v>
      </c>
      <c r="O3" s="50">
        <f>D8+D9+D14+D25+D26+D27</f>
        <v>1070</v>
      </c>
      <c r="P3" s="50">
        <f>D6+D16</f>
        <v>215</v>
      </c>
      <c r="Q3" s="50">
        <f>D7+D32+D33</f>
        <v>665</v>
      </c>
      <c r="R3" s="45">
        <f>M3+N3+O3+P3+Q3+M6</f>
        <v>3922</v>
      </c>
      <c r="S3" s="45">
        <v>4000</v>
      </c>
      <c r="T3" s="45">
        <f>S3-R3</f>
        <v>78</v>
      </c>
    </row>
    <row r="4" spans="1:20" x14ac:dyDescent="0.3">
      <c r="A4" s="51">
        <v>46079</v>
      </c>
      <c r="B4" s="52" t="s">
        <v>42</v>
      </c>
      <c r="C4" s="53" t="s">
        <v>43</v>
      </c>
      <c r="D4" s="53">
        <v>100</v>
      </c>
      <c r="E4" s="53" t="s">
        <v>44</v>
      </c>
      <c r="F4" s="53" t="s">
        <v>45</v>
      </c>
      <c r="G4" s="50">
        <v>240781</v>
      </c>
      <c r="H4">
        <v>100</v>
      </c>
      <c r="I4" s="54">
        <v>46079</v>
      </c>
      <c r="J4" s="50" t="s">
        <v>46</v>
      </c>
      <c r="K4" s="50">
        <v>4000</v>
      </c>
    </row>
    <row r="5" spans="1:20" x14ac:dyDescent="0.3">
      <c r="A5" s="54">
        <v>46079</v>
      </c>
      <c r="B5" s="55" t="s">
        <v>47</v>
      </c>
      <c r="C5" s="50" t="s">
        <v>48</v>
      </c>
      <c r="D5" s="50">
        <v>300</v>
      </c>
      <c r="E5" s="50" t="s">
        <v>49</v>
      </c>
      <c r="F5" s="50" t="s">
        <v>50</v>
      </c>
      <c r="G5" s="50">
        <v>241082</v>
      </c>
      <c r="H5" s="50">
        <f t="shared" ref="H5:H14" si="0">G5-G4</f>
        <v>301</v>
      </c>
      <c r="I5" s="56" t="s">
        <v>51</v>
      </c>
      <c r="J5" s="56" t="s">
        <v>51</v>
      </c>
      <c r="K5" s="50">
        <f>K4-D5</f>
        <v>3700</v>
      </c>
      <c r="M5" s="57" t="s">
        <v>52</v>
      </c>
    </row>
    <row r="6" spans="1:20" x14ac:dyDescent="0.3">
      <c r="A6" s="54">
        <v>46079</v>
      </c>
      <c r="B6" s="58" t="s">
        <v>38</v>
      </c>
      <c r="C6" s="50" t="s">
        <v>53</v>
      </c>
      <c r="D6" s="50">
        <v>115</v>
      </c>
      <c r="E6" s="50" t="s">
        <v>54</v>
      </c>
      <c r="F6" s="50" t="s">
        <v>55</v>
      </c>
      <c r="G6" s="50">
        <v>241198</v>
      </c>
      <c r="H6">
        <f t="shared" si="0"/>
        <v>116</v>
      </c>
      <c r="I6" s="50" t="s">
        <v>51</v>
      </c>
      <c r="J6" s="50" t="s">
        <v>51</v>
      </c>
      <c r="K6" s="50">
        <f t="shared" ref="K6:K14" si="1">K5-H6</f>
        <v>3584</v>
      </c>
      <c r="M6" s="50">
        <v>70</v>
      </c>
    </row>
    <row r="7" spans="1:20" x14ac:dyDescent="0.3">
      <c r="A7" s="54">
        <v>46079</v>
      </c>
      <c r="B7" s="59" t="s">
        <v>39</v>
      </c>
      <c r="C7" s="50" t="s">
        <v>56</v>
      </c>
      <c r="D7" s="50">
        <v>204</v>
      </c>
      <c r="E7" s="50" t="s">
        <v>57</v>
      </c>
      <c r="F7" s="50" t="s">
        <v>58</v>
      </c>
      <c r="G7" s="50">
        <v>241402</v>
      </c>
      <c r="H7">
        <f t="shared" si="0"/>
        <v>204</v>
      </c>
      <c r="I7" s="50" t="s">
        <v>51</v>
      </c>
      <c r="J7" s="50" t="s">
        <v>51</v>
      </c>
      <c r="K7" s="50">
        <f t="shared" si="1"/>
        <v>3380</v>
      </c>
    </row>
    <row r="8" spans="1:20" x14ac:dyDescent="0.3">
      <c r="A8" s="54">
        <v>46080</v>
      </c>
      <c r="B8" s="60" t="s">
        <v>37</v>
      </c>
      <c r="C8" s="50" t="s">
        <v>59</v>
      </c>
      <c r="D8" s="50">
        <v>460</v>
      </c>
      <c r="E8" s="50" t="s">
        <v>60</v>
      </c>
      <c r="F8" s="50" t="s">
        <v>61</v>
      </c>
      <c r="G8" s="50">
        <v>241862</v>
      </c>
      <c r="H8">
        <f t="shared" si="0"/>
        <v>460</v>
      </c>
      <c r="I8" s="50"/>
      <c r="J8" s="50"/>
      <c r="K8" s="50">
        <f t="shared" si="1"/>
        <v>2920</v>
      </c>
    </row>
    <row r="9" spans="1:20" x14ac:dyDescent="0.3">
      <c r="A9" s="54">
        <v>46080</v>
      </c>
      <c r="B9" s="60" t="s">
        <v>37</v>
      </c>
      <c r="C9" s="50" t="s">
        <v>62</v>
      </c>
      <c r="D9" s="50">
        <v>400</v>
      </c>
      <c r="E9" s="50" t="s">
        <v>63</v>
      </c>
      <c r="F9" s="50" t="s">
        <v>64</v>
      </c>
      <c r="G9" s="50">
        <v>242262</v>
      </c>
      <c r="H9">
        <f t="shared" si="0"/>
        <v>400</v>
      </c>
      <c r="I9" s="50"/>
      <c r="J9" s="50"/>
      <c r="K9" s="50">
        <f t="shared" si="1"/>
        <v>2520</v>
      </c>
    </row>
    <row r="10" spans="1:20" x14ac:dyDescent="0.3">
      <c r="A10" s="54">
        <v>46081</v>
      </c>
      <c r="B10" s="61" t="s">
        <v>42</v>
      </c>
      <c r="C10" s="50" t="s">
        <v>65</v>
      </c>
      <c r="D10" s="50">
        <v>50</v>
      </c>
      <c r="E10" s="50" t="s">
        <v>66</v>
      </c>
      <c r="F10" s="50" t="s">
        <v>67</v>
      </c>
      <c r="G10" s="50">
        <v>242312</v>
      </c>
      <c r="H10">
        <f t="shared" si="0"/>
        <v>50</v>
      </c>
      <c r="I10" s="50"/>
      <c r="J10" s="50"/>
      <c r="K10" s="50">
        <f t="shared" si="1"/>
        <v>2470</v>
      </c>
    </row>
    <row r="11" spans="1:20" x14ac:dyDescent="0.3">
      <c r="A11" s="54">
        <v>46081</v>
      </c>
      <c r="B11" s="61" t="s">
        <v>42</v>
      </c>
      <c r="C11" s="50" t="s">
        <v>68</v>
      </c>
      <c r="D11" s="50">
        <v>20</v>
      </c>
      <c r="E11" s="50" t="s">
        <v>44</v>
      </c>
      <c r="F11" s="50"/>
      <c r="G11" s="50">
        <v>242332</v>
      </c>
      <c r="H11">
        <f t="shared" si="0"/>
        <v>20</v>
      </c>
      <c r="I11" s="50"/>
      <c r="J11" s="50"/>
      <c r="K11" s="50">
        <f t="shared" si="1"/>
        <v>2450</v>
      </c>
    </row>
    <row r="12" spans="1:20" x14ac:dyDescent="0.3">
      <c r="A12" s="54">
        <v>46081</v>
      </c>
      <c r="B12" s="61" t="s">
        <v>42</v>
      </c>
      <c r="C12" s="50" t="s">
        <v>69</v>
      </c>
      <c r="D12" s="50">
        <v>60</v>
      </c>
      <c r="E12" s="50" t="s">
        <v>70</v>
      </c>
      <c r="F12" s="50" t="s">
        <v>71</v>
      </c>
      <c r="G12" s="50">
        <v>242392</v>
      </c>
      <c r="H12">
        <f t="shared" si="0"/>
        <v>60</v>
      </c>
      <c r="I12" s="50"/>
      <c r="J12" s="50"/>
      <c r="K12" s="50">
        <f t="shared" si="1"/>
        <v>2390</v>
      </c>
    </row>
    <row r="13" spans="1:20" x14ac:dyDescent="0.3">
      <c r="A13" s="54">
        <v>46081</v>
      </c>
      <c r="B13" s="61" t="s">
        <v>35</v>
      </c>
      <c r="C13" s="50" t="s">
        <v>72</v>
      </c>
      <c r="D13" s="50">
        <v>30</v>
      </c>
      <c r="E13" s="50" t="s">
        <v>73</v>
      </c>
      <c r="F13" s="50"/>
      <c r="G13" s="50">
        <v>242422</v>
      </c>
      <c r="H13">
        <f t="shared" si="0"/>
        <v>30</v>
      </c>
      <c r="I13" s="50"/>
      <c r="J13" s="50"/>
      <c r="K13" s="50">
        <f t="shared" si="1"/>
        <v>2360</v>
      </c>
      <c r="L13" s="62"/>
      <c r="M13" t="s">
        <v>74</v>
      </c>
    </row>
    <row r="14" spans="1:20" x14ac:dyDescent="0.3">
      <c r="A14" s="54">
        <v>46081</v>
      </c>
      <c r="B14" s="63" t="s">
        <v>37</v>
      </c>
      <c r="C14" s="50" t="s">
        <v>72</v>
      </c>
      <c r="D14" s="50">
        <v>30</v>
      </c>
      <c r="E14" s="50" t="s">
        <v>73</v>
      </c>
      <c r="F14" s="50"/>
      <c r="G14" s="50">
        <v>242453</v>
      </c>
      <c r="H14">
        <f t="shared" si="0"/>
        <v>31</v>
      </c>
      <c r="I14" s="50"/>
      <c r="J14" s="50"/>
      <c r="K14" s="50">
        <f t="shared" si="1"/>
        <v>2329</v>
      </c>
      <c r="M14">
        <f>T3+T34+T61</f>
        <v>682</v>
      </c>
    </row>
    <row r="15" spans="1:20" x14ac:dyDescent="0.3">
      <c r="A15" s="64"/>
      <c r="B15" s="65"/>
      <c r="C15" s="66"/>
      <c r="D15" s="66"/>
      <c r="E15" s="66"/>
      <c r="F15" s="66"/>
      <c r="G15" s="66"/>
      <c r="H15" s="67"/>
      <c r="I15" s="66"/>
      <c r="J15" s="66"/>
      <c r="K15" s="66"/>
    </row>
    <row r="16" spans="1:20" x14ac:dyDescent="0.3">
      <c r="A16" s="54">
        <v>46083</v>
      </c>
      <c r="B16" s="68" t="s">
        <v>38</v>
      </c>
      <c r="C16" s="50" t="s">
        <v>43</v>
      </c>
      <c r="D16" s="50">
        <v>100</v>
      </c>
      <c r="E16" s="50" t="s">
        <v>60</v>
      </c>
      <c r="F16" s="50" t="s">
        <v>55</v>
      </c>
      <c r="G16" s="50">
        <v>242553</v>
      </c>
      <c r="H16">
        <f>G16-G14</f>
        <v>100</v>
      </c>
      <c r="I16" s="50"/>
      <c r="J16" s="50"/>
      <c r="K16" s="50">
        <f>K14-H16</f>
        <v>2229</v>
      </c>
    </row>
    <row r="17" spans="1:16" x14ac:dyDescent="0.3">
      <c r="A17" s="54">
        <v>46083</v>
      </c>
      <c r="B17" s="61" t="s">
        <v>35</v>
      </c>
      <c r="C17" s="50" t="s">
        <v>75</v>
      </c>
      <c r="D17" s="50">
        <v>68</v>
      </c>
      <c r="E17" s="50" t="s">
        <v>76</v>
      </c>
      <c r="F17" s="50"/>
      <c r="G17" s="50">
        <v>242621</v>
      </c>
      <c r="H17">
        <f t="shared" ref="H17:H33" si="2">G17-G16</f>
        <v>68</v>
      </c>
      <c r="I17" s="50"/>
      <c r="J17" s="50"/>
      <c r="K17" s="50">
        <f t="shared" ref="K17:K33" si="3">K16-H17</f>
        <v>2161</v>
      </c>
    </row>
    <row r="18" spans="1:16" x14ac:dyDescent="0.3">
      <c r="A18" s="54">
        <v>46083</v>
      </c>
      <c r="B18" s="61" t="s">
        <v>35</v>
      </c>
      <c r="C18" s="50" t="s">
        <v>77</v>
      </c>
      <c r="D18" s="50">
        <v>200</v>
      </c>
      <c r="E18" s="50" t="s">
        <v>78</v>
      </c>
      <c r="F18" s="50" t="s">
        <v>64</v>
      </c>
      <c r="G18" s="50">
        <v>242821</v>
      </c>
      <c r="H18">
        <f t="shared" si="2"/>
        <v>200</v>
      </c>
      <c r="I18" s="50"/>
      <c r="J18" s="50"/>
      <c r="K18" s="50">
        <f t="shared" si="3"/>
        <v>1961</v>
      </c>
    </row>
    <row r="19" spans="1:16" x14ac:dyDescent="0.3">
      <c r="A19" s="54">
        <v>46083</v>
      </c>
      <c r="B19" s="61" t="s">
        <v>35</v>
      </c>
      <c r="C19" s="50" t="s">
        <v>79</v>
      </c>
      <c r="D19" s="50">
        <v>117</v>
      </c>
      <c r="E19" s="50" t="s">
        <v>80</v>
      </c>
      <c r="F19" s="50"/>
      <c r="G19" s="50">
        <v>242938</v>
      </c>
      <c r="H19">
        <f t="shared" si="2"/>
        <v>117</v>
      </c>
      <c r="I19" s="50"/>
      <c r="J19" s="50"/>
      <c r="K19" s="50">
        <f t="shared" si="3"/>
        <v>1844</v>
      </c>
    </row>
    <row r="20" spans="1:16" x14ac:dyDescent="0.3">
      <c r="A20" s="54">
        <v>46083</v>
      </c>
      <c r="B20" s="55" t="s">
        <v>36</v>
      </c>
      <c r="C20" s="50" t="s">
        <v>48</v>
      </c>
      <c r="D20" s="50">
        <v>300</v>
      </c>
      <c r="E20" s="50" t="s">
        <v>49</v>
      </c>
      <c r="F20" s="50" t="s">
        <v>81</v>
      </c>
      <c r="G20" s="50">
        <v>243238</v>
      </c>
      <c r="H20">
        <f t="shared" si="2"/>
        <v>300</v>
      </c>
      <c r="I20" s="50"/>
      <c r="J20" s="50"/>
      <c r="K20" s="50">
        <f t="shared" si="3"/>
        <v>1544</v>
      </c>
    </row>
    <row r="21" spans="1:16" x14ac:dyDescent="0.3">
      <c r="A21" s="54">
        <v>46083</v>
      </c>
      <c r="B21" s="61" t="s">
        <v>35</v>
      </c>
      <c r="C21" s="50" t="s">
        <v>43</v>
      </c>
      <c r="D21" s="50">
        <v>100</v>
      </c>
      <c r="E21" s="50" t="s">
        <v>82</v>
      </c>
      <c r="F21" s="50"/>
      <c r="G21" s="50">
        <v>243338</v>
      </c>
      <c r="H21">
        <f t="shared" si="2"/>
        <v>100</v>
      </c>
      <c r="I21" s="50"/>
      <c r="J21" s="50"/>
      <c r="K21" s="50">
        <f t="shared" si="3"/>
        <v>1444</v>
      </c>
    </row>
    <row r="22" spans="1:16" x14ac:dyDescent="0.3">
      <c r="A22" s="54">
        <v>46083</v>
      </c>
      <c r="B22" s="61" t="s">
        <v>35</v>
      </c>
      <c r="C22" s="50" t="s">
        <v>83</v>
      </c>
      <c r="D22" s="50">
        <v>89</v>
      </c>
      <c r="E22" s="50" t="s">
        <v>84</v>
      </c>
      <c r="F22" s="50" t="s">
        <v>85</v>
      </c>
      <c r="G22" s="50">
        <v>243428</v>
      </c>
      <c r="H22">
        <f t="shared" si="2"/>
        <v>90</v>
      </c>
      <c r="I22" s="50"/>
      <c r="J22" s="50"/>
      <c r="K22" s="50">
        <f t="shared" si="3"/>
        <v>1354</v>
      </c>
    </row>
    <row r="23" spans="1:16" x14ac:dyDescent="0.3">
      <c r="A23" s="54">
        <v>46083</v>
      </c>
      <c r="B23" s="61" t="s">
        <v>35</v>
      </c>
      <c r="C23" s="50" t="s">
        <v>86</v>
      </c>
      <c r="D23" s="50">
        <v>40</v>
      </c>
      <c r="E23" s="50" t="s">
        <v>87</v>
      </c>
      <c r="F23" s="50" t="s">
        <v>88</v>
      </c>
      <c r="G23" s="50">
        <v>243468</v>
      </c>
      <c r="H23">
        <f t="shared" si="2"/>
        <v>40</v>
      </c>
      <c r="I23" s="50"/>
      <c r="J23" s="50"/>
      <c r="K23" s="50">
        <f t="shared" si="3"/>
        <v>1314</v>
      </c>
    </row>
    <row r="24" spans="1:16" x14ac:dyDescent="0.3">
      <c r="A24" s="54">
        <v>46083</v>
      </c>
      <c r="B24" s="61" t="s">
        <v>35</v>
      </c>
      <c r="C24" s="50" t="s">
        <v>65</v>
      </c>
      <c r="D24" s="50">
        <v>50</v>
      </c>
      <c r="E24" s="50" t="s">
        <v>89</v>
      </c>
      <c r="F24" s="50" t="s">
        <v>90</v>
      </c>
      <c r="G24" s="50">
        <v>243518</v>
      </c>
      <c r="H24">
        <f t="shared" si="2"/>
        <v>50</v>
      </c>
      <c r="I24" s="50"/>
      <c r="J24" s="50"/>
      <c r="K24" s="50">
        <f t="shared" si="3"/>
        <v>1264</v>
      </c>
    </row>
    <row r="25" spans="1:16" x14ac:dyDescent="0.3">
      <c r="A25" s="54">
        <v>46083</v>
      </c>
      <c r="B25" s="69" t="s">
        <v>37</v>
      </c>
      <c r="C25" s="50" t="s">
        <v>91</v>
      </c>
      <c r="D25" s="50">
        <v>80</v>
      </c>
      <c r="E25" s="50" t="s">
        <v>70</v>
      </c>
      <c r="F25" s="50" t="s">
        <v>92</v>
      </c>
      <c r="G25" s="50">
        <v>243598</v>
      </c>
      <c r="H25">
        <f t="shared" si="2"/>
        <v>80</v>
      </c>
      <c r="I25" s="50"/>
      <c r="J25" s="50"/>
      <c r="K25" s="50">
        <f t="shared" si="3"/>
        <v>1184</v>
      </c>
    </row>
    <row r="26" spans="1:16" x14ac:dyDescent="0.3">
      <c r="A26" s="54">
        <v>46083</v>
      </c>
      <c r="B26" s="70" t="s">
        <v>37</v>
      </c>
      <c r="C26" s="50" t="s">
        <v>91</v>
      </c>
      <c r="D26" s="50">
        <v>80</v>
      </c>
      <c r="E26" s="50" t="s">
        <v>93</v>
      </c>
      <c r="F26" s="50" t="s">
        <v>61</v>
      </c>
      <c r="G26" s="50">
        <v>243679</v>
      </c>
      <c r="H26">
        <f t="shared" si="2"/>
        <v>81</v>
      </c>
      <c r="I26" s="50"/>
      <c r="J26" s="50"/>
      <c r="K26" s="50">
        <f t="shared" si="3"/>
        <v>1103</v>
      </c>
    </row>
    <row r="27" spans="1:16" x14ac:dyDescent="0.3">
      <c r="A27" s="54">
        <v>46083</v>
      </c>
      <c r="B27" s="70" t="s">
        <v>37</v>
      </c>
      <c r="C27" s="50" t="s">
        <v>68</v>
      </c>
      <c r="D27" s="50">
        <v>20</v>
      </c>
      <c r="E27" s="50" t="s">
        <v>80</v>
      </c>
      <c r="F27" s="50" t="s">
        <v>45</v>
      </c>
      <c r="G27" s="50">
        <v>243699</v>
      </c>
      <c r="H27">
        <f t="shared" si="2"/>
        <v>20</v>
      </c>
      <c r="I27" s="50"/>
      <c r="J27" s="50"/>
      <c r="K27" s="50">
        <f t="shared" si="3"/>
        <v>1083</v>
      </c>
    </row>
    <row r="28" spans="1:16" x14ac:dyDescent="0.3">
      <c r="A28" s="54">
        <v>46083</v>
      </c>
      <c r="B28" s="61" t="s">
        <v>35</v>
      </c>
      <c r="C28" s="50" t="s">
        <v>69</v>
      </c>
      <c r="D28" s="50">
        <v>60</v>
      </c>
      <c r="E28" s="50" t="s">
        <v>66</v>
      </c>
      <c r="F28" s="50" t="s">
        <v>94</v>
      </c>
      <c r="G28" s="50">
        <v>243759</v>
      </c>
      <c r="H28">
        <f t="shared" si="2"/>
        <v>60</v>
      </c>
      <c r="I28" s="50"/>
      <c r="J28" s="50"/>
      <c r="K28" s="50">
        <f t="shared" si="3"/>
        <v>1023</v>
      </c>
    </row>
    <row r="29" spans="1:16" x14ac:dyDescent="0.3">
      <c r="A29" s="54">
        <v>46083</v>
      </c>
      <c r="B29" s="61" t="s">
        <v>35</v>
      </c>
      <c r="C29" s="50" t="s">
        <v>95</v>
      </c>
      <c r="D29" s="50">
        <v>18</v>
      </c>
      <c r="E29" s="50" t="s">
        <v>96</v>
      </c>
      <c r="F29" s="50"/>
      <c r="G29" s="50">
        <v>243777</v>
      </c>
      <c r="H29">
        <f t="shared" si="2"/>
        <v>18</v>
      </c>
      <c r="I29" s="50"/>
      <c r="J29" s="50"/>
      <c r="K29" s="50">
        <f t="shared" si="3"/>
        <v>1005</v>
      </c>
      <c r="L29" t="s">
        <v>97</v>
      </c>
    </row>
    <row r="30" spans="1:16" x14ac:dyDescent="0.3">
      <c r="A30" s="54">
        <v>46083</v>
      </c>
      <c r="B30" s="57" t="s">
        <v>52</v>
      </c>
      <c r="C30" s="50" t="s">
        <v>98</v>
      </c>
      <c r="D30" s="50">
        <v>70</v>
      </c>
      <c r="E30" s="50" t="s">
        <v>60</v>
      </c>
      <c r="F30" s="50" t="s">
        <v>55</v>
      </c>
      <c r="G30" s="50">
        <v>243847</v>
      </c>
      <c r="H30">
        <f>G30-G29</f>
        <v>70</v>
      </c>
      <c r="I30" s="50"/>
      <c r="J30" s="50"/>
      <c r="K30" s="50">
        <f t="shared" si="3"/>
        <v>935</v>
      </c>
      <c r="L30">
        <f>SUM(H4:H33)</f>
        <v>3928</v>
      </c>
    </row>
    <row r="31" spans="1:16" x14ac:dyDescent="0.3">
      <c r="A31" s="54">
        <v>46083</v>
      </c>
      <c r="B31" s="55" t="s">
        <v>36</v>
      </c>
      <c r="C31" s="50" t="s">
        <v>48</v>
      </c>
      <c r="D31" s="50">
        <v>300</v>
      </c>
      <c r="E31" s="50" t="s">
        <v>49</v>
      </c>
      <c r="F31" s="50" t="s">
        <v>99</v>
      </c>
      <c r="G31" s="50">
        <v>244147</v>
      </c>
      <c r="H31">
        <f>G31-G30</f>
        <v>300</v>
      </c>
      <c r="I31" s="50"/>
      <c r="J31" s="50"/>
      <c r="K31" s="50">
        <f t="shared" si="3"/>
        <v>635</v>
      </c>
    </row>
    <row r="32" spans="1:16" ht="25.8" x14ac:dyDescent="0.5">
      <c r="A32" s="54">
        <v>46083</v>
      </c>
      <c r="B32" s="59" t="s">
        <v>39</v>
      </c>
      <c r="C32" s="50" t="s">
        <v>100</v>
      </c>
      <c r="D32" s="50">
        <v>261</v>
      </c>
      <c r="E32" s="50" t="s">
        <v>57</v>
      </c>
      <c r="F32" s="50" t="s">
        <v>45</v>
      </c>
      <c r="G32" s="50">
        <v>244408</v>
      </c>
      <c r="H32" s="14">
        <f>G32-G31</f>
        <v>261</v>
      </c>
      <c r="I32" s="50"/>
      <c r="J32" s="50"/>
      <c r="K32" s="50">
        <f t="shared" si="3"/>
        <v>374</v>
      </c>
      <c r="M32" s="132" t="s">
        <v>101</v>
      </c>
      <c r="N32" s="133"/>
      <c r="O32" s="133"/>
      <c r="P32" s="133"/>
    </row>
    <row r="33" spans="1:20" ht="31.8" x14ac:dyDescent="0.55000000000000004">
      <c r="A33" s="54">
        <v>46083</v>
      </c>
      <c r="B33" s="59" t="s">
        <v>39</v>
      </c>
      <c r="C33" s="50" t="s">
        <v>77</v>
      </c>
      <c r="D33" s="50">
        <v>200</v>
      </c>
      <c r="E33" s="50"/>
      <c r="F33" s="50" t="s">
        <v>102</v>
      </c>
      <c r="G33" s="50">
        <v>244609</v>
      </c>
      <c r="H33">
        <f t="shared" si="2"/>
        <v>201</v>
      </c>
      <c r="I33" s="50"/>
      <c r="J33" s="50"/>
      <c r="K33" s="71">
        <f t="shared" si="3"/>
        <v>173</v>
      </c>
      <c r="M33" s="39" t="s">
        <v>35</v>
      </c>
      <c r="N33" s="40" t="s">
        <v>36</v>
      </c>
      <c r="O33" s="41" t="s">
        <v>37</v>
      </c>
      <c r="P33" s="42" t="s">
        <v>38</v>
      </c>
      <c r="Q33" s="43" t="s">
        <v>39</v>
      </c>
      <c r="R33" s="44" t="s">
        <v>31</v>
      </c>
      <c r="S33" s="45" t="s">
        <v>40</v>
      </c>
      <c r="T33" s="72" t="s">
        <v>41</v>
      </c>
    </row>
    <row r="34" spans="1:20" x14ac:dyDescent="0.3">
      <c r="A34" s="54"/>
      <c r="B34" s="50"/>
      <c r="C34" s="50"/>
      <c r="D34" s="50"/>
      <c r="E34" s="50"/>
      <c r="F34" s="50"/>
      <c r="G34" s="50"/>
      <c r="H34" s="73">
        <f>SUM(H4:H33)</f>
        <v>3928</v>
      </c>
      <c r="I34" s="50"/>
      <c r="J34" s="50"/>
      <c r="K34" s="71"/>
      <c r="M34" s="50">
        <f>D43+D44+D45+D46+D48+D52+D54+D42+D50+D55</f>
        <v>1163</v>
      </c>
      <c r="N34" s="50"/>
      <c r="O34" s="50">
        <f>D37+D38+D39+D40+D42</f>
        <v>630</v>
      </c>
      <c r="P34" s="50">
        <f>D47</f>
        <v>60</v>
      </c>
      <c r="Q34" s="50">
        <f>D49+D56+D57</f>
        <v>1681</v>
      </c>
      <c r="R34" s="45">
        <f>M37+M34+O34+P34+Q34</f>
        <v>3701</v>
      </c>
      <c r="S34" s="45">
        <v>4000</v>
      </c>
      <c r="T34" s="72">
        <f>S34-R34</f>
        <v>299</v>
      </c>
    </row>
    <row r="35" spans="1:20" x14ac:dyDescent="0.3">
      <c r="A35" s="66"/>
      <c r="B35" s="66"/>
      <c r="C35" s="66"/>
      <c r="D35" s="66"/>
      <c r="E35" s="66"/>
      <c r="F35" s="66"/>
      <c r="G35" s="66"/>
      <c r="H35" s="67"/>
      <c r="I35" s="66"/>
      <c r="J35" s="66"/>
      <c r="K35" s="66"/>
    </row>
    <row r="36" spans="1:20" x14ac:dyDescent="0.3">
      <c r="A36" s="50"/>
      <c r="B36" s="50"/>
      <c r="C36" s="50"/>
      <c r="D36" s="50"/>
      <c r="E36" s="50"/>
      <c r="F36" s="50"/>
      <c r="G36" s="50">
        <v>439073</v>
      </c>
      <c r="I36" s="54">
        <v>46084</v>
      </c>
      <c r="J36" s="50" t="s">
        <v>46</v>
      </c>
      <c r="K36" s="50">
        <v>4000</v>
      </c>
      <c r="M36" s="74" t="s">
        <v>103</v>
      </c>
    </row>
    <row r="37" spans="1:20" x14ac:dyDescent="0.3">
      <c r="A37" s="50" t="s">
        <v>104</v>
      </c>
      <c r="B37" s="70" t="s">
        <v>37</v>
      </c>
      <c r="C37" s="50" t="s">
        <v>86</v>
      </c>
      <c r="D37" s="50">
        <v>40</v>
      </c>
      <c r="E37" s="50" t="s">
        <v>105</v>
      </c>
      <c r="F37" s="50"/>
      <c r="G37" s="50">
        <v>244649</v>
      </c>
      <c r="H37">
        <f>G37-G33</f>
        <v>40</v>
      </c>
      <c r="I37" s="50"/>
      <c r="J37" s="50"/>
      <c r="K37" s="50">
        <f t="shared" ref="K37:K57" si="4">K36-H37</f>
        <v>3960</v>
      </c>
      <c r="M37" s="50">
        <f>D41+D45+D50+D51+D53</f>
        <v>167</v>
      </c>
    </row>
    <row r="38" spans="1:20" x14ac:dyDescent="0.3">
      <c r="A38" s="50" t="s">
        <v>104</v>
      </c>
      <c r="B38" s="70" t="s">
        <v>37</v>
      </c>
      <c r="C38" s="50" t="s">
        <v>106</v>
      </c>
      <c r="D38" s="50">
        <v>410</v>
      </c>
      <c r="E38" s="50" t="s">
        <v>107</v>
      </c>
      <c r="F38" s="50" t="s">
        <v>61</v>
      </c>
      <c r="G38" s="50">
        <v>245059</v>
      </c>
      <c r="H38">
        <f t="shared" ref="H38:H53" si="5">G38-G37</f>
        <v>410</v>
      </c>
      <c r="I38" s="50"/>
      <c r="J38" s="50"/>
      <c r="K38" s="50">
        <f t="shared" si="4"/>
        <v>3550</v>
      </c>
    </row>
    <row r="39" spans="1:20" x14ac:dyDescent="0.3">
      <c r="A39" s="50" t="s">
        <v>104</v>
      </c>
      <c r="B39" s="70" t="s">
        <v>37</v>
      </c>
      <c r="C39" s="50" t="s">
        <v>86</v>
      </c>
      <c r="D39" s="50">
        <v>40</v>
      </c>
      <c r="E39" s="50" t="s">
        <v>84</v>
      </c>
      <c r="F39" s="50"/>
      <c r="G39" s="50">
        <v>245099</v>
      </c>
      <c r="H39">
        <f t="shared" si="5"/>
        <v>40</v>
      </c>
      <c r="I39" s="50"/>
      <c r="J39" s="50"/>
      <c r="K39" s="50">
        <f t="shared" si="4"/>
        <v>3510</v>
      </c>
    </row>
    <row r="40" spans="1:20" x14ac:dyDescent="0.3">
      <c r="A40" s="50" t="s">
        <v>104</v>
      </c>
      <c r="B40" s="70" t="s">
        <v>37</v>
      </c>
      <c r="C40" s="50" t="s">
        <v>86</v>
      </c>
      <c r="D40" s="50">
        <v>40</v>
      </c>
      <c r="E40" s="50" t="s">
        <v>108</v>
      </c>
      <c r="F40" s="50"/>
      <c r="G40" s="50">
        <v>245139</v>
      </c>
      <c r="H40">
        <f t="shared" si="5"/>
        <v>40</v>
      </c>
      <c r="I40" s="50"/>
      <c r="J40" s="50"/>
      <c r="K40" s="50">
        <f t="shared" si="4"/>
        <v>3470</v>
      </c>
    </row>
    <row r="41" spans="1:20" x14ac:dyDescent="0.3">
      <c r="A41" s="50" t="s">
        <v>104</v>
      </c>
      <c r="B41" s="74" t="s">
        <v>103</v>
      </c>
      <c r="C41" s="50" t="s">
        <v>109</v>
      </c>
      <c r="D41" s="50">
        <v>21</v>
      </c>
      <c r="E41" s="50" t="s">
        <v>110</v>
      </c>
      <c r="F41" s="50"/>
      <c r="G41" s="50">
        <v>245160</v>
      </c>
      <c r="H41">
        <f t="shared" si="5"/>
        <v>21</v>
      </c>
      <c r="I41" s="50"/>
      <c r="J41" s="50"/>
      <c r="K41" s="50">
        <f t="shared" si="4"/>
        <v>3449</v>
      </c>
    </row>
    <row r="42" spans="1:20" x14ac:dyDescent="0.3">
      <c r="A42" s="50" t="s">
        <v>104</v>
      </c>
      <c r="B42" s="63" t="s">
        <v>37</v>
      </c>
      <c r="C42" s="50" t="s">
        <v>77</v>
      </c>
      <c r="D42" s="50">
        <v>100</v>
      </c>
      <c r="E42" s="50" t="s">
        <v>78</v>
      </c>
      <c r="F42" s="50" t="s">
        <v>64</v>
      </c>
      <c r="G42" s="50">
        <v>245359</v>
      </c>
      <c r="H42">
        <f t="shared" si="5"/>
        <v>199</v>
      </c>
      <c r="I42" s="50"/>
      <c r="J42" s="50"/>
      <c r="K42" s="50">
        <f t="shared" si="4"/>
        <v>3250</v>
      </c>
    </row>
    <row r="43" spans="1:20" x14ac:dyDescent="0.3">
      <c r="A43" s="50" t="s">
        <v>104</v>
      </c>
      <c r="B43" s="61" t="s">
        <v>35</v>
      </c>
      <c r="C43" s="50"/>
      <c r="D43" s="50">
        <v>102</v>
      </c>
      <c r="E43" s="50" t="s">
        <v>111</v>
      </c>
      <c r="F43" s="50" t="s">
        <v>112</v>
      </c>
      <c r="G43" s="50">
        <v>245461</v>
      </c>
      <c r="H43">
        <f t="shared" si="5"/>
        <v>102</v>
      </c>
      <c r="I43" s="50"/>
      <c r="J43" s="50"/>
      <c r="K43" s="50">
        <f t="shared" si="4"/>
        <v>3148</v>
      </c>
    </row>
    <row r="44" spans="1:20" x14ac:dyDescent="0.3">
      <c r="A44" s="50" t="s">
        <v>104</v>
      </c>
      <c r="B44" s="61" t="s">
        <v>35</v>
      </c>
      <c r="C44" s="50"/>
      <c r="D44" s="50">
        <v>44</v>
      </c>
      <c r="E44" s="50" t="s">
        <v>113</v>
      </c>
      <c r="F44" s="50"/>
      <c r="G44" s="50">
        <v>245505</v>
      </c>
      <c r="H44">
        <f t="shared" si="5"/>
        <v>44</v>
      </c>
      <c r="I44" s="50"/>
      <c r="J44" s="50"/>
      <c r="K44" s="50">
        <f t="shared" si="4"/>
        <v>3104</v>
      </c>
    </row>
    <row r="45" spans="1:20" x14ac:dyDescent="0.3">
      <c r="A45" s="50" t="s">
        <v>104</v>
      </c>
      <c r="B45" s="61" t="s">
        <v>35</v>
      </c>
      <c r="C45" s="50">
        <v>60</v>
      </c>
      <c r="D45" s="50">
        <v>55</v>
      </c>
      <c r="E45" s="50" t="s">
        <v>114</v>
      </c>
      <c r="F45" s="50"/>
      <c r="G45" s="50">
        <v>245619</v>
      </c>
      <c r="H45">
        <f t="shared" si="5"/>
        <v>114</v>
      </c>
      <c r="I45" s="50"/>
      <c r="J45" s="50"/>
      <c r="K45" s="50">
        <f t="shared" si="4"/>
        <v>2990</v>
      </c>
      <c r="M45" t="s">
        <v>115</v>
      </c>
      <c r="N45" t="s">
        <v>116</v>
      </c>
      <c r="O45" t="s">
        <v>117</v>
      </c>
      <c r="P45" t="s">
        <v>31</v>
      </c>
    </row>
    <row r="46" spans="1:20" x14ac:dyDescent="0.3">
      <c r="A46" s="50" t="s">
        <v>104</v>
      </c>
      <c r="B46" s="61" t="s">
        <v>35</v>
      </c>
      <c r="C46" s="50">
        <v>104</v>
      </c>
      <c r="D46" s="50">
        <v>106</v>
      </c>
      <c r="E46" s="50" t="s">
        <v>80</v>
      </c>
      <c r="F46" s="50"/>
      <c r="G46" s="50">
        <v>245725</v>
      </c>
      <c r="H46">
        <f>G46-G45</f>
        <v>106</v>
      </c>
      <c r="I46" s="50"/>
      <c r="J46" s="50"/>
      <c r="K46" s="50">
        <f t="shared" si="4"/>
        <v>2884</v>
      </c>
      <c r="M46" s="75">
        <v>46084</v>
      </c>
      <c r="N46">
        <v>435072</v>
      </c>
      <c r="O46">
        <v>439073</v>
      </c>
      <c r="P46">
        <f>O46-N46</f>
        <v>4001</v>
      </c>
    </row>
    <row r="47" spans="1:20" x14ac:dyDescent="0.3">
      <c r="A47" s="50" t="s">
        <v>104</v>
      </c>
      <c r="B47" s="68" t="s">
        <v>38</v>
      </c>
      <c r="C47" s="50" t="s">
        <v>69</v>
      </c>
      <c r="D47" s="50">
        <v>60</v>
      </c>
      <c r="E47" s="50" t="s">
        <v>107</v>
      </c>
      <c r="F47" s="50"/>
      <c r="G47" s="50">
        <v>245785</v>
      </c>
      <c r="H47">
        <f t="shared" si="5"/>
        <v>60</v>
      </c>
      <c r="I47" s="50"/>
      <c r="J47" s="50"/>
      <c r="K47" s="50">
        <f t="shared" si="4"/>
        <v>2824</v>
      </c>
    </row>
    <row r="48" spans="1:20" x14ac:dyDescent="0.3">
      <c r="A48" s="50" t="s">
        <v>104</v>
      </c>
      <c r="B48" s="61" t="s">
        <v>35</v>
      </c>
      <c r="C48" s="50">
        <v>200</v>
      </c>
      <c r="D48" s="50">
        <v>200</v>
      </c>
      <c r="E48" s="50" t="s">
        <v>78</v>
      </c>
      <c r="F48" s="50" t="s">
        <v>64</v>
      </c>
      <c r="G48" s="50">
        <v>245984</v>
      </c>
      <c r="H48">
        <f t="shared" si="5"/>
        <v>199</v>
      </c>
      <c r="I48" s="50"/>
      <c r="J48" s="50"/>
      <c r="K48" s="50">
        <f t="shared" si="4"/>
        <v>2625</v>
      </c>
    </row>
    <row r="49" spans="1:20" x14ac:dyDescent="0.3">
      <c r="A49" s="50" t="s">
        <v>104</v>
      </c>
      <c r="B49" s="59" t="s">
        <v>39</v>
      </c>
      <c r="C49" s="50" t="s">
        <v>118</v>
      </c>
      <c r="D49" s="50">
        <v>681</v>
      </c>
      <c r="E49" s="50" t="s">
        <v>119</v>
      </c>
      <c r="F49" s="50" t="s">
        <v>102</v>
      </c>
      <c r="G49" s="50">
        <v>246665</v>
      </c>
      <c r="H49">
        <f t="shared" si="5"/>
        <v>681</v>
      </c>
      <c r="I49" s="50"/>
      <c r="J49" s="50"/>
      <c r="K49" s="50">
        <f t="shared" si="4"/>
        <v>1944</v>
      </c>
    </row>
    <row r="50" spans="1:20" x14ac:dyDescent="0.3">
      <c r="A50" s="50" t="s">
        <v>104</v>
      </c>
      <c r="B50" s="74" t="s">
        <v>103</v>
      </c>
      <c r="C50" s="50">
        <v>40</v>
      </c>
      <c r="D50" s="50">
        <v>40</v>
      </c>
      <c r="E50" s="50" t="s">
        <v>70</v>
      </c>
      <c r="F50" s="50" t="s">
        <v>112</v>
      </c>
      <c r="G50" s="50">
        <v>246745</v>
      </c>
      <c r="H50">
        <f t="shared" si="5"/>
        <v>80</v>
      </c>
      <c r="I50" s="50"/>
      <c r="J50" s="50"/>
      <c r="K50" s="50">
        <f t="shared" si="4"/>
        <v>1864</v>
      </c>
    </row>
    <row r="51" spans="1:20" x14ac:dyDescent="0.3">
      <c r="A51" s="50" t="s">
        <v>104</v>
      </c>
      <c r="B51" s="74" t="s">
        <v>103</v>
      </c>
      <c r="C51" s="50">
        <v>20</v>
      </c>
      <c r="D51" s="50">
        <v>20</v>
      </c>
      <c r="E51" s="50" t="s">
        <v>80</v>
      </c>
      <c r="F51" s="50" t="s">
        <v>120</v>
      </c>
      <c r="G51" s="50">
        <v>246765</v>
      </c>
      <c r="H51">
        <f t="shared" si="5"/>
        <v>20</v>
      </c>
      <c r="I51" s="50"/>
      <c r="J51" s="50"/>
      <c r="K51" s="50">
        <f t="shared" si="4"/>
        <v>1844</v>
      </c>
    </row>
    <row r="52" spans="1:20" x14ac:dyDescent="0.3">
      <c r="A52" s="50" t="s">
        <v>104</v>
      </c>
      <c r="B52" s="61" t="s">
        <v>35</v>
      </c>
      <c r="C52" s="50" t="s">
        <v>65</v>
      </c>
      <c r="D52" s="50">
        <v>50</v>
      </c>
      <c r="E52" s="50" t="s">
        <v>121</v>
      </c>
      <c r="F52" s="50" t="s">
        <v>122</v>
      </c>
      <c r="G52" s="50">
        <v>246815</v>
      </c>
      <c r="H52">
        <f t="shared" si="5"/>
        <v>50</v>
      </c>
      <c r="I52" s="50"/>
      <c r="J52" s="50"/>
      <c r="K52" s="50">
        <f t="shared" si="4"/>
        <v>1794</v>
      </c>
    </row>
    <row r="53" spans="1:20" x14ac:dyDescent="0.3">
      <c r="A53" s="50" t="s">
        <v>104</v>
      </c>
      <c r="B53" s="76" t="s">
        <v>103</v>
      </c>
      <c r="C53" t="s">
        <v>72</v>
      </c>
      <c r="D53" s="77">
        <v>31</v>
      </c>
      <c r="E53" s="77" t="s">
        <v>123</v>
      </c>
      <c r="F53" s="77" t="s">
        <v>124</v>
      </c>
      <c r="G53" s="77">
        <v>246846</v>
      </c>
      <c r="H53">
        <f t="shared" si="5"/>
        <v>31</v>
      </c>
      <c r="K53">
        <f t="shared" si="4"/>
        <v>1763</v>
      </c>
    </row>
    <row r="54" spans="1:20" x14ac:dyDescent="0.3">
      <c r="A54" s="50" t="s">
        <v>125</v>
      </c>
      <c r="B54" s="61" t="s">
        <v>35</v>
      </c>
      <c r="C54" s="50" t="s">
        <v>126</v>
      </c>
      <c r="D54" s="50">
        <v>303</v>
      </c>
      <c r="E54" s="50" t="s">
        <v>127</v>
      </c>
      <c r="F54" s="50" t="s">
        <v>128</v>
      </c>
      <c r="G54" s="50">
        <v>247149</v>
      </c>
      <c r="H54">
        <f>G54-G53</f>
        <v>303</v>
      </c>
      <c r="I54" s="50"/>
      <c r="J54" s="50"/>
      <c r="K54" s="50">
        <f t="shared" si="4"/>
        <v>1460</v>
      </c>
    </row>
    <row r="55" spans="1:20" x14ac:dyDescent="0.3">
      <c r="A55" s="50" t="s">
        <v>125</v>
      </c>
      <c r="B55" s="61" t="s">
        <v>35</v>
      </c>
      <c r="C55" s="50">
        <v>163</v>
      </c>
      <c r="D55" s="50">
        <v>163</v>
      </c>
      <c r="E55" s="50" t="s">
        <v>80</v>
      </c>
      <c r="F55" s="50"/>
      <c r="G55" s="50">
        <v>247312</v>
      </c>
      <c r="H55">
        <f>G55-G54</f>
        <v>163</v>
      </c>
      <c r="I55" s="50"/>
      <c r="J55" s="50"/>
      <c r="K55" s="50">
        <f t="shared" si="4"/>
        <v>1297</v>
      </c>
    </row>
    <row r="56" spans="1:20" x14ac:dyDescent="0.3">
      <c r="A56" s="50" t="s">
        <v>129</v>
      </c>
      <c r="B56" s="59" t="s">
        <v>39</v>
      </c>
      <c r="C56" s="50" t="s">
        <v>77</v>
      </c>
      <c r="D56" s="50">
        <v>200</v>
      </c>
      <c r="E56" s="50" t="s">
        <v>57</v>
      </c>
      <c r="F56" s="50" t="s">
        <v>58</v>
      </c>
      <c r="G56" s="50">
        <v>247512</v>
      </c>
      <c r="H56">
        <f>G56-G55</f>
        <v>200</v>
      </c>
      <c r="I56" s="50"/>
      <c r="J56" s="50"/>
      <c r="K56" s="50">
        <f t="shared" si="4"/>
        <v>1097</v>
      </c>
    </row>
    <row r="57" spans="1:20" x14ac:dyDescent="0.3">
      <c r="A57" s="50" t="s">
        <v>129</v>
      </c>
      <c r="B57" s="59" t="s">
        <v>39</v>
      </c>
      <c r="C57" s="50" t="s">
        <v>130</v>
      </c>
      <c r="D57" s="50">
        <v>800</v>
      </c>
      <c r="E57" s="50" t="s">
        <v>131</v>
      </c>
      <c r="F57" s="50" t="s">
        <v>132</v>
      </c>
      <c r="G57" s="50">
        <v>248312</v>
      </c>
      <c r="H57">
        <f>G57-G56</f>
        <v>800</v>
      </c>
      <c r="I57" s="50"/>
      <c r="J57" s="50"/>
      <c r="K57" s="50">
        <f t="shared" si="4"/>
        <v>297</v>
      </c>
    </row>
    <row r="58" spans="1:20" x14ac:dyDescent="0.3">
      <c r="A58" s="50"/>
      <c r="B58" s="50"/>
      <c r="C58" s="50"/>
      <c r="D58" s="50"/>
      <c r="E58" s="50"/>
      <c r="F58" s="50"/>
      <c r="G58" s="50"/>
      <c r="I58" s="50"/>
      <c r="J58" s="50"/>
      <c r="K58" s="50"/>
    </row>
    <row r="59" spans="1:20" ht="25.8" x14ac:dyDescent="0.5">
      <c r="A59" s="78"/>
      <c r="B59" s="78"/>
      <c r="C59" s="78"/>
      <c r="D59" s="78"/>
      <c r="E59" s="78"/>
      <c r="F59" s="78"/>
      <c r="G59" s="78"/>
      <c r="H59" s="79"/>
      <c r="I59" s="78"/>
      <c r="J59" s="78"/>
      <c r="K59" s="78"/>
      <c r="M59" s="132" t="s">
        <v>101</v>
      </c>
      <c r="N59" s="133"/>
      <c r="O59" s="133"/>
      <c r="P59" s="133"/>
    </row>
    <row r="60" spans="1:20" ht="31.8" x14ac:dyDescent="0.55000000000000004">
      <c r="A60" s="50"/>
      <c r="B60" s="50"/>
      <c r="C60" s="50"/>
      <c r="D60" s="50"/>
      <c r="E60" s="50"/>
      <c r="F60" s="50"/>
      <c r="G60" s="50"/>
      <c r="I60" s="54">
        <v>46058</v>
      </c>
      <c r="J60" s="50" t="s">
        <v>46</v>
      </c>
      <c r="K60" s="50">
        <v>4000</v>
      </c>
      <c r="M60" s="39" t="s">
        <v>35</v>
      </c>
      <c r="N60" s="40" t="s">
        <v>36</v>
      </c>
      <c r="O60" s="41" t="s">
        <v>37</v>
      </c>
      <c r="P60" s="42" t="s">
        <v>38</v>
      </c>
      <c r="Q60" s="43" t="s">
        <v>39</v>
      </c>
      <c r="R60" s="44" t="s">
        <v>31</v>
      </c>
      <c r="S60" s="45" t="s">
        <v>40</v>
      </c>
      <c r="T60" s="72" t="s">
        <v>41</v>
      </c>
    </row>
    <row r="61" spans="1:20" x14ac:dyDescent="0.3">
      <c r="A61" s="50" t="s">
        <v>129</v>
      </c>
      <c r="B61" s="74" t="s">
        <v>133</v>
      </c>
      <c r="C61" s="50" t="s">
        <v>48</v>
      </c>
      <c r="D61" s="50">
        <v>300</v>
      </c>
      <c r="E61" s="50" t="s">
        <v>78</v>
      </c>
      <c r="F61" s="50" t="s">
        <v>128</v>
      </c>
      <c r="G61" s="50">
        <v>248611</v>
      </c>
      <c r="H61">
        <v>300</v>
      </c>
      <c r="I61" s="50"/>
      <c r="J61" s="50"/>
      <c r="K61" s="50">
        <f t="shared" ref="K61:K94" si="6">K60-H61</f>
        <v>3700</v>
      </c>
      <c r="M61" s="50" cm="1">
        <f t="array" ref="M61">SUM(H86:H94+H75+H67)</f>
        <v>1263</v>
      </c>
      <c r="N61" s="50">
        <f>D68</f>
        <v>200</v>
      </c>
      <c r="O61" s="50">
        <f>H63+H72</f>
        <v>409</v>
      </c>
      <c r="P61" s="50">
        <f>D69</f>
        <v>80</v>
      </c>
      <c r="Q61" s="50">
        <f>D76</f>
        <v>195</v>
      </c>
      <c r="R61" s="45">
        <f>M61+N61+O61+P61+Q61+M64+N64</f>
        <v>3695</v>
      </c>
      <c r="S61" s="45">
        <v>4000</v>
      </c>
      <c r="T61" s="72">
        <f>S61-R61</f>
        <v>305</v>
      </c>
    </row>
    <row r="62" spans="1:20" x14ac:dyDescent="0.3">
      <c r="A62" s="50" t="s">
        <v>129</v>
      </c>
      <c r="B62" s="74" t="s">
        <v>133</v>
      </c>
      <c r="C62" s="50" t="s">
        <v>68</v>
      </c>
      <c r="D62" s="50">
        <v>20</v>
      </c>
      <c r="E62" s="50" t="s">
        <v>134</v>
      </c>
      <c r="F62" s="50" t="s">
        <v>135</v>
      </c>
      <c r="G62" s="50">
        <v>248631</v>
      </c>
      <c r="H62">
        <v>20</v>
      </c>
      <c r="I62" s="50"/>
      <c r="J62" s="50"/>
      <c r="K62" s="50">
        <f t="shared" si="6"/>
        <v>3680</v>
      </c>
    </row>
    <row r="63" spans="1:20" x14ac:dyDescent="0.3">
      <c r="A63" s="50" t="s">
        <v>129</v>
      </c>
      <c r="B63" s="70" t="s">
        <v>37</v>
      </c>
      <c r="C63" s="50" t="s">
        <v>72</v>
      </c>
      <c r="D63" s="50">
        <v>30</v>
      </c>
      <c r="E63" s="50" t="s">
        <v>107</v>
      </c>
      <c r="F63" s="50" t="s">
        <v>61</v>
      </c>
      <c r="G63" s="50">
        <v>248671</v>
      </c>
      <c r="H63">
        <v>30</v>
      </c>
      <c r="I63" s="50"/>
      <c r="J63" s="50"/>
      <c r="K63" s="71">
        <f t="shared" si="6"/>
        <v>3650</v>
      </c>
      <c r="M63" s="74" t="s">
        <v>103</v>
      </c>
      <c r="N63" s="80" t="s">
        <v>136</v>
      </c>
    </row>
    <row r="64" spans="1:20" x14ac:dyDescent="0.3">
      <c r="A64" s="50" t="s">
        <v>137</v>
      </c>
      <c r="B64" s="74" t="s">
        <v>133</v>
      </c>
      <c r="C64" s="50" t="s">
        <v>72</v>
      </c>
      <c r="D64" s="50">
        <v>31</v>
      </c>
      <c r="E64" s="50" t="s">
        <v>138</v>
      </c>
      <c r="F64" s="50" t="s">
        <v>135</v>
      </c>
      <c r="G64" s="50">
        <v>248702</v>
      </c>
      <c r="H64">
        <f t="shared" ref="H64:H74" si="7">G64-G63</f>
        <v>31</v>
      </c>
      <c r="I64" s="50"/>
      <c r="J64" s="50"/>
      <c r="K64" s="50">
        <f t="shared" si="6"/>
        <v>3619</v>
      </c>
      <c r="M64" s="50">
        <f>H61+H62+H64+H65+H70+H71+H73+H74+H77+H78+H79+H81+H82+H83+H84</f>
        <v>1488</v>
      </c>
      <c r="N64" s="50">
        <v>60</v>
      </c>
    </row>
    <row r="65" spans="1:23" x14ac:dyDescent="0.3">
      <c r="A65" s="71" t="s">
        <v>129</v>
      </c>
      <c r="B65" s="74" t="s">
        <v>133</v>
      </c>
      <c r="C65" s="71" t="s">
        <v>86</v>
      </c>
      <c r="D65" s="71">
        <v>40</v>
      </c>
      <c r="E65" s="71" t="s">
        <v>89</v>
      </c>
      <c r="F65" s="71" t="s">
        <v>135</v>
      </c>
      <c r="G65" s="71">
        <v>248742</v>
      </c>
      <c r="H65" s="14">
        <f t="shared" si="7"/>
        <v>40</v>
      </c>
      <c r="I65" s="71"/>
      <c r="J65" s="71"/>
      <c r="K65" s="71">
        <f t="shared" si="6"/>
        <v>3579</v>
      </c>
    </row>
    <row r="66" spans="1:23" x14ac:dyDescent="0.3">
      <c r="A66" s="81" t="s">
        <v>129</v>
      </c>
      <c r="B66" s="81" t="s">
        <v>139</v>
      </c>
      <c r="C66" s="81"/>
      <c r="D66" s="81">
        <v>70</v>
      </c>
      <c r="E66" s="81"/>
      <c r="F66" s="81"/>
      <c r="G66" s="81">
        <v>248812</v>
      </c>
      <c r="H66" s="82">
        <f t="shared" si="7"/>
        <v>70</v>
      </c>
      <c r="I66" s="50"/>
      <c r="J66" s="50"/>
      <c r="K66" s="50">
        <f t="shared" si="6"/>
        <v>3509</v>
      </c>
    </row>
    <row r="67" spans="1:23" x14ac:dyDescent="0.3">
      <c r="A67" s="71" t="s">
        <v>140</v>
      </c>
      <c r="B67" s="61" t="s">
        <v>35</v>
      </c>
      <c r="C67" s="71" t="s">
        <v>68</v>
      </c>
      <c r="D67" s="71">
        <v>20</v>
      </c>
      <c r="E67" s="71" t="s">
        <v>80</v>
      </c>
      <c r="F67" s="71" t="s">
        <v>120</v>
      </c>
      <c r="G67" s="71">
        <v>248832</v>
      </c>
      <c r="H67" s="14">
        <f t="shared" si="7"/>
        <v>20</v>
      </c>
      <c r="I67" s="50"/>
      <c r="J67" s="50"/>
      <c r="K67" s="50">
        <f t="shared" si="6"/>
        <v>3489</v>
      </c>
    </row>
    <row r="68" spans="1:23" x14ac:dyDescent="0.3">
      <c r="A68" s="71" t="s">
        <v>140</v>
      </c>
      <c r="B68" s="55" t="s">
        <v>36</v>
      </c>
      <c r="C68" s="71" t="s">
        <v>77</v>
      </c>
      <c r="D68" s="71">
        <v>200</v>
      </c>
      <c r="E68" s="71" t="s">
        <v>49</v>
      </c>
      <c r="F68" s="71" t="s">
        <v>99</v>
      </c>
      <c r="G68" s="71">
        <v>249032</v>
      </c>
      <c r="H68" s="14">
        <f t="shared" si="7"/>
        <v>200</v>
      </c>
      <c r="I68" s="50"/>
      <c r="J68" s="50"/>
      <c r="K68" s="50">
        <f t="shared" si="6"/>
        <v>3289</v>
      </c>
    </row>
    <row r="69" spans="1:23" x14ac:dyDescent="0.3">
      <c r="A69" s="50" t="s">
        <v>140</v>
      </c>
      <c r="B69" s="58" t="s">
        <v>38</v>
      </c>
      <c r="C69" s="50" t="s">
        <v>91</v>
      </c>
      <c r="D69" s="50">
        <v>80</v>
      </c>
      <c r="E69" s="50" t="s">
        <v>60</v>
      </c>
      <c r="F69" s="50" t="s">
        <v>141</v>
      </c>
      <c r="G69" s="50">
        <v>249112</v>
      </c>
      <c r="H69" s="14">
        <f t="shared" si="7"/>
        <v>80</v>
      </c>
      <c r="I69" s="50"/>
      <c r="J69" s="50"/>
      <c r="K69" s="50">
        <f t="shared" si="6"/>
        <v>3209</v>
      </c>
      <c r="S69" s="141" t="s">
        <v>142</v>
      </c>
      <c r="T69" s="142"/>
      <c r="U69" s="142"/>
      <c r="V69" s="142"/>
      <c r="W69" s="143"/>
    </row>
    <row r="70" spans="1:23" x14ac:dyDescent="0.3">
      <c r="A70" s="50" t="s">
        <v>140</v>
      </c>
      <c r="B70" s="74" t="s">
        <v>133</v>
      </c>
      <c r="C70" s="50" t="s">
        <v>143</v>
      </c>
      <c r="D70" s="50">
        <v>500</v>
      </c>
      <c r="E70" s="50" t="s">
        <v>78</v>
      </c>
      <c r="F70" s="50" t="s">
        <v>128</v>
      </c>
      <c r="G70" s="50">
        <v>249612</v>
      </c>
      <c r="H70" s="14">
        <f t="shared" si="7"/>
        <v>500</v>
      </c>
      <c r="I70" s="50"/>
      <c r="J70" s="50"/>
      <c r="K70" s="50">
        <f t="shared" si="6"/>
        <v>2709</v>
      </c>
      <c r="S70" s="144"/>
      <c r="T70" s="145"/>
      <c r="U70" s="145"/>
      <c r="V70" s="145"/>
      <c r="W70" s="146"/>
    </row>
    <row r="71" spans="1:23" x14ac:dyDescent="0.3">
      <c r="A71" s="50" t="s">
        <v>140</v>
      </c>
      <c r="B71" s="74" t="s">
        <v>133</v>
      </c>
      <c r="C71" s="50" t="s">
        <v>144</v>
      </c>
      <c r="D71" s="50">
        <v>93</v>
      </c>
      <c r="E71" s="50" t="s">
        <v>80</v>
      </c>
      <c r="F71" s="50" t="s">
        <v>120</v>
      </c>
      <c r="G71" s="50">
        <v>249705</v>
      </c>
      <c r="H71">
        <f t="shared" si="7"/>
        <v>93</v>
      </c>
      <c r="I71" s="50"/>
      <c r="J71" s="50"/>
      <c r="K71" s="50">
        <f t="shared" si="6"/>
        <v>2616</v>
      </c>
      <c r="S71" s="144"/>
      <c r="T71" s="145"/>
      <c r="U71" s="145"/>
      <c r="V71" s="145"/>
      <c r="W71" s="146"/>
    </row>
    <row r="72" spans="1:23" x14ac:dyDescent="0.3">
      <c r="A72" s="50" t="s">
        <v>140</v>
      </c>
      <c r="B72" s="70" t="s">
        <v>37</v>
      </c>
      <c r="C72" s="50" t="s">
        <v>145</v>
      </c>
      <c r="D72" s="50">
        <v>380</v>
      </c>
      <c r="E72" s="50" t="s">
        <v>107</v>
      </c>
      <c r="F72" s="50" t="s">
        <v>61</v>
      </c>
      <c r="G72" s="50">
        <v>250084</v>
      </c>
      <c r="H72" s="14">
        <f t="shared" si="7"/>
        <v>379</v>
      </c>
      <c r="I72" s="50"/>
      <c r="J72" s="50"/>
      <c r="K72" s="50">
        <f t="shared" si="6"/>
        <v>2237</v>
      </c>
      <c r="S72" s="144"/>
      <c r="T72" s="145"/>
      <c r="U72" s="145"/>
      <c r="V72" s="145"/>
      <c r="W72" s="146"/>
    </row>
    <row r="73" spans="1:23" ht="15" thickBot="1" x14ac:dyDescent="0.35">
      <c r="A73" s="50" t="s">
        <v>140</v>
      </c>
      <c r="B73" s="74" t="s">
        <v>133</v>
      </c>
      <c r="C73" s="50" t="s">
        <v>65</v>
      </c>
      <c r="D73" s="50">
        <v>50</v>
      </c>
      <c r="E73" s="50" t="s">
        <v>89</v>
      </c>
      <c r="F73" s="50" t="s">
        <v>135</v>
      </c>
      <c r="G73" s="50">
        <v>250134</v>
      </c>
      <c r="H73" s="14">
        <f t="shared" si="7"/>
        <v>50</v>
      </c>
      <c r="I73" s="50"/>
      <c r="J73" s="50"/>
      <c r="K73" s="50">
        <f t="shared" si="6"/>
        <v>2187</v>
      </c>
      <c r="S73" s="147"/>
      <c r="T73" s="148"/>
      <c r="U73" s="148"/>
      <c r="V73" s="148"/>
      <c r="W73" s="149"/>
    </row>
    <row r="74" spans="1:23" x14ac:dyDescent="0.3">
      <c r="A74" s="50" t="s">
        <v>140</v>
      </c>
      <c r="B74" s="74" t="s">
        <v>133</v>
      </c>
      <c r="C74" s="50" t="s">
        <v>146</v>
      </c>
      <c r="D74" s="50">
        <v>26</v>
      </c>
      <c r="E74" s="50" t="s">
        <v>134</v>
      </c>
      <c r="F74" s="50" t="s">
        <v>135</v>
      </c>
      <c r="G74" s="50">
        <v>250160</v>
      </c>
      <c r="H74" s="14">
        <f t="shared" si="7"/>
        <v>26</v>
      </c>
      <c r="I74" s="50"/>
      <c r="J74" s="50"/>
      <c r="K74" s="50">
        <f t="shared" si="6"/>
        <v>2161</v>
      </c>
      <c r="M74" s="83" t="s">
        <v>147</v>
      </c>
      <c r="S74" s="136" t="s">
        <v>24</v>
      </c>
      <c r="T74" s="137"/>
      <c r="U74" s="136" t="s">
        <v>148</v>
      </c>
      <c r="V74" s="138"/>
      <c r="W74" s="137"/>
    </row>
    <row r="75" spans="1:23" ht="15" thickBot="1" x14ac:dyDescent="0.35">
      <c r="A75" s="50" t="s">
        <v>140</v>
      </c>
      <c r="B75" s="61" t="s">
        <v>35</v>
      </c>
      <c r="C75" s="50" t="s">
        <v>65</v>
      </c>
      <c r="D75" s="50">
        <v>50</v>
      </c>
      <c r="E75" s="50" t="s">
        <v>149</v>
      </c>
      <c r="F75" s="50"/>
      <c r="G75" s="50">
        <v>250210</v>
      </c>
      <c r="H75" s="14">
        <v>50</v>
      </c>
      <c r="I75" s="50"/>
      <c r="J75" s="50"/>
      <c r="K75" s="50">
        <f t="shared" si="6"/>
        <v>2111</v>
      </c>
      <c r="M75" s="84">
        <f>T3+T34+T96+T106</f>
        <v>3670</v>
      </c>
      <c r="S75" s="85"/>
      <c r="T75" s="85"/>
      <c r="U75" s="85"/>
      <c r="V75" s="85"/>
      <c r="W75" s="85">
        <v>78</v>
      </c>
    </row>
    <row r="76" spans="1:23" x14ac:dyDescent="0.3">
      <c r="A76" s="50" t="s">
        <v>140</v>
      </c>
      <c r="B76" s="59" t="s">
        <v>39</v>
      </c>
      <c r="C76" s="50" t="s">
        <v>150</v>
      </c>
      <c r="D76" s="50">
        <v>195</v>
      </c>
      <c r="E76" s="50" t="s">
        <v>57</v>
      </c>
      <c r="F76" s="50" t="s">
        <v>58</v>
      </c>
      <c r="G76" s="50">
        <v>250405</v>
      </c>
      <c r="H76" s="14">
        <f t="shared" ref="H76:H94" si="8">G76-G75</f>
        <v>195</v>
      </c>
      <c r="I76" s="50"/>
      <c r="J76" s="50"/>
      <c r="K76" s="50">
        <f t="shared" si="6"/>
        <v>1916</v>
      </c>
      <c r="M76" s="86"/>
      <c r="S76" s="85"/>
      <c r="T76" s="85"/>
      <c r="U76" s="85"/>
      <c r="V76" s="85"/>
      <c r="W76" s="85">
        <v>299</v>
      </c>
    </row>
    <row r="77" spans="1:23" x14ac:dyDescent="0.3">
      <c r="A77" s="50" t="s">
        <v>151</v>
      </c>
      <c r="B77" s="74" t="s">
        <v>133</v>
      </c>
      <c r="C77" s="50" t="s">
        <v>86</v>
      </c>
      <c r="D77" s="50">
        <v>41</v>
      </c>
      <c r="E77" s="50" t="s">
        <v>138</v>
      </c>
      <c r="F77" s="50" t="s">
        <v>152</v>
      </c>
      <c r="G77" s="50">
        <v>250446</v>
      </c>
      <c r="H77" s="14">
        <f t="shared" si="8"/>
        <v>41</v>
      </c>
      <c r="I77" s="50"/>
      <c r="J77" s="50"/>
      <c r="K77" s="50">
        <f t="shared" si="6"/>
        <v>1875</v>
      </c>
      <c r="S77" s="85"/>
      <c r="T77" s="85"/>
      <c r="U77" s="85"/>
      <c r="V77" s="85"/>
      <c r="W77" s="85">
        <v>305</v>
      </c>
    </row>
    <row r="78" spans="1:23" x14ac:dyDescent="0.3">
      <c r="A78" s="50" t="s">
        <v>151</v>
      </c>
      <c r="B78" s="74" t="s">
        <v>133</v>
      </c>
      <c r="C78" s="50" t="s">
        <v>153</v>
      </c>
      <c r="D78" s="50">
        <v>40</v>
      </c>
      <c r="E78" s="50" t="s">
        <v>89</v>
      </c>
      <c r="F78" s="50" t="s">
        <v>154</v>
      </c>
      <c r="G78" s="50">
        <v>250486</v>
      </c>
      <c r="H78" s="14">
        <f t="shared" si="8"/>
        <v>40</v>
      </c>
      <c r="I78" s="50"/>
      <c r="J78" s="50"/>
      <c r="K78" s="50">
        <f t="shared" si="6"/>
        <v>1835</v>
      </c>
      <c r="S78" s="85"/>
      <c r="T78" s="85"/>
      <c r="U78" s="85"/>
      <c r="V78" s="85"/>
      <c r="W78" s="85">
        <v>3397</v>
      </c>
    </row>
    <row r="79" spans="1:23" x14ac:dyDescent="0.3">
      <c r="A79" s="50" t="s">
        <v>151</v>
      </c>
      <c r="B79" s="74" t="s">
        <v>133</v>
      </c>
      <c r="C79" s="50" t="s">
        <v>155</v>
      </c>
      <c r="D79" s="50">
        <v>141</v>
      </c>
      <c r="E79" s="50" t="s">
        <v>80</v>
      </c>
      <c r="F79" s="50" t="s">
        <v>120</v>
      </c>
      <c r="G79" s="50">
        <v>250627</v>
      </c>
      <c r="H79" s="14">
        <f t="shared" si="8"/>
        <v>141</v>
      </c>
      <c r="I79" s="50"/>
      <c r="J79" s="50"/>
      <c r="K79" s="50">
        <f t="shared" si="6"/>
        <v>1694</v>
      </c>
      <c r="S79" s="85"/>
      <c r="T79" s="85"/>
      <c r="U79" s="85"/>
      <c r="V79" s="85"/>
      <c r="W79" s="85">
        <v>448</v>
      </c>
    </row>
    <row r="80" spans="1:23" x14ac:dyDescent="0.3">
      <c r="A80" s="50" t="s">
        <v>151</v>
      </c>
      <c r="B80" s="80" t="s">
        <v>136</v>
      </c>
      <c r="C80" s="50" t="s">
        <v>69</v>
      </c>
      <c r="D80" s="50">
        <v>61</v>
      </c>
      <c r="E80" s="50" t="s">
        <v>70</v>
      </c>
      <c r="F80" s="50" t="s">
        <v>112</v>
      </c>
      <c r="G80" s="50">
        <v>250688</v>
      </c>
      <c r="H80" s="14">
        <f t="shared" si="8"/>
        <v>61</v>
      </c>
      <c r="I80" s="50"/>
      <c r="J80" s="50"/>
      <c r="K80" s="50">
        <f t="shared" si="6"/>
        <v>1633</v>
      </c>
      <c r="S80" s="85"/>
      <c r="T80" s="85"/>
      <c r="U80" s="85"/>
      <c r="V80" s="85"/>
      <c r="W80" s="85"/>
    </row>
    <row r="81" spans="1:23" x14ac:dyDescent="0.3">
      <c r="A81" s="50" t="s">
        <v>151</v>
      </c>
      <c r="B81" s="74" t="s">
        <v>133</v>
      </c>
      <c r="C81" s="50" t="s">
        <v>91</v>
      </c>
      <c r="D81" s="50">
        <v>80</v>
      </c>
      <c r="E81" s="50" t="s">
        <v>66</v>
      </c>
      <c r="F81" s="50" t="s">
        <v>112</v>
      </c>
      <c r="G81" s="50">
        <v>250768</v>
      </c>
      <c r="H81" s="14">
        <f t="shared" si="8"/>
        <v>80</v>
      </c>
      <c r="I81" s="50"/>
      <c r="J81" s="50"/>
      <c r="K81" s="50">
        <f t="shared" si="6"/>
        <v>1553</v>
      </c>
      <c r="S81" s="85"/>
      <c r="T81" s="85"/>
      <c r="U81" s="85"/>
      <c r="V81" s="85" t="s">
        <v>31</v>
      </c>
      <c r="W81" s="85">
        <f>W75+W77+W76+W78+W79</f>
        <v>4527</v>
      </c>
    </row>
    <row r="82" spans="1:23" x14ac:dyDescent="0.3">
      <c r="A82" s="50" t="s">
        <v>151</v>
      </c>
      <c r="B82" s="87" t="s">
        <v>133</v>
      </c>
      <c r="C82" s="50" t="s">
        <v>86</v>
      </c>
      <c r="D82" s="50">
        <v>40</v>
      </c>
      <c r="E82" s="50" t="s">
        <v>123</v>
      </c>
      <c r="F82" s="50"/>
      <c r="G82" s="50">
        <v>250808</v>
      </c>
      <c r="H82">
        <f t="shared" si="8"/>
        <v>40</v>
      </c>
      <c r="I82" s="50"/>
      <c r="J82" s="50"/>
      <c r="K82" s="50">
        <f t="shared" si="6"/>
        <v>1513</v>
      </c>
      <c r="S82" s="85" t="s">
        <v>156</v>
      </c>
      <c r="T82" s="85" t="s">
        <v>157</v>
      </c>
      <c r="U82" s="85"/>
      <c r="V82" s="85"/>
      <c r="W82" s="85">
        <v>2263</v>
      </c>
    </row>
    <row r="83" spans="1:23" x14ac:dyDescent="0.3">
      <c r="A83" s="50" t="s">
        <v>151</v>
      </c>
      <c r="B83" s="74" t="s">
        <v>133</v>
      </c>
      <c r="C83" s="50" t="s">
        <v>158</v>
      </c>
      <c r="D83" s="50">
        <v>66</v>
      </c>
      <c r="E83" s="50" t="s">
        <v>159</v>
      </c>
      <c r="F83" s="50"/>
      <c r="G83" s="50">
        <v>250874</v>
      </c>
      <c r="H83">
        <f t="shared" si="8"/>
        <v>66</v>
      </c>
      <c r="I83" s="50"/>
      <c r="J83" s="50"/>
      <c r="K83" s="50">
        <f t="shared" si="6"/>
        <v>1447</v>
      </c>
      <c r="S83" s="85"/>
      <c r="T83" s="85"/>
      <c r="U83" s="85"/>
      <c r="V83" s="85" t="s">
        <v>160</v>
      </c>
      <c r="W83" s="85">
        <f>W81-W82</f>
        <v>2264</v>
      </c>
    </row>
    <row r="84" spans="1:23" x14ac:dyDescent="0.3">
      <c r="A84" s="50" t="s">
        <v>151</v>
      </c>
      <c r="B84" s="74" t="s">
        <v>133</v>
      </c>
      <c r="C84" s="50" t="s">
        <v>68</v>
      </c>
      <c r="D84" s="50">
        <v>20</v>
      </c>
      <c r="E84" s="50" t="s">
        <v>161</v>
      </c>
      <c r="F84" s="50"/>
      <c r="G84" s="50">
        <v>250894</v>
      </c>
      <c r="H84">
        <f t="shared" si="8"/>
        <v>20</v>
      </c>
      <c r="I84" s="50"/>
      <c r="J84" s="50"/>
      <c r="K84" s="50">
        <f t="shared" si="6"/>
        <v>1427</v>
      </c>
      <c r="S84" s="85"/>
      <c r="T84" s="85"/>
      <c r="U84" s="85"/>
      <c r="V84" s="85"/>
      <c r="W84" s="85"/>
    </row>
    <row r="85" spans="1:23" x14ac:dyDescent="0.3">
      <c r="A85" s="50" t="s">
        <v>151</v>
      </c>
      <c r="B85" s="74" t="s">
        <v>133</v>
      </c>
      <c r="C85" s="50" t="s">
        <v>68</v>
      </c>
      <c r="D85" s="50">
        <v>20</v>
      </c>
      <c r="E85" s="50" t="s">
        <v>162</v>
      </c>
      <c r="F85" s="50"/>
      <c r="G85" s="50">
        <v>250914</v>
      </c>
      <c r="H85">
        <f t="shared" si="8"/>
        <v>20</v>
      </c>
      <c r="I85" s="50"/>
      <c r="J85" s="50"/>
      <c r="K85" s="50">
        <f t="shared" si="6"/>
        <v>1407</v>
      </c>
      <c r="S85" s="85"/>
      <c r="T85" s="85"/>
      <c r="U85" s="85"/>
      <c r="V85" s="85"/>
      <c r="W85" s="85"/>
    </row>
    <row r="86" spans="1:23" x14ac:dyDescent="0.3">
      <c r="A86" s="50" t="s">
        <v>163</v>
      </c>
      <c r="B86" s="61" t="s">
        <v>35</v>
      </c>
      <c r="C86" s="50" t="s">
        <v>86</v>
      </c>
      <c r="D86" s="50">
        <v>40</v>
      </c>
      <c r="E86" s="50" t="s">
        <v>89</v>
      </c>
      <c r="F86" s="50"/>
      <c r="G86" s="50">
        <v>250953</v>
      </c>
      <c r="H86">
        <f t="shared" si="8"/>
        <v>39</v>
      </c>
      <c r="I86" s="50"/>
      <c r="J86" s="50"/>
      <c r="K86" s="50">
        <f t="shared" si="6"/>
        <v>1368</v>
      </c>
    </row>
    <row r="87" spans="1:23" x14ac:dyDescent="0.3">
      <c r="A87" s="50" t="s">
        <v>163</v>
      </c>
      <c r="B87" s="61" t="s">
        <v>35</v>
      </c>
      <c r="C87" s="50" t="s">
        <v>72</v>
      </c>
      <c r="D87" s="50">
        <v>30</v>
      </c>
      <c r="E87" s="50" t="s">
        <v>121</v>
      </c>
      <c r="F87" s="50"/>
      <c r="G87" s="50">
        <v>250985</v>
      </c>
      <c r="H87">
        <f t="shared" si="8"/>
        <v>32</v>
      </c>
      <c r="I87" s="50"/>
      <c r="J87" s="50"/>
      <c r="K87" s="50">
        <f t="shared" si="6"/>
        <v>1336</v>
      </c>
    </row>
    <row r="88" spans="1:23" x14ac:dyDescent="0.3">
      <c r="A88" s="50" t="s">
        <v>163</v>
      </c>
      <c r="B88" s="61" t="s">
        <v>35</v>
      </c>
      <c r="C88" s="50" t="s">
        <v>72</v>
      </c>
      <c r="D88" s="50">
        <v>30</v>
      </c>
      <c r="E88" s="50" t="s">
        <v>164</v>
      </c>
      <c r="F88" s="50"/>
      <c r="G88" s="50">
        <v>251015</v>
      </c>
      <c r="H88">
        <f t="shared" si="8"/>
        <v>30</v>
      </c>
      <c r="I88" s="50"/>
      <c r="J88" s="50"/>
      <c r="K88" s="50">
        <f t="shared" si="6"/>
        <v>1306</v>
      </c>
    </row>
    <row r="89" spans="1:23" x14ac:dyDescent="0.3">
      <c r="A89" s="50" t="s">
        <v>163</v>
      </c>
      <c r="B89" s="61" t="s">
        <v>35</v>
      </c>
      <c r="C89" s="50" t="s">
        <v>72</v>
      </c>
      <c r="D89" s="50">
        <v>30</v>
      </c>
      <c r="E89" s="50" t="s">
        <v>138</v>
      </c>
      <c r="F89" s="50"/>
      <c r="G89" s="50">
        <v>251045</v>
      </c>
      <c r="H89">
        <f t="shared" si="8"/>
        <v>30</v>
      </c>
      <c r="I89" s="50"/>
      <c r="J89" s="50"/>
      <c r="K89" s="50">
        <f t="shared" si="6"/>
        <v>1276</v>
      </c>
    </row>
    <row r="90" spans="1:23" x14ac:dyDescent="0.3">
      <c r="A90" s="50" t="s">
        <v>163</v>
      </c>
      <c r="B90" s="61" t="s">
        <v>35</v>
      </c>
      <c r="C90" s="50" t="s">
        <v>65</v>
      </c>
      <c r="D90" s="50">
        <v>50</v>
      </c>
      <c r="E90" s="50" t="s">
        <v>70</v>
      </c>
      <c r="F90" s="50"/>
      <c r="G90" s="50">
        <v>251095</v>
      </c>
      <c r="H90">
        <f t="shared" si="8"/>
        <v>50</v>
      </c>
      <c r="I90" s="50"/>
      <c r="J90" s="50"/>
      <c r="K90" s="50">
        <f t="shared" si="6"/>
        <v>1226</v>
      </c>
    </row>
    <row r="91" spans="1:23" x14ac:dyDescent="0.3">
      <c r="A91" s="50" t="s">
        <v>163</v>
      </c>
      <c r="B91" s="61" t="s">
        <v>35</v>
      </c>
      <c r="C91" s="50" t="s">
        <v>165</v>
      </c>
      <c r="D91" s="50">
        <v>151</v>
      </c>
      <c r="E91" s="50" t="s">
        <v>80</v>
      </c>
      <c r="F91" s="50"/>
      <c r="G91" s="50">
        <v>251246</v>
      </c>
      <c r="H91">
        <f t="shared" si="8"/>
        <v>151</v>
      </c>
      <c r="I91" s="50"/>
      <c r="J91" s="50"/>
      <c r="K91" s="50">
        <f t="shared" si="6"/>
        <v>1075</v>
      </c>
    </row>
    <row r="92" spans="1:23" x14ac:dyDescent="0.3">
      <c r="A92" s="50" t="s">
        <v>163</v>
      </c>
      <c r="B92" s="61" t="s">
        <v>35</v>
      </c>
      <c r="C92" s="50" t="s">
        <v>65</v>
      </c>
      <c r="D92" s="50">
        <v>50</v>
      </c>
      <c r="E92" s="50" t="s">
        <v>66</v>
      </c>
      <c r="F92" s="50"/>
      <c r="G92" s="50">
        <v>251297</v>
      </c>
      <c r="H92">
        <f t="shared" si="8"/>
        <v>51</v>
      </c>
      <c r="I92" s="50"/>
      <c r="J92" s="50"/>
      <c r="K92" s="50">
        <f t="shared" si="6"/>
        <v>1024</v>
      </c>
    </row>
    <row r="93" spans="1:23" x14ac:dyDescent="0.3">
      <c r="A93" s="50" t="s">
        <v>163</v>
      </c>
      <c r="B93" s="61" t="s">
        <v>35</v>
      </c>
      <c r="C93" s="50" t="s">
        <v>77</v>
      </c>
      <c r="D93" s="50">
        <v>200</v>
      </c>
      <c r="E93" s="50" t="s">
        <v>78</v>
      </c>
      <c r="F93" s="50"/>
      <c r="G93" s="50">
        <v>251497</v>
      </c>
      <c r="H93">
        <f t="shared" si="8"/>
        <v>200</v>
      </c>
      <c r="I93" s="50"/>
      <c r="J93" s="50"/>
      <c r="K93" s="50">
        <f t="shared" si="6"/>
        <v>824</v>
      </c>
    </row>
    <row r="94" spans="1:23" ht="25.8" x14ac:dyDescent="0.5">
      <c r="A94" s="50" t="s">
        <v>163</v>
      </c>
      <c r="B94" s="61" t="s">
        <v>35</v>
      </c>
      <c r="C94" s="50" t="s">
        <v>65</v>
      </c>
      <c r="D94" s="50">
        <v>50</v>
      </c>
      <c r="E94" s="50" t="s">
        <v>84</v>
      </c>
      <c r="F94" s="50"/>
      <c r="G94" s="50">
        <v>251547</v>
      </c>
      <c r="H94">
        <f t="shared" si="8"/>
        <v>50</v>
      </c>
      <c r="I94" s="50"/>
      <c r="J94" s="50"/>
      <c r="K94" s="50">
        <f t="shared" si="6"/>
        <v>774</v>
      </c>
      <c r="M94" s="132" t="s">
        <v>101</v>
      </c>
      <c r="N94" s="133"/>
      <c r="O94" s="133"/>
      <c r="P94" s="133"/>
    </row>
    <row r="95" spans="1:23" ht="31.8" x14ac:dyDescent="0.55000000000000004">
      <c r="A95" s="88" t="s">
        <v>163</v>
      </c>
      <c r="B95" s="79"/>
      <c r="C95" s="79"/>
      <c r="D95" s="79"/>
      <c r="E95" s="79"/>
      <c r="F95" s="79"/>
      <c r="G95" s="79"/>
      <c r="H95" s="79"/>
      <c r="I95" s="79"/>
      <c r="J95" s="79"/>
      <c r="K95" s="79"/>
      <c r="M95" s="39" t="s">
        <v>35</v>
      </c>
      <c r="N95" s="40" t="s">
        <v>36</v>
      </c>
      <c r="O95" s="41" t="s">
        <v>37</v>
      </c>
      <c r="P95" s="42" t="s">
        <v>38</v>
      </c>
      <c r="Q95" s="43" t="s">
        <v>39</v>
      </c>
      <c r="R95" s="44" t="s">
        <v>31</v>
      </c>
      <c r="S95" s="45" t="s">
        <v>40</v>
      </c>
      <c r="T95" s="72" t="s">
        <v>41</v>
      </c>
    </row>
    <row r="96" spans="1:23" x14ac:dyDescent="0.3">
      <c r="A96" s="50"/>
      <c r="B96" s="50"/>
      <c r="C96" s="50"/>
      <c r="D96" s="50"/>
      <c r="E96" s="50"/>
      <c r="F96" s="50"/>
      <c r="G96" s="50"/>
      <c r="H96" s="50"/>
      <c r="I96" s="50" t="s">
        <v>163</v>
      </c>
      <c r="J96" s="50" t="s">
        <v>46</v>
      </c>
      <c r="K96" s="50">
        <v>4000</v>
      </c>
      <c r="M96" s="50">
        <f>H98+H99+H101+H103+H104</f>
        <v>331</v>
      </c>
      <c r="N96" s="50">
        <v>0</v>
      </c>
      <c r="O96" s="50">
        <v>102</v>
      </c>
      <c r="P96" s="50">
        <v>0</v>
      </c>
      <c r="Q96" s="50">
        <v>170</v>
      </c>
      <c r="R96" s="45">
        <f>SUM(M96:Q96)</f>
        <v>603</v>
      </c>
      <c r="S96" s="45">
        <v>4000</v>
      </c>
      <c r="T96" s="72">
        <f>S96-R96</f>
        <v>3397</v>
      </c>
    </row>
    <row r="97" spans="1:20" x14ac:dyDescent="0.3">
      <c r="A97" s="50" t="s">
        <v>163</v>
      </c>
      <c r="B97" s="70" t="s">
        <v>37</v>
      </c>
      <c r="C97" s="50" t="s">
        <v>166</v>
      </c>
      <c r="D97" s="50">
        <v>102</v>
      </c>
      <c r="E97" s="50" t="s">
        <v>82</v>
      </c>
      <c r="F97" s="50" t="s">
        <v>92</v>
      </c>
      <c r="G97" s="50">
        <v>251649</v>
      </c>
      <c r="H97" s="50">
        <f>G97-G94</f>
        <v>102</v>
      </c>
      <c r="I97" s="50"/>
      <c r="J97" s="50"/>
      <c r="K97" s="50">
        <f t="shared" ref="K97:K104" si="9">K96-H97</f>
        <v>3898</v>
      </c>
    </row>
    <row r="98" spans="1:20" x14ac:dyDescent="0.3">
      <c r="A98" s="50" t="s">
        <v>167</v>
      </c>
      <c r="B98" s="61" t="s">
        <v>35</v>
      </c>
      <c r="C98" s="50" t="s">
        <v>91</v>
      </c>
      <c r="D98" s="50">
        <v>80</v>
      </c>
      <c r="E98" s="50" t="s">
        <v>82</v>
      </c>
      <c r="F98" s="50" t="s">
        <v>168</v>
      </c>
      <c r="G98" s="50">
        <v>251729</v>
      </c>
      <c r="H98" s="50">
        <f t="shared" ref="H98:H104" si="10">G98-G97</f>
        <v>80</v>
      </c>
      <c r="I98" s="50"/>
      <c r="J98" s="50"/>
      <c r="K98" s="50">
        <f t="shared" si="9"/>
        <v>3818</v>
      </c>
      <c r="M98" s="14"/>
      <c r="N98" s="14"/>
    </row>
    <row r="99" spans="1:20" x14ac:dyDescent="0.3">
      <c r="A99" s="50" t="s">
        <v>167</v>
      </c>
      <c r="B99" s="61" t="s">
        <v>35</v>
      </c>
      <c r="C99" s="50" t="s">
        <v>68</v>
      </c>
      <c r="D99" s="50">
        <v>20</v>
      </c>
      <c r="E99" s="50" t="s">
        <v>80</v>
      </c>
      <c r="F99" s="50" t="s">
        <v>120</v>
      </c>
      <c r="G99" s="50">
        <v>251750</v>
      </c>
      <c r="H99" s="50">
        <f t="shared" si="10"/>
        <v>21</v>
      </c>
      <c r="I99" s="50"/>
      <c r="J99" s="50"/>
      <c r="K99" s="50">
        <f t="shared" si="9"/>
        <v>3797</v>
      </c>
      <c r="M99" s="14"/>
      <c r="N99" s="14"/>
    </row>
    <row r="100" spans="1:20" x14ac:dyDescent="0.3">
      <c r="G100" s="50">
        <v>251800</v>
      </c>
      <c r="H100" s="50">
        <f t="shared" si="10"/>
        <v>50</v>
      </c>
      <c r="I100" s="50"/>
      <c r="J100" s="50"/>
      <c r="K100" s="50">
        <f t="shared" si="9"/>
        <v>3747</v>
      </c>
    </row>
    <row r="101" spans="1:20" x14ac:dyDescent="0.3">
      <c r="A101" s="50" t="s">
        <v>167</v>
      </c>
      <c r="B101" s="61" t="s">
        <v>35</v>
      </c>
      <c r="C101" s="50" t="s">
        <v>43</v>
      </c>
      <c r="D101" s="50">
        <v>100</v>
      </c>
      <c r="E101" s="50" t="s">
        <v>78</v>
      </c>
      <c r="F101" s="50" t="s">
        <v>128</v>
      </c>
      <c r="G101" s="50">
        <v>251900</v>
      </c>
      <c r="H101" s="50">
        <f t="shared" si="10"/>
        <v>100</v>
      </c>
      <c r="I101" s="50"/>
      <c r="J101" s="50"/>
      <c r="K101" s="50">
        <f t="shared" si="9"/>
        <v>3647</v>
      </c>
    </row>
    <row r="102" spans="1:20" x14ac:dyDescent="0.3">
      <c r="A102" s="50" t="s">
        <v>167</v>
      </c>
      <c r="B102" s="89" t="s">
        <v>169</v>
      </c>
      <c r="C102" s="50" t="s">
        <v>170</v>
      </c>
      <c r="D102" s="50">
        <v>170</v>
      </c>
      <c r="E102" s="50" t="s">
        <v>57</v>
      </c>
      <c r="F102" s="50" t="s">
        <v>58</v>
      </c>
      <c r="G102" s="50">
        <v>252070</v>
      </c>
      <c r="H102" s="50">
        <f t="shared" si="10"/>
        <v>170</v>
      </c>
      <c r="I102" s="50"/>
      <c r="J102" s="50"/>
      <c r="K102" s="50">
        <f t="shared" si="9"/>
        <v>3477</v>
      </c>
    </row>
    <row r="103" spans="1:20" x14ac:dyDescent="0.3">
      <c r="A103" s="50" t="s">
        <v>167</v>
      </c>
      <c r="B103" s="61" t="s">
        <v>35</v>
      </c>
      <c r="C103" s="50" t="s">
        <v>65</v>
      </c>
      <c r="D103" s="50">
        <v>50</v>
      </c>
      <c r="E103" s="50" t="s">
        <v>121</v>
      </c>
      <c r="F103" s="50" t="s">
        <v>122</v>
      </c>
      <c r="G103" s="50">
        <v>252120</v>
      </c>
      <c r="H103" s="50">
        <f t="shared" si="10"/>
        <v>50</v>
      </c>
      <c r="I103" s="50"/>
      <c r="J103" s="50"/>
      <c r="K103" s="50">
        <f t="shared" si="9"/>
        <v>3427</v>
      </c>
    </row>
    <row r="104" spans="1:20" ht="25.8" x14ac:dyDescent="0.5">
      <c r="A104" s="50" t="s">
        <v>167</v>
      </c>
      <c r="B104" s="61" t="s">
        <v>35</v>
      </c>
      <c r="C104" s="50" t="s">
        <v>91</v>
      </c>
      <c r="D104" s="50">
        <v>80</v>
      </c>
      <c r="E104" s="50" t="s">
        <v>70</v>
      </c>
      <c r="F104" s="50" t="s">
        <v>171</v>
      </c>
      <c r="G104" s="50">
        <v>252200</v>
      </c>
      <c r="H104" s="50">
        <f t="shared" si="10"/>
        <v>80</v>
      </c>
      <c r="I104" s="50"/>
      <c r="J104" s="50"/>
      <c r="K104" s="50">
        <f t="shared" si="9"/>
        <v>3347</v>
      </c>
      <c r="M104" s="132" t="s">
        <v>172</v>
      </c>
      <c r="N104" s="133"/>
      <c r="O104" s="133"/>
      <c r="P104" s="133"/>
    </row>
    <row r="105" spans="1:20" ht="28.8" x14ac:dyDescent="0.55000000000000004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M105" s="39" t="s">
        <v>35</v>
      </c>
      <c r="N105" s="40" t="s">
        <v>36</v>
      </c>
      <c r="O105" s="90" t="s">
        <v>173</v>
      </c>
      <c r="P105" s="42" t="s">
        <v>38</v>
      </c>
      <c r="Q105" s="43" t="s">
        <v>39</v>
      </c>
      <c r="R105" s="44" t="s">
        <v>31</v>
      </c>
      <c r="S105" s="45" t="s">
        <v>40</v>
      </c>
      <c r="T105" s="72" t="s">
        <v>41</v>
      </c>
    </row>
    <row r="106" spans="1:20" x14ac:dyDescent="0.3">
      <c r="A106" s="50"/>
      <c r="B106" s="50"/>
      <c r="C106" s="50"/>
      <c r="D106" s="50"/>
      <c r="E106" s="50"/>
      <c r="F106" s="50"/>
      <c r="G106" s="50"/>
      <c r="H106" s="50"/>
      <c r="I106" s="50" t="s">
        <v>167</v>
      </c>
      <c r="J106" s="50" t="s">
        <v>46</v>
      </c>
      <c r="K106" s="50">
        <v>4000</v>
      </c>
      <c r="M106" s="50">
        <f>H107+H109+H111+H112+H131+H132+H133+H135+H134+H138+H139+H141+H142</f>
        <v>684</v>
      </c>
      <c r="N106" s="50">
        <f>H113+H114+H116+H123+H122+H121+H120+H119+H118+H117+H125</f>
        <v>648</v>
      </c>
      <c r="O106" s="50">
        <f>H140+H143+H144+H145+H146+H147</f>
        <v>852</v>
      </c>
      <c r="P106" s="50">
        <f>H108+H110+H115+H127+H128+H136+H137</f>
        <v>415</v>
      </c>
      <c r="Q106" s="50">
        <f>H126+H129</f>
        <v>1305</v>
      </c>
      <c r="R106" s="45">
        <f>M109+M106+N106+O106+P106+Q106</f>
        <v>4104</v>
      </c>
      <c r="S106" s="45">
        <v>4000</v>
      </c>
      <c r="T106" s="72">
        <f>S106-R106</f>
        <v>-104</v>
      </c>
    </row>
    <row r="107" spans="1:20" x14ac:dyDescent="0.3">
      <c r="A107" s="50" t="s">
        <v>174</v>
      </c>
      <c r="B107" s="61" t="s">
        <v>35</v>
      </c>
      <c r="C107" s="50" t="s">
        <v>175</v>
      </c>
      <c r="D107" s="50">
        <v>127</v>
      </c>
      <c r="E107" s="50" t="s">
        <v>176</v>
      </c>
      <c r="F107" s="50" t="s">
        <v>120</v>
      </c>
      <c r="G107" s="50">
        <v>252327</v>
      </c>
      <c r="H107" s="50">
        <f>G107-G104</f>
        <v>127</v>
      </c>
      <c r="I107" s="50"/>
      <c r="J107" s="50"/>
      <c r="K107" s="50">
        <f t="shared" ref="K107:K145" si="11">K106-H107</f>
        <v>3873</v>
      </c>
    </row>
    <row r="108" spans="1:20" x14ac:dyDescent="0.3">
      <c r="A108" s="50" t="s">
        <v>174</v>
      </c>
      <c r="B108" s="58" t="s">
        <v>38</v>
      </c>
      <c r="C108" s="50" t="s">
        <v>158</v>
      </c>
      <c r="D108" s="50">
        <v>65</v>
      </c>
      <c r="E108" s="50" t="s">
        <v>60</v>
      </c>
      <c r="F108" s="50" t="s">
        <v>55</v>
      </c>
      <c r="G108" s="50">
        <v>252392</v>
      </c>
      <c r="H108" s="50">
        <f t="shared" ref="H108:H146" si="12">G108-G107</f>
        <v>65</v>
      </c>
      <c r="I108" s="50"/>
      <c r="J108" s="50"/>
      <c r="K108" s="50">
        <f t="shared" si="11"/>
        <v>3808</v>
      </c>
      <c r="M108" s="91" t="s">
        <v>177</v>
      </c>
    </row>
    <row r="109" spans="1:20" x14ac:dyDescent="0.3">
      <c r="A109" s="50" t="s">
        <v>178</v>
      </c>
      <c r="B109" s="61" t="s">
        <v>35</v>
      </c>
      <c r="C109" s="50" t="s">
        <v>68</v>
      </c>
      <c r="D109" s="50">
        <v>20</v>
      </c>
      <c r="E109" s="50" t="s">
        <v>176</v>
      </c>
      <c r="F109" s="50" t="s">
        <v>120</v>
      </c>
      <c r="G109" s="50">
        <v>252413</v>
      </c>
      <c r="H109" s="50">
        <f t="shared" si="12"/>
        <v>21</v>
      </c>
      <c r="I109" s="50"/>
      <c r="J109" s="50"/>
      <c r="K109" s="50">
        <f t="shared" si="11"/>
        <v>3787</v>
      </c>
      <c r="M109" s="71">
        <v>200</v>
      </c>
    </row>
    <row r="110" spans="1:20" x14ac:dyDescent="0.3">
      <c r="A110" s="50" t="s">
        <v>178</v>
      </c>
      <c r="B110" s="58" t="s">
        <v>38</v>
      </c>
      <c r="C110" s="50" t="s">
        <v>179</v>
      </c>
      <c r="D110" s="50">
        <v>45</v>
      </c>
      <c r="E110" s="50" t="s">
        <v>60</v>
      </c>
      <c r="F110" s="50" t="s">
        <v>55</v>
      </c>
      <c r="G110" s="50">
        <v>252458</v>
      </c>
      <c r="H110" s="50">
        <f t="shared" si="12"/>
        <v>45</v>
      </c>
      <c r="I110" s="50"/>
      <c r="J110" s="50"/>
      <c r="K110" s="50">
        <f t="shared" si="11"/>
        <v>3742</v>
      </c>
    </row>
    <row r="111" spans="1:20" x14ac:dyDescent="0.3">
      <c r="A111" s="50" t="s">
        <v>178</v>
      </c>
      <c r="B111" s="61" t="s">
        <v>35</v>
      </c>
      <c r="C111" s="50" t="s">
        <v>68</v>
      </c>
      <c r="D111" s="50">
        <v>20</v>
      </c>
      <c r="E111" s="50" t="s">
        <v>60</v>
      </c>
      <c r="F111" s="50" t="s">
        <v>120</v>
      </c>
      <c r="G111" s="50">
        <v>252478</v>
      </c>
      <c r="H111" s="50">
        <f t="shared" si="12"/>
        <v>20</v>
      </c>
      <c r="I111" s="50"/>
      <c r="J111" s="50"/>
      <c r="K111" s="50">
        <f t="shared" si="11"/>
        <v>3722</v>
      </c>
    </row>
    <row r="112" spans="1:20" x14ac:dyDescent="0.3">
      <c r="A112" s="50" t="s">
        <v>178</v>
      </c>
      <c r="B112" s="61" t="s">
        <v>35</v>
      </c>
      <c r="C112" s="50" t="s">
        <v>72</v>
      </c>
      <c r="D112" s="50">
        <v>30</v>
      </c>
      <c r="E112" s="50" t="s">
        <v>89</v>
      </c>
      <c r="F112" s="50" t="s">
        <v>135</v>
      </c>
      <c r="G112" s="50">
        <v>252509</v>
      </c>
      <c r="H112" s="50">
        <f t="shared" si="12"/>
        <v>31</v>
      </c>
      <c r="I112" s="50"/>
      <c r="J112" s="50"/>
      <c r="K112" s="50">
        <f t="shared" si="11"/>
        <v>3691</v>
      </c>
    </row>
    <row r="113" spans="1:14" x14ac:dyDescent="0.3">
      <c r="A113" s="50" t="s">
        <v>178</v>
      </c>
      <c r="B113" s="55" t="s">
        <v>36</v>
      </c>
      <c r="C113" s="50" t="s">
        <v>65</v>
      </c>
      <c r="D113" s="50">
        <v>50</v>
      </c>
      <c r="E113" s="50" t="s">
        <v>66</v>
      </c>
      <c r="F113" s="50" t="s">
        <v>180</v>
      </c>
      <c r="G113" s="50">
        <v>252559</v>
      </c>
      <c r="H113" s="50">
        <f t="shared" si="12"/>
        <v>50</v>
      </c>
      <c r="I113" s="50"/>
      <c r="J113" s="50"/>
      <c r="K113" s="50">
        <f t="shared" si="11"/>
        <v>3641</v>
      </c>
    </row>
    <row r="114" spans="1:14" x14ac:dyDescent="0.3">
      <c r="A114" s="50" t="s">
        <v>178</v>
      </c>
      <c r="B114" s="55" t="s">
        <v>36</v>
      </c>
      <c r="C114" s="50" t="s">
        <v>86</v>
      </c>
      <c r="D114" s="50">
        <v>40</v>
      </c>
      <c r="E114" s="50"/>
      <c r="F114" s="50"/>
      <c r="G114" s="50">
        <v>252599</v>
      </c>
      <c r="H114" s="50">
        <f t="shared" si="12"/>
        <v>40</v>
      </c>
      <c r="I114" s="50"/>
      <c r="J114" s="50"/>
      <c r="K114" s="50">
        <f t="shared" si="11"/>
        <v>3601</v>
      </c>
    </row>
    <row r="115" spans="1:14" x14ac:dyDescent="0.3">
      <c r="A115" s="50" t="s">
        <v>181</v>
      </c>
      <c r="B115" s="58" t="s">
        <v>38</v>
      </c>
      <c r="C115" s="50" t="s">
        <v>158</v>
      </c>
      <c r="D115" s="50">
        <v>65</v>
      </c>
      <c r="E115" s="50" t="s">
        <v>60</v>
      </c>
      <c r="F115" s="50" t="s">
        <v>55</v>
      </c>
      <c r="G115" s="50">
        <v>252664</v>
      </c>
      <c r="H115" s="50">
        <f t="shared" si="12"/>
        <v>65</v>
      </c>
      <c r="I115" s="50"/>
      <c r="J115" s="50"/>
      <c r="K115" s="50">
        <f t="shared" si="11"/>
        <v>3536</v>
      </c>
    </row>
    <row r="116" spans="1:14" x14ac:dyDescent="0.3">
      <c r="A116" s="50" t="s">
        <v>182</v>
      </c>
      <c r="B116" s="55" t="s">
        <v>36</v>
      </c>
      <c r="C116" s="50" t="s">
        <v>183</v>
      </c>
      <c r="D116" s="50">
        <v>136</v>
      </c>
      <c r="E116" s="50" t="s">
        <v>184</v>
      </c>
      <c r="F116" s="50" t="s">
        <v>120</v>
      </c>
      <c r="G116" s="50">
        <v>252800</v>
      </c>
      <c r="H116" s="50">
        <f t="shared" si="12"/>
        <v>136</v>
      </c>
      <c r="I116" s="50"/>
      <c r="J116" s="50"/>
      <c r="K116" s="50">
        <f t="shared" si="11"/>
        <v>3400</v>
      </c>
    </row>
    <row r="117" spans="1:14" x14ac:dyDescent="0.3">
      <c r="A117" s="50" t="s">
        <v>182</v>
      </c>
      <c r="B117" s="55" t="s">
        <v>36</v>
      </c>
      <c r="C117" s="50" t="s">
        <v>69</v>
      </c>
      <c r="D117" s="50">
        <v>60</v>
      </c>
      <c r="E117" s="50" t="s">
        <v>70</v>
      </c>
      <c r="F117" s="50" t="s">
        <v>92</v>
      </c>
      <c r="G117" s="50">
        <v>252860</v>
      </c>
      <c r="H117" s="50">
        <f t="shared" si="12"/>
        <v>60</v>
      </c>
      <c r="I117" s="50"/>
      <c r="J117" s="50"/>
      <c r="K117" s="50">
        <f t="shared" si="11"/>
        <v>3340</v>
      </c>
    </row>
    <row r="118" spans="1:14" x14ac:dyDescent="0.3">
      <c r="A118" s="50" t="s">
        <v>182</v>
      </c>
      <c r="B118" s="55" t="s">
        <v>36</v>
      </c>
      <c r="C118" s="50" t="s">
        <v>65</v>
      </c>
      <c r="D118" s="50">
        <v>50</v>
      </c>
      <c r="E118" s="50" t="s">
        <v>89</v>
      </c>
      <c r="F118" s="50" t="s">
        <v>154</v>
      </c>
      <c r="G118" s="50">
        <v>252910</v>
      </c>
      <c r="H118" s="50">
        <f t="shared" si="12"/>
        <v>50</v>
      </c>
      <c r="I118" s="50"/>
      <c r="J118" s="50"/>
      <c r="K118" s="50">
        <f t="shared" si="11"/>
        <v>3290</v>
      </c>
    </row>
    <row r="119" spans="1:14" x14ac:dyDescent="0.3">
      <c r="A119" s="50" t="s">
        <v>182</v>
      </c>
      <c r="B119" s="55" t="s">
        <v>36</v>
      </c>
      <c r="C119" s="50" t="s">
        <v>68</v>
      </c>
      <c r="D119" s="50">
        <v>20</v>
      </c>
      <c r="E119" s="50" t="s">
        <v>185</v>
      </c>
      <c r="F119" s="50"/>
      <c r="G119" s="50">
        <v>252931</v>
      </c>
      <c r="H119" s="50">
        <f t="shared" si="12"/>
        <v>21</v>
      </c>
      <c r="I119" s="50"/>
      <c r="J119" s="50"/>
      <c r="K119" s="50">
        <f t="shared" si="11"/>
        <v>3269</v>
      </c>
    </row>
    <row r="120" spans="1:14" x14ac:dyDescent="0.3">
      <c r="A120" s="50" t="s">
        <v>182</v>
      </c>
      <c r="B120" s="55" t="s">
        <v>36</v>
      </c>
      <c r="C120" s="50" t="s">
        <v>65</v>
      </c>
      <c r="D120" s="50">
        <v>50</v>
      </c>
      <c r="E120" s="50" t="s">
        <v>186</v>
      </c>
      <c r="F120" s="50"/>
      <c r="G120" s="50">
        <v>252981</v>
      </c>
      <c r="H120" s="50">
        <f t="shared" si="12"/>
        <v>50</v>
      </c>
      <c r="I120" s="50"/>
      <c r="J120" s="50"/>
      <c r="K120" s="50">
        <f t="shared" si="11"/>
        <v>3219</v>
      </c>
    </row>
    <row r="121" spans="1:14" x14ac:dyDescent="0.3">
      <c r="A121" s="50" t="s">
        <v>182</v>
      </c>
      <c r="B121" s="55" t="s">
        <v>36</v>
      </c>
      <c r="C121" s="50" t="s">
        <v>86</v>
      </c>
      <c r="D121" s="50">
        <v>40</v>
      </c>
      <c r="E121" s="50" t="s">
        <v>87</v>
      </c>
      <c r="F121" s="50"/>
      <c r="G121" s="50">
        <v>253022</v>
      </c>
      <c r="H121" s="50">
        <f t="shared" si="12"/>
        <v>41</v>
      </c>
      <c r="I121" s="50"/>
      <c r="J121" s="50"/>
      <c r="K121" s="50">
        <f t="shared" si="11"/>
        <v>3178</v>
      </c>
    </row>
    <row r="122" spans="1:14" x14ac:dyDescent="0.3">
      <c r="A122" s="50" t="s">
        <v>182</v>
      </c>
      <c r="B122" s="55" t="s">
        <v>36</v>
      </c>
      <c r="C122" s="50" t="s">
        <v>43</v>
      </c>
      <c r="D122" s="50">
        <v>100</v>
      </c>
      <c r="E122" s="50" t="s">
        <v>184</v>
      </c>
      <c r="F122" s="50" t="s">
        <v>187</v>
      </c>
      <c r="G122" s="50">
        <v>253122</v>
      </c>
      <c r="H122" s="50">
        <f t="shared" si="12"/>
        <v>100</v>
      </c>
      <c r="I122" s="50"/>
      <c r="J122" s="50"/>
      <c r="K122" s="50">
        <f t="shared" si="11"/>
        <v>3078</v>
      </c>
    </row>
    <row r="123" spans="1:14" x14ac:dyDescent="0.3">
      <c r="A123" s="50" t="s">
        <v>182</v>
      </c>
      <c r="B123" s="55" t="s">
        <v>36</v>
      </c>
      <c r="C123" s="50" t="s">
        <v>65</v>
      </c>
      <c r="D123" s="50">
        <v>50</v>
      </c>
      <c r="E123" s="50" t="s">
        <v>121</v>
      </c>
      <c r="F123" s="50" t="s">
        <v>122</v>
      </c>
      <c r="G123" s="50">
        <v>253172</v>
      </c>
      <c r="H123" s="50">
        <f t="shared" si="12"/>
        <v>50</v>
      </c>
      <c r="I123" s="50"/>
      <c r="J123" s="50"/>
      <c r="K123" s="50">
        <f t="shared" si="11"/>
        <v>3028</v>
      </c>
    </row>
    <row r="124" spans="1:14" x14ac:dyDescent="0.3">
      <c r="A124" s="50" t="s">
        <v>182</v>
      </c>
      <c r="B124" s="91" t="s">
        <v>177</v>
      </c>
      <c r="C124" s="50" t="s">
        <v>77</v>
      </c>
      <c r="D124" s="50">
        <v>200</v>
      </c>
      <c r="E124" s="50" t="s">
        <v>78</v>
      </c>
      <c r="F124" s="50" t="s">
        <v>128</v>
      </c>
      <c r="G124" s="50">
        <v>253372</v>
      </c>
      <c r="H124" s="50">
        <f t="shared" si="12"/>
        <v>200</v>
      </c>
      <c r="I124" s="50"/>
      <c r="J124" s="50"/>
      <c r="K124" s="50">
        <f t="shared" si="11"/>
        <v>2828</v>
      </c>
    </row>
    <row r="125" spans="1:14" x14ac:dyDescent="0.3">
      <c r="A125" s="50" t="s">
        <v>182</v>
      </c>
      <c r="B125" s="55" t="s">
        <v>36</v>
      </c>
      <c r="C125" s="50" t="s">
        <v>65</v>
      </c>
      <c r="D125" s="50">
        <v>50</v>
      </c>
      <c r="E125" s="50" t="s">
        <v>84</v>
      </c>
      <c r="F125" s="50"/>
      <c r="G125" s="50">
        <v>253422</v>
      </c>
      <c r="H125" s="50">
        <f t="shared" si="12"/>
        <v>50</v>
      </c>
      <c r="I125" s="50"/>
      <c r="J125" s="50"/>
      <c r="K125" s="50">
        <f t="shared" si="11"/>
        <v>2778</v>
      </c>
      <c r="M125" s="134"/>
      <c r="N125" s="134"/>
    </row>
    <row r="126" spans="1:14" x14ac:dyDescent="0.3">
      <c r="A126" s="50" t="s">
        <v>182</v>
      </c>
      <c r="B126" s="59" t="s">
        <v>39</v>
      </c>
      <c r="C126" s="50" t="s">
        <v>188</v>
      </c>
      <c r="D126" s="50">
        <v>1000</v>
      </c>
      <c r="E126" s="50" t="s">
        <v>189</v>
      </c>
      <c r="F126" s="50" t="s">
        <v>132</v>
      </c>
      <c r="G126" s="50">
        <v>254422</v>
      </c>
      <c r="H126" s="50">
        <f t="shared" si="12"/>
        <v>1000</v>
      </c>
      <c r="I126" s="50"/>
      <c r="J126" s="50"/>
      <c r="K126" s="50">
        <f t="shared" si="11"/>
        <v>1778</v>
      </c>
      <c r="M126" s="134"/>
      <c r="N126" s="134"/>
    </row>
    <row r="127" spans="1:14" x14ac:dyDescent="0.3">
      <c r="A127" s="50" t="s">
        <v>190</v>
      </c>
      <c r="B127" s="58" t="s">
        <v>38</v>
      </c>
      <c r="C127" s="50" t="s">
        <v>86</v>
      </c>
      <c r="D127" s="50">
        <v>40</v>
      </c>
      <c r="E127" s="50" t="s">
        <v>60</v>
      </c>
      <c r="F127" s="50" t="s">
        <v>55</v>
      </c>
      <c r="G127" s="50">
        <v>254462</v>
      </c>
      <c r="H127" s="50">
        <f t="shared" si="12"/>
        <v>40</v>
      </c>
      <c r="I127" s="50"/>
      <c r="J127" s="50"/>
      <c r="K127" s="50">
        <f t="shared" si="11"/>
        <v>1738</v>
      </c>
    </row>
    <row r="128" spans="1:14" x14ac:dyDescent="0.3">
      <c r="A128" s="50" t="s">
        <v>191</v>
      </c>
      <c r="B128" s="58" t="s">
        <v>38</v>
      </c>
      <c r="C128" s="50" t="s">
        <v>158</v>
      </c>
      <c r="D128" s="50">
        <v>65</v>
      </c>
      <c r="E128" s="50" t="s">
        <v>60</v>
      </c>
      <c r="F128" s="50" t="s">
        <v>55</v>
      </c>
      <c r="G128" s="50">
        <v>254527</v>
      </c>
      <c r="H128" s="50">
        <f t="shared" si="12"/>
        <v>65</v>
      </c>
      <c r="I128" s="50"/>
      <c r="J128" s="50"/>
      <c r="K128" s="50">
        <f t="shared" si="11"/>
        <v>1673</v>
      </c>
    </row>
    <row r="129" spans="1:11" x14ac:dyDescent="0.3">
      <c r="A129" s="50" t="s">
        <v>191</v>
      </c>
      <c r="B129" s="59" t="s">
        <v>39</v>
      </c>
      <c r="C129" s="50" t="s">
        <v>192</v>
      </c>
      <c r="D129" s="50">
        <v>304</v>
      </c>
      <c r="E129" s="50" t="s">
        <v>57</v>
      </c>
      <c r="F129" s="50" t="s">
        <v>193</v>
      </c>
      <c r="G129" s="50">
        <v>254832</v>
      </c>
      <c r="H129" s="50">
        <f t="shared" si="12"/>
        <v>305</v>
      </c>
      <c r="I129" s="50"/>
      <c r="J129" s="50"/>
      <c r="K129" s="50">
        <f t="shared" si="11"/>
        <v>1368</v>
      </c>
    </row>
    <row r="130" spans="1:11" x14ac:dyDescent="0.3">
      <c r="A130" s="50" t="s">
        <v>191</v>
      </c>
      <c r="B130" s="45" t="s">
        <v>173</v>
      </c>
      <c r="C130" s="50" t="s">
        <v>194</v>
      </c>
      <c r="D130" s="50">
        <v>150</v>
      </c>
      <c r="E130" s="50" t="s">
        <v>70</v>
      </c>
      <c r="F130" s="50" t="s">
        <v>195</v>
      </c>
      <c r="G130" s="50">
        <v>254982</v>
      </c>
      <c r="H130" s="50">
        <f t="shared" si="12"/>
        <v>150</v>
      </c>
      <c r="I130" s="50"/>
      <c r="J130" s="50"/>
      <c r="K130" s="50">
        <f t="shared" si="11"/>
        <v>1218</v>
      </c>
    </row>
    <row r="131" spans="1:11" x14ac:dyDescent="0.3">
      <c r="A131" s="50" t="s">
        <v>191</v>
      </c>
      <c r="B131" s="61" t="s">
        <v>35</v>
      </c>
      <c r="C131" s="50" t="s">
        <v>65</v>
      </c>
      <c r="D131" s="50">
        <v>50</v>
      </c>
      <c r="E131" s="50" t="s">
        <v>87</v>
      </c>
      <c r="F131" s="50" t="s">
        <v>88</v>
      </c>
      <c r="G131" s="50">
        <v>255032</v>
      </c>
      <c r="H131" s="50">
        <f t="shared" si="12"/>
        <v>50</v>
      </c>
      <c r="I131" s="50"/>
      <c r="J131" s="50"/>
      <c r="K131" s="50">
        <f t="shared" si="11"/>
        <v>1168</v>
      </c>
    </row>
    <row r="132" spans="1:11" x14ac:dyDescent="0.3">
      <c r="A132" s="50" t="s">
        <v>191</v>
      </c>
      <c r="B132" s="61" t="s">
        <v>35</v>
      </c>
      <c r="C132" s="50" t="s">
        <v>68</v>
      </c>
      <c r="D132" s="50" t="s">
        <v>196</v>
      </c>
      <c r="E132" s="50" t="s">
        <v>197</v>
      </c>
      <c r="F132" s="50" t="s">
        <v>120</v>
      </c>
      <c r="G132" s="50">
        <v>255052</v>
      </c>
      <c r="H132" s="50">
        <f t="shared" si="12"/>
        <v>20</v>
      </c>
      <c r="I132" s="50"/>
      <c r="J132" s="50"/>
      <c r="K132" s="50">
        <f t="shared" si="11"/>
        <v>1148</v>
      </c>
    </row>
    <row r="133" spans="1:11" x14ac:dyDescent="0.3">
      <c r="A133" s="50" t="s">
        <v>191</v>
      </c>
      <c r="B133" s="61" t="s">
        <v>35</v>
      </c>
      <c r="C133" s="50" t="s">
        <v>91</v>
      </c>
      <c r="D133" s="50">
        <v>80</v>
      </c>
      <c r="E133" s="50" t="s">
        <v>82</v>
      </c>
      <c r="F133" s="50" t="s">
        <v>198</v>
      </c>
      <c r="G133" s="50">
        <v>255132</v>
      </c>
      <c r="H133" s="50">
        <f t="shared" si="12"/>
        <v>80</v>
      </c>
      <c r="I133" s="50"/>
      <c r="J133" s="50"/>
      <c r="K133" s="50">
        <f t="shared" si="11"/>
        <v>1068</v>
      </c>
    </row>
    <row r="134" spans="1:11" x14ac:dyDescent="0.3">
      <c r="A134" s="50" t="s">
        <v>191</v>
      </c>
      <c r="B134" s="61" t="s">
        <v>35</v>
      </c>
      <c r="C134" s="50" t="s">
        <v>65</v>
      </c>
      <c r="D134" s="50">
        <v>50</v>
      </c>
      <c r="E134" s="50" t="s">
        <v>66</v>
      </c>
      <c r="F134" s="50" t="s">
        <v>171</v>
      </c>
      <c r="G134" s="50">
        <v>255182</v>
      </c>
      <c r="H134" s="50">
        <f t="shared" si="12"/>
        <v>50</v>
      </c>
      <c r="I134" s="50"/>
      <c r="J134" s="50"/>
      <c r="K134" s="50">
        <f t="shared" si="11"/>
        <v>1018</v>
      </c>
    </row>
    <row r="135" spans="1:11" x14ac:dyDescent="0.3">
      <c r="A135" s="50" t="s">
        <v>199</v>
      </c>
      <c r="B135" s="61" t="s">
        <v>35</v>
      </c>
      <c r="C135" s="50" t="s">
        <v>65</v>
      </c>
      <c r="D135" s="50">
        <v>50</v>
      </c>
      <c r="E135" s="50" t="s">
        <v>84</v>
      </c>
      <c r="F135" s="50" t="s">
        <v>168</v>
      </c>
      <c r="G135" s="50">
        <v>255233</v>
      </c>
      <c r="H135" s="50">
        <f t="shared" si="12"/>
        <v>51</v>
      </c>
      <c r="I135" s="50"/>
      <c r="J135" s="50"/>
      <c r="K135" s="50">
        <f t="shared" si="11"/>
        <v>967</v>
      </c>
    </row>
    <row r="136" spans="1:11" x14ac:dyDescent="0.3">
      <c r="A136" s="50" t="s">
        <v>199</v>
      </c>
      <c r="B136" s="58" t="s">
        <v>38</v>
      </c>
      <c r="C136" s="50" t="s">
        <v>200</v>
      </c>
      <c r="D136" s="50">
        <v>55</v>
      </c>
      <c r="E136" s="50" t="s">
        <v>60</v>
      </c>
      <c r="F136" s="50" t="s">
        <v>55</v>
      </c>
      <c r="G136" s="50">
        <v>255288</v>
      </c>
      <c r="H136" s="50">
        <f t="shared" si="12"/>
        <v>55</v>
      </c>
      <c r="I136" s="50"/>
      <c r="J136" s="50"/>
      <c r="K136" s="50">
        <f t="shared" si="11"/>
        <v>912</v>
      </c>
    </row>
    <row r="137" spans="1:11" x14ac:dyDescent="0.3">
      <c r="A137" s="50" t="s">
        <v>199</v>
      </c>
      <c r="B137" s="58" t="s">
        <v>38</v>
      </c>
      <c r="C137" s="50" t="s">
        <v>91</v>
      </c>
      <c r="D137" s="50">
        <v>80</v>
      </c>
      <c r="E137" s="50" t="s">
        <v>201</v>
      </c>
      <c r="F137" s="50" t="s">
        <v>202</v>
      </c>
      <c r="G137" s="50">
        <v>255368</v>
      </c>
      <c r="H137" s="50">
        <f t="shared" si="12"/>
        <v>80</v>
      </c>
      <c r="I137" s="50"/>
      <c r="J137" s="50"/>
      <c r="K137" s="50">
        <f t="shared" si="11"/>
        <v>832</v>
      </c>
    </row>
    <row r="138" spans="1:11" x14ac:dyDescent="0.3">
      <c r="A138" s="50" t="s">
        <v>199</v>
      </c>
      <c r="B138" s="61" t="s">
        <v>35</v>
      </c>
      <c r="C138" s="50" t="s">
        <v>203</v>
      </c>
      <c r="D138" s="50">
        <v>152</v>
      </c>
      <c r="E138" s="50" t="s">
        <v>78</v>
      </c>
      <c r="F138" s="50" t="s">
        <v>128</v>
      </c>
      <c r="G138" s="50">
        <v>255520</v>
      </c>
      <c r="H138" s="50">
        <f t="shared" si="12"/>
        <v>152</v>
      </c>
      <c r="I138" s="50"/>
      <c r="J138" s="50"/>
      <c r="K138" s="50">
        <f t="shared" si="11"/>
        <v>680</v>
      </c>
    </row>
    <row r="139" spans="1:11" x14ac:dyDescent="0.3">
      <c r="A139" s="50" t="s">
        <v>199</v>
      </c>
      <c r="B139" s="61" t="s">
        <v>42</v>
      </c>
      <c r="C139" s="50" t="s">
        <v>204</v>
      </c>
      <c r="D139" s="50">
        <v>20</v>
      </c>
      <c r="E139" s="50" t="s">
        <v>80</v>
      </c>
      <c r="F139" s="50" t="s">
        <v>120</v>
      </c>
      <c r="G139" s="50">
        <v>255541</v>
      </c>
      <c r="H139" s="50">
        <f t="shared" si="12"/>
        <v>21</v>
      </c>
      <c r="I139" s="50"/>
      <c r="J139" s="50"/>
      <c r="K139" s="50">
        <f t="shared" si="11"/>
        <v>659</v>
      </c>
    </row>
    <row r="140" spans="1:11" x14ac:dyDescent="0.3">
      <c r="A140" s="50" t="s">
        <v>199</v>
      </c>
      <c r="B140" s="92" t="s">
        <v>173</v>
      </c>
      <c r="C140" s="50" t="s">
        <v>166</v>
      </c>
      <c r="D140" s="50">
        <v>102</v>
      </c>
      <c r="E140" s="50" t="s">
        <v>205</v>
      </c>
      <c r="F140" s="50" t="s">
        <v>206</v>
      </c>
      <c r="G140" s="50">
        <v>255643</v>
      </c>
      <c r="H140" s="50">
        <f t="shared" si="12"/>
        <v>102</v>
      </c>
      <c r="I140" s="50"/>
      <c r="J140" s="50"/>
      <c r="K140" s="50">
        <f t="shared" si="11"/>
        <v>557</v>
      </c>
    </row>
    <row r="141" spans="1:11" x14ac:dyDescent="0.3">
      <c r="A141" s="50" t="s">
        <v>199</v>
      </c>
      <c r="B141" s="61" t="s">
        <v>42</v>
      </c>
      <c r="C141" s="50" t="s">
        <v>72</v>
      </c>
      <c r="D141" s="50">
        <v>30</v>
      </c>
      <c r="E141" s="50" t="s">
        <v>121</v>
      </c>
      <c r="F141" s="50" t="s">
        <v>122</v>
      </c>
      <c r="G141" s="50">
        <v>255673</v>
      </c>
      <c r="H141" s="50">
        <f t="shared" si="12"/>
        <v>30</v>
      </c>
      <c r="I141" s="50"/>
      <c r="J141" s="50"/>
      <c r="K141" s="50">
        <f t="shared" si="11"/>
        <v>527</v>
      </c>
    </row>
    <row r="142" spans="1:11" x14ac:dyDescent="0.3">
      <c r="A142" s="50" t="s">
        <v>199</v>
      </c>
      <c r="B142" s="61" t="s">
        <v>35</v>
      </c>
      <c r="C142" s="50" t="s">
        <v>72</v>
      </c>
      <c r="D142" s="50">
        <v>30</v>
      </c>
      <c r="E142" s="50" t="s">
        <v>149</v>
      </c>
      <c r="F142" s="50"/>
      <c r="G142" s="50">
        <v>255704</v>
      </c>
      <c r="H142" s="50">
        <f t="shared" si="12"/>
        <v>31</v>
      </c>
      <c r="I142" s="50"/>
      <c r="J142" s="50"/>
      <c r="K142" s="50">
        <f t="shared" si="11"/>
        <v>496</v>
      </c>
    </row>
    <row r="143" spans="1:11" x14ac:dyDescent="0.3">
      <c r="A143" s="50" t="s">
        <v>199</v>
      </c>
      <c r="B143" s="92" t="s">
        <v>173</v>
      </c>
      <c r="C143" s="50" t="s">
        <v>77</v>
      </c>
      <c r="D143" s="50">
        <v>200</v>
      </c>
      <c r="E143" s="50" t="s">
        <v>78</v>
      </c>
      <c r="F143" s="50" t="s">
        <v>64</v>
      </c>
      <c r="G143" s="50">
        <v>255904</v>
      </c>
      <c r="H143" s="50">
        <f t="shared" si="12"/>
        <v>200</v>
      </c>
      <c r="I143" s="50"/>
      <c r="J143" s="50"/>
      <c r="K143" s="50">
        <f t="shared" si="11"/>
        <v>296</v>
      </c>
    </row>
    <row r="144" spans="1:11" x14ac:dyDescent="0.3">
      <c r="A144" s="50" t="s">
        <v>199</v>
      </c>
      <c r="B144" s="92" t="s">
        <v>173</v>
      </c>
      <c r="C144" s="50" t="s">
        <v>207</v>
      </c>
      <c r="D144" s="50">
        <v>203</v>
      </c>
      <c r="E144" s="50" t="s">
        <v>80</v>
      </c>
      <c r="F144" s="50" t="s">
        <v>208</v>
      </c>
      <c r="G144" s="50">
        <v>256107</v>
      </c>
      <c r="H144" s="50">
        <f t="shared" si="12"/>
        <v>203</v>
      </c>
      <c r="I144" s="50"/>
      <c r="J144" s="50"/>
      <c r="K144" s="50">
        <f t="shared" si="11"/>
        <v>93</v>
      </c>
    </row>
    <row r="145" spans="1:17" x14ac:dyDescent="0.3">
      <c r="A145" s="50" t="s">
        <v>199</v>
      </c>
      <c r="B145" s="92" t="s">
        <v>173</v>
      </c>
      <c r="C145" s="50" t="s">
        <v>43</v>
      </c>
      <c r="D145" s="50">
        <v>100</v>
      </c>
      <c r="E145" s="50" t="s">
        <v>209</v>
      </c>
      <c r="F145" s="50"/>
      <c r="G145" s="50">
        <v>256207</v>
      </c>
      <c r="H145" s="50">
        <f t="shared" si="12"/>
        <v>100</v>
      </c>
      <c r="I145" s="50"/>
      <c r="J145" s="50"/>
      <c r="K145" s="50">
        <f t="shared" si="11"/>
        <v>-7</v>
      </c>
    </row>
    <row r="146" spans="1:17" x14ac:dyDescent="0.3">
      <c r="A146" s="50" t="s">
        <v>199</v>
      </c>
      <c r="B146" s="92" t="s">
        <v>173</v>
      </c>
      <c r="C146" s="50" t="s">
        <v>210</v>
      </c>
      <c r="D146" s="50">
        <v>160</v>
      </c>
      <c r="E146" s="50" t="s">
        <v>211</v>
      </c>
      <c r="F146" s="77" t="s">
        <v>212</v>
      </c>
      <c r="G146" s="50">
        <v>256367</v>
      </c>
      <c r="H146" s="50">
        <f t="shared" si="12"/>
        <v>160</v>
      </c>
      <c r="I146" s="50"/>
      <c r="J146" s="50"/>
      <c r="K146" s="50">
        <f>K145-H146</f>
        <v>-167</v>
      </c>
    </row>
    <row r="147" spans="1:17" ht="25.8" x14ac:dyDescent="0.5">
      <c r="A147" s="50" t="s">
        <v>199</v>
      </c>
      <c r="B147" s="92" t="s">
        <v>173</v>
      </c>
      <c r="C147" s="50" t="s">
        <v>213</v>
      </c>
      <c r="D147" s="50">
        <v>87</v>
      </c>
      <c r="E147" s="50" t="s">
        <v>214</v>
      </c>
      <c r="F147" s="50" t="s">
        <v>215</v>
      </c>
      <c r="G147" s="50">
        <v>256454</v>
      </c>
      <c r="H147" s="50">
        <f>G147-G146</f>
        <v>87</v>
      </c>
      <c r="I147" s="50"/>
      <c r="J147" s="50"/>
      <c r="K147" s="50">
        <f>K146-H147</f>
        <v>-254</v>
      </c>
      <c r="L147" s="132" t="s">
        <v>216</v>
      </c>
      <c r="M147" s="133"/>
      <c r="N147" s="133"/>
      <c r="O147" s="133"/>
    </row>
    <row r="148" spans="1:17" ht="28.8" x14ac:dyDescent="0.55000000000000004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39" t="s">
        <v>35</v>
      </c>
      <c r="M148" s="42" t="s">
        <v>38</v>
      </c>
      <c r="N148" s="43" t="s">
        <v>39</v>
      </c>
      <c r="O148" s="44" t="s">
        <v>31</v>
      </c>
      <c r="P148" s="45" t="s">
        <v>40</v>
      </c>
      <c r="Q148" s="72" t="s">
        <v>41</v>
      </c>
    </row>
    <row r="149" spans="1:17" x14ac:dyDescent="0.3">
      <c r="A149" s="50"/>
      <c r="B149" s="50"/>
      <c r="C149" s="50"/>
      <c r="D149" s="50"/>
      <c r="E149" s="50"/>
      <c r="F149" s="50"/>
      <c r="G149" s="50"/>
      <c r="H149" s="50"/>
      <c r="I149" s="54">
        <v>46100</v>
      </c>
      <c r="J149" s="50" t="s">
        <v>217</v>
      </c>
      <c r="K149" s="50">
        <v>3958</v>
      </c>
      <c r="L149" s="50">
        <f>H150+H152+H155+H156+H157+H158+H159+H161+H163+H165+H166+H167+H168+H170+H171+H173+H174+H175+H176</f>
        <v>1587</v>
      </c>
      <c r="M149" s="50">
        <f>H151+H160+H164+H172</f>
        <v>244</v>
      </c>
      <c r="N149" s="50">
        <f>H153+H154+H177</f>
        <v>1232</v>
      </c>
      <c r="O149" s="45">
        <f>L152+L149+M149+N149</f>
        <v>3874</v>
      </c>
      <c r="P149" s="45">
        <v>3958</v>
      </c>
      <c r="Q149" s="72">
        <f>P149-O149</f>
        <v>84</v>
      </c>
    </row>
    <row r="150" spans="1:17" x14ac:dyDescent="0.3">
      <c r="A150" s="50" t="s">
        <v>218</v>
      </c>
      <c r="B150" s="61" t="s">
        <v>35</v>
      </c>
      <c r="C150" s="50" t="s">
        <v>72</v>
      </c>
      <c r="D150" s="50">
        <v>30</v>
      </c>
      <c r="E150" s="50" t="s">
        <v>219</v>
      </c>
      <c r="F150" s="50"/>
      <c r="G150" s="50">
        <v>256484</v>
      </c>
      <c r="H150" s="50">
        <f>G150-G147</f>
        <v>30</v>
      </c>
      <c r="I150" s="50"/>
      <c r="J150" s="50"/>
      <c r="K150" s="50">
        <f t="shared" ref="K150:K189" si="13">K149-H150</f>
        <v>3928</v>
      </c>
    </row>
    <row r="151" spans="1:17" x14ac:dyDescent="0.3">
      <c r="A151" s="50" t="s">
        <v>218</v>
      </c>
      <c r="B151" s="68" t="s">
        <v>38</v>
      </c>
      <c r="C151" s="50" t="s">
        <v>158</v>
      </c>
      <c r="D151" s="50">
        <v>65</v>
      </c>
      <c r="E151" s="50" t="s">
        <v>60</v>
      </c>
      <c r="F151" s="50"/>
      <c r="G151" s="50">
        <v>256549</v>
      </c>
      <c r="H151" s="50">
        <f t="shared" ref="H151:H189" si="14">G151-G150</f>
        <v>65</v>
      </c>
      <c r="I151" s="50"/>
      <c r="J151" s="50"/>
      <c r="K151" s="50">
        <f t="shared" si="13"/>
        <v>3863</v>
      </c>
      <c r="L151" s="92" t="s">
        <v>173</v>
      </c>
      <c r="M151" s="71"/>
      <c r="N151" s="14"/>
    </row>
    <row r="152" spans="1:17" x14ac:dyDescent="0.3">
      <c r="A152" s="50" t="s">
        <v>218</v>
      </c>
      <c r="B152" s="61" t="s">
        <v>35</v>
      </c>
      <c r="C152" s="50" t="s">
        <v>65</v>
      </c>
      <c r="D152" s="50">
        <v>50</v>
      </c>
      <c r="E152" s="50" t="s">
        <v>60</v>
      </c>
      <c r="F152" s="50"/>
      <c r="G152" s="50">
        <v>256599</v>
      </c>
      <c r="H152" s="50">
        <f t="shared" si="14"/>
        <v>50</v>
      </c>
      <c r="I152" s="50"/>
      <c r="J152" s="50"/>
      <c r="K152" s="50">
        <f t="shared" si="13"/>
        <v>3813</v>
      </c>
      <c r="L152" s="50">
        <v>811</v>
      </c>
      <c r="M152" s="71"/>
      <c r="N152" s="14"/>
    </row>
    <row r="153" spans="1:17" x14ac:dyDescent="0.3">
      <c r="A153" s="50" t="s">
        <v>218</v>
      </c>
      <c r="B153" s="89" t="s">
        <v>39</v>
      </c>
      <c r="C153" s="50" t="s">
        <v>130</v>
      </c>
      <c r="D153" s="50">
        <v>800</v>
      </c>
      <c r="E153" s="50" t="s">
        <v>220</v>
      </c>
      <c r="F153" s="50"/>
      <c r="G153" s="50">
        <v>257400</v>
      </c>
      <c r="H153" s="50">
        <f t="shared" si="14"/>
        <v>801</v>
      </c>
      <c r="I153" s="50"/>
      <c r="J153" s="50"/>
      <c r="K153" s="50">
        <f t="shared" si="13"/>
        <v>3012</v>
      </c>
    </row>
    <row r="154" spans="1:17" x14ac:dyDescent="0.3">
      <c r="A154" s="50" t="s">
        <v>218</v>
      </c>
      <c r="B154" s="89" t="s">
        <v>39</v>
      </c>
      <c r="C154" s="50" t="s">
        <v>77</v>
      </c>
      <c r="D154" s="50">
        <v>200</v>
      </c>
      <c r="E154" s="50" t="s">
        <v>57</v>
      </c>
      <c r="F154" s="50"/>
      <c r="G154" s="50">
        <v>257600</v>
      </c>
      <c r="H154" s="50">
        <f t="shared" si="14"/>
        <v>200</v>
      </c>
      <c r="I154" s="50"/>
      <c r="J154" s="50"/>
      <c r="K154" s="50">
        <f t="shared" si="13"/>
        <v>2812</v>
      </c>
    </row>
    <row r="155" spans="1:17" x14ac:dyDescent="0.3">
      <c r="A155" s="50" t="s">
        <v>218</v>
      </c>
      <c r="B155" s="61" t="s">
        <v>35</v>
      </c>
      <c r="C155" s="50" t="s">
        <v>65</v>
      </c>
      <c r="D155" s="50">
        <v>50</v>
      </c>
      <c r="E155" s="50" t="s">
        <v>221</v>
      </c>
      <c r="F155" s="50"/>
      <c r="G155" s="50">
        <v>257650</v>
      </c>
      <c r="H155" s="50">
        <f t="shared" si="14"/>
        <v>50</v>
      </c>
      <c r="I155" s="50"/>
      <c r="J155" s="50"/>
      <c r="K155" s="50">
        <f t="shared" si="13"/>
        <v>2762</v>
      </c>
    </row>
    <row r="156" spans="1:17" x14ac:dyDescent="0.3">
      <c r="A156" s="50" t="s">
        <v>218</v>
      </c>
      <c r="B156" s="61" t="s">
        <v>35</v>
      </c>
      <c r="C156" s="50" t="s">
        <v>222</v>
      </c>
      <c r="D156" s="50">
        <v>165</v>
      </c>
      <c r="E156" s="50" t="s">
        <v>80</v>
      </c>
      <c r="F156" s="50"/>
      <c r="G156" s="50">
        <v>257816</v>
      </c>
      <c r="H156" s="50">
        <f t="shared" si="14"/>
        <v>166</v>
      </c>
      <c r="I156" s="50"/>
      <c r="J156" s="50"/>
      <c r="K156" s="50">
        <f t="shared" si="13"/>
        <v>2596</v>
      </c>
    </row>
    <row r="157" spans="1:17" x14ac:dyDescent="0.3">
      <c r="A157" s="50" t="s">
        <v>218</v>
      </c>
      <c r="B157" s="61" t="s">
        <v>35</v>
      </c>
      <c r="C157" s="50" t="s">
        <v>223</v>
      </c>
      <c r="D157" s="50">
        <v>250</v>
      </c>
      <c r="E157" s="50" t="s">
        <v>78</v>
      </c>
      <c r="F157" s="50"/>
      <c r="G157" s="50">
        <v>258066</v>
      </c>
      <c r="H157" s="50">
        <f t="shared" si="14"/>
        <v>250</v>
      </c>
      <c r="I157" s="50"/>
      <c r="J157" s="50"/>
      <c r="K157" s="50">
        <f t="shared" si="13"/>
        <v>2346</v>
      </c>
    </row>
    <row r="158" spans="1:17" x14ac:dyDescent="0.3">
      <c r="A158" s="50" t="s">
        <v>218</v>
      </c>
      <c r="B158" s="61" t="s">
        <v>35</v>
      </c>
      <c r="C158" s="50" t="s">
        <v>224</v>
      </c>
      <c r="D158" s="50">
        <v>34</v>
      </c>
      <c r="E158" s="50" t="s">
        <v>121</v>
      </c>
      <c r="F158" s="50"/>
      <c r="G158" s="50">
        <v>258100</v>
      </c>
      <c r="H158" s="50">
        <f t="shared" si="14"/>
        <v>34</v>
      </c>
      <c r="I158" s="50"/>
      <c r="J158" s="50"/>
      <c r="K158" s="50">
        <f t="shared" si="13"/>
        <v>2312</v>
      </c>
    </row>
    <row r="159" spans="1:17" x14ac:dyDescent="0.3">
      <c r="A159" s="50" t="s">
        <v>218</v>
      </c>
      <c r="B159" s="61" t="s">
        <v>35</v>
      </c>
      <c r="C159" s="50" t="s">
        <v>86</v>
      </c>
      <c r="D159" s="50">
        <v>40</v>
      </c>
      <c r="E159" s="50" t="s">
        <v>66</v>
      </c>
      <c r="F159" s="50"/>
      <c r="G159" s="50">
        <v>258140</v>
      </c>
      <c r="H159" s="50">
        <f t="shared" si="14"/>
        <v>40</v>
      </c>
      <c r="I159" s="50"/>
      <c r="J159" s="50"/>
      <c r="K159" s="50">
        <f t="shared" si="13"/>
        <v>2272</v>
      </c>
    </row>
    <row r="160" spans="1:17" x14ac:dyDescent="0.3">
      <c r="A160" s="50" t="s">
        <v>218</v>
      </c>
      <c r="B160" s="68" t="s">
        <v>38</v>
      </c>
      <c r="C160" s="50" t="s">
        <v>158</v>
      </c>
      <c r="D160" s="50">
        <v>65</v>
      </c>
      <c r="E160" s="50" t="s">
        <v>60</v>
      </c>
      <c r="F160" s="50"/>
      <c r="G160" s="50">
        <v>258205</v>
      </c>
      <c r="H160" s="50">
        <f t="shared" si="14"/>
        <v>65</v>
      </c>
      <c r="I160" s="50"/>
      <c r="J160" s="50"/>
      <c r="K160" s="50">
        <f t="shared" si="13"/>
        <v>2207</v>
      </c>
    </row>
    <row r="161" spans="1:11" x14ac:dyDescent="0.3">
      <c r="A161" s="50" t="s">
        <v>218</v>
      </c>
      <c r="B161" s="61" t="s">
        <v>35</v>
      </c>
      <c r="C161" s="50" t="s">
        <v>68</v>
      </c>
      <c r="D161" s="50">
        <v>20</v>
      </c>
      <c r="E161" s="50" t="s">
        <v>80</v>
      </c>
      <c r="F161" s="50"/>
      <c r="G161" s="50">
        <v>258225</v>
      </c>
      <c r="H161" s="50">
        <f t="shared" si="14"/>
        <v>20</v>
      </c>
      <c r="I161" s="50"/>
      <c r="J161" s="50"/>
      <c r="K161" s="50">
        <f t="shared" si="13"/>
        <v>2187</v>
      </c>
    </row>
    <row r="162" spans="1:11" x14ac:dyDescent="0.3">
      <c r="A162" s="50" t="s">
        <v>218</v>
      </c>
      <c r="B162" s="92" t="s">
        <v>173</v>
      </c>
      <c r="C162" s="50" t="s">
        <v>225</v>
      </c>
      <c r="D162" s="50">
        <v>811</v>
      </c>
      <c r="E162" s="50" t="s">
        <v>60</v>
      </c>
      <c r="F162" s="50"/>
      <c r="G162" s="50">
        <v>259036</v>
      </c>
      <c r="H162" s="50">
        <f t="shared" si="14"/>
        <v>811</v>
      </c>
      <c r="I162" s="50"/>
      <c r="J162" s="50"/>
      <c r="K162" s="50">
        <f t="shared" si="13"/>
        <v>1376</v>
      </c>
    </row>
    <row r="163" spans="1:11" x14ac:dyDescent="0.3">
      <c r="A163" s="50" t="s">
        <v>226</v>
      </c>
      <c r="B163" s="61" t="s">
        <v>35</v>
      </c>
      <c r="C163" s="50" t="s">
        <v>86</v>
      </c>
      <c r="D163" s="50">
        <v>40</v>
      </c>
      <c r="E163" s="50" t="s">
        <v>87</v>
      </c>
      <c r="F163" s="50"/>
      <c r="G163" s="50">
        <v>259077</v>
      </c>
      <c r="H163" s="50">
        <f t="shared" si="14"/>
        <v>41</v>
      </c>
      <c r="I163" s="50"/>
      <c r="J163" s="50"/>
      <c r="K163" s="50">
        <f t="shared" si="13"/>
        <v>1335</v>
      </c>
    </row>
    <row r="164" spans="1:11" x14ac:dyDescent="0.3">
      <c r="A164" s="50" t="s">
        <v>226</v>
      </c>
      <c r="B164" s="58" t="s">
        <v>38</v>
      </c>
      <c r="C164" s="50" t="s">
        <v>65</v>
      </c>
      <c r="D164" s="50">
        <v>50</v>
      </c>
      <c r="E164" s="50" t="s">
        <v>60</v>
      </c>
      <c r="F164" s="50"/>
      <c r="G164" s="50">
        <v>259127</v>
      </c>
      <c r="H164" s="50">
        <f t="shared" si="14"/>
        <v>50</v>
      </c>
      <c r="I164" s="50"/>
      <c r="J164" s="50"/>
      <c r="K164" s="50">
        <f t="shared" si="13"/>
        <v>1285</v>
      </c>
    </row>
    <row r="165" spans="1:11" x14ac:dyDescent="0.3">
      <c r="A165" s="50" t="s">
        <v>226</v>
      </c>
      <c r="B165" s="61" t="s">
        <v>35</v>
      </c>
      <c r="C165" s="50" t="s">
        <v>227</v>
      </c>
      <c r="D165" s="50">
        <v>350</v>
      </c>
      <c r="E165" s="50" t="s">
        <v>78</v>
      </c>
      <c r="F165" s="50" t="s">
        <v>128</v>
      </c>
      <c r="G165" s="50">
        <v>259477</v>
      </c>
      <c r="H165" s="50">
        <f t="shared" si="14"/>
        <v>350</v>
      </c>
      <c r="I165" s="50"/>
      <c r="J165" s="50"/>
      <c r="K165" s="50">
        <f t="shared" si="13"/>
        <v>935</v>
      </c>
    </row>
    <row r="166" spans="1:11" x14ac:dyDescent="0.3">
      <c r="A166" s="50" t="s">
        <v>226</v>
      </c>
      <c r="B166" s="61" t="s">
        <v>35</v>
      </c>
      <c r="C166" s="50" t="s">
        <v>69</v>
      </c>
      <c r="D166" s="50">
        <v>60</v>
      </c>
      <c r="E166" s="50" t="s">
        <v>221</v>
      </c>
      <c r="F166" s="50"/>
      <c r="G166" s="50">
        <v>259537</v>
      </c>
      <c r="H166" s="50">
        <f t="shared" si="14"/>
        <v>60</v>
      </c>
      <c r="I166" s="50"/>
      <c r="J166" s="50"/>
      <c r="K166" s="50">
        <f t="shared" si="13"/>
        <v>875</v>
      </c>
    </row>
    <row r="167" spans="1:11" x14ac:dyDescent="0.3">
      <c r="A167" s="50" t="s">
        <v>226</v>
      </c>
      <c r="B167" s="61" t="s">
        <v>35</v>
      </c>
      <c r="C167" s="50" t="s">
        <v>98</v>
      </c>
      <c r="D167" s="50">
        <v>70</v>
      </c>
      <c r="E167" s="50" t="s">
        <v>70</v>
      </c>
      <c r="F167" s="50" t="s">
        <v>92</v>
      </c>
      <c r="G167" s="50">
        <v>259607</v>
      </c>
      <c r="H167" s="50">
        <f t="shared" si="14"/>
        <v>70</v>
      </c>
      <c r="I167" s="50"/>
      <c r="J167" s="50"/>
      <c r="K167" s="50">
        <f t="shared" si="13"/>
        <v>805</v>
      </c>
    </row>
    <row r="168" spans="1:11" x14ac:dyDescent="0.3">
      <c r="A168" s="50" t="s">
        <v>226</v>
      </c>
      <c r="B168" s="61" t="s">
        <v>35</v>
      </c>
      <c r="C168" s="50" t="s">
        <v>86</v>
      </c>
      <c r="D168" s="50">
        <v>40</v>
      </c>
      <c r="E168" s="50" t="s">
        <v>66</v>
      </c>
      <c r="F168" s="50" t="s">
        <v>92</v>
      </c>
      <c r="G168" s="50">
        <v>259647</v>
      </c>
      <c r="H168" s="50">
        <f t="shared" si="14"/>
        <v>40</v>
      </c>
      <c r="I168" s="50"/>
      <c r="J168" s="50"/>
      <c r="K168" s="50">
        <f t="shared" si="13"/>
        <v>765</v>
      </c>
    </row>
    <row r="169" spans="1:11" x14ac:dyDescent="0.3">
      <c r="A169" s="50" t="s">
        <v>226</v>
      </c>
      <c r="B169" s="61" t="s">
        <v>35</v>
      </c>
      <c r="C169" s="50" t="s">
        <v>109</v>
      </c>
      <c r="D169" s="50">
        <v>21</v>
      </c>
      <c r="E169" s="50" t="s">
        <v>44</v>
      </c>
      <c r="F169" s="50" t="s">
        <v>120</v>
      </c>
      <c r="G169" s="50">
        <v>259668</v>
      </c>
      <c r="H169" s="50">
        <f t="shared" si="14"/>
        <v>21</v>
      </c>
      <c r="I169" s="50"/>
      <c r="J169" s="50"/>
      <c r="K169" s="50">
        <f t="shared" si="13"/>
        <v>744</v>
      </c>
    </row>
    <row r="170" spans="1:11" x14ac:dyDescent="0.3">
      <c r="A170" s="50" t="s">
        <v>226</v>
      </c>
      <c r="B170" s="61" t="s">
        <v>35</v>
      </c>
      <c r="C170" s="50" t="s">
        <v>228</v>
      </c>
      <c r="D170" s="50">
        <v>42</v>
      </c>
      <c r="E170" s="50" t="s">
        <v>121</v>
      </c>
      <c r="F170" s="50" t="s">
        <v>229</v>
      </c>
      <c r="G170" s="50">
        <v>259710</v>
      </c>
      <c r="H170" s="50">
        <f t="shared" si="14"/>
        <v>42</v>
      </c>
      <c r="I170" s="50"/>
      <c r="J170" s="50"/>
      <c r="K170" s="50">
        <f t="shared" si="13"/>
        <v>702</v>
      </c>
    </row>
    <row r="171" spans="1:11" x14ac:dyDescent="0.3">
      <c r="A171" s="50" t="s">
        <v>226</v>
      </c>
      <c r="B171" s="61" t="s">
        <v>35</v>
      </c>
      <c r="C171" s="50" t="s">
        <v>224</v>
      </c>
      <c r="D171" s="50">
        <v>34</v>
      </c>
      <c r="E171" s="50" t="s">
        <v>226</v>
      </c>
      <c r="F171" s="50" t="s">
        <v>230</v>
      </c>
      <c r="G171" s="50">
        <v>259744</v>
      </c>
      <c r="H171" s="50">
        <f t="shared" si="14"/>
        <v>34</v>
      </c>
      <c r="I171" s="50"/>
      <c r="J171" s="50"/>
      <c r="K171" s="50">
        <f t="shared" si="13"/>
        <v>668</v>
      </c>
    </row>
    <row r="172" spans="1:11" x14ac:dyDescent="0.3">
      <c r="A172" s="50" t="s">
        <v>226</v>
      </c>
      <c r="B172" s="68" t="s">
        <v>38</v>
      </c>
      <c r="C172" s="50" t="s">
        <v>231</v>
      </c>
      <c r="D172" s="50">
        <v>65</v>
      </c>
      <c r="E172" s="50" t="s">
        <v>60</v>
      </c>
      <c r="F172" s="50" t="s">
        <v>55</v>
      </c>
      <c r="G172" s="50">
        <v>259808</v>
      </c>
      <c r="H172" s="50">
        <f t="shared" si="14"/>
        <v>64</v>
      </c>
      <c r="I172" s="50"/>
      <c r="J172" s="50"/>
      <c r="K172" s="50">
        <f t="shared" si="13"/>
        <v>604</v>
      </c>
    </row>
    <row r="173" spans="1:11" x14ac:dyDescent="0.3">
      <c r="A173" s="50" t="s">
        <v>226</v>
      </c>
      <c r="B173" s="61" t="s">
        <v>35</v>
      </c>
      <c r="C173" s="50" t="s">
        <v>232</v>
      </c>
      <c r="D173" s="50">
        <v>32</v>
      </c>
      <c r="E173" s="50" t="s">
        <v>84</v>
      </c>
      <c r="F173" s="50"/>
      <c r="G173" s="50">
        <v>259840</v>
      </c>
      <c r="H173" s="50">
        <f t="shared" si="14"/>
        <v>32</v>
      </c>
      <c r="I173" s="50"/>
      <c r="J173" s="50"/>
      <c r="K173" s="50">
        <f t="shared" si="13"/>
        <v>572</v>
      </c>
    </row>
    <row r="174" spans="1:11" x14ac:dyDescent="0.3">
      <c r="A174" s="50" t="s">
        <v>233</v>
      </c>
      <c r="B174" s="61" t="s">
        <v>35</v>
      </c>
      <c r="C174" s="50" t="s">
        <v>234</v>
      </c>
      <c r="D174" s="50">
        <v>81</v>
      </c>
      <c r="E174" s="50" t="s">
        <v>70</v>
      </c>
      <c r="F174" s="50" t="s">
        <v>92</v>
      </c>
      <c r="G174" s="50">
        <v>259920</v>
      </c>
      <c r="H174" s="50">
        <f t="shared" si="14"/>
        <v>80</v>
      </c>
      <c r="I174" s="50"/>
      <c r="J174" s="50"/>
      <c r="K174" s="50">
        <f t="shared" si="13"/>
        <v>492</v>
      </c>
    </row>
    <row r="175" spans="1:11" x14ac:dyDescent="0.3">
      <c r="A175" s="50" t="s">
        <v>235</v>
      </c>
      <c r="B175" s="61" t="s">
        <v>35</v>
      </c>
      <c r="C175" s="50" t="s">
        <v>236</v>
      </c>
      <c r="D175" s="50">
        <v>168</v>
      </c>
      <c r="E175" s="50" t="s">
        <v>80</v>
      </c>
      <c r="F175" s="50" t="s">
        <v>120</v>
      </c>
      <c r="G175" s="50">
        <v>260088</v>
      </c>
      <c r="H175" s="50">
        <f t="shared" si="14"/>
        <v>168</v>
      </c>
      <c r="I175" s="50"/>
      <c r="J175" s="50"/>
      <c r="K175" s="50">
        <f t="shared" si="13"/>
        <v>324</v>
      </c>
    </row>
    <row r="176" spans="1:11" x14ac:dyDescent="0.3">
      <c r="A176" s="50" t="s">
        <v>235</v>
      </c>
      <c r="B176" s="61" t="s">
        <v>35</v>
      </c>
      <c r="C176" s="50" t="s">
        <v>72</v>
      </c>
      <c r="D176" s="50">
        <v>30</v>
      </c>
      <c r="E176" s="50" t="s">
        <v>84</v>
      </c>
      <c r="F176" s="50"/>
      <c r="G176" s="50">
        <v>260118</v>
      </c>
      <c r="H176" s="50">
        <f t="shared" si="14"/>
        <v>30</v>
      </c>
      <c r="I176" s="50"/>
      <c r="J176" s="50"/>
      <c r="K176" s="50">
        <f t="shared" si="13"/>
        <v>294</v>
      </c>
    </row>
    <row r="177" spans="1:18" x14ac:dyDescent="0.3">
      <c r="A177" s="50" t="s">
        <v>235</v>
      </c>
      <c r="B177" s="89" t="s">
        <v>39</v>
      </c>
      <c r="C177" s="50" t="s">
        <v>237</v>
      </c>
      <c r="D177" s="50">
        <v>230</v>
      </c>
      <c r="E177" s="50" t="s">
        <v>57</v>
      </c>
      <c r="F177" s="50" t="s">
        <v>58</v>
      </c>
      <c r="G177" s="50">
        <v>260349</v>
      </c>
      <c r="H177" s="50">
        <f t="shared" si="14"/>
        <v>231</v>
      </c>
      <c r="I177" s="50"/>
      <c r="J177" s="50"/>
      <c r="K177" s="50">
        <f t="shared" si="13"/>
        <v>63</v>
      </c>
    </row>
    <row r="178" spans="1:18" x14ac:dyDescent="0.3">
      <c r="A178" s="50" t="s">
        <v>235</v>
      </c>
      <c r="B178" s="58" t="s">
        <v>38</v>
      </c>
      <c r="C178" s="50" t="s">
        <v>43</v>
      </c>
      <c r="D178" s="50">
        <v>100</v>
      </c>
      <c r="E178" s="50" t="s">
        <v>107</v>
      </c>
      <c r="F178" s="50" t="s">
        <v>55</v>
      </c>
      <c r="G178" s="50">
        <v>260449</v>
      </c>
      <c r="H178" s="50">
        <f t="shared" si="14"/>
        <v>100</v>
      </c>
      <c r="I178" s="50"/>
      <c r="J178" s="50"/>
      <c r="K178" s="50">
        <f t="shared" si="13"/>
        <v>-37</v>
      </c>
    </row>
    <row r="179" spans="1:18" x14ac:dyDescent="0.3">
      <c r="A179" s="50" t="s">
        <v>235</v>
      </c>
      <c r="B179" s="61" t="s">
        <v>35</v>
      </c>
      <c r="C179" s="50" t="s">
        <v>77</v>
      </c>
      <c r="D179" s="50">
        <v>200</v>
      </c>
      <c r="E179" s="50" t="s">
        <v>78</v>
      </c>
      <c r="F179" s="50" t="s">
        <v>128</v>
      </c>
      <c r="G179" s="50">
        <v>260649</v>
      </c>
      <c r="H179" s="50">
        <f t="shared" si="14"/>
        <v>200</v>
      </c>
      <c r="I179" s="50"/>
      <c r="J179" s="50"/>
      <c r="K179" s="50">
        <f t="shared" si="13"/>
        <v>-237</v>
      </c>
    </row>
    <row r="180" spans="1:18" x14ac:dyDescent="0.3">
      <c r="A180" s="50" t="s">
        <v>235</v>
      </c>
      <c r="B180" s="61" t="s">
        <v>35</v>
      </c>
      <c r="C180" s="50" t="s">
        <v>72</v>
      </c>
      <c r="D180" s="50">
        <v>30</v>
      </c>
      <c r="E180" s="50" t="s">
        <v>66</v>
      </c>
      <c r="F180" s="50" t="s">
        <v>92</v>
      </c>
      <c r="G180" s="50">
        <v>260679</v>
      </c>
      <c r="H180" s="50">
        <f t="shared" si="14"/>
        <v>30</v>
      </c>
      <c r="I180" s="50"/>
      <c r="J180" s="50"/>
      <c r="K180" s="50">
        <f t="shared" si="13"/>
        <v>-267</v>
      </c>
    </row>
    <row r="181" spans="1:18" x14ac:dyDescent="0.3">
      <c r="A181" s="50" t="s">
        <v>235</v>
      </c>
      <c r="B181" s="92" t="s">
        <v>173</v>
      </c>
      <c r="C181" s="50" t="s">
        <v>238</v>
      </c>
      <c r="D181" s="50">
        <v>63</v>
      </c>
      <c r="E181" s="50" t="s">
        <v>197</v>
      </c>
      <c r="F181" s="50" t="s">
        <v>120</v>
      </c>
      <c r="G181" s="50">
        <v>260742</v>
      </c>
      <c r="H181" s="50">
        <f t="shared" si="14"/>
        <v>63</v>
      </c>
      <c r="I181" s="50"/>
      <c r="J181" s="50"/>
      <c r="K181" s="50">
        <f t="shared" si="13"/>
        <v>-330</v>
      </c>
    </row>
    <row r="182" spans="1:18" x14ac:dyDescent="0.3">
      <c r="A182" s="50" t="s">
        <v>235</v>
      </c>
      <c r="B182" s="61" t="s">
        <v>35</v>
      </c>
      <c r="C182" s="50" t="s">
        <v>86</v>
      </c>
      <c r="D182" s="50">
        <v>40</v>
      </c>
      <c r="E182" s="50" t="s">
        <v>239</v>
      </c>
      <c r="F182" s="50" t="s">
        <v>122</v>
      </c>
      <c r="G182" s="50">
        <v>260782</v>
      </c>
      <c r="H182" s="50">
        <f t="shared" si="14"/>
        <v>40</v>
      </c>
      <c r="I182" s="50"/>
      <c r="J182" s="50"/>
      <c r="K182" s="50">
        <f t="shared" si="13"/>
        <v>-370</v>
      </c>
      <c r="R182" t="s">
        <v>240</v>
      </c>
    </row>
    <row r="183" spans="1:18" x14ac:dyDescent="0.3">
      <c r="A183" s="50" t="s">
        <v>235</v>
      </c>
      <c r="B183" s="61" t="s">
        <v>35</v>
      </c>
      <c r="C183" s="50" t="s">
        <v>241</v>
      </c>
      <c r="D183" s="50">
        <v>22</v>
      </c>
      <c r="E183" s="50" t="s">
        <v>149</v>
      </c>
      <c r="F183" s="50" t="s">
        <v>230</v>
      </c>
      <c r="G183" s="50">
        <v>260804</v>
      </c>
      <c r="H183" s="50">
        <f t="shared" si="14"/>
        <v>22</v>
      </c>
      <c r="I183" s="50"/>
      <c r="J183" s="50"/>
      <c r="K183" s="50">
        <f t="shared" si="13"/>
        <v>-392</v>
      </c>
      <c r="R183" s="93">
        <v>40000</v>
      </c>
    </row>
    <row r="184" spans="1:18" x14ac:dyDescent="0.3">
      <c r="A184" s="50" t="s">
        <v>235</v>
      </c>
      <c r="B184" s="61" t="s">
        <v>35</v>
      </c>
      <c r="C184" s="50" t="s">
        <v>65</v>
      </c>
      <c r="D184" s="50">
        <v>50</v>
      </c>
      <c r="E184" s="50" t="s">
        <v>221</v>
      </c>
      <c r="F184" s="50" t="s">
        <v>154</v>
      </c>
      <c r="G184" s="50">
        <v>260854</v>
      </c>
      <c r="H184" s="50">
        <f t="shared" si="14"/>
        <v>50</v>
      </c>
      <c r="I184" s="50"/>
      <c r="J184" s="50"/>
      <c r="K184" s="50">
        <f t="shared" si="13"/>
        <v>-442</v>
      </c>
    </row>
    <row r="185" spans="1:18" x14ac:dyDescent="0.3">
      <c r="A185" s="50" t="s">
        <v>157</v>
      </c>
      <c r="B185" s="61" t="s">
        <v>35</v>
      </c>
      <c r="C185" s="50" t="s">
        <v>77</v>
      </c>
      <c r="D185" s="50">
        <v>200</v>
      </c>
      <c r="E185" s="50" t="s">
        <v>242</v>
      </c>
      <c r="F185" s="50" t="s">
        <v>243</v>
      </c>
      <c r="G185" s="50">
        <v>261054</v>
      </c>
      <c r="H185" s="50">
        <f t="shared" si="14"/>
        <v>200</v>
      </c>
      <c r="I185" s="50"/>
      <c r="J185" s="50"/>
      <c r="K185" s="50">
        <f t="shared" si="13"/>
        <v>-642</v>
      </c>
    </row>
    <row r="186" spans="1:18" x14ac:dyDescent="0.3">
      <c r="A186" s="50" t="s">
        <v>157</v>
      </c>
      <c r="B186" s="61" t="s">
        <v>35</v>
      </c>
      <c r="C186" s="50" t="s">
        <v>72</v>
      </c>
      <c r="D186" s="50">
        <v>30</v>
      </c>
      <c r="E186" s="50" t="s">
        <v>84</v>
      </c>
      <c r="F186" s="50"/>
      <c r="G186" s="50">
        <v>261084</v>
      </c>
      <c r="H186" s="50">
        <f t="shared" si="14"/>
        <v>30</v>
      </c>
      <c r="I186" s="50"/>
      <c r="J186" s="50"/>
      <c r="K186" s="50">
        <f t="shared" si="13"/>
        <v>-672</v>
      </c>
    </row>
    <row r="187" spans="1:18" x14ac:dyDescent="0.3">
      <c r="A187" s="50" t="s">
        <v>157</v>
      </c>
      <c r="B187" s="58" t="s">
        <v>38</v>
      </c>
      <c r="C187" s="50" t="s">
        <v>244</v>
      </c>
      <c r="D187" s="50">
        <v>91</v>
      </c>
      <c r="E187" s="50" t="s">
        <v>107</v>
      </c>
      <c r="F187" s="50" t="s">
        <v>55</v>
      </c>
      <c r="G187" s="50">
        <v>261175</v>
      </c>
      <c r="H187" s="50">
        <f t="shared" si="14"/>
        <v>91</v>
      </c>
      <c r="I187" s="50"/>
      <c r="J187" s="50"/>
      <c r="K187" s="50">
        <f t="shared" si="13"/>
        <v>-763</v>
      </c>
    </row>
    <row r="188" spans="1:18" x14ac:dyDescent="0.3">
      <c r="A188" s="50" t="s">
        <v>157</v>
      </c>
      <c r="B188" s="59" t="s">
        <v>39</v>
      </c>
      <c r="C188" s="50" t="s">
        <v>130</v>
      </c>
      <c r="D188" s="50">
        <v>800</v>
      </c>
      <c r="E188" s="50" t="s">
        <v>60</v>
      </c>
      <c r="F188" s="50" t="s">
        <v>245</v>
      </c>
      <c r="G188" s="50">
        <v>261975</v>
      </c>
      <c r="H188" s="50">
        <f t="shared" si="14"/>
        <v>800</v>
      </c>
      <c r="I188" s="50"/>
      <c r="J188" s="50"/>
      <c r="K188" s="50">
        <f t="shared" si="13"/>
        <v>-1563</v>
      </c>
    </row>
    <row r="189" spans="1:18" x14ac:dyDescent="0.3">
      <c r="A189" s="50" t="s">
        <v>157</v>
      </c>
      <c r="B189" s="59" t="s">
        <v>246</v>
      </c>
      <c r="C189" s="50" t="s">
        <v>247</v>
      </c>
      <c r="D189" s="50">
        <v>700</v>
      </c>
      <c r="E189" s="50" t="s">
        <v>60</v>
      </c>
      <c r="F189" s="50" t="s">
        <v>245</v>
      </c>
      <c r="G189" s="50">
        <v>262675</v>
      </c>
      <c r="H189" s="50">
        <f t="shared" si="14"/>
        <v>700</v>
      </c>
      <c r="I189" s="50"/>
      <c r="J189" s="50"/>
      <c r="K189" s="50">
        <f t="shared" si="13"/>
        <v>-2263</v>
      </c>
      <c r="L189">
        <v>2263</v>
      </c>
    </row>
    <row r="190" spans="1:18" x14ac:dyDescent="0.3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</row>
    <row r="191" spans="1:18" x14ac:dyDescent="0.3">
      <c r="A191" s="95" t="s">
        <v>157</v>
      </c>
      <c r="B191" s="61" t="s">
        <v>35</v>
      </c>
      <c r="C191" s="95" t="s">
        <v>65</v>
      </c>
      <c r="D191" s="95">
        <v>50</v>
      </c>
      <c r="E191" s="95" t="s">
        <v>248</v>
      </c>
      <c r="F191" s="95" t="s">
        <v>249</v>
      </c>
      <c r="G191" s="50">
        <v>262726</v>
      </c>
      <c r="H191" s="50">
        <f>G191-G189</f>
        <v>51</v>
      </c>
      <c r="I191" s="50" t="s">
        <v>250</v>
      </c>
      <c r="J191" s="50" t="s">
        <v>251</v>
      </c>
      <c r="K191" s="50"/>
    </row>
    <row r="192" spans="1:18" x14ac:dyDescent="0.3">
      <c r="A192" s="95" t="s">
        <v>157</v>
      </c>
      <c r="B192" s="61" t="s">
        <v>35</v>
      </c>
      <c r="C192" s="95" t="s">
        <v>72</v>
      </c>
      <c r="D192" s="95">
        <v>30</v>
      </c>
      <c r="E192" s="95" t="s">
        <v>252</v>
      </c>
      <c r="F192" s="95" t="s">
        <v>122</v>
      </c>
      <c r="G192" s="50">
        <v>262756</v>
      </c>
      <c r="H192" s="50">
        <f t="shared" ref="H192:H201" si="15">G192-G191</f>
        <v>30</v>
      </c>
      <c r="I192" s="50"/>
      <c r="J192" s="50"/>
      <c r="K192" s="50"/>
    </row>
    <row r="193" spans="1:17" x14ac:dyDescent="0.3">
      <c r="A193" s="95" t="s">
        <v>157</v>
      </c>
      <c r="B193" s="61" t="s">
        <v>35</v>
      </c>
      <c r="C193" s="95" t="s">
        <v>86</v>
      </c>
      <c r="D193" s="95">
        <v>40</v>
      </c>
      <c r="E193" s="95" t="s">
        <v>66</v>
      </c>
      <c r="F193" s="95" t="s">
        <v>135</v>
      </c>
      <c r="G193" s="50">
        <v>262796</v>
      </c>
      <c r="H193" s="50">
        <f t="shared" si="15"/>
        <v>40</v>
      </c>
      <c r="I193" s="50"/>
      <c r="J193" s="50"/>
      <c r="K193" s="50"/>
    </row>
    <row r="194" spans="1:17" ht="25.8" x14ac:dyDescent="0.5">
      <c r="A194" s="50" t="s">
        <v>157</v>
      </c>
      <c r="B194" s="59" t="s">
        <v>253</v>
      </c>
      <c r="C194" s="50" t="s">
        <v>188</v>
      </c>
      <c r="D194" s="50">
        <v>1000</v>
      </c>
      <c r="E194" s="50" t="s">
        <v>60</v>
      </c>
      <c r="F194" s="50" t="s">
        <v>245</v>
      </c>
      <c r="G194" s="50">
        <v>263796</v>
      </c>
      <c r="H194" s="50">
        <f t="shared" si="15"/>
        <v>1000</v>
      </c>
      <c r="I194" s="50"/>
      <c r="J194" s="50"/>
      <c r="K194" s="50"/>
      <c r="L194" s="132" t="s">
        <v>254</v>
      </c>
      <c r="M194" s="133"/>
      <c r="N194" s="133"/>
      <c r="O194" s="133"/>
    </row>
    <row r="195" spans="1:17" ht="28.8" x14ac:dyDescent="0.55000000000000004">
      <c r="A195" s="50" t="s">
        <v>255</v>
      </c>
      <c r="B195" s="61" t="s">
        <v>35</v>
      </c>
      <c r="C195" s="50" t="s">
        <v>98</v>
      </c>
      <c r="D195" s="50">
        <v>70</v>
      </c>
      <c r="E195" s="50" t="s">
        <v>70</v>
      </c>
      <c r="F195" s="50" t="s">
        <v>92</v>
      </c>
      <c r="G195" s="50">
        <v>263866</v>
      </c>
      <c r="H195" s="50">
        <f t="shared" si="15"/>
        <v>70</v>
      </c>
      <c r="I195" s="50"/>
      <c r="J195" s="50"/>
      <c r="K195" s="50"/>
      <c r="L195" s="39" t="s">
        <v>35</v>
      </c>
      <c r="M195" s="42" t="s">
        <v>38</v>
      </c>
      <c r="N195" s="43" t="s">
        <v>39</v>
      </c>
      <c r="O195" s="44" t="s">
        <v>31</v>
      </c>
      <c r="P195" s="45" t="s">
        <v>40</v>
      </c>
      <c r="Q195" s="72" t="s">
        <v>41</v>
      </c>
    </row>
    <row r="196" spans="1:17" x14ac:dyDescent="0.3">
      <c r="A196" s="50" t="s">
        <v>255</v>
      </c>
      <c r="B196" s="61" t="s">
        <v>35</v>
      </c>
      <c r="C196" s="50" t="s">
        <v>72</v>
      </c>
      <c r="D196" s="50">
        <v>30</v>
      </c>
      <c r="E196" s="50" t="s">
        <v>84</v>
      </c>
      <c r="F196" s="50" t="s">
        <v>256</v>
      </c>
      <c r="G196" s="50">
        <v>263896</v>
      </c>
      <c r="H196" s="50">
        <f t="shared" si="15"/>
        <v>30</v>
      </c>
      <c r="I196" s="50"/>
      <c r="J196" s="50"/>
      <c r="K196" s="50"/>
      <c r="L196">
        <f>SUM('[1]C.LIB'!H183:H301)</f>
        <v>31318664</v>
      </c>
      <c r="M196" s="50">
        <f>H198+H212+H216+H225+H218+H238+H244+H247+H254+H272+H280+H309</f>
        <v>1040</v>
      </c>
      <c r="N196" s="50">
        <f>H200+H201+H219+H241+H246+H260+H265+H282+H291+H297+H305+H306+H310</f>
        <v>4769</v>
      </c>
      <c r="O196" s="45">
        <f>L199+L196+M196+N196</f>
        <v>31327840</v>
      </c>
      <c r="P196" s="45">
        <v>3958</v>
      </c>
      <c r="Q196" s="72">
        <f>P196-O196</f>
        <v>-31323882</v>
      </c>
    </row>
    <row r="197" spans="1:17" x14ac:dyDescent="0.3">
      <c r="A197" s="50" t="s">
        <v>255</v>
      </c>
      <c r="B197" s="58" t="s">
        <v>38</v>
      </c>
      <c r="C197" s="50" t="s">
        <v>98</v>
      </c>
      <c r="D197" s="50">
        <v>70</v>
      </c>
      <c r="E197" s="50" t="s">
        <v>60</v>
      </c>
      <c r="F197" s="50" t="s">
        <v>55</v>
      </c>
      <c r="G197" s="50">
        <v>263966</v>
      </c>
      <c r="H197" s="50">
        <f t="shared" si="15"/>
        <v>70</v>
      </c>
      <c r="I197" s="50"/>
      <c r="J197" s="50"/>
      <c r="K197" s="50"/>
    </row>
    <row r="198" spans="1:17" x14ac:dyDescent="0.3">
      <c r="A198" s="50" t="s">
        <v>255</v>
      </c>
      <c r="B198" s="61" t="s">
        <v>35</v>
      </c>
      <c r="C198" s="50" t="s">
        <v>48</v>
      </c>
      <c r="D198" s="50">
        <v>300</v>
      </c>
      <c r="E198" s="50" t="s">
        <v>78</v>
      </c>
      <c r="F198" s="50" t="s">
        <v>128</v>
      </c>
      <c r="G198" s="50">
        <v>264267</v>
      </c>
      <c r="H198" s="50">
        <f t="shared" si="15"/>
        <v>301</v>
      </c>
      <c r="I198" s="50"/>
      <c r="J198" s="50"/>
      <c r="K198" s="50"/>
      <c r="L198" s="96" t="s">
        <v>257</v>
      </c>
      <c r="M198" s="59" t="s">
        <v>258</v>
      </c>
      <c r="N198" s="14" t="s">
        <v>259</v>
      </c>
    </row>
    <row r="199" spans="1:17" x14ac:dyDescent="0.3">
      <c r="A199" s="50" t="s">
        <v>255</v>
      </c>
      <c r="B199" s="59" t="s">
        <v>253</v>
      </c>
      <c r="C199" s="50" t="s">
        <v>188</v>
      </c>
      <c r="D199" s="50">
        <v>1000</v>
      </c>
      <c r="E199" s="50" t="s">
        <v>60</v>
      </c>
      <c r="F199" s="50" t="s">
        <v>245</v>
      </c>
      <c r="G199" s="50">
        <v>265267</v>
      </c>
      <c r="H199" s="50">
        <f t="shared" si="15"/>
        <v>1000</v>
      </c>
      <c r="I199" s="50"/>
      <c r="J199" s="50"/>
      <c r="K199" s="50"/>
      <c r="L199" s="50">
        <f>H211+H212+H213+H214+H215+H216+H217+H222+H223+H225+H228+H229+H230+H231+H232+H233+H234+H235+H236+H248+H249+H261+H268+H266+H284+H286+H287+H288+H289+H290+H293+H294+H295+H296+H301+H305</f>
        <v>3367</v>
      </c>
      <c r="M199" s="71">
        <v>4180</v>
      </c>
      <c r="N199" s="14">
        <f>H237+H245+H269+H278+H283+H284+H298</f>
        <v>1678</v>
      </c>
    </row>
    <row r="200" spans="1:17" x14ac:dyDescent="0.3">
      <c r="A200" s="50" t="s">
        <v>255</v>
      </c>
      <c r="B200" s="59" t="s">
        <v>169</v>
      </c>
      <c r="C200" s="50" t="s">
        <v>260</v>
      </c>
      <c r="D200" s="50">
        <v>174</v>
      </c>
      <c r="E200" s="50" t="s">
        <v>57</v>
      </c>
      <c r="F200" s="50" t="s">
        <v>58</v>
      </c>
      <c r="G200" s="50">
        <v>265441</v>
      </c>
      <c r="H200" s="50">
        <f t="shared" si="15"/>
        <v>174</v>
      </c>
      <c r="I200" s="50" t="s">
        <v>261</v>
      </c>
      <c r="J200" s="50"/>
      <c r="K200" s="50"/>
    </row>
    <row r="201" spans="1:17" x14ac:dyDescent="0.3">
      <c r="A201" s="50" t="s">
        <v>255</v>
      </c>
      <c r="B201" s="59" t="s">
        <v>39</v>
      </c>
      <c r="C201" s="50" t="s">
        <v>62</v>
      </c>
      <c r="D201" s="50">
        <v>400</v>
      </c>
      <c r="E201" s="50" t="s">
        <v>60</v>
      </c>
      <c r="F201" s="50" t="s">
        <v>245</v>
      </c>
      <c r="G201" s="50">
        <v>265842</v>
      </c>
      <c r="H201" s="50">
        <f t="shared" si="15"/>
        <v>401</v>
      </c>
      <c r="I201" s="50"/>
      <c r="J201" s="50"/>
      <c r="K201" s="50"/>
    </row>
    <row r="202" spans="1:17" x14ac:dyDescent="0.3">
      <c r="A202" s="50" t="s">
        <v>255</v>
      </c>
      <c r="B202" s="59" t="s">
        <v>253</v>
      </c>
      <c r="C202" s="50" t="s">
        <v>188</v>
      </c>
      <c r="D202" s="50">
        <v>1000</v>
      </c>
      <c r="E202" s="50" t="s">
        <v>60</v>
      </c>
      <c r="F202" s="50" t="s">
        <v>245</v>
      </c>
      <c r="G202" s="50"/>
      <c r="H202" s="50"/>
      <c r="I202" s="50"/>
      <c r="J202" s="50"/>
      <c r="K202" s="50"/>
    </row>
    <row r="203" spans="1:17" x14ac:dyDescent="0.3">
      <c r="A203" s="50" t="s">
        <v>255</v>
      </c>
      <c r="B203" s="61" t="s">
        <v>35</v>
      </c>
      <c r="C203" s="50" t="s">
        <v>262</v>
      </c>
      <c r="D203" s="50">
        <v>180</v>
      </c>
      <c r="E203" s="50" t="s">
        <v>197</v>
      </c>
      <c r="F203" s="50" t="s">
        <v>243</v>
      </c>
      <c r="G203" s="50">
        <v>266022</v>
      </c>
      <c r="H203" s="50">
        <f>G203-G201</f>
        <v>180</v>
      </c>
      <c r="I203" s="50"/>
      <c r="J203" s="50"/>
      <c r="K203" s="50"/>
    </row>
    <row r="204" spans="1:17" x14ac:dyDescent="0.3">
      <c r="A204" s="50" t="s">
        <v>255</v>
      </c>
      <c r="B204" s="61" t="s">
        <v>35</v>
      </c>
      <c r="C204" s="50" t="s">
        <v>263</v>
      </c>
      <c r="D204" s="50">
        <v>23</v>
      </c>
      <c r="E204" s="50" t="s">
        <v>248</v>
      </c>
      <c r="F204" s="50" t="s">
        <v>249</v>
      </c>
      <c r="G204" s="50">
        <v>266045</v>
      </c>
      <c r="H204" s="50">
        <f>G204-G203</f>
        <v>23</v>
      </c>
      <c r="I204" s="50"/>
      <c r="J204" s="50"/>
      <c r="K204" s="50"/>
    </row>
    <row r="205" spans="1:17" x14ac:dyDescent="0.3">
      <c r="A205" s="50" t="s">
        <v>255</v>
      </c>
      <c r="B205" s="61" t="s">
        <v>35</v>
      </c>
      <c r="C205" s="50" t="s">
        <v>65</v>
      </c>
      <c r="D205" s="50">
        <v>50</v>
      </c>
      <c r="E205" s="50" t="s">
        <v>264</v>
      </c>
      <c r="F205" s="50" t="s">
        <v>265</v>
      </c>
      <c r="G205" s="50">
        <v>266095</v>
      </c>
      <c r="H205" s="50">
        <f>G205-G204</f>
        <v>50</v>
      </c>
      <c r="I205" s="50"/>
      <c r="J205" s="50"/>
      <c r="K205" s="50"/>
    </row>
    <row r="206" spans="1:17" x14ac:dyDescent="0.3">
      <c r="A206" s="50" t="s">
        <v>255</v>
      </c>
      <c r="B206" s="61" t="s">
        <v>35</v>
      </c>
      <c r="C206" s="50" t="s">
        <v>86</v>
      </c>
      <c r="D206" s="50">
        <v>40</v>
      </c>
      <c r="E206" s="50" t="s">
        <v>66</v>
      </c>
      <c r="F206" s="50" t="s">
        <v>92</v>
      </c>
      <c r="G206" s="50">
        <v>266135</v>
      </c>
      <c r="H206" s="50">
        <f>G206-G205</f>
        <v>40</v>
      </c>
      <c r="I206" s="50"/>
      <c r="J206" s="50"/>
      <c r="K206" s="50"/>
    </row>
    <row r="207" spans="1:17" x14ac:dyDescent="0.3">
      <c r="A207" s="50" t="s">
        <v>255</v>
      </c>
      <c r="B207" s="61" t="s">
        <v>35</v>
      </c>
      <c r="C207" s="50" t="s">
        <v>68</v>
      </c>
      <c r="D207" s="50">
        <v>20</v>
      </c>
      <c r="E207" s="50" t="s">
        <v>266</v>
      </c>
      <c r="F207" s="50" t="s">
        <v>120</v>
      </c>
      <c r="G207" s="50">
        <v>266155</v>
      </c>
      <c r="H207" s="50">
        <f>G207-G206</f>
        <v>20</v>
      </c>
      <c r="I207" s="50"/>
      <c r="J207" s="50"/>
      <c r="K207" s="50"/>
    </row>
    <row r="208" spans="1:17" x14ac:dyDescent="0.3">
      <c r="A208" s="50" t="s">
        <v>255</v>
      </c>
      <c r="B208" s="59" t="s">
        <v>253</v>
      </c>
      <c r="C208" s="50" t="s">
        <v>247</v>
      </c>
      <c r="D208" s="50">
        <v>700</v>
      </c>
      <c r="E208" s="50" t="s">
        <v>60</v>
      </c>
      <c r="F208" s="50" t="s">
        <v>245</v>
      </c>
      <c r="G208" s="50">
        <v>267155</v>
      </c>
      <c r="H208" s="50">
        <f>G208-G207</f>
        <v>1000</v>
      </c>
      <c r="I208" s="50"/>
      <c r="J208" s="50"/>
      <c r="K208" s="50"/>
    </row>
    <row r="209" spans="1:11" x14ac:dyDescent="0.3">
      <c r="A209" s="50" t="s">
        <v>267</v>
      </c>
      <c r="B209" s="59" t="s">
        <v>253</v>
      </c>
      <c r="C209" s="50" t="s">
        <v>188</v>
      </c>
      <c r="D209" s="50">
        <v>1000</v>
      </c>
      <c r="E209" s="50" t="s">
        <v>60</v>
      </c>
      <c r="F209" s="50" t="s">
        <v>245</v>
      </c>
      <c r="G209" s="50"/>
      <c r="H209" s="50"/>
      <c r="I209" s="50"/>
      <c r="J209" s="50"/>
      <c r="K209" s="50"/>
    </row>
    <row r="210" spans="1:11" x14ac:dyDescent="0.3">
      <c r="A210" s="50" t="s">
        <v>267</v>
      </c>
      <c r="B210" s="61" t="s">
        <v>35</v>
      </c>
      <c r="C210" s="50" t="s">
        <v>68</v>
      </c>
      <c r="D210" s="50">
        <v>20</v>
      </c>
      <c r="E210" s="50" t="s">
        <v>197</v>
      </c>
      <c r="F210" s="50" t="s">
        <v>268</v>
      </c>
      <c r="G210" s="50">
        <v>267226</v>
      </c>
      <c r="H210" s="50">
        <f>G210-G208</f>
        <v>71</v>
      </c>
      <c r="I210" s="50"/>
      <c r="J210" s="50"/>
      <c r="K210" s="50"/>
    </row>
    <row r="211" spans="1:11" x14ac:dyDescent="0.3">
      <c r="A211" s="50" t="s">
        <v>269</v>
      </c>
      <c r="B211" s="60" t="s">
        <v>257</v>
      </c>
      <c r="C211" s="50" t="s">
        <v>65</v>
      </c>
      <c r="D211" s="50">
        <v>50</v>
      </c>
      <c r="E211" s="50" t="s">
        <v>66</v>
      </c>
      <c r="F211" s="50" t="s">
        <v>112</v>
      </c>
      <c r="G211" s="50">
        <v>267276</v>
      </c>
      <c r="H211" s="50">
        <f t="shared" ref="H211:H220" si="16">G211-G210</f>
        <v>50</v>
      </c>
      <c r="I211" s="50"/>
      <c r="J211" s="50"/>
      <c r="K211" s="50"/>
    </row>
    <row r="212" spans="1:11" x14ac:dyDescent="0.3">
      <c r="A212" s="50" t="s">
        <v>269</v>
      </c>
      <c r="B212" s="60" t="s">
        <v>257</v>
      </c>
      <c r="C212" s="50" t="s">
        <v>223</v>
      </c>
      <c r="D212" s="50">
        <v>250</v>
      </c>
      <c r="E212" s="50" t="s">
        <v>78</v>
      </c>
      <c r="F212" s="50" t="s">
        <v>64</v>
      </c>
      <c r="G212" s="50">
        <v>267526</v>
      </c>
      <c r="H212" s="50">
        <f t="shared" si="16"/>
        <v>250</v>
      </c>
      <c r="I212" s="50"/>
      <c r="J212" s="50"/>
      <c r="K212" s="50"/>
    </row>
    <row r="213" spans="1:11" x14ac:dyDescent="0.3">
      <c r="A213" s="50" t="s">
        <v>269</v>
      </c>
      <c r="B213" s="60" t="s">
        <v>257</v>
      </c>
      <c r="C213" s="50" t="s">
        <v>69</v>
      </c>
      <c r="D213" s="50">
        <v>60</v>
      </c>
      <c r="E213" s="50" t="s">
        <v>264</v>
      </c>
      <c r="F213" s="50" t="s">
        <v>270</v>
      </c>
      <c r="G213" s="50">
        <v>267586</v>
      </c>
      <c r="H213" s="50">
        <f t="shared" si="16"/>
        <v>60</v>
      </c>
      <c r="I213" s="50"/>
      <c r="J213" s="50"/>
      <c r="K213" s="50"/>
    </row>
    <row r="214" spans="1:11" x14ac:dyDescent="0.3">
      <c r="A214" s="50" t="s">
        <v>269</v>
      </c>
      <c r="B214" s="60" t="s">
        <v>257</v>
      </c>
      <c r="C214" s="50" t="s">
        <v>65</v>
      </c>
      <c r="D214" s="50">
        <v>50</v>
      </c>
      <c r="E214" s="50" t="s">
        <v>70</v>
      </c>
      <c r="F214" s="50" t="s">
        <v>112</v>
      </c>
      <c r="G214" s="50">
        <v>267637</v>
      </c>
      <c r="H214" s="50">
        <f t="shared" si="16"/>
        <v>51</v>
      </c>
      <c r="I214" s="50"/>
      <c r="J214" s="50"/>
      <c r="K214" s="50"/>
    </row>
    <row r="215" spans="1:11" x14ac:dyDescent="0.3">
      <c r="A215" s="50" t="s">
        <v>269</v>
      </c>
      <c r="B215" s="60" t="s">
        <v>257</v>
      </c>
      <c r="C215" s="50" t="s">
        <v>271</v>
      </c>
      <c r="D215" s="50">
        <v>155</v>
      </c>
      <c r="E215" s="50" t="s">
        <v>197</v>
      </c>
      <c r="F215" s="50" t="s">
        <v>268</v>
      </c>
      <c r="G215" s="50">
        <v>267792</v>
      </c>
      <c r="H215" s="50">
        <f t="shared" si="16"/>
        <v>155</v>
      </c>
      <c r="I215" s="50"/>
      <c r="J215" s="50"/>
      <c r="K215" s="50"/>
    </row>
    <row r="216" spans="1:11" x14ac:dyDescent="0.3">
      <c r="A216" s="50" t="s">
        <v>269</v>
      </c>
      <c r="B216" s="60" t="s">
        <v>257</v>
      </c>
      <c r="C216" s="50" t="s">
        <v>272</v>
      </c>
      <c r="D216" s="50">
        <v>27</v>
      </c>
      <c r="E216" s="50" t="s">
        <v>248</v>
      </c>
      <c r="F216" s="50" t="s">
        <v>249</v>
      </c>
      <c r="G216" s="50">
        <v>267818</v>
      </c>
      <c r="H216" s="50">
        <f t="shared" si="16"/>
        <v>26</v>
      </c>
      <c r="I216" s="50"/>
      <c r="J216" s="50"/>
      <c r="K216" s="50"/>
    </row>
    <row r="217" spans="1:11" x14ac:dyDescent="0.3">
      <c r="A217" s="50" t="s">
        <v>269</v>
      </c>
      <c r="B217" s="60" t="s">
        <v>257</v>
      </c>
      <c r="C217" s="50" t="s">
        <v>273</v>
      </c>
      <c r="D217" s="50">
        <v>59</v>
      </c>
      <c r="E217" s="50" t="s">
        <v>274</v>
      </c>
      <c r="F217" s="50" t="s">
        <v>206</v>
      </c>
      <c r="G217" s="50">
        <v>267877</v>
      </c>
      <c r="H217" s="50">
        <f t="shared" si="16"/>
        <v>59</v>
      </c>
      <c r="I217" s="50"/>
      <c r="J217" s="50"/>
      <c r="K217" s="50"/>
    </row>
    <row r="218" spans="1:11" x14ac:dyDescent="0.3">
      <c r="A218" s="50" t="s">
        <v>269</v>
      </c>
      <c r="B218" s="68" t="s">
        <v>38</v>
      </c>
      <c r="C218" s="50" t="s">
        <v>86</v>
      </c>
      <c r="D218" s="50">
        <v>40</v>
      </c>
      <c r="E218" s="50" t="s">
        <v>60</v>
      </c>
      <c r="F218" s="50" t="s">
        <v>55</v>
      </c>
      <c r="G218" s="50">
        <v>267918</v>
      </c>
      <c r="H218" s="50">
        <f t="shared" si="16"/>
        <v>41</v>
      </c>
      <c r="I218" s="50"/>
      <c r="J218" s="50"/>
      <c r="K218" s="50"/>
    </row>
    <row r="219" spans="1:11" x14ac:dyDescent="0.3">
      <c r="A219" s="50" t="s">
        <v>269</v>
      </c>
      <c r="B219" s="59" t="s">
        <v>39</v>
      </c>
      <c r="C219" s="50" t="s">
        <v>275</v>
      </c>
      <c r="D219" s="50">
        <v>206</v>
      </c>
      <c r="E219" s="50" t="s">
        <v>57</v>
      </c>
      <c r="F219" s="50" t="s">
        <v>58</v>
      </c>
      <c r="G219" s="50">
        <v>268124</v>
      </c>
      <c r="H219" s="50">
        <f t="shared" si="16"/>
        <v>206</v>
      </c>
      <c r="I219" s="50"/>
      <c r="J219" s="50"/>
      <c r="K219" s="50"/>
    </row>
    <row r="220" spans="1:11" x14ac:dyDescent="0.3">
      <c r="A220" s="50" t="s">
        <v>269</v>
      </c>
      <c r="B220" s="59" t="s">
        <v>253</v>
      </c>
      <c r="C220" s="50" t="s">
        <v>188</v>
      </c>
      <c r="D220" s="50">
        <v>1000</v>
      </c>
      <c r="E220" s="50" t="s">
        <v>60</v>
      </c>
      <c r="F220" s="50" t="s">
        <v>245</v>
      </c>
      <c r="G220" s="50">
        <v>269124</v>
      </c>
      <c r="H220" s="50">
        <f t="shared" si="16"/>
        <v>1000</v>
      </c>
      <c r="I220" s="50" t="s">
        <v>276</v>
      </c>
      <c r="J220" s="50"/>
      <c r="K220" s="50"/>
    </row>
    <row r="221" spans="1:11" x14ac:dyDescent="0.3">
      <c r="A221" s="50" t="s">
        <v>269</v>
      </c>
      <c r="B221" s="59" t="s">
        <v>253</v>
      </c>
      <c r="C221" s="50" t="s">
        <v>188</v>
      </c>
      <c r="D221" s="50">
        <v>1000</v>
      </c>
      <c r="E221" s="50" t="s">
        <v>60</v>
      </c>
      <c r="F221" s="50" t="s">
        <v>245</v>
      </c>
      <c r="G221" s="50"/>
      <c r="H221" s="50">
        <v>1000</v>
      </c>
      <c r="I221" s="97" t="s">
        <v>277</v>
      </c>
      <c r="J221" s="50"/>
      <c r="K221" s="50"/>
    </row>
    <row r="222" spans="1:11" x14ac:dyDescent="0.3">
      <c r="A222" s="50" t="s">
        <v>269</v>
      </c>
      <c r="B222" s="60" t="s">
        <v>257</v>
      </c>
      <c r="C222" s="50" t="s">
        <v>278</v>
      </c>
      <c r="D222" s="50">
        <v>38</v>
      </c>
      <c r="E222" s="50" t="s">
        <v>279</v>
      </c>
      <c r="F222" s="50" t="s">
        <v>230</v>
      </c>
      <c r="G222" s="50">
        <v>269163</v>
      </c>
      <c r="H222" s="50">
        <f>G222-G220</f>
        <v>39</v>
      </c>
      <c r="I222" s="50"/>
      <c r="J222" s="50"/>
      <c r="K222" s="50"/>
    </row>
    <row r="223" spans="1:11" x14ac:dyDescent="0.3">
      <c r="A223" s="50" t="s">
        <v>269</v>
      </c>
      <c r="B223" s="60" t="s">
        <v>257</v>
      </c>
      <c r="C223" s="50" t="s">
        <v>65</v>
      </c>
      <c r="D223" s="50">
        <v>50</v>
      </c>
      <c r="E223" s="50" t="s">
        <v>252</v>
      </c>
      <c r="F223" s="50" t="s">
        <v>122</v>
      </c>
      <c r="G223" s="50">
        <v>269213</v>
      </c>
      <c r="H223" s="50">
        <f t="shared" ref="H223:H238" si="17">G223-G222</f>
        <v>50</v>
      </c>
      <c r="I223" s="50"/>
      <c r="J223" s="50"/>
      <c r="K223" s="50"/>
    </row>
    <row r="224" spans="1:11" x14ac:dyDescent="0.3">
      <c r="A224" s="50" t="s">
        <v>269</v>
      </c>
      <c r="B224" s="59" t="s">
        <v>253</v>
      </c>
      <c r="C224" s="50" t="s">
        <v>188</v>
      </c>
      <c r="D224" s="50">
        <v>1000</v>
      </c>
      <c r="E224" s="50" t="s">
        <v>60</v>
      </c>
      <c r="F224" s="50" t="s">
        <v>245</v>
      </c>
      <c r="G224" s="50">
        <v>270213</v>
      </c>
      <c r="H224" s="50">
        <f t="shared" si="17"/>
        <v>1000</v>
      </c>
      <c r="I224" s="50"/>
      <c r="J224" s="50"/>
      <c r="K224" s="50"/>
    </row>
    <row r="225" spans="1:21" x14ac:dyDescent="0.3">
      <c r="A225" s="50" t="s">
        <v>269</v>
      </c>
      <c r="B225" s="60" t="s">
        <v>257</v>
      </c>
      <c r="C225" s="50" t="s">
        <v>280</v>
      </c>
      <c r="D225" s="50">
        <v>39</v>
      </c>
      <c r="E225" s="50" t="s">
        <v>281</v>
      </c>
      <c r="F225" s="50" t="s">
        <v>102</v>
      </c>
      <c r="G225" s="50">
        <v>270253</v>
      </c>
      <c r="H225" s="50">
        <f t="shared" si="17"/>
        <v>40</v>
      </c>
      <c r="I225" s="50"/>
      <c r="J225" s="50"/>
      <c r="K225" s="50"/>
    </row>
    <row r="226" spans="1:21" x14ac:dyDescent="0.3">
      <c r="A226" s="50" t="s">
        <v>269</v>
      </c>
      <c r="B226" s="59" t="s">
        <v>253</v>
      </c>
      <c r="C226" s="50" t="s">
        <v>188</v>
      </c>
      <c r="D226" s="50">
        <v>1000</v>
      </c>
      <c r="E226" s="50" t="s">
        <v>60</v>
      </c>
      <c r="F226" s="50" t="s">
        <v>245</v>
      </c>
      <c r="G226" s="50">
        <v>271253</v>
      </c>
      <c r="H226" s="50">
        <f t="shared" si="17"/>
        <v>1000</v>
      </c>
      <c r="I226" s="50" t="s">
        <v>282</v>
      </c>
      <c r="J226" s="50"/>
      <c r="K226" s="50"/>
    </row>
    <row r="227" spans="1:21" x14ac:dyDescent="0.3">
      <c r="A227" s="50" t="s">
        <v>269</v>
      </c>
      <c r="B227" s="59" t="s">
        <v>283</v>
      </c>
      <c r="C227" s="50" t="s">
        <v>143</v>
      </c>
      <c r="D227" s="50">
        <v>500</v>
      </c>
      <c r="E227" s="50" t="s">
        <v>49</v>
      </c>
      <c r="F227" s="50" t="s">
        <v>81</v>
      </c>
      <c r="G227" s="50">
        <v>271753</v>
      </c>
      <c r="H227" s="50">
        <f t="shared" si="17"/>
        <v>500</v>
      </c>
      <c r="I227" s="50"/>
      <c r="J227" s="50"/>
      <c r="K227" s="50"/>
    </row>
    <row r="228" spans="1:21" x14ac:dyDescent="0.3">
      <c r="A228" s="50" t="s">
        <v>269</v>
      </c>
      <c r="B228" s="60" t="s">
        <v>257</v>
      </c>
      <c r="C228" s="50" t="s">
        <v>284</v>
      </c>
      <c r="D228" s="50">
        <v>56</v>
      </c>
      <c r="E228" s="50" t="s">
        <v>186</v>
      </c>
      <c r="F228" s="50"/>
      <c r="G228" s="50">
        <v>271809</v>
      </c>
      <c r="H228" s="50">
        <f t="shared" si="17"/>
        <v>56</v>
      </c>
      <c r="I228" s="50"/>
      <c r="J228" s="50"/>
      <c r="K228" s="50"/>
    </row>
    <row r="229" spans="1:21" x14ac:dyDescent="0.3">
      <c r="A229" s="50" t="s">
        <v>285</v>
      </c>
      <c r="B229" s="60" t="s">
        <v>257</v>
      </c>
      <c r="C229" s="50" t="s">
        <v>86</v>
      </c>
      <c r="D229" s="50">
        <v>40</v>
      </c>
      <c r="E229" s="50" t="s">
        <v>286</v>
      </c>
      <c r="F229" s="50" t="s">
        <v>212</v>
      </c>
      <c r="G229" s="50">
        <v>271849</v>
      </c>
      <c r="H229" s="50">
        <f t="shared" si="17"/>
        <v>40</v>
      </c>
      <c r="I229" s="50"/>
      <c r="J229" s="50"/>
      <c r="K229" s="50"/>
    </row>
    <row r="230" spans="1:21" x14ac:dyDescent="0.3">
      <c r="A230" s="50" t="s">
        <v>285</v>
      </c>
      <c r="B230" s="60" t="s">
        <v>257</v>
      </c>
      <c r="C230" s="50" t="s">
        <v>65</v>
      </c>
      <c r="D230" s="50">
        <v>50</v>
      </c>
      <c r="E230" s="50" t="s">
        <v>287</v>
      </c>
      <c r="F230" s="50" t="s">
        <v>288</v>
      </c>
      <c r="G230" s="50">
        <v>271899</v>
      </c>
      <c r="H230" s="50">
        <f t="shared" si="17"/>
        <v>50</v>
      </c>
      <c r="I230" s="50"/>
      <c r="J230" s="50"/>
      <c r="K230" s="50"/>
    </row>
    <row r="231" spans="1:21" x14ac:dyDescent="0.3">
      <c r="A231" s="50" t="s">
        <v>285</v>
      </c>
      <c r="B231" s="60" t="s">
        <v>257</v>
      </c>
      <c r="C231" s="50" t="s">
        <v>68</v>
      </c>
      <c r="D231" s="50">
        <v>20</v>
      </c>
      <c r="E231" s="50" t="s">
        <v>44</v>
      </c>
      <c r="F231" s="50" t="s">
        <v>120</v>
      </c>
      <c r="G231" s="50">
        <v>271920</v>
      </c>
      <c r="H231" s="50">
        <f t="shared" si="17"/>
        <v>21</v>
      </c>
      <c r="I231" s="50"/>
      <c r="J231" s="50"/>
      <c r="K231" s="50"/>
    </row>
    <row r="232" spans="1:21" x14ac:dyDescent="0.3">
      <c r="A232" s="50" t="s">
        <v>285</v>
      </c>
      <c r="B232" s="60" t="s">
        <v>257</v>
      </c>
      <c r="C232" s="50" t="s">
        <v>69</v>
      </c>
      <c r="D232" s="50">
        <v>60</v>
      </c>
      <c r="E232" s="50" t="s">
        <v>264</v>
      </c>
      <c r="F232" s="50" t="s">
        <v>265</v>
      </c>
      <c r="G232" s="50">
        <v>271980</v>
      </c>
      <c r="H232" s="50">
        <f t="shared" si="17"/>
        <v>60</v>
      </c>
      <c r="I232" s="50"/>
      <c r="J232" s="50"/>
      <c r="K232" s="50"/>
    </row>
    <row r="233" spans="1:21" x14ac:dyDescent="0.3">
      <c r="A233" s="50" t="s">
        <v>285</v>
      </c>
      <c r="B233" s="60" t="s">
        <v>257</v>
      </c>
      <c r="C233" s="50" t="s">
        <v>65</v>
      </c>
      <c r="D233" s="50">
        <v>50</v>
      </c>
      <c r="E233" s="50" t="s">
        <v>66</v>
      </c>
      <c r="F233" s="50" t="s">
        <v>112</v>
      </c>
      <c r="G233" s="50">
        <v>272030</v>
      </c>
      <c r="H233" s="50">
        <f t="shared" si="17"/>
        <v>50</v>
      </c>
      <c r="I233" s="50"/>
      <c r="J233" s="50"/>
      <c r="K233" s="50"/>
    </row>
    <row r="234" spans="1:21" x14ac:dyDescent="0.3">
      <c r="A234" s="50" t="s">
        <v>285</v>
      </c>
      <c r="B234" s="60" t="s">
        <v>257</v>
      </c>
      <c r="C234" s="50" t="s">
        <v>65</v>
      </c>
      <c r="D234" s="50">
        <v>50</v>
      </c>
      <c r="E234" s="50" t="s">
        <v>252</v>
      </c>
      <c r="F234" s="50"/>
      <c r="G234" s="50">
        <v>272080</v>
      </c>
      <c r="H234" s="50">
        <f t="shared" si="17"/>
        <v>50</v>
      </c>
      <c r="I234" s="50"/>
      <c r="J234" s="50"/>
      <c r="K234" s="50"/>
    </row>
    <row r="235" spans="1:21" x14ac:dyDescent="0.3">
      <c r="A235" s="50" t="s">
        <v>285</v>
      </c>
      <c r="B235" s="60" t="s">
        <v>257</v>
      </c>
      <c r="C235" s="50" t="s">
        <v>289</v>
      </c>
      <c r="D235" s="50">
        <v>600</v>
      </c>
      <c r="E235" s="50" t="s">
        <v>78</v>
      </c>
      <c r="F235" s="50" t="s">
        <v>128</v>
      </c>
      <c r="G235" s="50">
        <v>272680</v>
      </c>
      <c r="H235" s="50">
        <f t="shared" si="17"/>
        <v>600</v>
      </c>
      <c r="I235" s="50"/>
      <c r="J235" s="50"/>
      <c r="K235" s="50"/>
    </row>
    <row r="236" spans="1:21" x14ac:dyDescent="0.3">
      <c r="A236" s="50" t="s">
        <v>285</v>
      </c>
      <c r="B236" s="60" t="s">
        <v>257</v>
      </c>
      <c r="C236" s="50" t="s">
        <v>65</v>
      </c>
      <c r="D236" s="50">
        <v>50</v>
      </c>
      <c r="E236" s="50" t="s">
        <v>274</v>
      </c>
      <c r="F236" s="50" t="s">
        <v>206</v>
      </c>
      <c r="G236" s="50">
        <v>272731</v>
      </c>
      <c r="H236" s="50">
        <f t="shared" si="17"/>
        <v>51</v>
      </c>
      <c r="I236" s="50"/>
      <c r="J236" s="50"/>
      <c r="K236" s="50"/>
    </row>
    <row r="237" spans="1:21" x14ac:dyDescent="0.3">
      <c r="A237" s="50" t="s">
        <v>285</v>
      </c>
      <c r="B237" s="98" t="s">
        <v>259</v>
      </c>
      <c r="C237" s="50" t="s">
        <v>65</v>
      </c>
      <c r="D237" s="50">
        <v>50</v>
      </c>
      <c r="E237" s="50" t="s">
        <v>60</v>
      </c>
      <c r="F237" s="50" t="s">
        <v>290</v>
      </c>
      <c r="G237" s="50">
        <v>272781</v>
      </c>
      <c r="H237" s="50">
        <f t="shared" si="17"/>
        <v>50</v>
      </c>
      <c r="I237" s="50"/>
      <c r="J237" s="50"/>
      <c r="K237" s="50"/>
    </row>
    <row r="238" spans="1:21" ht="25.8" x14ac:dyDescent="0.5">
      <c r="A238" s="50" t="s">
        <v>291</v>
      </c>
      <c r="B238" s="68" t="s">
        <v>292</v>
      </c>
      <c r="C238" s="50" t="s">
        <v>65</v>
      </c>
      <c r="D238" s="50">
        <v>50</v>
      </c>
      <c r="E238" s="50" t="s">
        <v>60</v>
      </c>
      <c r="F238" s="50" t="s">
        <v>55</v>
      </c>
      <c r="G238" s="50">
        <v>272831</v>
      </c>
      <c r="H238" s="50">
        <f t="shared" si="17"/>
        <v>50</v>
      </c>
      <c r="I238" s="50"/>
      <c r="J238" s="50"/>
      <c r="K238" s="50"/>
      <c r="P238" s="132"/>
      <c r="Q238" s="133"/>
      <c r="R238" s="133"/>
      <c r="S238" s="135"/>
    </row>
    <row r="239" spans="1:21" x14ac:dyDescent="0.3">
      <c r="A239" s="50" t="s">
        <v>291</v>
      </c>
      <c r="B239" s="61" t="s">
        <v>35</v>
      </c>
      <c r="C239" s="50" t="s">
        <v>77</v>
      </c>
      <c r="D239" s="50">
        <v>200</v>
      </c>
      <c r="E239" s="50" t="s">
        <v>80</v>
      </c>
      <c r="F239" s="50" t="s">
        <v>243</v>
      </c>
      <c r="G239" s="50">
        <v>272981</v>
      </c>
      <c r="H239" s="50">
        <v>201</v>
      </c>
      <c r="I239" s="50"/>
      <c r="J239" s="50"/>
      <c r="K239" s="50"/>
      <c r="P239" s="39" t="s">
        <v>35</v>
      </c>
      <c r="Q239" s="42" t="s">
        <v>38</v>
      </c>
      <c r="R239" s="43" t="s">
        <v>39</v>
      </c>
      <c r="S239" s="50" t="s">
        <v>293</v>
      </c>
      <c r="T239" s="50" t="s">
        <v>36</v>
      </c>
      <c r="U239" t="s">
        <v>294</v>
      </c>
    </row>
    <row r="240" spans="1:21" x14ac:dyDescent="0.3">
      <c r="A240" s="50" t="s">
        <v>291</v>
      </c>
      <c r="B240" s="59" t="s">
        <v>295</v>
      </c>
      <c r="C240" s="50" t="s">
        <v>179</v>
      </c>
      <c r="D240" s="50">
        <v>45</v>
      </c>
      <c r="E240" s="50" t="s">
        <v>149</v>
      </c>
      <c r="F240" s="50" t="s">
        <v>230</v>
      </c>
      <c r="G240" s="50">
        <v>273042</v>
      </c>
      <c r="H240" s="50">
        <v>45</v>
      </c>
      <c r="I240" s="50"/>
      <c r="J240" s="50"/>
      <c r="K240" s="50"/>
      <c r="P240" s="50">
        <f>L196+L149+M106+M96+M61+M34+M3</f>
        <v>31324694</v>
      </c>
      <c r="Q240" s="50">
        <f>P3+P34+P61+P96+P106+M149+M196</f>
        <v>2054</v>
      </c>
      <c r="R240" s="50">
        <f>N149+Q106+Q96+Q61+Q34+Q3+N196+M199</f>
        <v>14197</v>
      </c>
      <c r="S240" s="50">
        <f>O3+O34+O61+O96</f>
        <v>2211</v>
      </c>
      <c r="T240" s="50">
        <f>N3+N34+N61+N96+N106</f>
        <v>1748</v>
      </c>
      <c r="U240">
        <f>N199</f>
        <v>1678</v>
      </c>
    </row>
    <row r="241" spans="1:21" x14ac:dyDescent="0.3">
      <c r="A241" s="50" t="s">
        <v>291</v>
      </c>
      <c r="B241" s="59" t="s">
        <v>35</v>
      </c>
      <c r="C241" s="50" t="s">
        <v>65</v>
      </c>
      <c r="D241" s="50">
        <v>50</v>
      </c>
      <c r="E241" s="50" t="s">
        <v>252</v>
      </c>
      <c r="F241" s="50" t="s">
        <v>122</v>
      </c>
      <c r="G241" s="50">
        <v>273092</v>
      </c>
      <c r="H241" s="50">
        <f t="shared" ref="H241:H246" si="18">G241-G240</f>
        <v>50</v>
      </c>
      <c r="I241" s="50"/>
      <c r="J241" s="50"/>
      <c r="K241" s="50"/>
    </row>
    <row r="242" spans="1:21" x14ac:dyDescent="0.3">
      <c r="A242" s="50"/>
      <c r="B242" s="61" t="s">
        <v>35</v>
      </c>
      <c r="C242" s="50" t="s">
        <v>43</v>
      </c>
      <c r="D242" s="50">
        <v>100</v>
      </c>
      <c r="E242" s="50" t="s">
        <v>80</v>
      </c>
      <c r="F242" s="50" t="s">
        <v>243</v>
      </c>
      <c r="G242" s="50">
        <v>273192</v>
      </c>
      <c r="H242" s="50">
        <f t="shared" si="18"/>
        <v>100</v>
      </c>
      <c r="I242" s="50"/>
      <c r="J242" s="50"/>
      <c r="K242" s="50"/>
      <c r="P242" s="96" t="s">
        <v>257</v>
      </c>
      <c r="Q242" s="59" t="s">
        <v>258</v>
      </c>
      <c r="R242" s="71" t="s">
        <v>296</v>
      </c>
      <c r="S242" s="50" t="s">
        <v>177</v>
      </c>
      <c r="T242" s="50" t="s">
        <v>173</v>
      </c>
      <c r="U242" s="50" t="s">
        <v>297</v>
      </c>
    </row>
    <row r="243" spans="1:21" x14ac:dyDescent="0.3">
      <c r="A243" s="50" t="s">
        <v>291</v>
      </c>
      <c r="B243" s="61" t="s">
        <v>35</v>
      </c>
      <c r="C243" s="50" t="s">
        <v>234</v>
      </c>
      <c r="D243" s="50">
        <v>81</v>
      </c>
      <c r="E243" s="50" t="s">
        <v>78</v>
      </c>
      <c r="F243" s="50" t="s">
        <v>128</v>
      </c>
      <c r="G243" s="50">
        <v>273273</v>
      </c>
      <c r="H243" s="50">
        <f t="shared" si="18"/>
        <v>81</v>
      </c>
      <c r="I243" s="50"/>
      <c r="J243" s="50"/>
      <c r="K243" s="50"/>
      <c r="P243" s="50">
        <f>L199</f>
        <v>3367</v>
      </c>
      <c r="Q243" s="71">
        <v>4180</v>
      </c>
      <c r="R243" s="71">
        <f>M37+M64</f>
        <v>1655</v>
      </c>
      <c r="S243" s="50">
        <f>M109</f>
        <v>200</v>
      </c>
      <c r="T243" s="50">
        <f>O106+L152</f>
        <v>1663</v>
      </c>
      <c r="U243" s="50">
        <f>N64</f>
        <v>60</v>
      </c>
    </row>
    <row r="244" spans="1:21" x14ac:dyDescent="0.3">
      <c r="A244" s="50" t="s">
        <v>291</v>
      </c>
      <c r="B244" s="58" t="s">
        <v>38</v>
      </c>
      <c r="C244" s="50" t="s">
        <v>69</v>
      </c>
      <c r="D244" s="50">
        <v>60</v>
      </c>
      <c r="E244" s="50" t="s">
        <v>60</v>
      </c>
      <c r="F244" s="50" t="s">
        <v>55</v>
      </c>
      <c r="G244" s="50">
        <v>273333</v>
      </c>
      <c r="H244" s="50">
        <f t="shared" si="18"/>
        <v>60</v>
      </c>
      <c r="I244" s="50" t="s">
        <v>261</v>
      </c>
      <c r="J244" s="50"/>
      <c r="K244" s="50"/>
    </row>
    <row r="245" spans="1:21" x14ac:dyDescent="0.3">
      <c r="A245" s="50" t="s">
        <v>291</v>
      </c>
      <c r="B245" s="87" t="s">
        <v>259</v>
      </c>
      <c r="C245" s="50" t="s">
        <v>62</v>
      </c>
      <c r="D245" s="50">
        <v>400</v>
      </c>
      <c r="E245" s="50" t="s">
        <v>78</v>
      </c>
      <c r="F245" s="50" t="s">
        <v>64</v>
      </c>
      <c r="G245" s="50">
        <v>273733</v>
      </c>
      <c r="H245" s="50">
        <f t="shared" si="18"/>
        <v>400</v>
      </c>
      <c r="I245" s="50"/>
      <c r="J245" s="50"/>
      <c r="K245" s="50"/>
    </row>
    <row r="246" spans="1:21" x14ac:dyDescent="0.3">
      <c r="A246" s="50" t="s">
        <v>291</v>
      </c>
      <c r="B246" s="59" t="s">
        <v>39</v>
      </c>
      <c r="C246" s="50" t="s">
        <v>237</v>
      </c>
      <c r="D246" s="50">
        <v>230</v>
      </c>
      <c r="E246" s="50" t="s">
        <v>57</v>
      </c>
      <c r="F246" s="50" t="s">
        <v>58</v>
      </c>
      <c r="G246" s="50">
        <v>273963</v>
      </c>
      <c r="H246" s="50">
        <f t="shared" si="18"/>
        <v>230</v>
      </c>
      <c r="I246" s="50"/>
      <c r="J246" s="50"/>
      <c r="K246" s="50"/>
      <c r="R246" s="99" t="s">
        <v>31</v>
      </c>
    </row>
    <row r="247" spans="1:21" ht="15.6" x14ac:dyDescent="0.3">
      <c r="A247" s="50"/>
      <c r="B247" s="58" t="s">
        <v>38</v>
      </c>
      <c r="C247" s="50" t="s">
        <v>298</v>
      </c>
      <c r="D247" s="50">
        <v>61</v>
      </c>
      <c r="E247" s="50" t="s">
        <v>60</v>
      </c>
      <c r="F247" s="50" t="s">
        <v>55</v>
      </c>
      <c r="G247" s="50">
        <v>274162</v>
      </c>
      <c r="H247" s="50">
        <v>61</v>
      </c>
      <c r="I247" s="50"/>
      <c r="J247" s="50"/>
      <c r="K247" s="50"/>
      <c r="R247" s="100">
        <f>P240+Q240+R240+S240+T240+P243+Q243+R243+S243+T243+U243+U240</f>
        <v>31357707</v>
      </c>
      <c r="T247">
        <f>T262-R247</f>
        <v>-31307949</v>
      </c>
    </row>
    <row r="248" spans="1:21" x14ac:dyDescent="0.3">
      <c r="A248" s="50" t="s">
        <v>299</v>
      </c>
      <c r="B248" s="70" t="s">
        <v>257</v>
      </c>
      <c r="C248" s="50" t="s">
        <v>69</v>
      </c>
      <c r="D248" s="50">
        <v>60</v>
      </c>
      <c r="E248" s="50" t="s">
        <v>70</v>
      </c>
      <c r="F248" s="50" t="s">
        <v>112</v>
      </c>
      <c r="G248" s="50">
        <v>274222</v>
      </c>
      <c r="H248" s="50">
        <f t="shared" ref="H248:H298" si="19">G248-G247</f>
        <v>60</v>
      </c>
      <c r="I248" s="50"/>
      <c r="J248" s="50"/>
      <c r="K248" s="50"/>
    </row>
    <row r="249" spans="1:21" ht="21" x14ac:dyDescent="0.4">
      <c r="A249" s="50" t="s">
        <v>140</v>
      </c>
      <c r="B249" s="70" t="s">
        <v>257</v>
      </c>
      <c r="C249" s="50" t="s">
        <v>65</v>
      </c>
      <c r="D249" s="50">
        <v>50</v>
      </c>
      <c r="E249" s="50" t="s">
        <v>66</v>
      </c>
      <c r="F249" s="50" t="s">
        <v>112</v>
      </c>
      <c r="G249" s="50">
        <v>274273</v>
      </c>
      <c r="H249" s="50">
        <f t="shared" si="19"/>
        <v>51</v>
      </c>
      <c r="I249" s="50"/>
      <c r="J249" s="50"/>
      <c r="K249" s="50"/>
      <c r="P249" s="131" t="s">
        <v>300</v>
      </c>
      <c r="Q249" s="131"/>
      <c r="R249" s="50"/>
      <c r="S249" s="50"/>
    </row>
    <row r="250" spans="1:21" ht="16.8" x14ac:dyDescent="0.4">
      <c r="A250" s="50" t="s">
        <v>299</v>
      </c>
      <c r="B250" s="61" t="s">
        <v>35</v>
      </c>
      <c r="C250" s="50" t="s">
        <v>301</v>
      </c>
      <c r="D250" s="50">
        <v>185</v>
      </c>
      <c r="E250" s="50" t="s">
        <v>80</v>
      </c>
      <c r="F250" s="50" t="s">
        <v>120</v>
      </c>
      <c r="G250" s="50">
        <v>274458</v>
      </c>
      <c r="H250" s="50">
        <f t="shared" si="19"/>
        <v>185</v>
      </c>
      <c r="I250" s="50"/>
      <c r="J250" s="50"/>
      <c r="K250" s="50"/>
      <c r="P250" s="101" t="s">
        <v>302</v>
      </c>
      <c r="Q250" s="102">
        <v>46079</v>
      </c>
      <c r="R250" s="102">
        <v>46079</v>
      </c>
      <c r="S250" s="103">
        <v>102760.55</v>
      </c>
      <c r="T250">
        <v>4000</v>
      </c>
    </row>
    <row r="251" spans="1:21" ht="16.8" x14ac:dyDescent="0.4">
      <c r="A251" s="50" t="s">
        <v>299</v>
      </c>
      <c r="B251" s="61" t="s">
        <v>35</v>
      </c>
      <c r="C251" s="50" t="s">
        <v>86</v>
      </c>
      <c r="D251" s="50">
        <v>40</v>
      </c>
      <c r="E251" s="50" t="s">
        <v>252</v>
      </c>
      <c r="F251" s="50"/>
      <c r="G251" s="50">
        <v>274499</v>
      </c>
      <c r="H251" s="50">
        <f t="shared" si="19"/>
        <v>41</v>
      </c>
      <c r="I251" s="50"/>
      <c r="J251" s="50"/>
      <c r="K251" s="50"/>
      <c r="P251" s="101" t="s">
        <v>303</v>
      </c>
      <c r="Q251" s="102">
        <v>46084</v>
      </c>
      <c r="R251" s="102">
        <v>46084</v>
      </c>
      <c r="S251" s="103">
        <v>102760.55</v>
      </c>
      <c r="T251">
        <v>4000</v>
      </c>
    </row>
    <row r="252" spans="1:21" ht="16.8" x14ac:dyDescent="0.4">
      <c r="A252" s="50" t="s">
        <v>299</v>
      </c>
      <c r="B252" s="61" t="s">
        <v>35</v>
      </c>
      <c r="C252" s="50" t="s">
        <v>86</v>
      </c>
      <c r="D252" s="50">
        <v>40</v>
      </c>
      <c r="E252" s="50" t="s">
        <v>84</v>
      </c>
      <c r="F252" s="50"/>
      <c r="G252" s="50">
        <v>274539</v>
      </c>
      <c r="H252" s="50">
        <f t="shared" si="19"/>
        <v>40</v>
      </c>
      <c r="I252" s="50"/>
      <c r="J252" s="50"/>
      <c r="K252" s="50"/>
      <c r="P252" s="101" t="s">
        <v>304</v>
      </c>
      <c r="Q252" s="102">
        <v>46086</v>
      </c>
      <c r="R252" s="102">
        <v>46086</v>
      </c>
      <c r="S252" s="103">
        <v>102760.55</v>
      </c>
      <c r="T252">
        <v>4000</v>
      </c>
    </row>
    <row r="253" spans="1:21" ht="16.8" x14ac:dyDescent="0.4">
      <c r="A253" s="50" t="s">
        <v>299</v>
      </c>
      <c r="B253" s="61" t="s">
        <v>35</v>
      </c>
      <c r="C253" s="50" t="s">
        <v>305</v>
      </c>
      <c r="D253" s="50">
        <v>41</v>
      </c>
      <c r="E253" s="50" t="s">
        <v>82</v>
      </c>
      <c r="F253" s="50"/>
      <c r="G253" s="50">
        <v>274580</v>
      </c>
      <c r="H253" s="50">
        <f t="shared" si="19"/>
        <v>41</v>
      </c>
      <c r="I253" s="50"/>
      <c r="J253" s="50"/>
      <c r="K253" s="50"/>
      <c r="P253" s="101" t="s">
        <v>306</v>
      </c>
      <c r="Q253" s="102">
        <v>46090</v>
      </c>
      <c r="R253" s="102">
        <v>46090</v>
      </c>
      <c r="S253" s="103">
        <v>102760.55</v>
      </c>
      <c r="T253">
        <v>4000</v>
      </c>
    </row>
    <row r="254" spans="1:21" ht="16.8" x14ac:dyDescent="0.4">
      <c r="A254" s="50" t="s">
        <v>299</v>
      </c>
      <c r="B254" s="58" t="s">
        <v>38</v>
      </c>
      <c r="C254" s="50" t="s">
        <v>69</v>
      </c>
      <c r="D254" s="50">
        <v>60</v>
      </c>
      <c r="E254" s="50" t="s">
        <v>60</v>
      </c>
      <c r="F254" s="50" t="s">
        <v>55</v>
      </c>
      <c r="G254" s="50">
        <v>274641</v>
      </c>
      <c r="H254" s="50">
        <f t="shared" si="19"/>
        <v>61</v>
      </c>
      <c r="I254" s="50"/>
      <c r="J254" s="50"/>
      <c r="K254" s="50"/>
      <c r="P254" s="101" t="s">
        <v>307</v>
      </c>
      <c r="Q254" s="102">
        <v>46091</v>
      </c>
      <c r="R254" s="102">
        <v>46091</v>
      </c>
      <c r="S254" s="103">
        <v>102760.55</v>
      </c>
      <c r="T254">
        <v>4000</v>
      </c>
    </row>
    <row r="255" spans="1:21" ht="16.8" x14ac:dyDescent="0.4">
      <c r="A255" s="50" t="s">
        <v>299</v>
      </c>
      <c r="B255" s="61" t="s">
        <v>35</v>
      </c>
      <c r="C255" s="50" t="s">
        <v>308</v>
      </c>
      <c r="D255" s="50">
        <v>31</v>
      </c>
      <c r="E255" s="50" t="s">
        <v>252</v>
      </c>
      <c r="F255" s="50" t="s">
        <v>122</v>
      </c>
      <c r="G255" s="50">
        <v>274672</v>
      </c>
      <c r="H255" s="50">
        <f t="shared" si="19"/>
        <v>31</v>
      </c>
      <c r="I255" s="50"/>
      <c r="J255" s="50"/>
      <c r="K255" s="50"/>
      <c r="P255" s="101" t="s">
        <v>309</v>
      </c>
      <c r="Q255" s="102">
        <v>46099</v>
      </c>
      <c r="R255" s="102">
        <v>46099</v>
      </c>
      <c r="S255" s="103">
        <v>112061.23</v>
      </c>
      <c r="T255">
        <v>3958</v>
      </c>
    </row>
    <row r="256" spans="1:21" ht="16.8" x14ac:dyDescent="0.4">
      <c r="A256" s="50" t="s">
        <v>299</v>
      </c>
      <c r="B256" s="61" t="s">
        <v>35</v>
      </c>
      <c r="C256" s="50" t="s">
        <v>310</v>
      </c>
      <c r="D256" s="50">
        <v>47</v>
      </c>
      <c r="E256" s="50" t="s">
        <v>248</v>
      </c>
      <c r="F256" s="50" t="s">
        <v>102</v>
      </c>
      <c r="G256" s="50">
        <v>274719</v>
      </c>
      <c r="H256" s="50">
        <f t="shared" si="19"/>
        <v>47</v>
      </c>
      <c r="I256" s="50"/>
      <c r="J256" s="50"/>
      <c r="K256" s="50"/>
      <c r="P256" s="101" t="s">
        <v>311</v>
      </c>
      <c r="Q256" s="102">
        <v>46104</v>
      </c>
      <c r="R256" s="102">
        <v>46104</v>
      </c>
      <c r="S256" s="103">
        <v>113218.49999999999</v>
      </c>
      <c r="T256">
        <v>4000</v>
      </c>
    </row>
    <row r="257" spans="1:20" ht="16.8" x14ac:dyDescent="0.4">
      <c r="A257" s="50" t="s">
        <v>312</v>
      </c>
      <c r="B257" s="61" t="s">
        <v>35</v>
      </c>
      <c r="C257" s="50" t="s">
        <v>72</v>
      </c>
      <c r="D257" s="50">
        <v>30</v>
      </c>
      <c r="E257" s="50" t="s">
        <v>281</v>
      </c>
      <c r="F257" s="50"/>
      <c r="G257" s="50">
        <v>274750</v>
      </c>
      <c r="H257" s="50">
        <f t="shared" si="19"/>
        <v>31</v>
      </c>
      <c r="I257" s="50"/>
      <c r="J257" s="50"/>
      <c r="K257" s="50"/>
      <c r="P257" s="101" t="s">
        <v>313</v>
      </c>
      <c r="Q257" s="102">
        <v>46107</v>
      </c>
      <c r="R257" s="102">
        <v>46106</v>
      </c>
      <c r="S257" s="103">
        <v>84900.36</v>
      </c>
      <c r="T257">
        <v>3000</v>
      </c>
    </row>
    <row r="258" spans="1:20" ht="16.8" x14ac:dyDescent="0.4">
      <c r="A258" s="50" t="s">
        <v>299</v>
      </c>
      <c r="B258" s="61" t="s">
        <v>35</v>
      </c>
      <c r="C258" s="50" t="s">
        <v>65</v>
      </c>
      <c r="D258" s="50">
        <v>50</v>
      </c>
      <c r="E258" s="50" t="s">
        <v>274</v>
      </c>
      <c r="F258" s="50" t="s">
        <v>206</v>
      </c>
      <c r="G258" s="50">
        <v>274800</v>
      </c>
      <c r="H258" s="50">
        <f t="shared" si="19"/>
        <v>50</v>
      </c>
      <c r="I258" s="50"/>
      <c r="J258" s="50"/>
      <c r="K258" s="50"/>
      <c r="P258" s="101" t="s">
        <v>314</v>
      </c>
      <c r="Q258" s="102">
        <v>46107</v>
      </c>
      <c r="R258" s="102">
        <v>46107</v>
      </c>
      <c r="S258" s="103">
        <v>28300.120000000003</v>
      </c>
      <c r="T258">
        <v>1000</v>
      </c>
    </row>
    <row r="259" spans="1:20" ht="16.8" x14ac:dyDescent="0.4">
      <c r="A259" s="50" t="s">
        <v>299</v>
      </c>
      <c r="B259" s="61" t="s">
        <v>35</v>
      </c>
      <c r="C259" s="50" t="s">
        <v>43</v>
      </c>
      <c r="D259" s="50">
        <v>100</v>
      </c>
      <c r="E259" s="50" t="s">
        <v>78</v>
      </c>
      <c r="F259" s="50" t="s">
        <v>128</v>
      </c>
      <c r="G259" s="50">
        <v>274901</v>
      </c>
      <c r="H259" s="50">
        <f t="shared" si="19"/>
        <v>101</v>
      </c>
      <c r="I259" s="50"/>
      <c r="J259" s="50"/>
      <c r="K259" s="50"/>
      <c r="P259" s="101" t="s">
        <v>315</v>
      </c>
      <c r="Q259" s="102">
        <v>46112</v>
      </c>
      <c r="R259" s="102">
        <v>46107</v>
      </c>
      <c r="S259" s="103">
        <v>198100.84</v>
      </c>
      <c r="T259">
        <v>7000</v>
      </c>
    </row>
    <row r="260" spans="1:20" ht="16.8" x14ac:dyDescent="0.4">
      <c r="A260" s="50" t="s">
        <v>299</v>
      </c>
      <c r="B260" s="59" t="s">
        <v>39</v>
      </c>
      <c r="C260" s="50" t="s">
        <v>130</v>
      </c>
      <c r="D260" s="50">
        <v>800</v>
      </c>
      <c r="E260" s="50" t="s">
        <v>60</v>
      </c>
      <c r="F260" s="50" t="s">
        <v>245</v>
      </c>
      <c r="G260" s="50">
        <v>275701</v>
      </c>
      <c r="H260" s="50">
        <f t="shared" si="19"/>
        <v>800</v>
      </c>
      <c r="I260" s="50"/>
      <c r="J260" s="50"/>
      <c r="K260" s="50"/>
      <c r="P260" s="101" t="s">
        <v>316</v>
      </c>
      <c r="Q260" s="102">
        <v>46111</v>
      </c>
      <c r="R260" s="102">
        <v>46111</v>
      </c>
      <c r="S260" s="103">
        <v>283000.96000000002</v>
      </c>
      <c r="T260">
        <v>10000</v>
      </c>
    </row>
    <row r="261" spans="1:20" ht="16.8" x14ac:dyDescent="0.4">
      <c r="A261" s="50" t="s">
        <v>299</v>
      </c>
      <c r="B261" s="70" t="s">
        <v>257</v>
      </c>
      <c r="C261" s="50">
        <v>70</v>
      </c>
      <c r="D261" s="50" t="s">
        <v>98</v>
      </c>
      <c r="E261" s="50" t="s">
        <v>80</v>
      </c>
      <c r="F261" s="50" t="s">
        <v>243</v>
      </c>
      <c r="G261" s="50">
        <v>275771</v>
      </c>
      <c r="H261" s="50">
        <f t="shared" si="19"/>
        <v>70</v>
      </c>
      <c r="I261" s="50"/>
      <c r="J261" s="50"/>
      <c r="K261" s="50"/>
      <c r="P261" s="101" t="s">
        <v>317</v>
      </c>
      <c r="Q261" s="102">
        <v>46114</v>
      </c>
      <c r="R261" s="102">
        <v>46113</v>
      </c>
      <c r="S261" s="103">
        <v>22640.14</v>
      </c>
      <c r="T261">
        <v>800</v>
      </c>
    </row>
    <row r="262" spans="1:20" x14ac:dyDescent="0.3">
      <c r="A262" s="50" t="s">
        <v>318</v>
      </c>
      <c r="B262" s="61" t="s">
        <v>35</v>
      </c>
      <c r="C262" s="50" t="s">
        <v>319</v>
      </c>
      <c r="D262" s="50">
        <v>207</v>
      </c>
      <c r="E262" s="50" t="s">
        <v>80</v>
      </c>
      <c r="F262" s="50" t="s">
        <v>120</v>
      </c>
      <c r="G262" s="50">
        <v>275978</v>
      </c>
      <c r="H262" s="50">
        <f t="shared" si="19"/>
        <v>207</v>
      </c>
      <c r="I262" s="50"/>
      <c r="J262" s="50"/>
      <c r="K262" s="50"/>
      <c r="R262" t="s">
        <v>31</v>
      </c>
      <c r="S262" s="104">
        <f>SUM(S250:S261)</f>
        <v>1356024.9</v>
      </c>
      <c r="T262">
        <f>SUM(T250:T261)</f>
        <v>49758</v>
      </c>
    </row>
    <row r="263" spans="1:20" x14ac:dyDescent="0.3">
      <c r="A263" s="50" t="s">
        <v>299</v>
      </c>
      <c r="B263" s="61" t="s">
        <v>35</v>
      </c>
      <c r="C263" s="50" t="s">
        <v>320</v>
      </c>
      <c r="D263" s="50">
        <v>10</v>
      </c>
      <c r="E263" s="50" t="s">
        <v>60</v>
      </c>
      <c r="F263" s="50" t="s">
        <v>243</v>
      </c>
      <c r="G263" s="50">
        <v>275988</v>
      </c>
      <c r="H263" s="50">
        <f t="shared" si="19"/>
        <v>10</v>
      </c>
      <c r="I263" s="50"/>
      <c r="J263" s="50"/>
      <c r="K263" s="50"/>
    </row>
    <row r="264" spans="1:20" x14ac:dyDescent="0.3">
      <c r="A264" s="50" t="s">
        <v>299</v>
      </c>
      <c r="B264" s="61" t="s">
        <v>35</v>
      </c>
      <c r="C264" s="50" t="s">
        <v>68</v>
      </c>
      <c r="D264" s="50">
        <v>20</v>
      </c>
      <c r="E264" s="50" t="s">
        <v>60</v>
      </c>
      <c r="F264" s="50" t="s">
        <v>120</v>
      </c>
      <c r="G264" s="50">
        <v>276008</v>
      </c>
      <c r="H264" s="50">
        <f t="shared" si="19"/>
        <v>20</v>
      </c>
      <c r="I264" s="50"/>
      <c r="J264" s="50"/>
      <c r="K264" s="50"/>
    </row>
    <row r="265" spans="1:20" x14ac:dyDescent="0.3">
      <c r="A265" s="50" t="s">
        <v>321</v>
      </c>
      <c r="B265" s="61" t="s">
        <v>39</v>
      </c>
      <c r="C265" s="50" t="s">
        <v>322</v>
      </c>
      <c r="D265" s="50">
        <v>196</v>
      </c>
      <c r="E265" s="50" t="s">
        <v>57</v>
      </c>
      <c r="F265" s="50" t="s">
        <v>58</v>
      </c>
      <c r="G265" s="50">
        <v>276205</v>
      </c>
      <c r="H265" s="50">
        <f t="shared" si="19"/>
        <v>197</v>
      </c>
      <c r="I265" s="50"/>
      <c r="J265" s="50"/>
      <c r="K265" s="50"/>
    </row>
    <row r="266" spans="1:20" x14ac:dyDescent="0.3">
      <c r="A266" s="50" t="s">
        <v>321</v>
      </c>
      <c r="B266" s="61" t="s">
        <v>257</v>
      </c>
      <c r="C266" s="50" t="s">
        <v>323</v>
      </c>
      <c r="D266" s="50">
        <v>54</v>
      </c>
      <c r="E266" s="50" t="s">
        <v>279</v>
      </c>
      <c r="F266" s="50" t="s">
        <v>230</v>
      </c>
      <c r="G266" s="50">
        <v>276259</v>
      </c>
      <c r="H266" s="50">
        <f t="shared" si="19"/>
        <v>54</v>
      </c>
      <c r="I266" s="50"/>
      <c r="J266" s="50"/>
      <c r="K266" s="50"/>
    </row>
    <row r="267" spans="1:20" x14ac:dyDescent="0.3">
      <c r="A267" s="50" t="s">
        <v>321</v>
      </c>
      <c r="B267" s="61" t="s">
        <v>35</v>
      </c>
      <c r="C267" s="50" t="s">
        <v>324</v>
      </c>
      <c r="D267" s="50">
        <v>19</v>
      </c>
      <c r="E267" s="50" t="s">
        <v>60</v>
      </c>
      <c r="F267" s="50" t="s">
        <v>120</v>
      </c>
      <c r="G267" s="50">
        <v>276278</v>
      </c>
      <c r="H267" s="50">
        <f t="shared" si="19"/>
        <v>19</v>
      </c>
      <c r="I267" s="50"/>
      <c r="J267" s="50"/>
      <c r="K267" s="50"/>
    </row>
    <row r="268" spans="1:20" x14ac:dyDescent="0.3">
      <c r="A268" s="50" t="s">
        <v>321</v>
      </c>
      <c r="B268" s="61" t="s">
        <v>257</v>
      </c>
      <c r="C268" s="50">
        <v>80</v>
      </c>
      <c r="D268" s="50" t="s">
        <v>91</v>
      </c>
      <c r="E268" s="50" t="s">
        <v>252</v>
      </c>
      <c r="F268" s="50" t="s">
        <v>288</v>
      </c>
      <c r="G268" s="50">
        <v>276358</v>
      </c>
      <c r="H268" s="50">
        <f t="shared" si="19"/>
        <v>80</v>
      </c>
      <c r="I268" s="50"/>
      <c r="J268" s="50"/>
      <c r="K268" s="50"/>
    </row>
    <row r="269" spans="1:20" x14ac:dyDescent="0.3">
      <c r="A269" s="50" t="s">
        <v>321</v>
      </c>
      <c r="B269" s="87" t="s">
        <v>259</v>
      </c>
      <c r="C269" s="50" t="s">
        <v>68</v>
      </c>
      <c r="D269" s="50">
        <v>20</v>
      </c>
      <c r="E269" s="50" t="s">
        <v>84</v>
      </c>
      <c r="F269" s="50"/>
      <c r="G269" s="50">
        <v>276378</v>
      </c>
      <c r="H269" s="50">
        <f t="shared" si="19"/>
        <v>20</v>
      </c>
      <c r="I269" s="50"/>
      <c r="J269" s="50"/>
      <c r="K269" s="50"/>
    </row>
    <row r="270" spans="1:20" x14ac:dyDescent="0.3">
      <c r="A270" s="50" t="s">
        <v>325</v>
      </c>
      <c r="B270" s="87" t="s">
        <v>35</v>
      </c>
      <c r="C270" s="50" t="s">
        <v>65</v>
      </c>
      <c r="D270" s="50">
        <v>50</v>
      </c>
      <c r="E270" s="50" t="s">
        <v>66</v>
      </c>
      <c r="F270" s="50" t="s">
        <v>112</v>
      </c>
      <c r="G270" s="50">
        <v>276429</v>
      </c>
      <c r="H270" s="50">
        <f t="shared" si="19"/>
        <v>51</v>
      </c>
      <c r="I270" s="50"/>
      <c r="J270" s="50"/>
      <c r="K270" s="50"/>
    </row>
    <row r="271" spans="1:20" x14ac:dyDescent="0.3">
      <c r="A271" s="50" t="s">
        <v>325</v>
      </c>
      <c r="B271" s="87"/>
      <c r="C271" s="50"/>
      <c r="D271" s="50"/>
      <c r="E271" s="50" t="s">
        <v>80</v>
      </c>
      <c r="F271" s="50"/>
      <c r="G271" s="50">
        <v>276575</v>
      </c>
      <c r="H271" s="50">
        <f t="shared" si="19"/>
        <v>146</v>
      </c>
      <c r="I271" s="50"/>
      <c r="J271" s="50"/>
      <c r="K271" s="50"/>
    </row>
    <row r="272" spans="1:20" x14ac:dyDescent="0.3">
      <c r="A272" s="50" t="s">
        <v>325</v>
      </c>
      <c r="B272" s="68" t="s">
        <v>38</v>
      </c>
      <c r="C272" s="50" t="s">
        <v>69</v>
      </c>
      <c r="D272" s="50">
        <v>60</v>
      </c>
      <c r="E272" s="50" t="s">
        <v>60</v>
      </c>
      <c r="F272" s="50" t="s">
        <v>55</v>
      </c>
      <c r="G272" s="50">
        <v>276635</v>
      </c>
      <c r="H272" s="50">
        <f t="shared" si="19"/>
        <v>60</v>
      </c>
      <c r="I272" s="50"/>
      <c r="J272" s="50"/>
      <c r="K272" s="50"/>
    </row>
    <row r="273" spans="1:11" x14ac:dyDescent="0.3">
      <c r="A273" s="50" t="s">
        <v>325</v>
      </c>
      <c r="B273" s="61" t="s">
        <v>35</v>
      </c>
      <c r="C273" s="50" t="s">
        <v>62</v>
      </c>
      <c r="D273" s="50">
        <v>400</v>
      </c>
      <c r="E273" s="50" t="s">
        <v>78</v>
      </c>
      <c r="F273" s="50" t="s">
        <v>128</v>
      </c>
      <c r="G273" s="50">
        <v>277035</v>
      </c>
      <c r="H273" s="50">
        <f t="shared" si="19"/>
        <v>400</v>
      </c>
      <c r="I273" s="50"/>
      <c r="J273" s="50"/>
      <c r="K273" s="50"/>
    </row>
    <row r="274" spans="1:11" x14ac:dyDescent="0.3">
      <c r="A274" s="50" t="s">
        <v>325</v>
      </c>
      <c r="B274" s="61" t="s">
        <v>35</v>
      </c>
      <c r="C274" s="50" t="s">
        <v>326</v>
      </c>
      <c r="D274" s="50">
        <v>175</v>
      </c>
      <c r="E274" s="50" t="s">
        <v>80</v>
      </c>
      <c r="F274" s="50" t="s">
        <v>327</v>
      </c>
      <c r="G274" s="50">
        <v>277210</v>
      </c>
      <c r="H274" s="50">
        <f t="shared" si="19"/>
        <v>175</v>
      </c>
      <c r="I274" s="50"/>
      <c r="J274" s="50"/>
      <c r="K274" s="50"/>
    </row>
    <row r="275" spans="1:11" x14ac:dyDescent="0.3">
      <c r="A275" s="50" t="s">
        <v>325</v>
      </c>
      <c r="B275" s="61" t="s">
        <v>35</v>
      </c>
      <c r="C275" s="50" t="s">
        <v>72</v>
      </c>
      <c r="D275" s="50">
        <v>30</v>
      </c>
      <c r="E275" s="50" t="s">
        <v>248</v>
      </c>
      <c r="F275" s="50" t="s">
        <v>328</v>
      </c>
      <c r="G275" s="50">
        <v>277240</v>
      </c>
      <c r="H275" s="50">
        <f t="shared" si="19"/>
        <v>30</v>
      </c>
      <c r="I275" s="50"/>
      <c r="J275" s="50"/>
      <c r="K275" s="50"/>
    </row>
    <row r="276" spans="1:11" x14ac:dyDescent="0.3">
      <c r="A276" s="50" t="s">
        <v>325</v>
      </c>
      <c r="B276" s="61" t="s">
        <v>35</v>
      </c>
      <c r="C276" s="50" t="s">
        <v>86</v>
      </c>
      <c r="D276" s="50">
        <v>40</v>
      </c>
      <c r="E276" s="50" t="s">
        <v>87</v>
      </c>
      <c r="F276" s="50" t="s">
        <v>102</v>
      </c>
      <c r="G276" s="50">
        <v>277281</v>
      </c>
      <c r="H276" s="50">
        <f t="shared" si="19"/>
        <v>41</v>
      </c>
      <c r="I276" s="50"/>
      <c r="J276" s="50"/>
      <c r="K276" s="50"/>
    </row>
    <row r="277" spans="1:11" x14ac:dyDescent="0.3">
      <c r="A277" s="50" t="s">
        <v>325</v>
      </c>
      <c r="B277" s="61" t="s">
        <v>35</v>
      </c>
      <c r="C277" s="50" t="s">
        <v>69</v>
      </c>
      <c r="D277" s="50">
        <v>60</v>
      </c>
      <c r="E277" s="50" t="s">
        <v>329</v>
      </c>
      <c r="F277" s="50" t="s">
        <v>135</v>
      </c>
      <c r="G277" s="50">
        <v>277341</v>
      </c>
      <c r="H277" s="50">
        <f t="shared" si="19"/>
        <v>60</v>
      </c>
      <c r="I277" s="50"/>
      <c r="J277" s="50"/>
      <c r="K277" s="50"/>
    </row>
    <row r="278" spans="1:11" x14ac:dyDescent="0.3">
      <c r="A278" s="50" t="s">
        <v>325</v>
      </c>
      <c r="B278" s="87" t="s">
        <v>259</v>
      </c>
      <c r="C278" s="50" t="s">
        <v>305</v>
      </c>
      <c r="D278" s="50">
        <v>41</v>
      </c>
      <c r="E278" s="50" t="s">
        <v>82</v>
      </c>
      <c r="F278" s="50" t="s">
        <v>330</v>
      </c>
      <c r="G278" s="50">
        <v>277382</v>
      </c>
      <c r="H278" s="50">
        <f t="shared" si="19"/>
        <v>41</v>
      </c>
      <c r="I278" s="50"/>
      <c r="J278" s="50"/>
      <c r="K278" s="50"/>
    </row>
    <row r="279" spans="1:11" x14ac:dyDescent="0.3">
      <c r="A279" s="50" t="s">
        <v>325</v>
      </c>
      <c r="B279" s="61" t="s">
        <v>35</v>
      </c>
      <c r="C279" s="50" t="s">
        <v>68</v>
      </c>
      <c r="D279" s="50">
        <v>20</v>
      </c>
      <c r="E279" s="50" t="s">
        <v>266</v>
      </c>
      <c r="F279" s="50" t="s">
        <v>120</v>
      </c>
      <c r="G279" s="50">
        <v>277402</v>
      </c>
      <c r="H279" s="50">
        <f t="shared" si="19"/>
        <v>20</v>
      </c>
      <c r="I279" s="50"/>
      <c r="J279" s="50"/>
      <c r="K279" s="50"/>
    </row>
    <row r="280" spans="1:11" x14ac:dyDescent="0.3">
      <c r="A280" s="50" t="s">
        <v>331</v>
      </c>
      <c r="B280" s="68" t="s">
        <v>38</v>
      </c>
      <c r="C280" s="50" t="s">
        <v>72</v>
      </c>
      <c r="D280" s="50">
        <v>30</v>
      </c>
      <c r="E280" s="50" t="s">
        <v>60</v>
      </c>
      <c r="F280" s="50" t="s">
        <v>55</v>
      </c>
      <c r="G280" s="50">
        <v>277432</v>
      </c>
      <c r="H280" s="50">
        <f t="shared" si="19"/>
        <v>30</v>
      </c>
      <c r="I280" s="50"/>
      <c r="J280" s="50"/>
      <c r="K280" s="50"/>
    </row>
    <row r="281" spans="1:11" x14ac:dyDescent="0.3">
      <c r="A281" s="50" t="s">
        <v>331</v>
      </c>
      <c r="B281" s="61" t="s">
        <v>35</v>
      </c>
      <c r="C281" s="50" t="s">
        <v>68</v>
      </c>
      <c r="D281" s="50">
        <v>21</v>
      </c>
      <c r="E281" s="50" t="s">
        <v>266</v>
      </c>
      <c r="F281" s="50" t="s">
        <v>327</v>
      </c>
      <c r="G281" s="50">
        <v>277452</v>
      </c>
      <c r="H281" s="50">
        <f t="shared" si="19"/>
        <v>20</v>
      </c>
      <c r="I281" s="50"/>
      <c r="J281" s="50"/>
      <c r="K281" s="50"/>
    </row>
    <row r="282" spans="1:11" x14ac:dyDescent="0.3">
      <c r="A282" s="50" t="s">
        <v>331</v>
      </c>
      <c r="B282" s="61" t="s">
        <v>39</v>
      </c>
      <c r="C282" s="50" t="s">
        <v>194</v>
      </c>
      <c r="D282" s="50">
        <v>188</v>
      </c>
      <c r="E282" s="50" t="s">
        <v>332</v>
      </c>
      <c r="F282" s="50"/>
      <c r="G282" s="50">
        <v>277640</v>
      </c>
      <c r="H282" s="50">
        <f t="shared" si="19"/>
        <v>188</v>
      </c>
      <c r="I282" s="50"/>
      <c r="J282" s="50"/>
      <c r="K282" s="50"/>
    </row>
    <row r="283" spans="1:11" x14ac:dyDescent="0.3">
      <c r="A283" s="50" t="s">
        <v>331</v>
      </c>
      <c r="B283" s="87" t="s">
        <v>259</v>
      </c>
      <c r="C283" s="50" t="s">
        <v>43</v>
      </c>
      <c r="D283" s="50">
        <v>100</v>
      </c>
      <c r="E283" s="50" t="s">
        <v>70</v>
      </c>
      <c r="F283" s="50" t="s">
        <v>92</v>
      </c>
      <c r="G283" s="50">
        <v>277740</v>
      </c>
      <c r="H283" s="50">
        <f t="shared" si="19"/>
        <v>100</v>
      </c>
      <c r="I283" s="50"/>
      <c r="J283" s="50"/>
      <c r="K283" s="50"/>
    </row>
    <row r="284" spans="1:11" x14ac:dyDescent="0.3">
      <c r="A284" s="50" t="s">
        <v>331</v>
      </c>
      <c r="B284" s="87" t="s">
        <v>259</v>
      </c>
      <c r="C284" s="50" t="s">
        <v>333</v>
      </c>
      <c r="D284" s="50">
        <v>67</v>
      </c>
      <c r="E284" s="50" t="s">
        <v>84</v>
      </c>
      <c r="F284" s="50" t="s">
        <v>334</v>
      </c>
      <c r="G284" s="50">
        <v>277807</v>
      </c>
      <c r="H284" s="50">
        <f t="shared" si="19"/>
        <v>67</v>
      </c>
      <c r="I284" s="50"/>
      <c r="J284" s="50"/>
      <c r="K284" s="50"/>
    </row>
    <row r="285" spans="1:11" x14ac:dyDescent="0.3">
      <c r="A285" s="50" t="s">
        <v>331</v>
      </c>
      <c r="B285" s="61" t="s">
        <v>35</v>
      </c>
      <c r="C285" s="50" t="s">
        <v>72</v>
      </c>
      <c r="D285" s="50">
        <v>30</v>
      </c>
      <c r="E285" s="50" t="s">
        <v>219</v>
      </c>
      <c r="F285" s="50"/>
      <c r="G285" s="50">
        <v>277837</v>
      </c>
      <c r="H285" s="50">
        <f t="shared" si="19"/>
        <v>30</v>
      </c>
      <c r="I285" s="50"/>
      <c r="J285" s="50"/>
      <c r="K285" s="50"/>
    </row>
    <row r="286" spans="1:11" x14ac:dyDescent="0.3">
      <c r="A286" s="50" t="s">
        <v>331</v>
      </c>
      <c r="B286" s="70" t="s">
        <v>257</v>
      </c>
      <c r="C286" s="50" t="s">
        <v>200</v>
      </c>
      <c r="D286" s="50">
        <v>55</v>
      </c>
      <c r="E286" s="50" t="s">
        <v>96</v>
      </c>
      <c r="F286" s="50" t="s">
        <v>335</v>
      </c>
      <c r="G286" s="50">
        <v>277892</v>
      </c>
      <c r="H286" s="50">
        <f t="shared" si="19"/>
        <v>55</v>
      </c>
      <c r="I286" s="50"/>
      <c r="J286" s="50"/>
      <c r="K286" s="50"/>
    </row>
    <row r="287" spans="1:11" x14ac:dyDescent="0.3">
      <c r="A287" s="50" t="s">
        <v>331</v>
      </c>
      <c r="B287" s="61" t="s">
        <v>257</v>
      </c>
      <c r="C287" s="50" t="s">
        <v>68</v>
      </c>
      <c r="D287" s="50">
        <v>20</v>
      </c>
      <c r="E287" s="50" t="s">
        <v>248</v>
      </c>
      <c r="F287" s="50" t="s">
        <v>334</v>
      </c>
      <c r="G287" s="50">
        <v>277912</v>
      </c>
      <c r="H287" s="50">
        <f t="shared" si="19"/>
        <v>20</v>
      </c>
      <c r="I287" s="50"/>
      <c r="J287" s="50"/>
      <c r="K287" s="50"/>
    </row>
    <row r="288" spans="1:11" x14ac:dyDescent="0.3">
      <c r="A288" s="50" t="s">
        <v>331</v>
      </c>
      <c r="B288" s="70" t="s">
        <v>257</v>
      </c>
      <c r="C288" s="50" t="s">
        <v>224</v>
      </c>
      <c r="D288" s="50">
        <v>34</v>
      </c>
      <c r="E288" s="50" t="s">
        <v>149</v>
      </c>
      <c r="F288" s="50"/>
      <c r="G288" s="50">
        <v>277947</v>
      </c>
      <c r="H288" s="50">
        <f t="shared" si="19"/>
        <v>35</v>
      </c>
      <c r="I288" s="50"/>
      <c r="J288" s="50"/>
      <c r="K288" s="50"/>
    </row>
    <row r="289" spans="1:11" x14ac:dyDescent="0.3">
      <c r="A289" s="50" t="s">
        <v>331</v>
      </c>
      <c r="B289" s="70" t="s">
        <v>257</v>
      </c>
      <c r="C289" s="50" t="s">
        <v>69</v>
      </c>
      <c r="D289" s="50">
        <v>60</v>
      </c>
      <c r="E289" s="50" t="s">
        <v>66</v>
      </c>
      <c r="F289" s="50" t="s">
        <v>112</v>
      </c>
      <c r="G289" s="50">
        <v>278007</v>
      </c>
      <c r="H289" s="50">
        <f t="shared" si="19"/>
        <v>60</v>
      </c>
      <c r="I289" s="50"/>
      <c r="J289" s="50"/>
      <c r="K289" s="50"/>
    </row>
    <row r="290" spans="1:11" x14ac:dyDescent="0.3">
      <c r="A290" s="50" t="s">
        <v>336</v>
      </c>
      <c r="B290" s="70" t="s">
        <v>257</v>
      </c>
      <c r="C290" s="50" t="s">
        <v>337</v>
      </c>
      <c r="D290" s="50">
        <v>435</v>
      </c>
      <c r="E290" s="50" t="s">
        <v>78</v>
      </c>
      <c r="F290" s="50" t="s">
        <v>128</v>
      </c>
      <c r="G290" s="50">
        <v>278442</v>
      </c>
      <c r="H290" s="50">
        <f t="shared" si="19"/>
        <v>435</v>
      </c>
      <c r="I290" s="50"/>
      <c r="J290" s="50"/>
      <c r="K290" s="50"/>
    </row>
    <row r="291" spans="1:11" x14ac:dyDescent="0.3">
      <c r="A291" s="50" t="s">
        <v>336</v>
      </c>
      <c r="B291" s="59" t="s">
        <v>39</v>
      </c>
      <c r="C291" s="50" t="s">
        <v>130</v>
      </c>
      <c r="D291" s="50">
        <v>800</v>
      </c>
      <c r="E291" s="50" t="s">
        <v>60</v>
      </c>
      <c r="F291" s="50" t="s">
        <v>245</v>
      </c>
      <c r="G291" s="50">
        <v>279242</v>
      </c>
      <c r="H291" s="50">
        <f t="shared" si="19"/>
        <v>800</v>
      </c>
      <c r="I291" s="50"/>
      <c r="J291" s="50"/>
      <c r="K291" s="50"/>
    </row>
    <row r="292" spans="1:11" x14ac:dyDescent="0.3">
      <c r="A292" s="50" t="s">
        <v>336</v>
      </c>
      <c r="B292" s="61" t="s">
        <v>35</v>
      </c>
      <c r="C292" s="50" t="s">
        <v>260</v>
      </c>
      <c r="D292" s="50">
        <v>174</v>
      </c>
      <c r="E292" s="50" t="s">
        <v>80</v>
      </c>
      <c r="F292" s="50" t="s">
        <v>327</v>
      </c>
      <c r="G292" s="50">
        <v>279417</v>
      </c>
      <c r="H292" s="50">
        <f t="shared" si="19"/>
        <v>175</v>
      </c>
      <c r="I292" s="50"/>
      <c r="J292" s="50"/>
      <c r="K292" s="50"/>
    </row>
    <row r="293" spans="1:11" x14ac:dyDescent="0.3">
      <c r="A293" s="50" t="s">
        <v>336</v>
      </c>
      <c r="B293" s="70" t="s">
        <v>257</v>
      </c>
      <c r="C293" s="50" t="s">
        <v>338</v>
      </c>
      <c r="D293" s="50">
        <v>77</v>
      </c>
      <c r="E293" s="50" t="s">
        <v>274</v>
      </c>
      <c r="F293" s="50" t="s">
        <v>206</v>
      </c>
      <c r="G293" s="50">
        <v>279494</v>
      </c>
      <c r="H293" s="50">
        <f t="shared" si="19"/>
        <v>77</v>
      </c>
      <c r="I293" s="50"/>
      <c r="J293" s="50"/>
      <c r="K293" s="50"/>
    </row>
    <row r="294" spans="1:11" x14ac:dyDescent="0.3">
      <c r="A294" s="50" t="s">
        <v>336</v>
      </c>
      <c r="B294" s="70" t="s">
        <v>257</v>
      </c>
      <c r="C294" s="50" t="s">
        <v>91</v>
      </c>
      <c r="D294" s="50">
        <v>80</v>
      </c>
      <c r="E294" s="50" t="s">
        <v>70</v>
      </c>
      <c r="F294" s="50" t="s">
        <v>112</v>
      </c>
      <c r="G294" s="50">
        <v>279574</v>
      </c>
      <c r="H294" s="50">
        <f t="shared" si="19"/>
        <v>80</v>
      </c>
      <c r="I294" s="50"/>
      <c r="J294" s="50"/>
      <c r="K294" s="50"/>
    </row>
    <row r="295" spans="1:11" x14ac:dyDescent="0.3">
      <c r="A295" s="50" t="s">
        <v>336</v>
      </c>
      <c r="B295" s="70" t="s">
        <v>257</v>
      </c>
      <c r="C295" s="50" t="s">
        <v>69</v>
      </c>
      <c r="D295" s="50">
        <v>60</v>
      </c>
      <c r="E295" s="50" t="s">
        <v>66</v>
      </c>
      <c r="F295" s="50" t="s">
        <v>112</v>
      </c>
      <c r="G295" s="50">
        <v>279634</v>
      </c>
      <c r="H295" s="50">
        <f t="shared" si="19"/>
        <v>60</v>
      </c>
      <c r="I295" s="50"/>
      <c r="J295" s="50"/>
      <c r="K295" s="50"/>
    </row>
    <row r="296" spans="1:11" x14ac:dyDescent="0.3">
      <c r="A296" s="50" t="s">
        <v>339</v>
      </c>
      <c r="B296" s="70" t="s">
        <v>257</v>
      </c>
      <c r="C296" s="50" t="s">
        <v>340</v>
      </c>
      <c r="D296" s="50">
        <v>56</v>
      </c>
      <c r="E296" s="50" t="s">
        <v>252</v>
      </c>
      <c r="F296" s="50" t="s">
        <v>341</v>
      </c>
      <c r="G296" s="50">
        <v>279691</v>
      </c>
      <c r="H296" s="50">
        <f t="shared" si="19"/>
        <v>57</v>
      </c>
      <c r="I296" s="50"/>
      <c r="J296" s="50"/>
      <c r="K296" s="50"/>
    </row>
    <row r="297" spans="1:11" x14ac:dyDescent="0.3">
      <c r="A297" s="50" t="s">
        <v>339</v>
      </c>
      <c r="B297" s="59" t="s">
        <v>39</v>
      </c>
      <c r="C297" s="50" t="s">
        <v>342</v>
      </c>
      <c r="D297" s="50">
        <v>223</v>
      </c>
      <c r="E297" s="50" t="s">
        <v>57</v>
      </c>
      <c r="F297" s="50" t="s">
        <v>58</v>
      </c>
      <c r="G297" s="50">
        <v>279914</v>
      </c>
      <c r="H297" s="50">
        <f t="shared" si="19"/>
        <v>223</v>
      </c>
      <c r="I297" s="50"/>
      <c r="J297" s="50"/>
      <c r="K297" s="50"/>
    </row>
    <row r="298" spans="1:11" x14ac:dyDescent="0.3">
      <c r="A298" s="50" t="s">
        <v>343</v>
      </c>
      <c r="B298" s="87" t="s">
        <v>259</v>
      </c>
      <c r="C298" s="50" t="s">
        <v>188</v>
      </c>
      <c r="D298" s="50">
        <v>1000</v>
      </c>
      <c r="E298" s="50" t="s">
        <v>60</v>
      </c>
      <c r="F298" s="50"/>
      <c r="G298" s="50">
        <v>280914</v>
      </c>
      <c r="H298" s="50">
        <f t="shared" si="19"/>
        <v>1000</v>
      </c>
      <c r="I298" s="50"/>
      <c r="J298" s="50"/>
      <c r="K298" s="50"/>
    </row>
    <row r="299" spans="1:11" x14ac:dyDescent="0.3">
      <c r="A299" s="50" t="s">
        <v>343</v>
      </c>
      <c r="B299" s="61" t="s">
        <v>35</v>
      </c>
      <c r="C299" s="50" t="s">
        <v>86</v>
      </c>
      <c r="D299" s="50">
        <v>40</v>
      </c>
      <c r="E299" s="50" t="s">
        <v>344</v>
      </c>
      <c r="F299" s="50" t="s">
        <v>249</v>
      </c>
      <c r="G299" s="50">
        <v>280992</v>
      </c>
      <c r="H299" s="50">
        <v>18</v>
      </c>
      <c r="I299" s="50"/>
      <c r="J299" s="50"/>
      <c r="K299" s="50"/>
    </row>
    <row r="300" spans="1:11" x14ac:dyDescent="0.3">
      <c r="A300" s="50" t="s">
        <v>343</v>
      </c>
      <c r="B300" s="61" t="s">
        <v>35</v>
      </c>
      <c r="C300" s="50" t="s">
        <v>345</v>
      </c>
      <c r="D300" s="50">
        <v>18</v>
      </c>
      <c r="E300" s="50" t="s">
        <v>80</v>
      </c>
      <c r="F300" s="50" t="s">
        <v>327</v>
      </c>
      <c r="G300" s="50">
        <v>281084</v>
      </c>
      <c r="H300" s="50">
        <v>92</v>
      </c>
      <c r="I300" s="50"/>
      <c r="J300" s="50"/>
      <c r="K300" s="50"/>
    </row>
    <row r="301" spans="1:11" x14ac:dyDescent="0.3">
      <c r="A301" s="50" t="s">
        <v>343</v>
      </c>
      <c r="B301" s="70" t="s">
        <v>257</v>
      </c>
      <c r="C301" s="50" t="s">
        <v>346</v>
      </c>
      <c r="D301" s="50">
        <v>48</v>
      </c>
      <c r="E301" s="50" t="s">
        <v>96</v>
      </c>
      <c r="F301" s="50" t="s">
        <v>341</v>
      </c>
      <c r="G301" s="50">
        <v>281132</v>
      </c>
      <c r="H301" s="50">
        <f t="shared" ref="H301:H310" si="20">G301-G300</f>
        <v>48</v>
      </c>
      <c r="I301" s="50"/>
      <c r="J301" s="50"/>
      <c r="K301" s="50"/>
    </row>
    <row r="302" spans="1:11" x14ac:dyDescent="0.3">
      <c r="A302" s="50" t="s">
        <v>343</v>
      </c>
      <c r="B302" s="59" t="s">
        <v>257</v>
      </c>
      <c r="C302" s="50" t="s">
        <v>69</v>
      </c>
      <c r="D302" s="50">
        <v>60</v>
      </c>
      <c r="E302" s="50" t="s">
        <v>66</v>
      </c>
      <c r="F302" s="50" t="s">
        <v>112</v>
      </c>
      <c r="G302" s="50">
        <v>281193</v>
      </c>
      <c r="H302" s="50">
        <f t="shared" si="20"/>
        <v>61</v>
      </c>
      <c r="I302" s="50"/>
      <c r="J302" s="50"/>
      <c r="K302" s="50"/>
    </row>
    <row r="303" spans="1:11" x14ac:dyDescent="0.3">
      <c r="A303" s="50" t="s">
        <v>347</v>
      </c>
      <c r="B303" s="61" t="s">
        <v>35</v>
      </c>
      <c r="C303" s="50" t="s">
        <v>348</v>
      </c>
      <c r="D303" s="50">
        <v>49</v>
      </c>
      <c r="E303" s="50" t="s">
        <v>84</v>
      </c>
      <c r="F303" s="50"/>
      <c r="G303" s="50">
        <v>281442</v>
      </c>
      <c r="H303" s="50">
        <f t="shared" si="20"/>
        <v>249</v>
      </c>
      <c r="I303" s="50"/>
      <c r="J303" s="50"/>
      <c r="K303" s="50"/>
    </row>
    <row r="304" spans="1:11" x14ac:dyDescent="0.3">
      <c r="A304" s="50" t="s">
        <v>347</v>
      </c>
      <c r="B304" s="59" t="s">
        <v>39</v>
      </c>
      <c r="C304" s="50" t="s">
        <v>349</v>
      </c>
      <c r="D304" s="50">
        <v>200</v>
      </c>
      <c r="E304" s="50"/>
      <c r="F304" s="50"/>
      <c r="G304" s="50">
        <v>281442</v>
      </c>
      <c r="H304" s="50">
        <f t="shared" si="20"/>
        <v>0</v>
      </c>
      <c r="I304" s="50"/>
      <c r="J304" s="50"/>
      <c r="K304" s="50"/>
    </row>
    <row r="305" spans="1:20" x14ac:dyDescent="0.3">
      <c r="A305" s="50" t="s">
        <v>347</v>
      </c>
      <c r="B305" s="70" t="s">
        <v>257</v>
      </c>
      <c r="C305" s="50" t="s">
        <v>48</v>
      </c>
      <c r="D305" s="50">
        <v>300</v>
      </c>
      <c r="E305" s="50" t="s">
        <v>78</v>
      </c>
      <c r="F305" s="50" t="s">
        <v>128</v>
      </c>
      <c r="G305" s="50">
        <v>281742</v>
      </c>
      <c r="H305" s="50">
        <f t="shared" si="20"/>
        <v>300</v>
      </c>
      <c r="I305" s="50"/>
      <c r="J305" s="50"/>
      <c r="K305" s="50"/>
    </row>
    <row r="306" spans="1:20" x14ac:dyDescent="0.3">
      <c r="A306" s="50" t="s">
        <v>347</v>
      </c>
      <c r="B306" s="59" t="s">
        <v>39</v>
      </c>
      <c r="C306" s="50" t="s">
        <v>289</v>
      </c>
      <c r="D306" s="50">
        <v>600</v>
      </c>
      <c r="E306" s="50" t="s">
        <v>60</v>
      </c>
      <c r="F306" s="50" t="s">
        <v>245</v>
      </c>
      <c r="G306" s="50">
        <v>282342</v>
      </c>
      <c r="H306" s="50">
        <f t="shared" si="20"/>
        <v>600</v>
      </c>
      <c r="I306" s="50"/>
      <c r="J306" s="50"/>
      <c r="K306" s="50"/>
    </row>
    <row r="307" spans="1:20" x14ac:dyDescent="0.3">
      <c r="A307" s="50" t="s">
        <v>350</v>
      </c>
      <c r="B307" s="59" t="s">
        <v>39</v>
      </c>
      <c r="C307" s="50" t="s">
        <v>351</v>
      </c>
      <c r="D307" s="50">
        <v>182</v>
      </c>
      <c r="E307" s="50" t="s">
        <v>57</v>
      </c>
      <c r="F307" s="50" t="s">
        <v>58</v>
      </c>
      <c r="G307" s="50">
        <v>282387</v>
      </c>
      <c r="H307" s="50">
        <f t="shared" si="20"/>
        <v>45</v>
      </c>
      <c r="I307" s="50"/>
      <c r="J307" s="50"/>
      <c r="K307" s="50"/>
    </row>
    <row r="308" spans="1:20" x14ac:dyDescent="0.3">
      <c r="A308" s="50" t="s">
        <v>350</v>
      </c>
      <c r="B308" s="59" t="s">
        <v>39</v>
      </c>
      <c r="C308" s="50" t="s">
        <v>351</v>
      </c>
      <c r="D308" s="50">
        <v>182</v>
      </c>
      <c r="E308" s="50" t="s">
        <v>57</v>
      </c>
      <c r="F308" s="50" t="s">
        <v>58</v>
      </c>
      <c r="G308" s="50">
        <v>282570</v>
      </c>
      <c r="H308" s="50">
        <f t="shared" si="20"/>
        <v>183</v>
      </c>
      <c r="I308" s="50"/>
      <c r="J308" s="50"/>
      <c r="K308" s="50"/>
    </row>
    <row r="309" spans="1:20" x14ac:dyDescent="0.3">
      <c r="A309" s="50" t="s">
        <v>350</v>
      </c>
      <c r="B309" s="58" t="s">
        <v>38</v>
      </c>
      <c r="C309" s="50" t="s">
        <v>69</v>
      </c>
      <c r="D309" s="50">
        <v>60</v>
      </c>
      <c r="E309" s="50" t="s">
        <v>60</v>
      </c>
      <c r="F309" s="50" t="s">
        <v>352</v>
      </c>
      <c r="G309" s="50">
        <v>282630</v>
      </c>
      <c r="H309" s="50">
        <f t="shared" si="20"/>
        <v>60</v>
      </c>
      <c r="I309" s="50"/>
      <c r="J309" s="50"/>
      <c r="K309" s="50"/>
    </row>
    <row r="310" spans="1:20" x14ac:dyDescent="0.3">
      <c r="A310" s="50" t="s">
        <v>350</v>
      </c>
      <c r="B310" s="59" t="s">
        <v>39</v>
      </c>
      <c r="C310" s="50" t="s">
        <v>289</v>
      </c>
      <c r="D310" s="50">
        <v>550</v>
      </c>
      <c r="E310" s="50" t="s">
        <v>60</v>
      </c>
      <c r="F310" s="50" t="s">
        <v>245</v>
      </c>
      <c r="G310" s="50">
        <v>283230</v>
      </c>
      <c r="H310" s="50">
        <f t="shared" si="20"/>
        <v>600</v>
      </c>
      <c r="I310" s="50"/>
      <c r="J310" s="50"/>
      <c r="K310" s="50"/>
    </row>
    <row r="311" spans="1:20" x14ac:dyDescent="0.3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</row>
    <row r="312" spans="1:20" ht="25.8" x14ac:dyDescent="0.5">
      <c r="A312" s="57"/>
      <c r="B312" s="57"/>
      <c r="C312" s="57"/>
      <c r="D312" s="57"/>
      <c r="E312" s="57"/>
      <c r="F312" s="57"/>
      <c r="G312" s="57"/>
      <c r="H312" s="57"/>
      <c r="I312" s="57" t="s">
        <v>353</v>
      </c>
      <c r="J312" s="105">
        <v>46128</v>
      </c>
      <c r="K312" s="57"/>
      <c r="M312" s="132" t="s">
        <v>172</v>
      </c>
      <c r="N312" s="133"/>
      <c r="O312" s="133"/>
      <c r="P312" s="133"/>
    </row>
    <row r="313" spans="1:20" ht="31.8" x14ac:dyDescent="0.55000000000000004">
      <c r="A313" s="57"/>
      <c r="B313" s="57"/>
      <c r="C313" s="57"/>
      <c r="D313" s="57"/>
      <c r="E313" s="57"/>
      <c r="F313" s="57"/>
      <c r="G313" s="57"/>
      <c r="H313" s="57"/>
      <c r="I313" s="57" t="s">
        <v>354</v>
      </c>
      <c r="J313" s="105">
        <v>46128</v>
      </c>
      <c r="K313" s="57"/>
      <c r="M313" s="39" t="s">
        <v>35</v>
      </c>
      <c r="N313" s="106" t="s">
        <v>257</v>
      </c>
      <c r="O313" s="107" t="s">
        <v>294</v>
      </c>
      <c r="P313" s="42" t="s">
        <v>38</v>
      </c>
      <c r="Q313" s="43" t="s">
        <v>39</v>
      </c>
      <c r="R313" s="44" t="s">
        <v>31</v>
      </c>
      <c r="S313" s="45" t="s">
        <v>40</v>
      </c>
      <c r="T313" s="72" t="s">
        <v>41</v>
      </c>
    </row>
    <row r="314" spans="1:20" x14ac:dyDescent="0.3">
      <c r="A314" s="57"/>
      <c r="B314" s="57"/>
      <c r="C314" s="57"/>
      <c r="D314" s="57"/>
      <c r="E314" s="57"/>
      <c r="F314" s="57"/>
      <c r="G314" s="57"/>
      <c r="H314" s="57"/>
      <c r="I314" s="57" t="s">
        <v>354</v>
      </c>
      <c r="J314" s="105">
        <v>46128</v>
      </c>
      <c r="K314" s="57"/>
      <c r="M314" s="50">
        <f>H330+H332+H333</f>
        <v>420</v>
      </c>
      <c r="N314" s="50">
        <f>H320+H321+H322+H323+H324+H325+H326+H327</f>
        <v>879</v>
      </c>
      <c r="O314" s="50">
        <f>H319</f>
        <v>1000</v>
      </c>
      <c r="P314" s="50">
        <f>H315+H329</f>
        <v>160</v>
      </c>
      <c r="Q314" s="50">
        <f>H316+H317+H318+H328+H334</f>
        <v>1730</v>
      </c>
      <c r="R314" s="45">
        <f>SUM(M314:Q314)</f>
        <v>4189</v>
      </c>
      <c r="S314" s="45">
        <v>9000</v>
      </c>
      <c r="T314" s="72">
        <f>S314-R314</f>
        <v>4811</v>
      </c>
    </row>
    <row r="315" spans="1:20" x14ac:dyDescent="0.3">
      <c r="A315" s="50" t="s">
        <v>355</v>
      </c>
      <c r="B315" s="58" t="s">
        <v>38</v>
      </c>
      <c r="C315" s="50" t="s">
        <v>69</v>
      </c>
      <c r="D315" s="50">
        <v>60</v>
      </c>
      <c r="E315" s="50" t="s">
        <v>60</v>
      </c>
      <c r="F315" s="50" t="s">
        <v>55</v>
      </c>
      <c r="G315" s="50">
        <v>283838</v>
      </c>
      <c r="H315" s="50">
        <v>60</v>
      </c>
      <c r="I315" s="50"/>
      <c r="J315" s="50"/>
      <c r="K315" s="50"/>
    </row>
    <row r="316" spans="1:20" x14ac:dyDescent="0.3">
      <c r="A316" s="50" t="s">
        <v>355</v>
      </c>
      <c r="B316" s="59" t="s">
        <v>39</v>
      </c>
      <c r="C316" s="50" t="s">
        <v>69</v>
      </c>
      <c r="D316" s="50">
        <v>60</v>
      </c>
      <c r="E316" s="50" t="s">
        <v>356</v>
      </c>
      <c r="F316" s="50" t="s">
        <v>245</v>
      </c>
      <c r="G316" s="50">
        <v>283898</v>
      </c>
      <c r="H316" s="50">
        <f t="shared" ref="H316:H324" si="21">G316-G315</f>
        <v>60</v>
      </c>
      <c r="I316" s="50"/>
      <c r="J316" s="50"/>
      <c r="K316" s="50"/>
      <c r="M316" s="50" t="s">
        <v>365</v>
      </c>
    </row>
    <row r="317" spans="1:20" x14ac:dyDescent="0.3">
      <c r="A317" s="50" t="s">
        <v>355</v>
      </c>
      <c r="B317" s="59" t="s">
        <v>39</v>
      </c>
      <c r="C317" s="50" t="s">
        <v>48</v>
      </c>
      <c r="D317" s="50">
        <v>300</v>
      </c>
      <c r="E317" s="50" t="s">
        <v>357</v>
      </c>
      <c r="F317" s="50" t="s">
        <v>245</v>
      </c>
      <c r="G317" s="50">
        <v>284198</v>
      </c>
      <c r="H317" s="50">
        <f t="shared" si="21"/>
        <v>300</v>
      </c>
      <c r="I317" s="50"/>
      <c r="J317" s="50"/>
      <c r="K317" s="50"/>
    </row>
    <row r="318" spans="1:20" x14ac:dyDescent="0.3">
      <c r="A318" s="50" t="s">
        <v>299</v>
      </c>
      <c r="B318" s="59" t="s">
        <v>39</v>
      </c>
      <c r="C318" s="50" t="s">
        <v>358</v>
      </c>
      <c r="D318" s="50">
        <v>110</v>
      </c>
      <c r="E318" s="50" t="s">
        <v>57</v>
      </c>
      <c r="F318" s="50" t="s">
        <v>245</v>
      </c>
      <c r="G318" s="50">
        <v>284308</v>
      </c>
      <c r="H318" s="50">
        <f t="shared" si="21"/>
        <v>110</v>
      </c>
      <c r="I318" s="50"/>
      <c r="J318" s="50"/>
      <c r="K318" s="50"/>
    </row>
    <row r="319" spans="1:20" x14ac:dyDescent="0.3">
      <c r="A319" s="50" t="s">
        <v>355</v>
      </c>
      <c r="B319" s="87" t="s">
        <v>294</v>
      </c>
      <c r="C319" s="50" t="s">
        <v>188</v>
      </c>
      <c r="D319" s="50">
        <v>1000</v>
      </c>
      <c r="E319" s="50" t="s">
        <v>60</v>
      </c>
      <c r="F319" s="50" t="s">
        <v>359</v>
      </c>
      <c r="G319" s="50">
        <v>285308</v>
      </c>
      <c r="H319" s="50">
        <f t="shared" si="21"/>
        <v>1000</v>
      </c>
      <c r="I319" s="50"/>
      <c r="J319" s="50"/>
      <c r="K319" s="50"/>
    </row>
    <row r="320" spans="1:20" x14ac:dyDescent="0.3">
      <c r="A320" s="50" t="s">
        <v>360</v>
      </c>
      <c r="B320" s="70" t="s">
        <v>257</v>
      </c>
      <c r="C320" s="50" t="s">
        <v>358</v>
      </c>
      <c r="D320" s="50">
        <v>110</v>
      </c>
      <c r="E320" s="50" t="s">
        <v>361</v>
      </c>
      <c r="F320" s="50" t="s">
        <v>341</v>
      </c>
      <c r="G320" s="50">
        <v>285418</v>
      </c>
      <c r="H320" s="50">
        <f t="shared" si="21"/>
        <v>110</v>
      </c>
      <c r="I320" s="50" t="s">
        <v>362</v>
      </c>
      <c r="J320" s="50"/>
      <c r="K320" s="50"/>
    </row>
    <row r="321" spans="1:11" x14ac:dyDescent="0.3">
      <c r="A321" s="50" t="s">
        <v>360</v>
      </c>
      <c r="B321" s="70" t="s">
        <v>257</v>
      </c>
      <c r="C321" s="50" t="s">
        <v>75</v>
      </c>
      <c r="D321" s="50">
        <v>68</v>
      </c>
      <c r="E321" s="50" t="s">
        <v>287</v>
      </c>
      <c r="F321" s="50"/>
      <c r="G321" s="50">
        <v>285486</v>
      </c>
      <c r="H321" s="50">
        <f t="shared" si="21"/>
        <v>68</v>
      </c>
      <c r="I321" s="50"/>
      <c r="J321" s="50"/>
      <c r="K321" s="50"/>
    </row>
    <row r="322" spans="1:11" x14ac:dyDescent="0.3">
      <c r="A322" s="50" t="s">
        <v>360</v>
      </c>
      <c r="B322" s="70" t="s">
        <v>257</v>
      </c>
      <c r="C322" s="50" t="s">
        <v>72</v>
      </c>
      <c r="D322" s="50">
        <v>30</v>
      </c>
      <c r="E322" s="50" t="s">
        <v>248</v>
      </c>
      <c r="F322" s="50"/>
      <c r="G322" s="50">
        <v>285517</v>
      </c>
      <c r="H322" s="50">
        <f t="shared" si="21"/>
        <v>31</v>
      </c>
      <c r="I322" s="50"/>
      <c r="J322" s="50"/>
      <c r="K322" s="50"/>
    </row>
    <row r="323" spans="1:11" x14ac:dyDescent="0.3">
      <c r="A323" s="50" t="s">
        <v>360</v>
      </c>
      <c r="B323" s="70" t="s">
        <v>257</v>
      </c>
      <c r="C323" s="50" t="s">
        <v>363</v>
      </c>
      <c r="D323" s="50">
        <v>98</v>
      </c>
      <c r="E323" s="50" t="s">
        <v>123</v>
      </c>
      <c r="F323" s="50"/>
      <c r="G323" s="50">
        <v>285615</v>
      </c>
      <c r="H323" s="50">
        <f t="shared" si="21"/>
        <v>98</v>
      </c>
      <c r="I323" s="50" t="s">
        <v>364</v>
      </c>
      <c r="J323" s="50"/>
      <c r="K323" s="50"/>
    </row>
    <row r="324" spans="1:11" x14ac:dyDescent="0.3">
      <c r="A324" s="50" t="s">
        <v>360</v>
      </c>
      <c r="B324" s="70" t="s">
        <v>257</v>
      </c>
      <c r="C324" s="50" t="s">
        <v>298</v>
      </c>
      <c r="D324" s="50">
        <v>61</v>
      </c>
      <c r="E324" s="50" t="s">
        <v>274</v>
      </c>
      <c r="F324" s="50" t="s">
        <v>206</v>
      </c>
      <c r="G324" s="50">
        <v>285676</v>
      </c>
      <c r="H324" s="50">
        <f t="shared" si="21"/>
        <v>61</v>
      </c>
      <c r="I324" s="50" t="s">
        <v>364</v>
      </c>
      <c r="J324" s="50"/>
      <c r="K324" s="50"/>
    </row>
    <row r="325" spans="1:11" x14ac:dyDescent="0.3">
      <c r="A325" s="50" t="s">
        <v>360</v>
      </c>
      <c r="B325" s="108" t="s">
        <v>257</v>
      </c>
      <c r="C325" s="50" t="s">
        <v>333</v>
      </c>
      <c r="D325" s="50">
        <v>67</v>
      </c>
      <c r="E325" s="50" t="s">
        <v>367</v>
      </c>
      <c r="F325" s="50"/>
      <c r="G325" s="50">
        <v>285743</v>
      </c>
      <c r="H325" s="50">
        <f t="shared" ref="H325:H336" si="22">G325-G324</f>
        <v>67</v>
      </c>
      <c r="I325" s="50"/>
      <c r="J325" s="50"/>
      <c r="K325" s="50"/>
    </row>
    <row r="326" spans="1:11" x14ac:dyDescent="0.3">
      <c r="A326" s="50" t="s">
        <v>360</v>
      </c>
      <c r="B326" s="108" t="s">
        <v>257</v>
      </c>
      <c r="C326" s="50" t="s">
        <v>62</v>
      </c>
      <c r="D326" s="50">
        <v>400</v>
      </c>
      <c r="E326" s="50" t="s">
        <v>78</v>
      </c>
      <c r="F326" s="50" t="s">
        <v>128</v>
      </c>
      <c r="G326" s="50">
        <v>286143</v>
      </c>
      <c r="H326" s="50">
        <f t="shared" si="22"/>
        <v>400</v>
      </c>
      <c r="I326" s="50"/>
      <c r="J326" s="50"/>
      <c r="K326" s="50"/>
    </row>
    <row r="327" spans="1:11" x14ac:dyDescent="0.3">
      <c r="A327" s="50" t="s">
        <v>360</v>
      </c>
      <c r="B327" s="108" t="s">
        <v>257</v>
      </c>
      <c r="C327" s="50" t="s">
        <v>366</v>
      </c>
      <c r="D327" s="50">
        <v>44</v>
      </c>
      <c r="E327" s="50" t="s">
        <v>287</v>
      </c>
      <c r="F327" s="50" t="s">
        <v>341</v>
      </c>
      <c r="G327" s="50">
        <v>286187</v>
      </c>
      <c r="H327" s="50">
        <f t="shared" si="22"/>
        <v>44</v>
      </c>
      <c r="I327" s="50"/>
      <c r="J327" s="50"/>
      <c r="K327" s="50"/>
    </row>
    <row r="328" spans="1:11" x14ac:dyDescent="0.3">
      <c r="A328" s="50" t="s">
        <v>368</v>
      </c>
      <c r="B328" s="59" t="s">
        <v>39</v>
      </c>
      <c r="C328" s="50" t="s">
        <v>369</v>
      </c>
      <c r="D328" s="50">
        <v>1200</v>
      </c>
      <c r="E328" s="50" t="s">
        <v>384</v>
      </c>
      <c r="F328" s="50" t="s">
        <v>245</v>
      </c>
      <c r="G328" s="50">
        <v>287387</v>
      </c>
      <c r="H328" s="50">
        <f t="shared" si="22"/>
        <v>1200</v>
      </c>
      <c r="I328" s="50" t="s">
        <v>365</v>
      </c>
      <c r="J328" s="50"/>
      <c r="K328" s="50"/>
    </row>
    <row r="329" spans="1:11" x14ac:dyDescent="0.3">
      <c r="A329" s="50" t="s">
        <v>370</v>
      </c>
      <c r="B329" s="58" t="s">
        <v>38</v>
      </c>
      <c r="C329" s="50" t="s">
        <v>43</v>
      </c>
      <c r="D329" s="50">
        <v>100</v>
      </c>
      <c r="E329" s="50" t="s">
        <v>107</v>
      </c>
      <c r="F329" s="50" t="s">
        <v>55</v>
      </c>
      <c r="G329" s="50">
        <v>287487</v>
      </c>
      <c r="H329" s="50">
        <f t="shared" si="22"/>
        <v>100</v>
      </c>
      <c r="I329" s="50"/>
      <c r="J329" s="50"/>
      <c r="K329" s="50"/>
    </row>
    <row r="330" spans="1:11" x14ac:dyDescent="0.3">
      <c r="A330" s="50" t="s">
        <v>370</v>
      </c>
      <c r="B330" s="61" t="s">
        <v>35</v>
      </c>
      <c r="C330" s="50" t="s">
        <v>227</v>
      </c>
      <c r="D330" s="50">
        <v>350</v>
      </c>
      <c r="E330" s="50" t="s">
        <v>78</v>
      </c>
      <c r="F330" s="50" t="s">
        <v>128</v>
      </c>
      <c r="G330" s="50">
        <v>287837</v>
      </c>
      <c r="H330" s="50">
        <f t="shared" si="22"/>
        <v>350</v>
      </c>
      <c r="I330" s="50"/>
      <c r="J330" s="50"/>
      <c r="K330" s="50"/>
    </row>
    <row r="331" spans="1:11" x14ac:dyDescent="0.3">
      <c r="A331" s="50" t="s">
        <v>370</v>
      </c>
      <c r="B331" s="61" t="s">
        <v>35</v>
      </c>
      <c r="C331" s="50" t="s">
        <v>375</v>
      </c>
      <c r="D331" s="50">
        <v>24</v>
      </c>
      <c r="E331" s="50" t="s">
        <v>279</v>
      </c>
      <c r="F331" s="50" t="s">
        <v>208</v>
      </c>
      <c r="G331" s="50">
        <v>287862</v>
      </c>
      <c r="H331" s="50">
        <f t="shared" si="22"/>
        <v>25</v>
      </c>
      <c r="I331" s="50"/>
      <c r="J331" s="50"/>
      <c r="K331" s="50"/>
    </row>
    <row r="332" spans="1:11" x14ac:dyDescent="0.3">
      <c r="A332" s="50" t="s">
        <v>370</v>
      </c>
      <c r="B332" s="61" t="s">
        <v>35</v>
      </c>
      <c r="C332" s="50" t="s">
        <v>86</v>
      </c>
      <c r="D332" s="50">
        <v>40</v>
      </c>
      <c r="E332" s="50" t="s">
        <v>367</v>
      </c>
      <c r="F332" s="50"/>
      <c r="G332" s="50">
        <v>287902</v>
      </c>
      <c r="H332" s="50">
        <f t="shared" si="22"/>
        <v>40</v>
      </c>
      <c r="I332" s="50"/>
      <c r="J332" s="50"/>
      <c r="K332" s="50"/>
    </row>
    <row r="333" spans="1:11" x14ac:dyDescent="0.3">
      <c r="A333" s="50" t="s">
        <v>370</v>
      </c>
      <c r="B333" s="61" t="s">
        <v>35</v>
      </c>
      <c r="C333" s="50" t="s">
        <v>72</v>
      </c>
      <c r="D333" s="50">
        <v>30</v>
      </c>
      <c r="E333" s="50" t="s">
        <v>385</v>
      </c>
      <c r="F333" s="50"/>
      <c r="G333" s="50">
        <v>287932</v>
      </c>
      <c r="H333" s="50">
        <f t="shared" si="22"/>
        <v>30</v>
      </c>
      <c r="I333" s="50"/>
      <c r="J333" s="50"/>
      <c r="K333" s="50"/>
    </row>
    <row r="334" spans="1:11" x14ac:dyDescent="0.3">
      <c r="A334" s="50" t="s">
        <v>370</v>
      </c>
      <c r="B334" s="61" t="s">
        <v>35</v>
      </c>
      <c r="C334" s="50" t="s">
        <v>69</v>
      </c>
      <c r="D334" s="50">
        <v>60</v>
      </c>
      <c r="E334" s="50" t="s">
        <v>287</v>
      </c>
      <c r="F334" s="50" t="s">
        <v>341</v>
      </c>
      <c r="G334" s="50">
        <v>287992</v>
      </c>
      <c r="H334" s="50">
        <f t="shared" si="22"/>
        <v>60</v>
      </c>
      <c r="I334" s="50"/>
      <c r="J334" s="50"/>
      <c r="K334" s="50"/>
    </row>
    <row r="335" spans="1:11" x14ac:dyDescent="0.3">
      <c r="A335" s="50" t="s">
        <v>370</v>
      </c>
      <c r="B335" s="59" t="s">
        <v>39</v>
      </c>
      <c r="C335" s="50" t="s">
        <v>77</v>
      </c>
      <c r="D335" s="50">
        <v>200</v>
      </c>
      <c r="E335" s="50" t="s">
        <v>386</v>
      </c>
      <c r="F335" s="50" t="s">
        <v>245</v>
      </c>
      <c r="G335" s="50">
        <v>288192</v>
      </c>
      <c r="H335" s="50">
        <f t="shared" si="22"/>
        <v>200</v>
      </c>
      <c r="I335" s="50"/>
      <c r="J335" s="50"/>
      <c r="K335" s="50"/>
    </row>
    <row r="336" spans="1:11" x14ac:dyDescent="0.3">
      <c r="A336" s="50" t="s">
        <v>370</v>
      </c>
      <c r="B336" s="59" t="s">
        <v>39</v>
      </c>
      <c r="C336" s="50" t="s">
        <v>358</v>
      </c>
      <c r="D336" s="50">
        <v>110</v>
      </c>
      <c r="E336" s="50" t="s">
        <v>57</v>
      </c>
      <c r="F336" s="50" t="s">
        <v>394</v>
      </c>
      <c r="G336" s="50">
        <v>288302</v>
      </c>
      <c r="H336" s="50">
        <f t="shared" si="22"/>
        <v>110</v>
      </c>
      <c r="I336" s="50"/>
      <c r="J336" s="50"/>
      <c r="K336" s="50"/>
    </row>
    <row r="337" spans="1:11" x14ac:dyDescent="0.3">
      <c r="A337" s="57"/>
      <c r="B337" s="57"/>
      <c r="C337" s="57"/>
      <c r="D337" s="57"/>
      <c r="E337" s="57"/>
      <c r="F337" s="57"/>
      <c r="G337" s="57"/>
      <c r="H337" s="57"/>
      <c r="I337" s="50"/>
      <c r="J337" s="50"/>
      <c r="K337" s="50"/>
    </row>
    <row r="338" spans="1:11" x14ac:dyDescent="0.3">
      <c r="A338" s="71"/>
      <c r="B338" s="71"/>
      <c r="C338" s="71"/>
      <c r="D338" s="71"/>
      <c r="E338" s="71"/>
      <c r="F338" s="71"/>
      <c r="G338" s="71">
        <v>288409</v>
      </c>
      <c r="H338" s="71"/>
      <c r="I338" s="50"/>
      <c r="J338" s="50"/>
      <c r="K338" s="50"/>
    </row>
    <row r="339" spans="1:11" x14ac:dyDescent="0.3">
      <c r="A339" s="50" t="s">
        <v>371</v>
      </c>
      <c r="B339" s="50" t="s">
        <v>257</v>
      </c>
      <c r="C339" s="50" t="s">
        <v>170</v>
      </c>
      <c r="D339" s="50">
        <v>170</v>
      </c>
      <c r="E339" s="50" t="s">
        <v>361</v>
      </c>
      <c r="F339" s="50" t="s">
        <v>395</v>
      </c>
      <c r="G339" s="50">
        <v>288578</v>
      </c>
      <c r="H339" s="50">
        <v>170</v>
      </c>
      <c r="I339" s="50"/>
      <c r="J339" s="50"/>
      <c r="K339" s="50"/>
    </row>
    <row r="340" spans="1:11" x14ac:dyDescent="0.3">
      <c r="A340" s="59" t="s">
        <v>371</v>
      </c>
      <c r="B340" s="59" t="s">
        <v>295</v>
      </c>
      <c r="C340" s="59" t="s">
        <v>62</v>
      </c>
      <c r="D340" s="59">
        <v>400</v>
      </c>
      <c r="E340" s="59" t="s">
        <v>60</v>
      </c>
      <c r="F340" s="59" t="s">
        <v>245</v>
      </c>
      <c r="G340" s="59">
        <v>288978</v>
      </c>
      <c r="H340" s="59">
        <v>400</v>
      </c>
      <c r="I340" s="50"/>
      <c r="J340" s="50"/>
      <c r="K340" s="50"/>
    </row>
    <row r="341" spans="1:11" x14ac:dyDescent="0.3">
      <c r="A341" s="59" t="s">
        <v>371</v>
      </c>
      <c r="B341" s="59" t="s">
        <v>39</v>
      </c>
      <c r="C341" s="59" t="s">
        <v>155</v>
      </c>
      <c r="D341" s="59">
        <v>140</v>
      </c>
      <c r="E341" s="59" t="s">
        <v>57</v>
      </c>
      <c r="F341" s="59" t="s">
        <v>394</v>
      </c>
      <c r="G341" s="59">
        <v>289118</v>
      </c>
      <c r="H341" s="59">
        <f t="shared" ref="H341:H364" si="23">G341-G340</f>
        <v>140</v>
      </c>
      <c r="I341" s="50"/>
      <c r="J341" s="50"/>
      <c r="K341" s="50"/>
    </row>
    <row r="342" spans="1:11" x14ac:dyDescent="0.3">
      <c r="A342" s="50" t="s">
        <v>372</v>
      </c>
      <c r="B342" s="50" t="s">
        <v>257</v>
      </c>
      <c r="C342" s="50" t="s">
        <v>376</v>
      </c>
      <c r="D342" s="50">
        <v>50</v>
      </c>
      <c r="E342" s="50" t="s">
        <v>387</v>
      </c>
      <c r="F342" s="50" t="s">
        <v>112</v>
      </c>
      <c r="G342" s="50">
        <v>289168</v>
      </c>
      <c r="H342" s="50">
        <f t="shared" si="23"/>
        <v>50</v>
      </c>
      <c r="I342" s="50"/>
      <c r="J342" s="50"/>
      <c r="K342" s="50"/>
    </row>
    <row r="343" spans="1:11" x14ac:dyDescent="0.3">
      <c r="A343" s="50" t="s">
        <v>372</v>
      </c>
      <c r="B343" s="50" t="s">
        <v>35</v>
      </c>
      <c r="C343" s="50" t="s">
        <v>72</v>
      </c>
      <c r="D343" s="50">
        <v>30</v>
      </c>
      <c r="E343" s="50" t="s">
        <v>219</v>
      </c>
      <c r="F343" s="50" t="s">
        <v>396</v>
      </c>
      <c r="G343" s="50">
        <v>289199</v>
      </c>
      <c r="H343" s="50">
        <f t="shared" si="23"/>
        <v>31</v>
      </c>
      <c r="I343" s="50"/>
      <c r="J343" s="50"/>
      <c r="K343" s="50"/>
    </row>
    <row r="344" spans="1:11" x14ac:dyDescent="0.3">
      <c r="A344" s="50" t="s">
        <v>371</v>
      </c>
      <c r="B344" s="50" t="s">
        <v>136</v>
      </c>
      <c r="C344" s="50" t="s">
        <v>377</v>
      </c>
      <c r="D344" s="50">
        <v>74</v>
      </c>
      <c r="E344" s="50" t="s">
        <v>274</v>
      </c>
      <c r="F344" s="50" t="s">
        <v>206</v>
      </c>
      <c r="G344" s="50">
        <v>289273</v>
      </c>
      <c r="H344" s="50">
        <f t="shared" si="23"/>
        <v>74</v>
      </c>
      <c r="I344" s="50"/>
      <c r="J344" s="50"/>
      <c r="K344" s="50"/>
    </row>
    <row r="345" spans="1:11" x14ac:dyDescent="0.3">
      <c r="A345" s="50" t="s">
        <v>371</v>
      </c>
      <c r="B345" s="50" t="s">
        <v>294</v>
      </c>
      <c r="C345" s="50" t="s">
        <v>188</v>
      </c>
      <c r="D345" s="50">
        <v>1000</v>
      </c>
      <c r="E345" s="50" t="s">
        <v>107</v>
      </c>
      <c r="F345" s="50" t="s">
        <v>359</v>
      </c>
      <c r="G345" s="50">
        <v>290273</v>
      </c>
      <c r="H345" s="50">
        <f t="shared" si="23"/>
        <v>1000</v>
      </c>
      <c r="I345" s="50"/>
      <c r="J345" s="50"/>
      <c r="K345" s="50"/>
    </row>
    <row r="346" spans="1:11" x14ac:dyDescent="0.3">
      <c r="A346" s="50" t="s">
        <v>371</v>
      </c>
      <c r="B346" s="50" t="s">
        <v>35</v>
      </c>
      <c r="C346" s="50" t="s">
        <v>378</v>
      </c>
      <c r="D346" s="50">
        <v>16</v>
      </c>
      <c r="E346" s="50" t="s">
        <v>388</v>
      </c>
      <c r="F346" s="50"/>
      <c r="G346" s="50">
        <v>290288</v>
      </c>
      <c r="H346" s="50">
        <f t="shared" si="23"/>
        <v>15</v>
      </c>
      <c r="I346" s="50"/>
      <c r="J346" s="50"/>
      <c r="K346" s="50"/>
    </row>
    <row r="347" spans="1:11" x14ac:dyDescent="0.3">
      <c r="A347" s="50" t="s">
        <v>372</v>
      </c>
      <c r="B347" s="50" t="s">
        <v>35</v>
      </c>
      <c r="C347" s="50" t="s">
        <v>62</v>
      </c>
      <c r="D347" s="50">
        <v>400</v>
      </c>
      <c r="E347" s="50" t="s">
        <v>78</v>
      </c>
      <c r="F347" s="50" t="s">
        <v>128</v>
      </c>
      <c r="G347" s="50">
        <v>290688</v>
      </c>
      <c r="H347" s="50">
        <f t="shared" si="23"/>
        <v>400</v>
      </c>
      <c r="I347" s="50"/>
      <c r="J347" s="50"/>
      <c r="K347" s="50"/>
    </row>
    <row r="348" spans="1:11" x14ac:dyDescent="0.3">
      <c r="A348" s="50" t="s">
        <v>372</v>
      </c>
      <c r="B348" s="50" t="s">
        <v>35</v>
      </c>
      <c r="C348" s="50" t="s">
        <v>379</v>
      </c>
      <c r="D348" s="50">
        <v>120</v>
      </c>
      <c r="E348" s="50" t="s">
        <v>361</v>
      </c>
      <c r="F348" s="50" t="s">
        <v>395</v>
      </c>
      <c r="G348" s="50">
        <v>290808</v>
      </c>
      <c r="H348" s="50">
        <f t="shared" si="23"/>
        <v>120</v>
      </c>
      <c r="I348" s="50"/>
      <c r="J348" s="50"/>
      <c r="K348" s="50"/>
    </row>
    <row r="349" spans="1:11" x14ac:dyDescent="0.3">
      <c r="A349" s="50" t="s">
        <v>372</v>
      </c>
      <c r="B349" s="50" t="s">
        <v>35</v>
      </c>
      <c r="C349" s="50" t="s">
        <v>65</v>
      </c>
      <c r="D349" s="50">
        <v>50</v>
      </c>
      <c r="E349" s="50" t="s">
        <v>287</v>
      </c>
      <c r="F349" s="50" t="s">
        <v>341</v>
      </c>
      <c r="G349" s="50">
        <v>290859</v>
      </c>
      <c r="H349" s="50">
        <f t="shared" si="23"/>
        <v>51</v>
      </c>
      <c r="I349" s="50"/>
      <c r="J349" s="50"/>
      <c r="K349" s="50"/>
    </row>
    <row r="350" spans="1:11" x14ac:dyDescent="0.3">
      <c r="A350" s="50" t="s">
        <v>372</v>
      </c>
      <c r="B350" s="50" t="s">
        <v>35</v>
      </c>
      <c r="C350" s="50" t="s">
        <v>232</v>
      </c>
      <c r="D350" s="50">
        <v>32</v>
      </c>
      <c r="E350" s="50" t="s">
        <v>279</v>
      </c>
      <c r="F350" s="50" t="s">
        <v>208</v>
      </c>
      <c r="G350" s="50">
        <v>290891</v>
      </c>
      <c r="H350" s="50">
        <f t="shared" si="23"/>
        <v>32</v>
      </c>
      <c r="I350" s="50"/>
      <c r="J350" s="50"/>
      <c r="K350" s="50"/>
    </row>
    <row r="351" spans="1:11" x14ac:dyDescent="0.3">
      <c r="A351" s="50" t="s">
        <v>372</v>
      </c>
      <c r="B351" s="50" t="s">
        <v>35</v>
      </c>
      <c r="C351" s="50" t="s">
        <v>69</v>
      </c>
      <c r="D351" s="50">
        <v>60</v>
      </c>
      <c r="E351" s="50" t="s">
        <v>367</v>
      </c>
      <c r="F351" s="50"/>
      <c r="G351" s="50">
        <v>290951</v>
      </c>
      <c r="H351" s="50">
        <f t="shared" si="23"/>
        <v>60</v>
      </c>
      <c r="I351" s="50"/>
      <c r="J351" s="50"/>
      <c r="K351" s="50"/>
    </row>
    <row r="352" spans="1:11" x14ac:dyDescent="0.3">
      <c r="A352" s="50" t="s">
        <v>372</v>
      </c>
      <c r="B352" s="50" t="s">
        <v>35</v>
      </c>
      <c r="C352" s="50" t="s">
        <v>72</v>
      </c>
      <c r="D352" s="50">
        <v>30</v>
      </c>
      <c r="E352" s="50" t="s">
        <v>389</v>
      </c>
      <c r="F352" s="50"/>
      <c r="G352" s="50">
        <v>290981</v>
      </c>
      <c r="H352" s="50">
        <f t="shared" si="23"/>
        <v>30</v>
      </c>
      <c r="I352" s="50"/>
      <c r="J352" s="50"/>
      <c r="K352" s="50"/>
    </row>
    <row r="353" spans="1:11" x14ac:dyDescent="0.3">
      <c r="A353" s="59" t="s">
        <v>372</v>
      </c>
      <c r="B353" s="59" t="s">
        <v>39</v>
      </c>
      <c r="C353" s="59" t="s">
        <v>62</v>
      </c>
      <c r="D353" s="59">
        <v>400</v>
      </c>
      <c r="E353" s="59" t="s">
        <v>390</v>
      </c>
      <c r="F353" s="59" t="s">
        <v>245</v>
      </c>
      <c r="G353" s="59">
        <v>291382</v>
      </c>
      <c r="H353" s="59">
        <f t="shared" si="23"/>
        <v>401</v>
      </c>
      <c r="I353" s="50"/>
      <c r="J353" s="50"/>
      <c r="K353" s="50"/>
    </row>
    <row r="354" spans="1:11" x14ac:dyDescent="0.3">
      <c r="A354" s="50" t="s">
        <v>372</v>
      </c>
      <c r="B354" s="50" t="s">
        <v>38</v>
      </c>
      <c r="C354" s="50" t="s">
        <v>69</v>
      </c>
      <c r="D354" s="50">
        <v>60</v>
      </c>
      <c r="E354" s="50" t="s">
        <v>60</v>
      </c>
      <c r="F354" s="50" t="s">
        <v>55</v>
      </c>
      <c r="G354" s="50">
        <v>291442</v>
      </c>
      <c r="H354" s="50">
        <f t="shared" si="23"/>
        <v>60</v>
      </c>
      <c r="I354" s="50"/>
      <c r="J354" s="50"/>
      <c r="K354" s="50"/>
    </row>
    <row r="355" spans="1:11" x14ac:dyDescent="0.3">
      <c r="A355" s="59" t="s">
        <v>372</v>
      </c>
      <c r="B355" s="59" t="s">
        <v>295</v>
      </c>
      <c r="C355" s="59" t="s">
        <v>289</v>
      </c>
      <c r="D355" s="59">
        <v>600</v>
      </c>
      <c r="E355" s="59" t="s">
        <v>391</v>
      </c>
      <c r="F355" s="59" t="s">
        <v>245</v>
      </c>
      <c r="G355" s="59">
        <v>292042</v>
      </c>
      <c r="H355" s="59">
        <f t="shared" si="23"/>
        <v>600</v>
      </c>
      <c r="I355" s="50"/>
      <c r="J355" s="50"/>
      <c r="K355" s="50"/>
    </row>
    <row r="356" spans="1:11" x14ac:dyDescent="0.3">
      <c r="A356" s="50" t="s">
        <v>372</v>
      </c>
      <c r="B356" s="50" t="s">
        <v>374</v>
      </c>
      <c r="C356" s="50" t="s">
        <v>69</v>
      </c>
      <c r="D356" s="50" t="s">
        <v>383</v>
      </c>
      <c r="E356" s="50" t="s">
        <v>392</v>
      </c>
      <c r="F356" s="50" t="s">
        <v>397</v>
      </c>
      <c r="G356" s="50">
        <v>292062</v>
      </c>
      <c r="H356" s="50">
        <f t="shared" si="23"/>
        <v>20</v>
      </c>
      <c r="I356" s="50"/>
      <c r="J356" s="50"/>
      <c r="K356" s="50"/>
    </row>
    <row r="357" spans="1:11" x14ac:dyDescent="0.3">
      <c r="A357" s="50" t="s">
        <v>372</v>
      </c>
      <c r="B357" s="50" t="s">
        <v>39</v>
      </c>
      <c r="C357" s="50" t="s">
        <v>380</v>
      </c>
      <c r="D357" s="50">
        <v>137</v>
      </c>
      <c r="E357" s="50" t="s">
        <v>57</v>
      </c>
      <c r="F357" s="50" t="s">
        <v>394</v>
      </c>
      <c r="G357" s="50">
        <v>292199</v>
      </c>
      <c r="H357" s="50">
        <f t="shared" si="23"/>
        <v>137</v>
      </c>
      <c r="I357" s="50"/>
      <c r="J357" s="50"/>
      <c r="K357" s="50"/>
    </row>
    <row r="358" spans="1:11" x14ac:dyDescent="0.3">
      <c r="A358" s="50" t="s">
        <v>372</v>
      </c>
      <c r="B358" s="50" t="s">
        <v>39</v>
      </c>
      <c r="C358" s="50" t="s">
        <v>62</v>
      </c>
      <c r="D358" s="50">
        <v>400</v>
      </c>
      <c r="E358" s="50" t="s">
        <v>386</v>
      </c>
      <c r="F358" s="50" t="s">
        <v>398</v>
      </c>
      <c r="G358" s="50">
        <v>292599</v>
      </c>
      <c r="H358" s="50">
        <f t="shared" si="23"/>
        <v>400</v>
      </c>
      <c r="I358" s="50"/>
      <c r="J358" s="50"/>
      <c r="K358" s="50"/>
    </row>
    <row r="359" spans="1:11" x14ac:dyDescent="0.3">
      <c r="A359" s="50" t="s">
        <v>372</v>
      </c>
      <c r="B359" s="50" t="s">
        <v>136</v>
      </c>
      <c r="C359" s="50" t="s">
        <v>86</v>
      </c>
      <c r="D359" s="50">
        <v>40</v>
      </c>
      <c r="E359" s="50" t="s">
        <v>107</v>
      </c>
      <c r="F359" s="50" t="s">
        <v>399</v>
      </c>
      <c r="G359" s="50">
        <v>292639</v>
      </c>
      <c r="H359" s="50">
        <f t="shared" si="23"/>
        <v>40</v>
      </c>
      <c r="I359" s="50"/>
      <c r="J359" s="50"/>
      <c r="K359" s="50"/>
    </row>
    <row r="360" spans="1:11" x14ac:dyDescent="0.3">
      <c r="A360" s="50" t="s">
        <v>373</v>
      </c>
      <c r="B360" s="50" t="s">
        <v>35</v>
      </c>
      <c r="C360" s="50" t="s">
        <v>65</v>
      </c>
      <c r="D360" s="50" t="s">
        <v>65</v>
      </c>
      <c r="E360" s="50" t="s">
        <v>287</v>
      </c>
      <c r="F360" s="50" t="s">
        <v>341</v>
      </c>
      <c r="G360" s="50">
        <v>292689</v>
      </c>
      <c r="H360" s="50">
        <f t="shared" si="23"/>
        <v>50</v>
      </c>
      <c r="I360" s="50"/>
      <c r="J360" s="50"/>
      <c r="K360" s="50"/>
    </row>
    <row r="361" spans="1:11" x14ac:dyDescent="0.3">
      <c r="A361" s="50" t="s">
        <v>373</v>
      </c>
      <c r="B361" s="50" t="s">
        <v>35</v>
      </c>
      <c r="C361" s="50">
        <v>30</v>
      </c>
      <c r="D361" s="50">
        <v>32</v>
      </c>
      <c r="E361" s="50" t="s">
        <v>123</v>
      </c>
      <c r="F361" s="50" t="s">
        <v>208</v>
      </c>
      <c r="G361" s="50">
        <v>292721</v>
      </c>
      <c r="H361" s="50">
        <f t="shared" si="23"/>
        <v>32</v>
      </c>
      <c r="I361" s="50"/>
      <c r="J361" s="50"/>
      <c r="K361" s="50"/>
    </row>
    <row r="362" spans="1:11" x14ac:dyDescent="0.3">
      <c r="A362" s="50" t="s">
        <v>373</v>
      </c>
      <c r="B362" s="50" t="s">
        <v>35</v>
      </c>
      <c r="C362" s="50" t="s">
        <v>69</v>
      </c>
      <c r="D362" s="50">
        <v>60</v>
      </c>
      <c r="E362" s="50" t="s">
        <v>66</v>
      </c>
      <c r="F362" s="50" t="s">
        <v>112</v>
      </c>
      <c r="G362" s="50">
        <v>292782</v>
      </c>
      <c r="H362" s="50">
        <f t="shared" si="23"/>
        <v>61</v>
      </c>
      <c r="I362" s="50"/>
      <c r="J362" s="50"/>
      <c r="K362" s="50"/>
    </row>
    <row r="363" spans="1:11" x14ac:dyDescent="0.3">
      <c r="A363" s="50" t="s">
        <v>373</v>
      </c>
      <c r="B363" s="50" t="s">
        <v>35</v>
      </c>
      <c r="C363" s="50" t="s">
        <v>86</v>
      </c>
      <c r="D363" s="50">
        <v>40</v>
      </c>
      <c r="E363" s="50" t="s">
        <v>367</v>
      </c>
      <c r="F363" s="50"/>
      <c r="G363" s="50">
        <v>292822</v>
      </c>
      <c r="H363" s="50">
        <f t="shared" si="23"/>
        <v>40</v>
      </c>
      <c r="I363" s="50"/>
      <c r="J363" s="50"/>
      <c r="K363" s="50"/>
    </row>
    <row r="364" spans="1:11" x14ac:dyDescent="0.3">
      <c r="A364" s="50" t="s">
        <v>373</v>
      </c>
      <c r="B364" s="50" t="s">
        <v>38</v>
      </c>
      <c r="C364" s="50" t="s">
        <v>65</v>
      </c>
      <c r="D364" s="50">
        <v>50</v>
      </c>
      <c r="E364" s="50" t="s">
        <v>60</v>
      </c>
      <c r="F364" s="50" t="s">
        <v>55</v>
      </c>
      <c r="G364" s="50">
        <v>292872</v>
      </c>
      <c r="H364" s="50">
        <f t="shared" si="23"/>
        <v>50</v>
      </c>
      <c r="I364" s="50"/>
      <c r="J364" s="50"/>
      <c r="K364" s="50"/>
    </row>
    <row r="365" spans="1:11" x14ac:dyDescent="0.3">
      <c r="A365" s="57"/>
      <c r="B365" s="57"/>
      <c r="C365" s="57"/>
      <c r="D365" s="57"/>
      <c r="E365" s="57"/>
      <c r="F365" s="57"/>
      <c r="G365" s="57"/>
      <c r="H365" s="57"/>
      <c r="I365" s="50"/>
      <c r="J365" s="50"/>
      <c r="K365" s="50"/>
    </row>
    <row r="366" spans="1:11" x14ac:dyDescent="0.3">
      <c r="A366" s="50" t="s">
        <v>373</v>
      </c>
      <c r="B366" s="50" t="s">
        <v>136</v>
      </c>
      <c r="C366" s="50" t="s">
        <v>381</v>
      </c>
      <c r="D366" s="50">
        <v>86</v>
      </c>
      <c r="E366" s="50" t="s">
        <v>274</v>
      </c>
      <c r="F366" s="50" t="s">
        <v>206</v>
      </c>
      <c r="G366" s="50">
        <v>292958</v>
      </c>
      <c r="H366" s="50">
        <f>G366-G364</f>
        <v>86</v>
      </c>
      <c r="I366" s="50"/>
      <c r="J366" s="50"/>
      <c r="K366" s="50"/>
    </row>
    <row r="367" spans="1:11" x14ac:dyDescent="0.3">
      <c r="A367" s="50" t="s">
        <v>373</v>
      </c>
      <c r="B367" s="50" t="s">
        <v>136</v>
      </c>
      <c r="C367" s="50" t="s">
        <v>69</v>
      </c>
      <c r="D367" s="50">
        <v>60</v>
      </c>
      <c r="E367" s="50" t="s">
        <v>387</v>
      </c>
      <c r="F367" s="50"/>
      <c r="G367" s="50">
        <v>293018</v>
      </c>
      <c r="H367" s="50">
        <f>G367-G366</f>
        <v>60</v>
      </c>
      <c r="I367" s="50"/>
      <c r="J367" s="50"/>
      <c r="K367" s="50"/>
    </row>
    <row r="368" spans="1:11" x14ac:dyDescent="0.3">
      <c r="A368" s="50" t="s">
        <v>373</v>
      </c>
      <c r="B368" s="50" t="s">
        <v>136</v>
      </c>
      <c r="C368" s="50" t="s">
        <v>382</v>
      </c>
      <c r="D368" s="50">
        <v>190</v>
      </c>
      <c r="E368" s="50" t="s">
        <v>361</v>
      </c>
      <c r="F368" s="50" t="s">
        <v>243</v>
      </c>
      <c r="G368" s="50">
        <v>293208</v>
      </c>
      <c r="H368" s="50">
        <f>G368-G367</f>
        <v>190</v>
      </c>
      <c r="I368" s="50"/>
      <c r="J368" s="50"/>
      <c r="K368" s="50"/>
    </row>
    <row r="369" spans="1:11" x14ac:dyDescent="0.3">
      <c r="A369" s="50" t="s">
        <v>373</v>
      </c>
      <c r="B369" s="50" t="s">
        <v>136</v>
      </c>
      <c r="C369" s="50" t="s">
        <v>86</v>
      </c>
      <c r="D369" s="50" t="s">
        <v>86</v>
      </c>
      <c r="E369" s="50" t="s">
        <v>281</v>
      </c>
      <c r="F369" s="50" t="s">
        <v>212</v>
      </c>
      <c r="G369" s="50">
        <v>293248</v>
      </c>
      <c r="H369" s="50">
        <f>G369-G368</f>
        <v>40</v>
      </c>
      <c r="I369" s="50"/>
      <c r="J369" s="50"/>
      <c r="K369" s="50"/>
    </row>
    <row r="370" spans="1:11" x14ac:dyDescent="0.3">
      <c r="A370" s="50" t="s">
        <v>373</v>
      </c>
      <c r="B370" s="50" t="s">
        <v>136</v>
      </c>
      <c r="C370" s="50" t="s">
        <v>65</v>
      </c>
      <c r="D370" s="50">
        <v>50</v>
      </c>
      <c r="E370" s="50" t="s">
        <v>393</v>
      </c>
      <c r="F370" s="50" t="s">
        <v>400</v>
      </c>
      <c r="G370" s="50">
        <v>293298</v>
      </c>
      <c r="H370" s="50">
        <f>G370-G369</f>
        <v>50</v>
      </c>
      <c r="I370" s="50"/>
      <c r="J370" s="50"/>
      <c r="K370" s="50"/>
    </row>
    <row r="371" spans="1:11" x14ac:dyDescent="0.3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</row>
    <row r="372" spans="1:11" x14ac:dyDescent="0.3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</row>
    <row r="373" spans="1:11" x14ac:dyDescent="0.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</row>
    <row r="374" spans="1:11" x14ac:dyDescent="0.3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</row>
    <row r="375" spans="1:11" x14ac:dyDescent="0.3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</row>
    <row r="376" spans="1:11" x14ac:dyDescent="0.3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</row>
    <row r="377" spans="1:11" x14ac:dyDescent="0.3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</row>
    <row r="378" spans="1:11" x14ac:dyDescent="0.3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</row>
    <row r="379" spans="1:11" x14ac:dyDescent="0.3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</row>
    <row r="380" spans="1:11" x14ac:dyDescent="0.3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</row>
    <row r="381" spans="1:11" x14ac:dyDescent="0.3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</row>
    <row r="382" spans="1:11" x14ac:dyDescent="0.3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</row>
    <row r="383" spans="1:11" x14ac:dyDescent="0.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</row>
    <row r="384" spans="1:11" x14ac:dyDescent="0.3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</row>
    <row r="385" spans="1:11" x14ac:dyDescent="0.3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</row>
    <row r="386" spans="1:11" x14ac:dyDescent="0.3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</row>
    <row r="387" spans="1:11" x14ac:dyDescent="0.3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</row>
    <row r="388" spans="1:11" x14ac:dyDescent="0.3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</row>
    <row r="389" spans="1:11" x14ac:dyDescent="0.3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</row>
    <row r="390" spans="1:11" x14ac:dyDescent="0.3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</row>
    <row r="391" spans="1:11" x14ac:dyDescent="0.3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</row>
    <row r="392" spans="1:11" x14ac:dyDescent="0.3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</row>
    <row r="393" spans="1:11" x14ac:dyDescent="0.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</row>
    <row r="394" spans="1:11" x14ac:dyDescent="0.3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</row>
    <row r="395" spans="1:11" x14ac:dyDescent="0.3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</row>
    <row r="396" spans="1:11" x14ac:dyDescent="0.3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</row>
    <row r="397" spans="1:11" x14ac:dyDescent="0.3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</row>
    <row r="398" spans="1:11" x14ac:dyDescent="0.3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</row>
    <row r="399" spans="1:11" x14ac:dyDescent="0.3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</row>
    <row r="400" spans="1:11" x14ac:dyDescent="0.3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</row>
    <row r="401" spans="1:11" x14ac:dyDescent="0.3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</row>
    <row r="402" spans="1:11" x14ac:dyDescent="0.3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</row>
    <row r="403" spans="1:11" x14ac:dyDescent="0.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</row>
    <row r="404" spans="1:11" x14ac:dyDescent="0.3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</row>
    <row r="405" spans="1:11" x14ac:dyDescent="0.3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</row>
    <row r="406" spans="1:11" x14ac:dyDescent="0.3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</row>
    <row r="407" spans="1:11" x14ac:dyDescent="0.3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</row>
    <row r="408" spans="1:11" x14ac:dyDescent="0.3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</row>
    <row r="409" spans="1:11" x14ac:dyDescent="0.3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</row>
    <row r="410" spans="1:11" x14ac:dyDescent="0.3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</row>
    <row r="411" spans="1:11" x14ac:dyDescent="0.3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</row>
    <row r="412" spans="1:11" x14ac:dyDescent="0.3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</row>
    <row r="413" spans="1:11" x14ac:dyDescent="0.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</row>
    <row r="414" spans="1:11" x14ac:dyDescent="0.3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</row>
    <row r="415" spans="1:11" x14ac:dyDescent="0.3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</row>
    <row r="416" spans="1:11" x14ac:dyDescent="0.3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</row>
    <row r="417" spans="1:11" x14ac:dyDescent="0.3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</row>
    <row r="418" spans="1:11" x14ac:dyDescent="0.3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</row>
    <row r="419" spans="1:11" x14ac:dyDescent="0.3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</row>
    <row r="420" spans="1:11" x14ac:dyDescent="0.3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</row>
    <row r="421" spans="1:11" x14ac:dyDescent="0.3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</row>
    <row r="422" spans="1:11" x14ac:dyDescent="0.3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</row>
    <row r="423" spans="1:11" x14ac:dyDescent="0.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</row>
    <row r="424" spans="1:11" x14ac:dyDescent="0.3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</row>
    <row r="425" spans="1:11" x14ac:dyDescent="0.3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</row>
    <row r="426" spans="1:11" x14ac:dyDescent="0.3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</row>
    <row r="427" spans="1:11" x14ac:dyDescent="0.3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</row>
    <row r="428" spans="1:11" x14ac:dyDescent="0.3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</row>
    <row r="429" spans="1:11" x14ac:dyDescent="0.3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</row>
    <row r="430" spans="1:11" x14ac:dyDescent="0.3">
      <c r="A430" s="50"/>
      <c r="B430" s="50"/>
      <c r="C430" s="50"/>
      <c r="D430" s="50"/>
      <c r="E430" s="50"/>
      <c r="F430" s="50"/>
      <c r="G430" s="50"/>
      <c r="H430" s="50"/>
    </row>
  </sheetData>
  <mergeCells count="15">
    <mergeCell ref="S74:T74"/>
    <mergeCell ref="U74:W74"/>
    <mergeCell ref="A1:L1"/>
    <mergeCell ref="M1:P1"/>
    <mergeCell ref="M32:P32"/>
    <mergeCell ref="M59:P59"/>
    <mergeCell ref="S69:W73"/>
    <mergeCell ref="P249:Q249"/>
    <mergeCell ref="M312:P312"/>
    <mergeCell ref="M94:P94"/>
    <mergeCell ref="M104:P104"/>
    <mergeCell ref="M125:N126"/>
    <mergeCell ref="L147:O147"/>
    <mergeCell ref="L194:O194"/>
    <mergeCell ref="P238:S23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ANTONIO IBAÑEZ</cp:lastModifiedBy>
  <cp:lastPrinted>2026-05-20T22:36:20Z</cp:lastPrinted>
  <dcterms:created xsi:type="dcterms:W3CDTF">2024-05-02T14:05:24Z</dcterms:created>
  <dcterms:modified xsi:type="dcterms:W3CDTF">2026-06-18T05:48:50Z</dcterms:modified>
</cp:coreProperties>
</file>