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386663BB-65C4-4D03-B988-8CF6ABD895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órico y Rendimiento" sheetId="1" r:id="rId1"/>
    <sheet name="Rendimiento Base y Desgaste" sheetId="2" r:id="rId2"/>
    <sheet name="Semana 24" sheetId="3" r:id="rId3"/>
    <sheet name="Semana 25" sheetId="4" r:id="rId4"/>
    <sheet name="Semana 26" sheetId="5" r:id="rId5"/>
    <sheet name="Semana 27" sheetId="6" r:id="rId6"/>
    <sheet name="Semana 28" sheetId="7" r:id="rId7"/>
    <sheet name="Semana 29" sheetId="8" r:id="rId8"/>
    <sheet name="Semana 30" sheetId="9" r:id="rId9"/>
    <sheet name="Semana 31" sheetId="10" r:id="rId10"/>
    <sheet name="Semana 32" sheetId="11" r:id="rId11"/>
    <sheet name="Semana 33" sheetId="12" r:id="rId12"/>
    <sheet name="Semana 34" sheetId="13" r:id="rId13"/>
    <sheet name="Resumen Ejecutiv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3" l="1"/>
  <c r="G22" i="13"/>
  <c r="F22" i="13"/>
  <c r="H21" i="13"/>
  <c r="M20" i="13"/>
  <c r="K20" i="13"/>
  <c r="J20" i="13"/>
  <c r="H20" i="13"/>
  <c r="M19" i="13"/>
  <c r="K19" i="13"/>
  <c r="H19" i="13"/>
  <c r="J19" i="13" s="1"/>
  <c r="M18" i="13"/>
  <c r="K18" i="13"/>
  <c r="J18" i="13"/>
  <c r="H18" i="13"/>
  <c r="M17" i="13"/>
  <c r="H17" i="13"/>
  <c r="J17" i="13" s="1"/>
  <c r="G17" i="13"/>
  <c r="K17" i="13" s="1"/>
  <c r="F17" i="13"/>
  <c r="M16" i="13"/>
  <c r="H16" i="13"/>
  <c r="J16" i="13" s="1"/>
  <c r="G16" i="13"/>
  <c r="K16" i="13" s="1"/>
  <c r="F16" i="13"/>
  <c r="M15" i="13"/>
  <c r="K15" i="13"/>
  <c r="J15" i="13"/>
  <c r="H15" i="13"/>
  <c r="G15" i="13"/>
  <c r="F15" i="13"/>
  <c r="M14" i="13"/>
  <c r="G14" i="13"/>
  <c r="K14" i="13" s="1"/>
  <c r="F14" i="13"/>
  <c r="M13" i="13"/>
  <c r="K13" i="13"/>
  <c r="H13" i="13"/>
  <c r="J13" i="13" s="1"/>
  <c r="G13" i="13"/>
  <c r="F13" i="13"/>
  <c r="M12" i="13"/>
  <c r="H12" i="13"/>
  <c r="J12" i="13" s="1"/>
  <c r="G12" i="13"/>
  <c r="K12" i="13" s="1"/>
  <c r="F12" i="13"/>
  <c r="M11" i="13"/>
  <c r="K11" i="13"/>
  <c r="J11" i="13"/>
  <c r="H11" i="13"/>
  <c r="G11" i="13"/>
  <c r="F11" i="13"/>
  <c r="M10" i="13"/>
  <c r="M22" i="13" s="1"/>
  <c r="G10" i="13"/>
  <c r="K10" i="13" s="1"/>
  <c r="F10" i="13"/>
  <c r="M9" i="13"/>
  <c r="K9" i="13"/>
  <c r="H9" i="13"/>
  <c r="J9" i="13" s="1"/>
  <c r="G9" i="13"/>
  <c r="F9" i="13"/>
  <c r="G6" i="13"/>
  <c r="G5" i="13"/>
  <c r="H22" i="13" s="1"/>
  <c r="K22" i="12"/>
  <c r="I22" i="12"/>
  <c r="G22" i="12"/>
  <c r="F22" i="12"/>
  <c r="H21" i="12"/>
  <c r="M20" i="12"/>
  <c r="K20" i="12"/>
  <c r="J20" i="12"/>
  <c r="H20" i="12"/>
  <c r="M19" i="12"/>
  <c r="K19" i="12"/>
  <c r="J19" i="12"/>
  <c r="H19" i="12"/>
  <c r="M18" i="12"/>
  <c r="K18" i="12"/>
  <c r="J18" i="12"/>
  <c r="H18" i="12"/>
  <c r="M17" i="12"/>
  <c r="K17" i="12"/>
  <c r="G17" i="12"/>
  <c r="H17" i="12" s="1"/>
  <c r="J17" i="12" s="1"/>
  <c r="F17" i="12"/>
  <c r="M16" i="12"/>
  <c r="H16" i="12"/>
  <c r="J16" i="12" s="1"/>
  <c r="G16" i="12"/>
  <c r="K16" i="12" s="1"/>
  <c r="F16" i="12"/>
  <c r="M15" i="12"/>
  <c r="K15" i="12"/>
  <c r="J15" i="12"/>
  <c r="H15" i="12"/>
  <c r="G15" i="12"/>
  <c r="F15" i="12"/>
  <c r="M14" i="12"/>
  <c r="G14" i="12"/>
  <c r="K14" i="12" s="1"/>
  <c r="F14" i="12"/>
  <c r="M13" i="12"/>
  <c r="K13" i="12"/>
  <c r="G13" i="12"/>
  <c r="H13" i="12" s="1"/>
  <c r="J13" i="12" s="1"/>
  <c r="F13" i="12"/>
  <c r="M12" i="12"/>
  <c r="H12" i="12"/>
  <c r="J12" i="12" s="1"/>
  <c r="G12" i="12"/>
  <c r="K12" i="12" s="1"/>
  <c r="F12" i="12"/>
  <c r="M11" i="12"/>
  <c r="K11" i="12"/>
  <c r="J11" i="12"/>
  <c r="H11" i="12"/>
  <c r="G11" i="12"/>
  <c r="F11" i="12"/>
  <c r="M10" i="12"/>
  <c r="G10" i="12"/>
  <c r="K10" i="12" s="1"/>
  <c r="F10" i="12"/>
  <c r="M9" i="12"/>
  <c r="M22" i="12" s="1"/>
  <c r="K9" i="12"/>
  <c r="G9" i="12"/>
  <c r="H9" i="12" s="1"/>
  <c r="J9" i="12" s="1"/>
  <c r="F9" i="12"/>
  <c r="G6" i="12"/>
  <c r="G5" i="12"/>
  <c r="H22" i="12" s="1"/>
  <c r="K22" i="11"/>
  <c r="I22" i="11"/>
  <c r="G22" i="11"/>
  <c r="F22" i="11"/>
  <c r="H21" i="11"/>
  <c r="M20" i="11"/>
  <c r="K20" i="11"/>
  <c r="H20" i="11"/>
  <c r="J20" i="11" s="1"/>
  <c r="M19" i="11"/>
  <c r="K19" i="11"/>
  <c r="H19" i="11"/>
  <c r="J19" i="11" s="1"/>
  <c r="M18" i="11"/>
  <c r="K18" i="11"/>
  <c r="H18" i="11"/>
  <c r="J18" i="11" s="1"/>
  <c r="M17" i="11"/>
  <c r="G17" i="11"/>
  <c r="K17" i="11" s="1"/>
  <c r="F17" i="11"/>
  <c r="M16" i="11"/>
  <c r="K16" i="11"/>
  <c r="H16" i="11"/>
  <c r="J16" i="11" s="1"/>
  <c r="G16" i="11"/>
  <c r="F16" i="11"/>
  <c r="M15" i="11"/>
  <c r="H15" i="11"/>
  <c r="J15" i="11" s="1"/>
  <c r="G15" i="11"/>
  <c r="K15" i="11" s="1"/>
  <c r="F15" i="11"/>
  <c r="M14" i="11"/>
  <c r="K14" i="11"/>
  <c r="J14" i="11"/>
  <c r="H14" i="11"/>
  <c r="G14" i="11"/>
  <c r="F14" i="11"/>
  <c r="M13" i="11"/>
  <c r="G13" i="11"/>
  <c r="K13" i="11" s="1"/>
  <c r="F13" i="11"/>
  <c r="M12" i="11"/>
  <c r="K12" i="11"/>
  <c r="H12" i="11"/>
  <c r="J12" i="11" s="1"/>
  <c r="G12" i="11"/>
  <c r="F12" i="11"/>
  <c r="M11" i="11"/>
  <c r="H11" i="11"/>
  <c r="J11" i="11" s="1"/>
  <c r="G11" i="11"/>
  <c r="K11" i="11" s="1"/>
  <c r="F11" i="11"/>
  <c r="M10" i="11"/>
  <c r="K10" i="11"/>
  <c r="J10" i="11"/>
  <c r="H10" i="11"/>
  <c r="J21" i="11" s="1"/>
  <c r="G10" i="11"/>
  <c r="F10" i="11"/>
  <c r="M9" i="11"/>
  <c r="M22" i="11" s="1"/>
  <c r="G9" i="11"/>
  <c r="K9" i="11" s="1"/>
  <c r="F9" i="11"/>
  <c r="G6" i="11"/>
  <c r="G5" i="11"/>
  <c r="H22" i="11" s="1"/>
  <c r="K22" i="10"/>
  <c r="I22" i="10"/>
  <c r="G22" i="10"/>
  <c r="F22" i="10"/>
  <c r="J21" i="10"/>
  <c r="H21" i="10"/>
  <c r="M20" i="10"/>
  <c r="K20" i="10"/>
  <c r="H20" i="10"/>
  <c r="J20" i="10" s="1"/>
  <c r="M19" i="10"/>
  <c r="K19" i="10"/>
  <c r="J19" i="10"/>
  <c r="H19" i="10"/>
  <c r="M18" i="10"/>
  <c r="K18" i="10"/>
  <c r="H18" i="10"/>
  <c r="J18" i="10" s="1"/>
  <c r="M17" i="10"/>
  <c r="G17" i="10"/>
  <c r="K17" i="10" s="1"/>
  <c r="F17" i="10"/>
  <c r="M16" i="10"/>
  <c r="K16" i="10"/>
  <c r="G16" i="10"/>
  <c r="H16" i="10" s="1"/>
  <c r="J16" i="10" s="1"/>
  <c r="F16" i="10"/>
  <c r="M15" i="10"/>
  <c r="H15" i="10"/>
  <c r="J15" i="10" s="1"/>
  <c r="G15" i="10"/>
  <c r="K15" i="10" s="1"/>
  <c r="F15" i="10"/>
  <c r="M14" i="10"/>
  <c r="K14" i="10"/>
  <c r="J14" i="10"/>
  <c r="H14" i="10"/>
  <c r="G14" i="10"/>
  <c r="F14" i="10"/>
  <c r="M13" i="10"/>
  <c r="G13" i="10"/>
  <c r="K13" i="10" s="1"/>
  <c r="F13" i="10"/>
  <c r="M12" i="10"/>
  <c r="K12" i="10"/>
  <c r="G12" i="10"/>
  <c r="H12" i="10" s="1"/>
  <c r="J12" i="10" s="1"/>
  <c r="F12" i="10"/>
  <c r="M11" i="10"/>
  <c r="H11" i="10"/>
  <c r="J11" i="10" s="1"/>
  <c r="G11" i="10"/>
  <c r="K11" i="10" s="1"/>
  <c r="F11" i="10"/>
  <c r="M10" i="10"/>
  <c r="K10" i="10"/>
  <c r="J10" i="10"/>
  <c r="H10" i="10"/>
  <c r="J22" i="10" s="1"/>
  <c r="G10" i="10"/>
  <c r="F10" i="10"/>
  <c r="M9" i="10"/>
  <c r="M22" i="10" s="1"/>
  <c r="G9" i="10"/>
  <c r="K9" i="10" s="1"/>
  <c r="F9" i="10"/>
  <c r="G6" i="10"/>
  <c r="G5" i="10"/>
  <c r="H22" i="10" s="1"/>
  <c r="I22" i="9"/>
  <c r="G22" i="9"/>
  <c r="F22" i="9"/>
  <c r="J21" i="9"/>
  <c r="H21" i="9"/>
  <c r="M20" i="9"/>
  <c r="K20" i="9"/>
  <c r="H20" i="9"/>
  <c r="J20" i="9" s="1"/>
  <c r="M19" i="9"/>
  <c r="K19" i="9"/>
  <c r="J19" i="9"/>
  <c r="H19" i="9"/>
  <c r="M18" i="9"/>
  <c r="K18" i="9"/>
  <c r="H18" i="9"/>
  <c r="J18" i="9" s="1"/>
  <c r="M17" i="9"/>
  <c r="J17" i="9"/>
  <c r="H17" i="9"/>
  <c r="G17" i="9"/>
  <c r="K17" i="9" s="1"/>
  <c r="F17" i="9"/>
  <c r="M16" i="9"/>
  <c r="G16" i="9"/>
  <c r="K16" i="9" s="1"/>
  <c r="F16" i="9"/>
  <c r="M15" i="9"/>
  <c r="K15" i="9"/>
  <c r="H15" i="9"/>
  <c r="J15" i="9" s="1"/>
  <c r="G15" i="9"/>
  <c r="F15" i="9"/>
  <c r="M14" i="9"/>
  <c r="K14" i="9"/>
  <c r="H14" i="9"/>
  <c r="J14" i="9" s="1"/>
  <c r="G14" i="9"/>
  <c r="F14" i="9"/>
  <c r="M13" i="9"/>
  <c r="J13" i="9"/>
  <c r="H13" i="9"/>
  <c r="G13" i="9"/>
  <c r="K13" i="9" s="1"/>
  <c r="F13" i="9"/>
  <c r="M12" i="9"/>
  <c r="G12" i="9"/>
  <c r="K12" i="9" s="1"/>
  <c r="F12" i="9"/>
  <c r="M11" i="9"/>
  <c r="K11" i="9"/>
  <c r="H11" i="9"/>
  <c r="J11" i="9" s="1"/>
  <c r="G11" i="9"/>
  <c r="F11" i="9"/>
  <c r="M10" i="9"/>
  <c r="K10" i="9"/>
  <c r="H10" i="9"/>
  <c r="J10" i="9" s="1"/>
  <c r="G10" i="9"/>
  <c r="K22" i="9" s="1"/>
  <c r="F10" i="9"/>
  <c r="M9" i="9"/>
  <c r="M22" i="9" s="1"/>
  <c r="J9" i="9"/>
  <c r="H9" i="9"/>
  <c r="G9" i="9"/>
  <c r="K9" i="9" s="1"/>
  <c r="F9" i="9"/>
  <c r="G6" i="9"/>
  <c r="G5" i="9"/>
  <c r="H22" i="9" s="1"/>
  <c r="J22" i="8"/>
  <c r="I22" i="8"/>
  <c r="G22" i="8"/>
  <c r="F22" i="8"/>
  <c r="H21" i="8"/>
  <c r="M20" i="8"/>
  <c r="K20" i="8"/>
  <c r="J20" i="8"/>
  <c r="H20" i="8"/>
  <c r="M19" i="8"/>
  <c r="K19" i="8"/>
  <c r="J19" i="8"/>
  <c r="H19" i="8"/>
  <c r="M18" i="8"/>
  <c r="K18" i="8"/>
  <c r="J18" i="8"/>
  <c r="H18" i="8"/>
  <c r="M17" i="8"/>
  <c r="K17" i="8"/>
  <c r="J17" i="8"/>
  <c r="H17" i="8"/>
  <c r="G17" i="8"/>
  <c r="F17" i="8"/>
  <c r="M16" i="8"/>
  <c r="G16" i="8"/>
  <c r="K16" i="8" s="1"/>
  <c r="F16" i="8"/>
  <c r="M15" i="8"/>
  <c r="K15" i="8"/>
  <c r="G15" i="8"/>
  <c r="H15" i="8" s="1"/>
  <c r="J15" i="8" s="1"/>
  <c r="F15" i="8"/>
  <c r="M14" i="8"/>
  <c r="K14" i="8"/>
  <c r="H14" i="8"/>
  <c r="J14" i="8" s="1"/>
  <c r="G14" i="8"/>
  <c r="F14" i="8"/>
  <c r="M13" i="8"/>
  <c r="K13" i="8"/>
  <c r="J13" i="8"/>
  <c r="H13" i="8"/>
  <c r="G13" i="8"/>
  <c r="F13" i="8"/>
  <c r="M12" i="8"/>
  <c r="G12" i="8"/>
  <c r="K12" i="8" s="1"/>
  <c r="F12" i="8"/>
  <c r="M11" i="8"/>
  <c r="K11" i="8"/>
  <c r="G11" i="8"/>
  <c r="H11" i="8" s="1"/>
  <c r="J11" i="8" s="1"/>
  <c r="F11" i="8"/>
  <c r="M10" i="8"/>
  <c r="K10" i="8"/>
  <c r="H10" i="8"/>
  <c r="J21" i="8" s="1"/>
  <c r="G10" i="8"/>
  <c r="K22" i="8" s="1"/>
  <c r="F10" i="8"/>
  <c r="M9" i="8"/>
  <c r="M22" i="8" s="1"/>
  <c r="K9" i="8"/>
  <c r="J9" i="8"/>
  <c r="H9" i="8"/>
  <c r="G9" i="8"/>
  <c r="F9" i="8"/>
  <c r="G6" i="8"/>
  <c r="G5" i="8"/>
  <c r="H22" i="8" s="1"/>
  <c r="I22" i="7"/>
  <c r="G22" i="7"/>
  <c r="F22" i="7"/>
  <c r="H21" i="7"/>
  <c r="M20" i="7"/>
  <c r="K20" i="7"/>
  <c r="J20" i="7"/>
  <c r="H20" i="7"/>
  <c r="M19" i="7"/>
  <c r="K19" i="7"/>
  <c r="H19" i="7"/>
  <c r="J19" i="7" s="1"/>
  <c r="M18" i="7"/>
  <c r="K18" i="7"/>
  <c r="J18" i="7"/>
  <c r="H18" i="7"/>
  <c r="M17" i="7"/>
  <c r="K17" i="7"/>
  <c r="H17" i="7"/>
  <c r="J17" i="7" s="1"/>
  <c r="G17" i="7"/>
  <c r="F17" i="7"/>
  <c r="M16" i="7"/>
  <c r="J16" i="7"/>
  <c r="H16" i="7"/>
  <c r="G16" i="7"/>
  <c r="K16" i="7" s="1"/>
  <c r="F16" i="7"/>
  <c r="M15" i="7"/>
  <c r="G15" i="7"/>
  <c r="K15" i="7" s="1"/>
  <c r="F15" i="7"/>
  <c r="M14" i="7"/>
  <c r="K14" i="7"/>
  <c r="H14" i="7"/>
  <c r="J14" i="7" s="1"/>
  <c r="G14" i="7"/>
  <c r="F14" i="7"/>
  <c r="M13" i="7"/>
  <c r="K13" i="7"/>
  <c r="H13" i="7"/>
  <c r="J13" i="7" s="1"/>
  <c r="G13" i="7"/>
  <c r="F13" i="7"/>
  <c r="M12" i="7"/>
  <c r="J12" i="7"/>
  <c r="H12" i="7"/>
  <c r="G12" i="7"/>
  <c r="K12" i="7" s="1"/>
  <c r="F12" i="7"/>
  <c r="M11" i="7"/>
  <c r="G11" i="7"/>
  <c r="K11" i="7" s="1"/>
  <c r="F11" i="7"/>
  <c r="M10" i="7"/>
  <c r="K10" i="7"/>
  <c r="H10" i="7"/>
  <c r="J22" i="7" s="1"/>
  <c r="G10" i="7"/>
  <c r="K22" i="7" s="1"/>
  <c r="F10" i="7"/>
  <c r="M9" i="7"/>
  <c r="M22" i="7" s="1"/>
  <c r="K9" i="7"/>
  <c r="H9" i="7"/>
  <c r="J9" i="7" s="1"/>
  <c r="G9" i="7"/>
  <c r="F9" i="7"/>
  <c r="G6" i="7"/>
  <c r="G5" i="7"/>
  <c r="H22" i="7" s="1"/>
  <c r="M22" i="6"/>
  <c r="I22" i="6"/>
  <c r="G22" i="6"/>
  <c r="F22" i="6"/>
  <c r="H21" i="6"/>
  <c r="M20" i="6"/>
  <c r="K20" i="6"/>
  <c r="J20" i="6"/>
  <c r="H20" i="6"/>
  <c r="M19" i="6"/>
  <c r="K19" i="6"/>
  <c r="H19" i="6"/>
  <c r="J19" i="6" s="1"/>
  <c r="M18" i="6"/>
  <c r="K18" i="6"/>
  <c r="J18" i="6"/>
  <c r="H18" i="6"/>
  <c r="M17" i="6"/>
  <c r="K17" i="6"/>
  <c r="H17" i="6"/>
  <c r="J17" i="6" s="1"/>
  <c r="G17" i="6"/>
  <c r="F17" i="6"/>
  <c r="M16" i="6"/>
  <c r="K16" i="6"/>
  <c r="J16" i="6"/>
  <c r="H16" i="6"/>
  <c r="G16" i="6"/>
  <c r="F16" i="6"/>
  <c r="M15" i="6"/>
  <c r="G15" i="6"/>
  <c r="K15" i="6" s="1"/>
  <c r="F15" i="6"/>
  <c r="M14" i="6"/>
  <c r="K14" i="6"/>
  <c r="G14" i="6"/>
  <c r="H14" i="6" s="1"/>
  <c r="J14" i="6" s="1"/>
  <c r="F14" i="6"/>
  <c r="M13" i="6"/>
  <c r="K13" i="6"/>
  <c r="H13" i="6"/>
  <c r="J13" i="6" s="1"/>
  <c r="G13" i="6"/>
  <c r="F13" i="6"/>
  <c r="M12" i="6"/>
  <c r="K12" i="6"/>
  <c r="J12" i="6"/>
  <c r="H12" i="6"/>
  <c r="G12" i="6"/>
  <c r="F12" i="6"/>
  <c r="M11" i="6"/>
  <c r="G11" i="6"/>
  <c r="K11" i="6" s="1"/>
  <c r="F11" i="6"/>
  <c r="M10" i="6"/>
  <c r="K10" i="6"/>
  <c r="G10" i="6"/>
  <c r="K22" i="6" s="1"/>
  <c r="F10" i="6"/>
  <c r="M9" i="6"/>
  <c r="K9" i="6"/>
  <c r="H9" i="6"/>
  <c r="J9" i="6" s="1"/>
  <c r="G9" i="6"/>
  <c r="F9" i="6"/>
  <c r="G6" i="6"/>
  <c r="G5" i="6"/>
  <c r="H22" i="6" s="1"/>
  <c r="I22" i="5"/>
  <c r="G22" i="5"/>
  <c r="F22" i="5"/>
  <c r="H21" i="5"/>
  <c r="M20" i="5"/>
  <c r="K20" i="5"/>
  <c r="J20" i="5"/>
  <c r="H20" i="5"/>
  <c r="M19" i="5"/>
  <c r="K19" i="5"/>
  <c r="H19" i="5"/>
  <c r="J19" i="5" s="1"/>
  <c r="M18" i="5"/>
  <c r="K18" i="5"/>
  <c r="J18" i="5"/>
  <c r="H18" i="5"/>
  <c r="M17" i="5"/>
  <c r="K17" i="5"/>
  <c r="H17" i="5"/>
  <c r="J17" i="5" s="1"/>
  <c r="G17" i="5"/>
  <c r="F17" i="5"/>
  <c r="M16" i="5"/>
  <c r="K16" i="5"/>
  <c r="H16" i="5"/>
  <c r="J16" i="5" s="1"/>
  <c r="G16" i="5"/>
  <c r="F16" i="5"/>
  <c r="M15" i="5"/>
  <c r="J15" i="5"/>
  <c r="H15" i="5"/>
  <c r="G15" i="5"/>
  <c r="K15" i="5" s="1"/>
  <c r="F15" i="5"/>
  <c r="M14" i="5"/>
  <c r="G14" i="5"/>
  <c r="K14" i="5" s="1"/>
  <c r="F14" i="5"/>
  <c r="M13" i="5"/>
  <c r="K13" i="5"/>
  <c r="H13" i="5"/>
  <c r="J13" i="5" s="1"/>
  <c r="G13" i="5"/>
  <c r="F13" i="5"/>
  <c r="M12" i="5"/>
  <c r="K12" i="5"/>
  <c r="H12" i="5"/>
  <c r="J12" i="5" s="1"/>
  <c r="G12" i="5"/>
  <c r="F12" i="5"/>
  <c r="M11" i="5"/>
  <c r="M22" i="5" s="1"/>
  <c r="J11" i="5"/>
  <c r="H11" i="5"/>
  <c r="G11" i="5"/>
  <c r="K11" i="5" s="1"/>
  <c r="F11" i="5"/>
  <c r="M10" i="5"/>
  <c r="G10" i="5"/>
  <c r="K10" i="5" s="1"/>
  <c r="F10" i="5"/>
  <c r="M9" i="5"/>
  <c r="K9" i="5"/>
  <c r="H9" i="5"/>
  <c r="J9" i="5" s="1"/>
  <c r="G9" i="5"/>
  <c r="F9" i="5"/>
  <c r="G6" i="5"/>
  <c r="G5" i="5"/>
  <c r="H22" i="5" s="1"/>
  <c r="K22" i="4"/>
  <c r="I22" i="4"/>
  <c r="G22" i="4"/>
  <c r="F22" i="4"/>
  <c r="H21" i="4"/>
  <c r="M20" i="4"/>
  <c r="K20" i="4"/>
  <c r="J20" i="4"/>
  <c r="H20" i="4"/>
  <c r="M19" i="4"/>
  <c r="K19" i="4"/>
  <c r="J19" i="4"/>
  <c r="H19" i="4"/>
  <c r="M18" i="4"/>
  <c r="K18" i="4"/>
  <c r="J18" i="4"/>
  <c r="H18" i="4"/>
  <c r="M17" i="4"/>
  <c r="K17" i="4"/>
  <c r="G17" i="4"/>
  <c r="H17" i="4" s="1"/>
  <c r="J17" i="4" s="1"/>
  <c r="F17" i="4"/>
  <c r="M16" i="4"/>
  <c r="K16" i="4"/>
  <c r="H16" i="4"/>
  <c r="J16" i="4" s="1"/>
  <c r="G16" i="4"/>
  <c r="F16" i="4"/>
  <c r="M15" i="4"/>
  <c r="J15" i="4"/>
  <c r="H15" i="4"/>
  <c r="G15" i="4"/>
  <c r="K15" i="4" s="1"/>
  <c r="F15" i="4"/>
  <c r="M14" i="4"/>
  <c r="G14" i="4"/>
  <c r="K14" i="4" s="1"/>
  <c r="F14" i="4"/>
  <c r="M13" i="4"/>
  <c r="K13" i="4"/>
  <c r="G13" i="4"/>
  <c r="H13" i="4" s="1"/>
  <c r="J13" i="4" s="1"/>
  <c r="F13" i="4"/>
  <c r="M12" i="4"/>
  <c r="K12" i="4"/>
  <c r="H12" i="4"/>
  <c r="J12" i="4" s="1"/>
  <c r="G12" i="4"/>
  <c r="F12" i="4"/>
  <c r="M11" i="4"/>
  <c r="J11" i="4"/>
  <c r="H11" i="4"/>
  <c r="G11" i="4"/>
  <c r="K11" i="4" s="1"/>
  <c r="F11" i="4"/>
  <c r="M10" i="4"/>
  <c r="G10" i="4"/>
  <c r="K10" i="4" s="1"/>
  <c r="F10" i="4"/>
  <c r="M9" i="4"/>
  <c r="M22" i="4" s="1"/>
  <c r="K9" i="4"/>
  <c r="G9" i="4"/>
  <c r="H9" i="4" s="1"/>
  <c r="J9" i="4" s="1"/>
  <c r="F9" i="4"/>
  <c r="G6" i="4"/>
  <c r="G5" i="4"/>
  <c r="H22" i="4" s="1"/>
  <c r="K22" i="3"/>
  <c r="I22" i="3"/>
  <c r="G22" i="3"/>
  <c r="F22" i="3"/>
  <c r="J21" i="3"/>
  <c r="H21" i="3"/>
  <c r="M20" i="3"/>
  <c r="K20" i="3"/>
  <c r="H20" i="3"/>
  <c r="J20" i="3" s="1"/>
  <c r="M19" i="3"/>
  <c r="K19" i="3"/>
  <c r="J19" i="3"/>
  <c r="H19" i="3"/>
  <c r="M18" i="3"/>
  <c r="K18" i="3"/>
  <c r="H18" i="3"/>
  <c r="J18" i="3" s="1"/>
  <c r="M17" i="3"/>
  <c r="G17" i="3"/>
  <c r="K17" i="3" s="1"/>
  <c r="F17" i="3"/>
  <c r="M16" i="3"/>
  <c r="K16" i="3"/>
  <c r="H16" i="3"/>
  <c r="J16" i="3" s="1"/>
  <c r="G16" i="3"/>
  <c r="F16" i="3"/>
  <c r="M15" i="3"/>
  <c r="K15" i="3"/>
  <c r="H15" i="3"/>
  <c r="J15" i="3" s="1"/>
  <c r="G15" i="3"/>
  <c r="F15" i="3"/>
  <c r="M14" i="3"/>
  <c r="J14" i="3"/>
  <c r="H14" i="3"/>
  <c r="G14" i="3"/>
  <c r="K14" i="3" s="1"/>
  <c r="F14" i="3"/>
  <c r="M13" i="3"/>
  <c r="G13" i="3"/>
  <c r="K13" i="3" s="1"/>
  <c r="F13" i="3"/>
  <c r="M12" i="3"/>
  <c r="K12" i="3"/>
  <c r="H12" i="3"/>
  <c r="J12" i="3" s="1"/>
  <c r="G12" i="3"/>
  <c r="F12" i="3"/>
  <c r="M11" i="3"/>
  <c r="K11" i="3"/>
  <c r="H11" i="3"/>
  <c r="J11" i="3" s="1"/>
  <c r="G11" i="3"/>
  <c r="F11" i="3"/>
  <c r="M10" i="3"/>
  <c r="J10" i="3"/>
  <c r="H10" i="3"/>
  <c r="J22" i="3" s="1"/>
  <c r="G10" i="3"/>
  <c r="K10" i="3" s="1"/>
  <c r="F10" i="3"/>
  <c r="M9" i="3"/>
  <c r="M22" i="3" s="1"/>
  <c r="G9" i="3"/>
  <c r="H9" i="3" s="1"/>
  <c r="J9" i="3" s="1"/>
  <c r="F9" i="3"/>
  <c r="G6" i="3"/>
  <c r="G5" i="3"/>
  <c r="H22" i="3" s="1"/>
  <c r="K22" i="1"/>
  <c r="J22" i="1"/>
  <c r="L22" i="1" s="1"/>
  <c r="H22" i="1"/>
  <c r="G22" i="1"/>
  <c r="I21" i="1"/>
  <c r="L20" i="1"/>
  <c r="K20" i="1"/>
  <c r="I20" i="1"/>
  <c r="L19" i="1"/>
  <c r="K19" i="1"/>
  <c r="I19" i="1"/>
  <c r="L18" i="1"/>
  <c r="K18" i="1"/>
  <c r="I18" i="1"/>
  <c r="L17" i="1"/>
  <c r="K17" i="1"/>
  <c r="I17" i="1"/>
  <c r="L16" i="1"/>
  <c r="K16" i="1"/>
  <c r="I16" i="1"/>
  <c r="L15" i="1"/>
  <c r="I15" i="1"/>
  <c r="K15" i="1" s="1"/>
  <c r="L14" i="1"/>
  <c r="I14" i="1"/>
  <c r="K14" i="1" s="1"/>
  <c r="L13" i="1"/>
  <c r="I13" i="1"/>
  <c r="K13" i="1" s="1"/>
  <c r="L12" i="1"/>
  <c r="K12" i="1"/>
  <c r="I12" i="1"/>
  <c r="L11" i="1"/>
  <c r="K11" i="1"/>
  <c r="I11" i="1"/>
  <c r="L10" i="1"/>
  <c r="K10" i="1"/>
  <c r="I10" i="1"/>
  <c r="K21" i="1" s="1"/>
  <c r="L9" i="1"/>
  <c r="K9" i="1"/>
  <c r="I9" i="1"/>
  <c r="I22" i="1" s="1"/>
  <c r="K9" i="3" l="1"/>
  <c r="H10" i="4"/>
  <c r="H14" i="4"/>
  <c r="J14" i="4" s="1"/>
  <c r="H11" i="6"/>
  <c r="J11" i="6" s="1"/>
  <c r="H15" i="6"/>
  <c r="J15" i="6" s="1"/>
  <c r="J10" i="7"/>
  <c r="H12" i="8"/>
  <c r="J12" i="8" s="1"/>
  <c r="H16" i="8"/>
  <c r="J16" i="8" s="1"/>
  <c r="H9" i="10"/>
  <c r="J9" i="10" s="1"/>
  <c r="H13" i="10"/>
  <c r="J13" i="10" s="1"/>
  <c r="H17" i="10"/>
  <c r="J17" i="10" s="1"/>
  <c r="H10" i="12"/>
  <c r="H14" i="12"/>
  <c r="J14" i="12" s="1"/>
  <c r="J22" i="9"/>
  <c r="H10" i="6"/>
  <c r="J21" i="7"/>
  <c r="J22" i="11"/>
  <c r="H13" i="3"/>
  <c r="J13" i="3" s="1"/>
  <c r="H17" i="3"/>
  <c r="J17" i="3" s="1"/>
  <c r="H10" i="5"/>
  <c r="H14" i="5"/>
  <c r="J14" i="5" s="1"/>
  <c r="H11" i="7"/>
  <c r="J11" i="7" s="1"/>
  <c r="H15" i="7"/>
  <c r="J15" i="7" s="1"/>
  <c r="J10" i="8"/>
  <c r="H12" i="9"/>
  <c r="J12" i="9" s="1"/>
  <c r="H16" i="9"/>
  <c r="J16" i="9" s="1"/>
  <c r="H9" i="11"/>
  <c r="J9" i="11" s="1"/>
  <c r="H13" i="11"/>
  <c r="J13" i="11" s="1"/>
  <c r="H17" i="11"/>
  <c r="J17" i="11" s="1"/>
  <c r="H10" i="13"/>
  <c r="H14" i="13"/>
  <c r="J14" i="13" s="1"/>
  <c r="K22" i="5"/>
  <c r="K22" i="13"/>
  <c r="J21" i="12" l="1"/>
  <c r="J10" i="12"/>
  <c r="J22" i="12"/>
  <c r="J10" i="13"/>
  <c r="J22" i="13"/>
  <c r="J21" i="13"/>
  <c r="J21" i="6"/>
  <c r="J10" i="6"/>
  <c r="J22" i="6"/>
  <c r="J10" i="5"/>
  <c r="J22" i="5"/>
  <c r="J21" i="5"/>
  <c r="J21" i="4"/>
  <c r="J10" i="4"/>
  <c r="J22" i="4"/>
</calcChain>
</file>

<file path=xl/sharedStrings.xml><?xml version="1.0" encoding="utf-8"?>
<sst xmlns="http://schemas.openxmlformats.org/spreadsheetml/2006/main" count="1435" uniqueCount="276">
  <si>
    <t>GRUPO FÉNIX — DIRECCIÓN DE OPERACIONES Y MAQUINARIA PESADA</t>
  </si>
  <si>
    <t>REPORTE HISTÓRICO DE RENDIMIENTO DE MAQUINARIA — CARRETERA LIBRE MÉXICO-TOLUCA</t>
  </si>
  <si>
    <t>Corte Oficial: Semanas 24 a 34 | Frente SICT Huixquilucan | Peso Volumétrico Asfalto: 1,742 kg/m³ (1.742 Ton/m³)</t>
  </si>
  <si>
    <t>PARÁMETROS DE CÁLCULO:</t>
  </si>
  <si>
    <t>PESO VOLUMÉTRICO ASFALTO (Ton/m³):</t>
  </si>
  <si>
    <t>ANCHO CARRIL PROMEDIO:</t>
  </si>
  <si>
    <t>3.50 m</t>
  </si>
  <si>
    <t>ESPESOR COMPACTO:</t>
  </si>
  <si>
    <t>0.06 m (6 cm)</t>
  </si>
  <si>
    <t>No.</t>
  </si>
  <si>
    <t>Económico</t>
  </si>
  <si>
    <t>Equipo / Maquinaria</t>
  </si>
  <si>
    <t>No. Serie</t>
  </si>
  <si>
    <t>Operador Registrado</t>
  </si>
  <si>
    <t>Concepto / Trabajo</t>
  </si>
  <si>
    <t>Viajes Totales</t>
  </si>
  <si>
    <t>Volumen Total (m³)</t>
  </si>
  <si>
    <t>Toneladas Totales (Ton)</t>
  </si>
  <si>
    <t>Diésel Acumulado (L)</t>
  </si>
  <si>
    <t>Rendimiento Real (L/Ton)</t>
  </si>
  <si>
    <t>Rendimiento Real (L/m³)</t>
  </si>
  <si>
    <t>Estatus Operativo</t>
  </si>
  <si>
    <t>PRR-01</t>
  </si>
  <si>
    <t>PERFILADORA WIRTGEN W200i</t>
  </si>
  <si>
    <t>14200089</t>
  </si>
  <si>
    <t>JAVIER PAREDES CORTE</t>
  </si>
  <si>
    <t>Fresado de Pavimento</t>
  </si>
  <si>
    <t>ÓPTIMO / OPERATIVO</t>
  </si>
  <si>
    <t>VG-01</t>
  </si>
  <si>
    <t>PAVIMENTADORA VÖGELE SUPER 1800-3i</t>
  </si>
  <si>
    <t>14821687</t>
  </si>
  <si>
    <t>ERWIN CUTEÑO HERNANDEZ</t>
  </si>
  <si>
    <t>Tendido de Mezcla Asfáltica</t>
  </si>
  <si>
    <t>DR-01</t>
  </si>
  <si>
    <t>COMPACTADOR TÁNDEM HAMM-HD120 VV</t>
  </si>
  <si>
    <t>H1840093</t>
  </si>
  <si>
    <t>JOEL ALBERTO RIVERA RIVAS</t>
  </si>
  <si>
    <t>Compactación Tándem Primaria</t>
  </si>
  <si>
    <t>DR-02</t>
  </si>
  <si>
    <t>COMPACTADOR TÁNDEM HAMM-HD140</t>
  </si>
  <si>
    <t>H1840234</t>
  </si>
  <si>
    <t>ALEXIS RENDON DOMINGUEZ</t>
  </si>
  <si>
    <t>Compactación Tándem Pesada</t>
  </si>
  <si>
    <t>NM-01</t>
  </si>
  <si>
    <t>COMPACTADOR NEUMÁTICO DYNAPAC CP271</t>
  </si>
  <si>
    <t>CP271-980</t>
  </si>
  <si>
    <t>JOSE CARLOS ROMERO TELLEZ</t>
  </si>
  <si>
    <t>Compactación Neumática / Sellado</t>
  </si>
  <si>
    <t>NM-09</t>
  </si>
  <si>
    <t>COMPACTADOR NEUMÁTICO HAMM 208</t>
  </si>
  <si>
    <t>HM-208-114</t>
  </si>
  <si>
    <t>NOLVIN DE JESUS PEREZ GOMEZ</t>
  </si>
  <si>
    <t>Compactación Neumática / Acabado</t>
  </si>
  <si>
    <t>BR-01</t>
  </si>
  <si>
    <t>BARREDORA INDUSTRIAL BROCE BROOM-350</t>
  </si>
  <si>
    <t>51300000-4794</t>
  </si>
  <si>
    <t>EDGAR ROSALES MARTINEZ</t>
  </si>
  <si>
    <t>Limpieza y Barrido Previo</t>
  </si>
  <si>
    <t>RT-05</t>
  </si>
  <si>
    <t>RETROEXCAVADORA JOHN DEERE 310SK</t>
  </si>
  <si>
    <t>1T0310SKAEE262172</t>
  </si>
  <si>
    <t>ADOLFO NAVA LOPEZ</t>
  </si>
  <si>
    <t>Carga Fresado y Derrumbes</t>
  </si>
  <si>
    <t>PT-01</t>
  </si>
  <si>
    <t>PETROLIZADORA INTERNATIONAL / FORD F800</t>
  </si>
  <si>
    <t>3HTMMAAR830567</t>
  </si>
  <si>
    <t>ELTHON EDUARDO MARTINEZ GOMORA</t>
  </si>
  <si>
    <t>Riego de Liga / Emulsión</t>
  </si>
  <si>
    <t>CPR-01</t>
  </si>
  <si>
    <t>COMPRESOR DE AIRE INGERSOLL RAND IR185</t>
  </si>
  <si>
    <t>PHD25B330551</t>
  </si>
  <si>
    <t>CUADRILLA DE LIMPIEZA</t>
  </si>
  <si>
    <t>Sopleteado de Juntas</t>
  </si>
  <si>
    <t>SIN REGISTRO</t>
  </si>
  <si>
    <t>PP-01</t>
  </si>
  <si>
    <t>CAMIÓN IMPACTO / PIPA DE AGUA FORD</t>
  </si>
  <si>
    <t>1FDYR80U0GVA15942</t>
  </si>
  <si>
    <t>CUADRILLA DE AGUA</t>
  </si>
  <si>
    <t>Enfriamiento Rodillos / Riego</t>
  </si>
  <si>
    <t>TL-01</t>
  </si>
  <si>
    <t>TORRE DE LUZ MAXILIGHT 4X1000W</t>
  </si>
  <si>
    <t>MX-4000-22</t>
  </si>
  <si>
    <t>CUADRILLA NOCTURNA</t>
  </si>
  <si>
    <t>Iluminación Nocturna</t>
  </si>
  <si>
    <t>APOYO</t>
  </si>
  <si>
    <t>EQUIPOS DE APOYO / BIDONES / AJUSTES</t>
  </si>
  <si>
    <t>S/N</t>
  </si>
  <si>
    <t>Personal de Apoyo Obra</t>
  </si>
  <si>
    <t>Excavadora 320, Motoconformadora, Bidones</t>
  </si>
  <si>
    <t>—</t>
  </si>
  <si>
    <t>APOYOS PUNTUALES</t>
  </si>
  <si>
    <t>TOTAL CONSOLIDADO OBRA MÉXICO-TOLUCA (SEMANAS 24 A 34)</t>
  </si>
  <si>
    <t>CIERRE GENERAL</t>
  </si>
  <si>
    <t>METODOLOGÍA DE CÁLCULO Y FORMULACIÓN DINÁMICA DE EXCEL</t>
  </si>
  <si>
    <t>1. Peso Volumétrico del Asfalto (1,742 kg/m³):</t>
  </si>
  <si>
    <t>Cada m³ de material se convierte a toneladas mediante la fórmula '=Volumen * $F$5' (donde F5 = 1.742 Ton/m³). Permite evaluar el tonelaje real acarreado y tendido por viaje.</t>
  </si>
  <si>
    <t>2. Rendimiento Real por Tonelada (L/Ton):</t>
  </si>
  <si>
    <t>Fórmula: '=IF(Toneladas&gt;0, Diésel/Toneladas, 0)'. Mide los litros de combustible consumidos por cada tonelada de material procesado o tendido en el frente.</t>
  </si>
  <si>
    <t>3. Rendimiento Real por Metro Cúbico (L/m³):</t>
  </si>
  <si>
    <t>Fórmula: '=IF(Volumen&gt;0, Diésel/Volumen, 0)'. Mide el consumo volumétrico directo contra la cubicación de los viajes de camión de volteo.</t>
  </si>
  <si>
    <t>4. Fórmulas Dinámicas para Semanas 33 y 34:</t>
  </si>
  <si>
    <t>Todas las celdas de las pestañas semanales y del histórico están ligadas con fórmulas dinámicas. Al capturar los datos de acarreos de las semanas 33 y 34, los tonelajes y rendimientos se calcularán de manera automática.</t>
  </si>
  <si>
    <t>GRUPO FÉNIX — INGENIERÍA DE MAQUINARIA PESADA Y CONTROL TÉCNICO</t>
  </si>
  <si>
    <t>CÁLCULO DE RENDIMIENTO BASE DE FABRICANTE Y AJUSTE POR DEPRECIACIÓN Y DESGASTE OPERATIVO</t>
  </si>
  <si>
    <t>Parámetros: Año 2026 | Tasa Desgaste: 1.2% anual en motor e inyección | Carretera Libre México-Toluca</t>
  </si>
  <si>
    <t>Marca / Modelo</t>
  </si>
  <si>
    <t>Año Fab.</t>
  </si>
  <si>
    <t>Edad (Años)</t>
  </si>
  <si>
    <t>Rendimiento Nuevo Fabricante</t>
  </si>
  <si>
    <t>Tasa Desgaste Anual (%)</t>
  </si>
  <si>
    <t>Desgaste Acumulado (%)</t>
  </si>
  <si>
    <t>Rendimiento Base Ajustado (2026)</t>
  </si>
  <si>
    <t>Rango Mínimo (L/h)</t>
  </si>
  <si>
    <t>Rango Máximo (L/h)</t>
  </si>
  <si>
    <t>Observaciones Técnicas de Operación</t>
  </si>
  <si>
    <t>WIRTGEN W200i</t>
  </si>
  <si>
    <t>60.0 L/h</t>
  </si>
  <si>
    <t>1.2%</t>
  </si>
  <si>
    <t>12.0%</t>
  </si>
  <si>
    <t>67.20 L/h</t>
  </si>
  <si>
    <t>57.12</t>
  </si>
  <si>
    <t>80.64</t>
  </si>
  <si>
    <t>Fresado de carpeta asfáltica en tramos de 5-7 cm de profundidad.</t>
  </si>
  <si>
    <t>VÖGELE SUPER 1800-3i</t>
  </si>
  <si>
    <t>14.5 L/h</t>
  </si>
  <si>
    <t>16.24 L/h</t>
  </si>
  <si>
    <t>13.80</t>
  </si>
  <si>
    <t>19.49</t>
  </si>
  <si>
    <t>Tendido continuo de mezcla en caliente con regla térmica.</t>
  </si>
  <si>
    <t>HAMM HD120 VV</t>
  </si>
  <si>
    <t>12.0 L/h</t>
  </si>
  <si>
    <t>19.2%</t>
  </si>
  <si>
    <t>14.30 L/h</t>
  </si>
  <si>
    <t>12.16</t>
  </si>
  <si>
    <t>17.16</t>
  </si>
  <si>
    <t>Compactación inicial y vibrado de carpeta asfáltica.</t>
  </si>
  <si>
    <t>HAMM HD140</t>
  </si>
  <si>
    <t>Compactación pesada de rodillos dobles lisos.</t>
  </si>
  <si>
    <t>DYNAPAC CP271</t>
  </si>
  <si>
    <t>10.0 L/h</t>
  </si>
  <si>
    <t>14.4%</t>
  </si>
  <si>
    <t>11.44 L/h</t>
  </si>
  <si>
    <t>9.72</t>
  </si>
  <si>
    <t>13.73</t>
  </si>
  <si>
    <t>Sellado superficial y amasado neumático de mezcla.</t>
  </si>
  <si>
    <t>HAMM 208</t>
  </si>
  <si>
    <t>9.6%</t>
  </si>
  <si>
    <t>10.96 L/h</t>
  </si>
  <si>
    <t>9.32</t>
  </si>
  <si>
    <t>13.15</t>
  </si>
  <si>
    <t>Compactación y terminado neumático fino.</t>
  </si>
  <si>
    <t>BROCE BROOM RJ-350</t>
  </si>
  <si>
    <t>7.5 L/h</t>
  </si>
  <si>
    <t>8.94 L/h</t>
  </si>
  <si>
    <t>7.60</t>
  </si>
  <si>
    <t>10.73</t>
  </si>
  <si>
    <t>Limpieza y barrido previo al riego de liga y tendido.</t>
  </si>
  <si>
    <t>JOHN DEERE 310SK</t>
  </si>
  <si>
    <t>6.5 L/h</t>
  </si>
  <si>
    <t>7.44 L/h</t>
  </si>
  <si>
    <t>6.32</t>
  </si>
  <si>
    <t>8.92</t>
  </si>
  <si>
    <t>Carga y desalojo de producto de fresado, orillas y derrumbes SICT.</t>
  </si>
  <si>
    <t>INTERNATIONAL 4300 / F800</t>
  </si>
  <si>
    <t>27.6%</t>
  </si>
  <si>
    <t>12.76 L/h</t>
  </si>
  <si>
    <t>10.85</t>
  </si>
  <si>
    <t>15.31</t>
  </si>
  <si>
    <t>Aplicación de emulsión asfáltica para riego de liga.</t>
  </si>
  <si>
    <t>INGERSOLL RAND IR185 / D2010</t>
  </si>
  <si>
    <t>9.0 L/h</t>
  </si>
  <si>
    <t>10.8%</t>
  </si>
  <si>
    <t>9.97 L/h</t>
  </si>
  <si>
    <t>8.48</t>
  </si>
  <si>
    <t>11.97</t>
  </si>
  <si>
    <t>Sopleteado de superficie y juntas antes de pavimentar.</t>
  </si>
  <si>
    <t>FORD F800 / 4300</t>
  </si>
  <si>
    <t>3.5 km/L</t>
  </si>
  <si>
    <t>15.6%</t>
  </si>
  <si>
    <t>3.03 km/L</t>
  </si>
  <si>
    <t>2.57</t>
  </si>
  <si>
    <t>3.48</t>
  </si>
  <si>
    <t>Suministro de agua para enfriamiento de rodillos y compactación.</t>
  </si>
  <si>
    <t>ALLMAND MAXILIGHT</t>
  </si>
  <si>
    <t>2.2 L/h</t>
  </si>
  <si>
    <t>2.41 L/h</t>
  </si>
  <si>
    <t>2.05</t>
  </si>
  <si>
    <t>2.89</t>
  </si>
  <si>
    <t>Iluminación en frentes de trabajo nocturno.</t>
  </si>
  <si>
    <t>GRUPO FÉNIX — CONTROL SEMANAL DE RENDIMIENTO DE MAQUINARIA (SEMANA 24)</t>
  </si>
  <si>
    <t>OBRA: CARRETERA LIBRE MÉXICO-TOLUCA | PERIODO: 08/Jun/2026 - 13/Jun/2026 | FRENTE: SICT HUIXQUILUCAN</t>
  </si>
  <si>
    <t>1. PARÁMETROS:</t>
  </si>
  <si>
    <t>2. FRESADO SEMANAL:</t>
  </si>
  <si>
    <t>Viajes de Fresado:</t>
  </si>
  <si>
    <t>Volumen Fresado (m³):</t>
  </si>
  <si>
    <t>Toneladas Fresado (Ton):</t>
  </si>
  <si>
    <t>3. CARPETA SEMANAL:</t>
  </si>
  <si>
    <t>Viajes de Mezcla:</t>
  </si>
  <si>
    <t>Volumen Carpeta (m³):</t>
  </si>
  <si>
    <t>Toneladas Carpeta (Ton):</t>
  </si>
  <si>
    <t>Operador Asignado</t>
  </si>
  <si>
    <t>Concepto de Trabajo</t>
  </si>
  <si>
    <t>Viajes Asignados</t>
  </si>
  <si>
    <t>Volumen (m³)</t>
  </si>
  <si>
    <t>Toneladas (Ton)</t>
  </si>
  <si>
    <t>Diésel Surtido (L)</t>
  </si>
  <si>
    <t>Rend. Base (L/h)</t>
  </si>
  <si>
    <t>Horas Est. Operación</t>
  </si>
  <si>
    <t>OPERACIÓN NORMAL</t>
  </si>
  <si>
    <t>SIN CONSUMO (Inactiva)</t>
  </si>
  <si>
    <t>Cuadrillas Obra</t>
  </si>
  <si>
    <t>Apoyo Vial, Sopleteado, Excavadora</t>
  </si>
  <si>
    <t>TOTAL SEMANA 24 (OBRA CARRETERA MÉXICO-TOLUCA)</t>
  </si>
  <si>
    <t>SEMANA REGISTRADA</t>
  </si>
  <si>
    <t>GRUPO FÉNIX — CONTROL SEMANAL DE RENDIMIENTO DE MAQUINARIA (SEMANA 25)</t>
  </si>
  <si>
    <t>OBRA: CARRETERA LIBRE MÉXICO-TOLUCA | PERIODO: 15/Jun/2026 - 19/Jun/2026 | FRENTE: SICT HUIXQUILUCAN</t>
  </si>
  <si>
    <t>TOTAL SEMANA 25 (OBRA CARRETERA MÉXICO-TOLUCA)</t>
  </si>
  <si>
    <t>GRUPO FÉNIX — CONTROL SEMANAL DE RENDIMIENTO DE MAQUINARIA (SEMANA 26)</t>
  </si>
  <si>
    <t>OBRA: CARRETERA LIBRE MÉXICO-TOLUCA | PERIODO: 22/Jun/2026 - 27/Jun/2026 | FRENTE: SICT HUIXQUILUCAN</t>
  </si>
  <si>
    <t>TOTAL SEMANA 26 (OBRA CARRETERA MÉXICO-TOLUCA)</t>
  </si>
  <si>
    <t>GRUPO FÉNIX — CONTROL SEMANAL DE RENDIMIENTO DE MAQUINARIA (SEMANA 27)</t>
  </si>
  <si>
    <t>OBRA: CARRETERA LIBRE MÉXICO-TOLUCA | PERIODO: 29/Jun/2026 - 04/Jul/2026 | FRENTE: SICT HUIXQUILUCAN</t>
  </si>
  <si>
    <t>TOTAL SEMANA 27 (OBRA CARRETERA MÉXICO-TOLUCA)</t>
  </si>
  <si>
    <t>GRUPO FÉNIX — CONTROL SEMANAL DE RENDIMIENTO DE MAQUINARIA (SEMANA 28)</t>
  </si>
  <si>
    <t>OBRA: CARRETERA LIBRE MÉXICO-TOLUCA | PERIODO: 06/Jul/2026 - 11/Jul/2026 | FRENTE: SICT HUIXQUILUCAN</t>
  </si>
  <si>
    <t>TOTAL SEMANA 28 (OBRA CARRETERA MÉXICO-TOLUCA)</t>
  </si>
  <si>
    <t>GRUPO FÉNIX — CONTROL SEMANAL DE RENDIMIENTO DE MAQUINARIA (SEMANA 29)</t>
  </si>
  <si>
    <t>OBRA: CARRETERA LIBRE MÉXICO-TOLUCA | PERIODO: 13/Jul/2026 - 18/Jul/2026 | FRENTE: SICT HUIXQUILUCAN</t>
  </si>
  <si>
    <t>TOTAL SEMANA 29 (OBRA CARRETERA MÉXICO-TOLUCA)</t>
  </si>
  <si>
    <t>GRUPO FÉNIX — CONTROL SEMANAL DE RENDIMIENTO DE MAQUINARIA (SEMANA 30)</t>
  </si>
  <si>
    <t>OBRA: CARRETERA LIBRE MÉXICO-TOLUCA | PERIODO: 20/Jul/2026 - 25/Jul/2026 | FRENTE: SICT HUIXQUILUCAN</t>
  </si>
  <si>
    <t>TOTAL SEMANA 30 (OBRA CARRETERA MÉXICO-TOLUCA)</t>
  </si>
  <si>
    <t>GRUPO FÉNIX — CONTROL SEMANAL DE RENDIMIENTO DE MAQUINARIA (SEMANA 31)</t>
  </si>
  <si>
    <t>OBRA: CARRETERA LIBRE MÉXICO-TOLUCA | PERIODO: 27/Jul/2026 - 01/Ago/2026 | FRENTE: SICT HUIXQUILUCAN</t>
  </si>
  <si>
    <t>TOTAL SEMANA 31 (OBRA CARRETERA MÉXICO-TOLUCA)</t>
  </si>
  <si>
    <t>GRUPO FÉNIX — CONTROL SEMANAL DE RENDIMIENTO DE MAQUINARIA (SEMANA 32)</t>
  </si>
  <si>
    <t>OBRA: CARRETERA LIBRE MÉXICO-TOLUCA | PERIODO: 03/Ago/2026 - 08/Ago/2026 | FRENTE: SICT HUIXQUILUCAN</t>
  </si>
  <si>
    <t>TOTAL SEMANA 32 (OBRA CARRETERA MÉXICO-TOLUCA)</t>
  </si>
  <si>
    <t>GRUPO FÉNIX — CONTROL SEMANAL DE RENDIMIENTO DE MAQUINARIA (SEMANA 33)</t>
  </si>
  <si>
    <t>OBRA: CARRETERA LIBRE MÉXICO-TOLUCA | PERIODO: 10/Ago/2026 - 15/Ago/2026 | FRENTE: SICT HUIXQUILUCAN</t>
  </si>
  <si>
    <t>TOTAL SEMANA 33 (OBRA CARRETERA MÉXICO-TOLUCA)</t>
  </si>
  <si>
    <t>GRUPO FÉNIX — CONTROL SEMANAL DE RENDIMIENTO DE MAQUINARIA (SEMANA 34)</t>
  </si>
  <si>
    <t>OBRA: CARRETERA LIBRE MÉXICO-TOLUCA | PERIODO: 17/Ago/2026 - 22/Ago/2026 | FRENTE: SICT HUIXQUILUCAN</t>
  </si>
  <si>
    <t>TOTAL SEMANA 34 (OBRA CARRETERA MÉXICO-TOLUCA)</t>
  </si>
  <si>
    <t>GRUPO FÉNIX — RESUMEN EJECUTIVO Y MATRIZ COMPARATIVA DE RENDIMIENTOS</t>
  </si>
  <si>
    <t>EVOLUCIÓN SEMANAL DE CONSUMO DE COMBUSTIBLE Y PRODUCCIÓN EN CARRETERA MÉXICO-TOLUCA (SEM 24 A 34)</t>
  </si>
  <si>
    <t>MATRIZ 1: CONSUMO DE DIÉSEL POR EQUIPO SEMANA A SEMANA (LITROS)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</si>
  <si>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</si>
  <si>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</si>
  <si>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</si>
  <si>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</si>
  <si>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</si>
  <si>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</si>
  <si>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</si>
  <si>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</si>
  <si>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</si>
  <si>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</si>
  <si>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</si>
  <si>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Total (L)</t>
  </si>
  <si>
    <t>Prom Sem (L)</t>
  </si>
  <si>
    <t>Equipos de Apoyo / Bidones / Ajustes</t>
  </si>
  <si>
    <t>TOTAL CONSUMO DIÉSEL OBRA (L)</t>
  </si>
  <si>
    <t>MATRIZ 2: EVOLUCIÓN SEMANAL DE PRODUCCIÓN EN CAMPO (SEM 24 A 34)</t>
  </si>
  <si>
    <t>Concepto de Producción</t>
  </si>
  <si>
    <t>Unidad</t>
  </si>
  <si>
    <t>Total Acumulado</t>
  </si>
  <si>
    <t>Promedio Semanal</t>
  </si>
  <si>
    <t>Fresado de Pavimento (Volumen)</t>
  </si>
  <si>
    <t>m³</t>
  </si>
  <si>
    <t>Fresado de Pavimento (Peso)</t>
  </si>
  <si>
    <t>Ton</t>
  </si>
  <si>
    <t>Fresado de Pavimento (Viajes)</t>
  </si>
  <si>
    <t>Viajes</t>
  </si>
  <si>
    <t>Carpeta Asfáltica (Volumen)</t>
  </si>
  <si>
    <t>Carpeta Asfáltica (Peso)</t>
  </si>
  <si>
    <t>Carpeta Asfáltica (Viajes Mezcla)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</si>
</sst>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\ &quot;hrs&quot;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i/>
      <sz val="9.5"/>
      <color rgb="FF334155"/>
      <name val="Segoe UI"/>
    </font>
    <font>
      <b/>
      <sz val="9.5"/>
      <color rgb="FF1E3A5F"/>
      <name val="Segoe UI"/>
    </font>
    <font>
      <b/>
      <sz val="9"/>
      <color rgb="FF334155"/>
      <name val="Segoe UI"/>
    </font>
    <font>
      <b/>
      <sz val="10"/>
      <color rgb="FF0F172A"/>
      <name val="Segoe UI"/>
    </font>
    <font>
      <b/>
      <sz val="9.5"/>
      <color rgb="FF0F172A"/>
      <name val="Segoe UI"/>
    </font>
    <font>
      <b/>
      <sz val="9.5"/>
      <color rgb="FFFFFFFF"/>
      <name val="Segoe UI"/>
    </font>
    <font>
      <sz val="9"/>
      <name val="Segoe UI"/>
    </font>
    <font>
      <b/>
      <sz val="8.5"/>
      <color rgb="FF475569"/>
      <name val="Segoe UI"/>
    </font>
    <font>
      <b/>
      <sz val="10"/>
      <color rgb="FFFFFFFF"/>
      <name val="Segoe UI"/>
    </font>
    <font>
      <b/>
      <sz val="9"/>
      <color rgb="FF1E293B"/>
      <name val="Segoe UI"/>
    </font>
    <font>
      <sz val="8.5"/>
      <color rgb="FF334155"/>
      <name val="Segoe UI"/>
    </font>
    <font>
      <b/>
      <sz val="13"/>
      <color rgb="FFFFFFFF"/>
      <name val="Segoe UI"/>
    </font>
    <font>
      <b/>
      <sz val="10.5"/>
      <color rgb="FFFFFFFF"/>
      <name val="Segoe UI"/>
    </font>
    <font>
      <b/>
      <sz val="9"/>
      <name val="Segoe UI"/>
    </font>
    <font>
      <b/>
      <sz val="9.5"/>
      <name val="Segoe UI"/>
    </font>
    <font>
      <b/>
      <sz val="10.5"/>
      <color rgb="FF1E3A5F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CCFBF1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/>
    <xf numFmtId="0" fontId="5" fillId="0" borderId="0" xfId="0" applyFont="1"/>
    <xf numFmtId="164" fontId="6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3" fontId="9" fillId="7" borderId="1" xfId="0" applyNumberFormat="1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right"/>
    </xf>
    <xf numFmtId="164" fontId="9" fillId="7" borderId="1" xfId="0" applyNumberFormat="1" applyFont="1" applyFill="1" applyBorder="1" applyAlignment="1">
      <alignment horizontal="right"/>
    </xf>
    <xf numFmtId="0" fontId="9" fillId="6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/>
    </xf>
    <xf numFmtId="3" fontId="9" fillId="8" borderId="1" xfId="0" applyNumberFormat="1" applyFont="1" applyFill="1" applyBorder="1" applyAlignment="1">
      <alignment horizontal="center"/>
    </xf>
    <xf numFmtId="4" fontId="9" fillId="8" borderId="1" xfId="0" applyNumberFormat="1" applyFont="1" applyFill="1" applyBorder="1" applyAlignment="1">
      <alignment horizontal="right"/>
    </xf>
    <xf numFmtId="164" fontId="9" fillId="8" borderId="1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4" fontId="0" fillId="4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4" fontId="8" fillId="2" borderId="2" xfId="0" applyNumberFormat="1" applyFont="1" applyFill="1" applyBorder="1" applyAlignment="1">
      <alignment horizontal="right"/>
    </xf>
    <xf numFmtId="4" fontId="11" fillId="2" borderId="2" xfId="0" applyNumberFormat="1" applyFont="1" applyFill="1" applyBorder="1" applyAlignment="1">
      <alignment horizontal="right"/>
    </xf>
    <xf numFmtId="164" fontId="8" fillId="2" borderId="2" xfId="0" applyNumberFormat="1" applyFont="1" applyFill="1" applyBorder="1" applyAlignment="1">
      <alignment horizontal="right"/>
    </xf>
    <xf numFmtId="0" fontId="8" fillId="2" borderId="2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right" vertical="center"/>
    </xf>
    <xf numFmtId="0" fontId="16" fillId="0" borderId="0" xfId="0" applyFont="1"/>
    <xf numFmtId="3" fontId="17" fillId="0" borderId="1" xfId="0" applyNumberFormat="1" applyFont="1" applyBorder="1" applyAlignment="1">
      <alignment horizontal="center"/>
    </xf>
    <xf numFmtId="4" fontId="17" fillId="0" borderId="1" xfId="0" applyNumberFormat="1" applyFont="1" applyBorder="1" applyAlignment="1">
      <alignment horizontal="right"/>
    </xf>
    <xf numFmtId="4" fontId="7" fillId="4" borderId="1" xfId="0" applyNumberFormat="1" applyFont="1" applyFill="1" applyBorder="1" applyAlignment="1">
      <alignment horizontal="right"/>
    </xf>
    <xf numFmtId="2" fontId="9" fillId="7" borderId="1" xfId="0" applyNumberFormat="1" applyFont="1" applyFill="1" applyBorder="1" applyAlignment="1">
      <alignment horizontal="right"/>
    </xf>
    <xf numFmtId="165" fontId="9" fillId="7" borderId="1" xfId="0" applyNumberFormat="1" applyFont="1" applyFill="1" applyBorder="1" applyAlignment="1">
      <alignment horizontal="right"/>
    </xf>
    <xf numFmtId="2" fontId="9" fillId="8" borderId="1" xfId="0" applyNumberFormat="1" applyFont="1" applyFill="1" applyBorder="1" applyAlignment="1">
      <alignment horizontal="right"/>
    </xf>
    <xf numFmtId="165" fontId="9" fillId="8" borderId="1" xfId="0" applyNumberFormat="1" applyFont="1" applyFill="1" applyBorder="1" applyAlignment="1">
      <alignment horizontal="right"/>
    </xf>
    <xf numFmtId="165" fontId="8" fillId="2" borderId="2" xfId="0" applyNumberFormat="1" applyFont="1" applyFill="1" applyBorder="1" applyAlignment="1">
      <alignment horizontal="right"/>
    </xf>
    <xf numFmtId="0" fontId="18" fillId="0" borderId="0" xfId="0" applyFont="1"/>
    <xf numFmtId="0" fontId="8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4" fontId="0" fillId="7" borderId="1" xfId="0" applyNumberFormat="1" applyFill="1" applyBorder="1" applyAlignment="1">
      <alignment horizontal="right"/>
    </xf>
    <xf numFmtId="4" fontId="16" fillId="7" borderId="1" xfId="0" applyNumberFormat="1" applyFont="1" applyFill="1" applyBorder="1" applyAlignment="1">
      <alignment horizontal="right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4" fontId="0" fillId="8" borderId="1" xfId="0" applyNumberFormat="1" applyFill="1" applyBorder="1" applyAlignment="1">
      <alignment horizontal="right"/>
    </xf>
    <xf numFmtId="4" fontId="16" fillId="8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4" fontId="16" fillId="4" borderId="1" xfId="0" applyNumberFormat="1" applyFont="1" applyFill="1" applyBorder="1" applyAlignment="1">
      <alignment horizontal="right"/>
    </xf>
    <xf numFmtId="4" fontId="8" fillId="2" borderId="2" xfId="0" applyNumberFormat="1" applyFont="1" applyFill="1" applyBorder="1" applyAlignment="1">
      <alignment horizontal="right" vertical="center"/>
    </xf>
    <xf numFmtId="4" fontId="11" fillId="2" borderId="2" xfId="0" applyNumberFormat="1" applyFont="1" applyFill="1" applyBorder="1" applyAlignment="1">
      <alignment horizontal="right" vertical="center"/>
    </xf>
    <xf numFmtId="3" fontId="0" fillId="7" borderId="1" xfId="0" applyNumberFormat="1" applyFill="1" applyBorder="1" applyAlignment="1">
      <alignment horizontal="right"/>
    </xf>
    <xf numFmtId="3" fontId="16" fillId="7" borderId="1" xfId="0" applyNumberFormat="1" applyFont="1" applyFill="1" applyBorder="1" applyAlignment="1">
      <alignment horizontal="right"/>
    </xf>
    <xf numFmtId="3" fontId="0" fillId="8" borderId="1" xfId="0" applyNumberFormat="1" applyFill="1" applyBorder="1" applyAlignment="1">
      <alignment horizontal="right"/>
    </xf>
    <xf numFmtId="3" fontId="16" fillId="8" borderId="1" xfId="0" applyNumberFormat="1" applyFont="1" applyFill="1" applyBorder="1" applyAlignment="1">
      <alignment horizontal="right"/>
    </xf>
    <xf numFmtId="0" fontId="13" fillId="7" borderId="1" xfId="0" applyFont="1" applyFill="1" applyBorder="1" applyAlignment="1">
      <alignment horizontal="left" vertical="center"/>
    </xf>
    <xf numFmtId="0" fontId="0" fillId="0" borderId="1" xfId="0" applyBorder="1"/>
    <xf numFmtId="0" fontId="12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right" vertical="center"/>
    </xf>
    <xf numFmtId="0" fontId="0" fillId="0" borderId="2" xfId="0" applyBorder="1"/>
    <xf numFmtId="0" fontId="1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sqref="A1:M1"/>
    </sheetView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3" ht="28.05" customHeight="1" x14ac:dyDescent="0.3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22.05" customHeight="1" x14ac:dyDescent="0.3">
      <c r="A2" s="72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18" customHeight="1" x14ac:dyDescent="0.3">
      <c r="A3" s="68" t="s">
        <v>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5" spans="1:13" ht="15" x14ac:dyDescent="0.35">
      <c r="A5" s="1" t="s">
        <v>3</v>
      </c>
      <c r="C5" s="2" t="s">
        <v>4</v>
      </c>
      <c r="F5" s="3">
        <v>1.742</v>
      </c>
      <c r="H5" s="2" t="s">
        <v>5</v>
      </c>
      <c r="J5" s="4" t="s">
        <v>6</v>
      </c>
      <c r="K5" s="2" t="s">
        <v>7</v>
      </c>
      <c r="M5" s="4" t="s">
        <v>8</v>
      </c>
    </row>
    <row r="8" spans="1:13" ht="25.95" customHeight="1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  <c r="M8" s="5" t="s">
        <v>21</v>
      </c>
    </row>
    <row r="9" spans="1:13" ht="19.95" customHeight="1" x14ac:dyDescent="0.3">
      <c r="A9" s="6">
        <v>1</v>
      </c>
      <c r="B9" s="6" t="s">
        <v>22</v>
      </c>
      <c r="C9" s="7" t="s">
        <v>23</v>
      </c>
      <c r="D9" s="6" t="s">
        <v>24</v>
      </c>
      <c r="E9" s="7" t="s">
        <v>25</v>
      </c>
      <c r="F9" s="7" t="s">
        <v>26</v>
      </c>
      <c r="G9" s="8">
        <v>920</v>
      </c>
      <c r="H9" s="9">
        <v>12116</v>
      </c>
      <c r="I9" s="9">
        <f t="shared" ref="I9:I21" si="0">H9*$F$5</f>
        <v>21106.072</v>
      </c>
      <c r="J9" s="9">
        <v>13024</v>
      </c>
      <c r="K9" s="10">
        <f t="shared" ref="K9:K20" si="1">IF(I9&gt;0, J9/I9, 0)</f>
        <v>0.61707360801195033</v>
      </c>
      <c r="L9" s="10">
        <f t="shared" ref="L9:L20" si="2">IF(H9&gt;0, J9/H9, 0)</f>
        <v>1.0749422251568175</v>
      </c>
      <c r="M9" s="11" t="s">
        <v>27</v>
      </c>
    </row>
    <row r="10" spans="1:13" ht="19.95" customHeight="1" x14ac:dyDescent="0.3">
      <c r="A10" s="12">
        <v>2</v>
      </c>
      <c r="B10" s="12" t="s">
        <v>28</v>
      </c>
      <c r="C10" s="13" t="s">
        <v>29</v>
      </c>
      <c r="D10" s="12" t="s">
        <v>30</v>
      </c>
      <c r="E10" s="13" t="s">
        <v>31</v>
      </c>
      <c r="F10" s="13" t="s">
        <v>32</v>
      </c>
      <c r="G10" s="14">
        <v>585</v>
      </c>
      <c r="H10" s="15">
        <v>7537</v>
      </c>
      <c r="I10" s="15">
        <f t="shared" si="0"/>
        <v>13129.454</v>
      </c>
      <c r="J10" s="15">
        <v>5215</v>
      </c>
      <c r="K10" s="16">
        <f t="shared" si="1"/>
        <v>0.39719854306203445</v>
      </c>
      <c r="L10" s="16">
        <f t="shared" si="2"/>
        <v>0.69191986201406397</v>
      </c>
      <c r="M10" s="11" t="s">
        <v>27</v>
      </c>
    </row>
    <row r="11" spans="1:13" ht="19.95" customHeight="1" x14ac:dyDescent="0.3">
      <c r="A11" s="6">
        <v>3</v>
      </c>
      <c r="B11" s="6" t="s">
        <v>33</v>
      </c>
      <c r="C11" s="7" t="s">
        <v>34</v>
      </c>
      <c r="D11" s="6" t="s">
        <v>35</v>
      </c>
      <c r="E11" s="7" t="s">
        <v>36</v>
      </c>
      <c r="F11" s="7" t="s">
        <v>37</v>
      </c>
      <c r="G11" s="8">
        <v>585</v>
      </c>
      <c r="H11" s="9">
        <v>7537</v>
      </c>
      <c r="I11" s="9">
        <f t="shared" si="0"/>
        <v>13129.454</v>
      </c>
      <c r="J11" s="9">
        <v>1259</v>
      </c>
      <c r="K11" s="10">
        <f t="shared" si="1"/>
        <v>9.5891268593499779E-2</v>
      </c>
      <c r="L11" s="10">
        <f t="shared" si="2"/>
        <v>0.16704258988987661</v>
      </c>
      <c r="M11" s="11" t="s">
        <v>27</v>
      </c>
    </row>
    <row r="12" spans="1:13" ht="19.95" customHeight="1" x14ac:dyDescent="0.3">
      <c r="A12" s="12">
        <v>4</v>
      </c>
      <c r="B12" s="12" t="s">
        <v>38</v>
      </c>
      <c r="C12" s="13" t="s">
        <v>39</v>
      </c>
      <c r="D12" s="12" t="s">
        <v>40</v>
      </c>
      <c r="E12" s="13" t="s">
        <v>41</v>
      </c>
      <c r="F12" s="13" t="s">
        <v>42</v>
      </c>
      <c r="G12" s="14">
        <v>585</v>
      </c>
      <c r="H12" s="15">
        <v>7537</v>
      </c>
      <c r="I12" s="15">
        <f t="shared" si="0"/>
        <v>13129.454</v>
      </c>
      <c r="J12" s="15">
        <v>964</v>
      </c>
      <c r="K12" s="16">
        <f t="shared" si="1"/>
        <v>7.3422702878581242E-2</v>
      </c>
      <c r="L12" s="16">
        <f t="shared" si="2"/>
        <v>0.12790234841448853</v>
      </c>
      <c r="M12" s="11" t="s">
        <v>27</v>
      </c>
    </row>
    <row r="13" spans="1:13" ht="19.95" customHeight="1" x14ac:dyDescent="0.3">
      <c r="A13" s="6">
        <v>5</v>
      </c>
      <c r="B13" s="6" t="s">
        <v>43</v>
      </c>
      <c r="C13" s="7" t="s">
        <v>44</v>
      </c>
      <c r="D13" s="6" t="s">
        <v>45</v>
      </c>
      <c r="E13" s="7" t="s">
        <v>46</v>
      </c>
      <c r="F13" s="7" t="s">
        <v>47</v>
      </c>
      <c r="G13" s="8">
        <v>585</v>
      </c>
      <c r="H13" s="9">
        <v>7537</v>
      </c>
      <c r="I13" s="9">
        <f t="shared" si="0"/>
        <v>13129.454</v>
      </c>
      <c r="J13" s="9">
        <v>1511</v>
      </c>
      <c r="K13" s="10">
        <f t="shared" si="1"/>
        <v>0.11508475523810816</v>
      </c>
      <c r="L13" s="10">
        <f t="shared" si="2"/>
        <v>0.2004776436247844</v>
      </c>
      <c r="M13" s="11" t="s">
        <v>27</v>
      </c>
    </row>
    <row r="14" spans="1:13" ht="19.95" customHeight="1" x14ac:dyDescent="0.3">
      <c r="A14" s="12">
        <v>6</v>
      </c>
      <c r="B14" s="12" t="s">
        <v>48</v>
      </c>
      <c r="C14" s="13" t="s">
        <v>49</v>
      </c>
      <c r="D14" s="12" t="s">
        <v>50</v>
      </c>
      <c r="E14" s="13" t="s">
        <v>51</v>
      </c>
      <c r="F14" s="13" t="s">
        <v>52</v>
      </c>
      <c r="G14" s="14">
        <v>585</v>
      </c>
      <c r="H14" s="15">
        <v>7537</v>
      </c>
      <c r="I14" s="15">
        <f t="shared" si="0"/>
        <v>13129.454</v>
      </c>
      <c r="J14" s="15">
        <v>683</v>
      </c>
      <c r="K14" s="16">
        <f t="shared" si="1"/>
        <v>5.2020441977252065E-2</v>
      </c>
      <c r="L14" s="16">
        <f t="shared" si="2"/>
        <v>9.0619609924373096E-2</v>
      </c>
      <c r="M14" s="11" t="s">
        <v>27</v>
      </c>
    </row>
    <row r="15" spans="1:13" ht="19.95" customHeight="1" x14ac:dyDescent="0.3">
      <c r="A15" s="6">
        <v>7</v>
      </c>
      <c r="B15" s="6" t="s">
        <v>53</v>
      </c>
      <c r="C15" s="7" t="s">
        <v>54</v>
      </c>
      <c r="D15" s="6" t="s">
        <v>55</v>
      </c>
      <c r="E15" s="7" t="s">
        <v>56</v>
      </c>
      <c r="F15" s="7" t="s">
        <v>57</v>
      </c>
      <c r="G15" s="8">
        <v>585</v>
      </c>
      <c r="H15" s="9">
        <v>7537</v>
      </c>
      <c r="I15" s="9">
        <f t="shared" si="0"/>
        <v>13129.454</v>
      </c>
      <c r="J15" s="9">
        <v>940</v>
      </c>
      <c r="K15" s="10">
        <f t="shared" si="1"/>
        <v>7.1594751769570919E-2</v>
      </c>
      <c r="L15" s="10">
        <f t="shared" si="2"/>
        <v>0.12471805758259254</v>
      </c>
      <c r="M15" s="11" t="s">
        <v>27</v>
      </c>
    </row>
    <row r="16" spans="1:13" ht="19.95" customHeight="1" x14ac:dyDescent="0.3">
      <c r="A16" s="12">
        <v>8</v>
      </c>
      <c r="B16" s="12" t="s">
        <v>58</v>
      </c>
      <c r="C16" s="13" t="s">
        <v>59</v>
      </c>
      <c r="D16" s="12" t="s">
        <v>60</v>
      </c>
      <c r="E16" s="13" t="s">
        <v>61</v>
      </c>
      <c r="F16" s="13" t="s">
        <v>62</v>
      </c>
      <c r="G16" s="14">
        <v>920</v>
      </c>
      <c r="H16" s="15">
        <v>12116</v>
      </c>
      <c r="I16" s="15">
        <f t="shared" si="0"/>
        <v>21106.072</v>
      </c>
      <c r="J16" s="15">
        <v>3588</v>
      </c>
      <c r="K16" s="16">
        <f t="shared" si="1"/>
        <v>0.16999847247749367</v>
      </c>
      <c r="L16" s="16">
        <f t="shared" si="2"/>
        <v>0.29613733905579398</v>
      </c>
      <c r="M16" s="11" t="s">
        <v>27</v>
      </c>
    </row>
    <row r="17" spans="1:13" ht="19.95" customHeight="1" x14ac:dyDescent="0.3">
      <c r="A17" s="6">
        <v>9</v>
      </c>
      <c r="B17" s="6" t="s">
        <v>63</v>
      </c>
      <c r="C17" s="7" t="s">
        <v>64</v>
      </c>
      <c r="D17" s="6" t="s">
        <v>65</v>
      </c>
      <c r="E17" s="7" t="s">
        <v>66</v>
      </c>
      <c r="F17" s="7" t="s">
        <v>67</v>
      </c>
      <c r="G17" s="8">
        <v>585</v>
      </c>
      <c r="H17" s="9">
        <v>7537</v>
      </c>
      <c r="I17" s="9">
        <f t="shared" si="0"/>
        <v>13129.454</v>
      </c>
      <c r="J17" s="9">
        <v>1623</v>
      </c>
      <c r="K17" s="10">
        <f t="shared" si="1"/>
        <v>0.12361519374682299</v>
      </c>
      <c r="L17" s="10">
        <f t="shared" si="2"/>
        <v>0.21533766750696565</v>
      </c>
      <c r="M17" s="11" t="s">
        <v>27</v>
      </c>
    </row>
    <row r="18" spans="1:13" ht="19.95" customHeight="1" x14ac:dyDescent="0.3">
      <c r="A18" s="12">
        <v>10</v>
      </c>
      <c r="B18" s="12" t="s">
        <v>68</v>
      </c>
      <c r="C18" s="13" t="s">
        <v>69</v>
      </c>
      <c r="D18" s="12" t="s">
        <v>70</v>
      </c>
      <c r="E18" s="13" t="s">
        <v>71</v>
      </c>
      <c r="F18" s="13" t="s">
        <v>72</v>
      </c>
      <c r="G18" s="14">
        <v>0</v>
      </c>
      <c r="H18" s="15">
        <v>0</v>
      </c>
      <c r="I18" s="15">
        <f t="shared" si="0"/>
        <v>0</v>
      </c>
      <c r="J18" s="15">
        <v>0</v>
      </c>
      <c r="K18" s="16">
        <f t="shared" si="1"/>
        <v>0</v>
      </c>
      <c r="L18" s="16">
        <f t="shared" si="2"/>
        <v>0</v>
      </c>
      <c r="M18" s="17" t="s">
        <v>73</v>
      </c>
    </row>
    <row r="19" spans="1:13" ht="19.95" customHeight="1" x14ac:dyDescent="0.3">
      <c r="A19" s="6">
        <v>11</v>
      </c>
      <c r="B19" s="6" t="s">
        <v>74</v>
      </c>
      <c r="C19" s="7" t="s">
        <v>75</v>
      </c>
      <c r="D19" s="6" t="s">
        <v>76</v>
      </c>
      <c r="E19" s="7" t="s">
        <v>77</v>
      </c>
      <c r="F19" s="7" t="s">
        <v>78</v>
      </c>
      <c r="G19" s="8">
        <v>0</v>
      </c>
      <c r="H19" s="9">
        <v>0</v>
      </c>
      <c r="I19" s="9">
        <f t="shared" si="0"/>
        <v>0</v>
      </c>
      <c r="J19" s="9">
        <v>50</v>
      </c>
      <c r="K19" s="10">
        <f t="shared" si="1"/>
        <v>0</v>
      </c>
      <c r="L19" s="10">
        <f t="shared" si="2"/>
        <v>0</v>
      </c>
      <c r="M19" s="11" t="s">
        <v>27</v>
      </c>
    </row>
    <row r="20" spans="1:13" ht="19.95" customHeight="1" x14ac:dyDescent="0.3">
      <c r="A20" s="12">
        <v>12</v>
      </c>
      <c r="B20" s="12" t="s">
        <v>79</v>
      </c>
      <c r="C20" s="13" t="s">
        <v>80</v>
      </c>
      <c r="D20" s="12" t="s">
        <v>81</v>
      </c>
      <c r="E20" s="13" t="s">
        <v>82</v>
      </c>
      <c r="F20" s="13" t="s">
        <v>83</v>
      </c>
      <c r="G20" s="14">
        <v>0</v>
      </c>
      <c r="H20" s="15">
        <v>0</v>
      </c>
      <c r="I20" s="15">
        <f t="shared" si="0"/>
        <v>0</v>
      </c>
      <c r="J20" s="15">
        <v>40</v>
      </c>
      <c r="K20" s="16">
        <f t="shared" si="1"/>
        <v>0</v>
      </c>
      <c r="L20" s="16">
        <f t="shared" si="2"/>
        <v>0</v>
      </c>
      <c r="M20" s="11" t="s">
        <v>27</v>
      </c>
    </row>
    <row r="21" spans="1:13" ht="19.95" customHeight="1" x14ac:dyDescent="0.3">
      <c r="A21" s="18">
        <v>13</v>
      </c>
      <c r="B21" s="18" t="s">
        <v>84</v>
      </c>
      <c r="C21" s="19" t="s">
        <v>85</v>
      </c>
      <c r="D21" s="18" t="s">
        <v>86</v>
      </c>
      <c r="E21" s="19" t="s">
        <v>87</v>
      </c>
      <c r="F21" s="19" t="s">
        <v>88</v>
      </c>
      <c r="G21" s="18">
        <v>0</v>
      </c>
      <c r="H21" s="20">
        <v>0</v>
      </c>
      <c r="I21" s="20">
        <f t="shared" si="0"/>
        <v>0</v>
      </c>
      <c r="J21" s="21">
        <v>4677.6600000000026</v>
      </c>
      <c r="K21" s="22">
        <f>IF(I10&gt;0, J21/I10, 0)</f>
        <v>0.35627224102388438</v>
      </c>
      <c r="L21" s="18" t="s">
        <v>89</v>
      </c>
      <c r="M21" s="23" t="s">
        <v>90</v>
      </c>
    </row>
    <row r="22" spans="1:13" ht="22.05" customHeight="1" x14ac:dyDescent="0.35">
      <c r="A22" s="69" t="s">
        <v>91</v>
      </c>
      <c r="B22" s="70"/>
      <c r="C22" s="70"/>
      <c r="D22" s="70"/>
      <c r="E22" s="70"/>
      <c r="F22" s="70"/>
      <c r="G22" s="24">
        <f>G9+G10</f>
        <v>1505</v>
      </c>
      <c r="H22" s="25">
        <f>H9+H10</f>
        <v>19653</v>
      </c>
      <c r="I22" s="25">
        <f>I9+I10</f>
        <v>34235.525999999998</v>
      </c>
      <c r="J22" s="26">
        <f>SUM(J9:J21)</f>
        <v>33574.660000000003</v>
      </c>
      <c r="K22" s="27">
        <f>IF(I10&gt;0, J22/I10, 0)</f>
        <v>2.5572015409018536</v>
      </c>
      <c r="L22" s="27">
        <f>IF(H10&gt;0, J22/H10, 0)</f>
        <v>4.4546450842510286</v>
      </c>
      <c r="M22" s="28" t="s">
        <v>92</v>
      </c>
    </row>
    <row r="25" spans="1:13" ht="22.05" customHeight="1" x14ac:dyDescent="0.3">
      <c r="A25" s="71" t="s">
        <v>93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</row>
    <row r="26" spans="1:13" ht="19.95" customHeight="1" x14ac:dyDescent="0.3">
      <c r="A26" s="65" t="s">
        <v>94</v>
      </c>
      <c r="B26" s="64"/>
      <c r="C26" s="64"/>
      <c r="D26" s="63" t="s">
        <v>95</v>
      </c>
      <c r="E26" s="64"/>
      <c r="F26" s="64"/>
      <c r="G26" s="64"/>
      <c r="H26" s="64"/>
      <c r="I26" s="64"/>
      <c r="J26" s="64"/>
      <c r="K26" s="64"/>
      <c r="L26" s="64"/>
      <c r="M26" s="64"/>
    </row>
    <row r="27" spans="1:13" ht="19.95" customHeight="1" x14ac:dyDescent="0.3">
      <c r="A27" s="65" t="s">
        <v>96</v>
      </c>
      <c r="B27" s="64"/>
      <c r="C27" s="64"/>
      <c r="D27" s="63" t="s">
        <v>97</v>
      </c>
      <c r="E27" s="64"/>
      <c r="F27" s="64"/>
      <c r="G27" s="64"/>
      <c r="H27" s="64"/>
      <c r="I27" s="64"/>
      <c r="J27" s="64"/>
      <c r="K27" s="64"/>
      <c r="L27" s="64"/>
      <c r="M27" s="64"/>
    </row>
    <row r="28" spans="1:13" ht="19.95" customHeight="1" x14ac:dyDescent="0.3">
      <c r="A28" s="65" t="s">
        <v>98</v>
      </c>
      <c r="B28" s="64"/>
      <c r="C28" s="64"/>
      <c r="D28" s="63" t="s">
        <v>99</v>
      </c>
      <c r="E28" s="64"/>
      <c r="F28" s="64"/>
      <c r="G28" s="64"/>
      <c r="H28" s="64"/>
      <c r="I28" s="64"/>
      <c r="J28" s="64"/>
      <c r="K28" s="64"/>
      <c r="L28" s="64"/>
      <c r="M28" s="64"/>
    </row>
    <row r="29" spans="1:13" ht="19.95" customHeight="1" x14ac:dyDescent="0.3">
      <c r="A29" s="65" t="s">
        <v>100</v>
      </c>
      <c r="B29" s="64"/>
      <c r="C29" s="64"/>
      <c r="D29" s="63" t="s">
        <v>101</v>
      </c>
      <c r="E29" s="64"/>
      <c r="F29" s="64"/>
      <c r="G29" s="64"/>
      <c r="H29" s="64"/>
      <c r="I29" s="64"/>
      <c r="J29" s="64"/>
      <c r="K29" s="64"/>
      <c r="L29" s="64"/>
      <c r="M29" s="64"/>
    </row>
  </sheetData>
  <mergeCells count="13">
    <mergeCell ref="D27:M27"/>
    <mergeCell ref="A28:C28"/>
    <mergeCell ref="A1:M1"/>
    <mergeCell ref="A29:C29"/>
    <mergeCell ref="D26:M26"/>
    <mergeCell ref="A3:M3"/>
    <mergeCell ref="A22:F22"/>
    <mergeCell ref="A27:C27"/>
    <mergeCell ref="A25:M25"/>
    <mergeCell ref="A2:M2"/>
    <mergeCell ref="A26:C26"/>
    <mergeCell ref="D28:M28"/>
    <mergeCell ref="D29:M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selection sqref="A1:M1"/>
    </sheetView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3" ht="28.05" customHeight="1" x14ac:dyDescent="0.3">
      <c r="A1" s="66" t="s">
        <v>102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22.05" customHeight="1" x14ac:dyDescent="0.3">
      <c r="A2" s="72" t="s">
        <v>103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18" customHeight="1" x14ac:dyDescent="0.3">
      <c r="A3" s="68" t="s">
        <v>104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</row>
    <row r="5" spans="1:13" ht="25.95" customHeight="1" x14ac:dyDescent="0.3">
      <c r="A5" s="5" t="s">
        <v>9</v>
      </c>
      <c r="B5" s="5" t="s">
        <v>10</v>
      </c>
      <c r="C5" s="5" t="s">
        <v>11</v>
      </c>
      <c r="D5" s="5" t="s">
        <v>105</v>
      </c>
      <c r="E5" s="5" t="s">
        <v>106</v>
      </c>
      <c r="F5" s="5" t="s">
        <v>107</v>
      </c>
      <c r="G5" s="5" t="s">
        <v>108</v>
      </c>
      <c r="H5" s="5" t="s">
        <v>109</v>
      </c>
      <c r="I5" s="5" t="s">
        <v>110</v>
      </c>
      <c r="J5" s="5" t="s">
        <v>111</v>
      </c>
      <c r="K5" s="5" t="s">
        <v>112</v>
      </c>
      <c r="L5" s="5" t="s">
        <v>113</v>
      </c>
      <c r="M5" s="5" t="s">
        <v>114</v>
      </c>
    </row>
    <row r="6" spans="1:13" ht="19.95" customHeight="1" x14ac:dyDescent="0.3">
      <c r="A6" s="29">
        <v>1</v>
      </c>
      <c r="B6" s="29" t="s">
        <v>22</v>
      </c>
      <c r="C6" s="30" t="s">
        <v>23</v>
      </c>
      <c r="D6" s="30" t="s">
        <v>115</v>
      </c>
      <c r="E6" s="29">
        <v>2016</v>
      </c>
      <c r="F6" s="29">
        <v>10</v>
      </c>
      <c r="G6" s="31" t="s">
        <v>116</v>
      </c>
      <c r="H6" s="29" t="s">
        <v>117</v>
      </c>
      <c r="I6" s="29" t="s">
        <v>118</v>
      </c>
      <c r="J6" s="31" t="s">
        <v>119</v>
      </c>
      <c r="K6" s="31" t="s">
        <v>120</v>
      </c>
      <c r="L6" s="31" t="s">
        <v>121</v>
      </c>
      <c r="M6" s="30" t="s">
        <v>122</v>
      </c>
    </row>
    <row r="7" spans="1:13" ht="19.95" customHeight="1" x14ac:dyDescent="0.3">
      <c r="A7" s="32">
        <v>2</v>
      </c>
      <c r="B7" s="32" t="s">
        <v>28</v>
      </c>
      <c r="C7" s="33" t="s">
        <v>29</v>
      </c>
      <c r="D7" s="33" t="s">
        <v>123</v>
      </c>
      <c r="E7" s="32">
        <v>2016</v>
      </c>
      <c r="F7" s="32">
        <v>10</v>
      </c>
      <c r="G7" s="34" t="s">
        <v>124</v>
      </c>
      <c r="H7" s="32" t="s">
        <v>117</v>
      </c>
      <c r="I7" s="32" t="s">
        <v>118</v>
      </c>
      <c r="J7" s="34" t="s">
        <v>125</v>
      </c>
      <c r="K7" s="34" t="s">
        <v>126</v>
      </c>
      <c r="L7" s="34" t="s">
        <v>127</v>
      </c>
      <c r="M7" s="33" t="s">
        <v>128</v>
      </c>
    </row>
    <row r="8" spans="1:13" ht="19.95" customHeight="1" x14ac:dyDescent="0.3">
      <c r="A8" s="29">
        <v>3</v>
      </c>
      <c r="B8" s="29" t="s">
        <v>33</v>
      </c>
      <c r="C8" s="30" t="s">
        <v>34</v>
      </c>
      <c r="D8" s="30" t="s">
        <v>129</v>
      </c>
      <c r="E8" s="29">
        <v>2010</v>
      </c>
      <c r="F8" s="29">
        <v>16</v>
      </c>
      <c r="G8" s="31" t="s">
        <v>130</v>
      </c>
      <c r="H8" s="29" t="s">
        <v>117</v>
      </c>
      <c r="I8" s="29" t="s">
        <v>131</v>
      </c>
      <c r="J8" s="31" t="s">
        <v>132</v>
      </c>
      <c r="K8" s="31" t="s">
        <v>133</v>
      </c>
      <c r="L8" s="31" t="s">
        <v>134</v>
      </c>
      <c r="M8" s="30" t="s">
        <v>135</v>
      </c>
    </row>
    <row r="9" spans="1:13" ht="19.95" customHeight="1" x14ac:dyDescent="0.3">
      <c r="A9" s="32">
        <v>4</v>
      </c>
      <c r="B9" s="32" t="s">
        <v>38</v>
      </c>
      <c r="C9" s="33" t="s">
        <v>39</v>
      </c>
      <c r="D9" s="33" t="s">
        <v>136</v>
      </c>
      <c r="E9" s="32">
        <v>2010</v>
      </c>
      <c r="F9" s="32">
        <v>16</v>
      </c>
      <c r="G9" s="34" t="s">
        <v>130</v>
      </c>
      <c r="H9" s="32" t="s">
        <v>117</v>
      </c>
      <c r="I9" s="32" t="s">
        <v>131</v>
      </c>
      <c r="J9" s="34" t="s">
        <v>132</v>
      </c>
      <c r="K9" s="34" t="s">
        <v>133</v>
      </c>
      <c r="L9" s="34" t="s">
        <v>134</v>
      </c>
      <c r="M9" s="33" t="s">
        <v>137</v>
      </c>
    </row>
    <row r="10" spans="1:13" ht="19.95" customHeight="1" x14ac:dyDescent="0.3">
      <c r="A10" s="29">
        <v>5</v>
      </c>
      <c r="B10" s="29" t="s">
        <v>43</v>
      </c>
      <c r="C10" s="30" t="s">
        <v>44</v>
      </c>
      <c r="D10" s="30" t="s">
        <v>138</v>
      </c>
      <c r="E10" s="29">
        <v>2014</v>
      </c>
      <c r="F10" s="29">
        <v>12</v>
      </c>
      <c r="G10" s="31" t="s">
        <v>139</v>
      </c>
      <c r="H10" s="29" t="s">
        <v>117</v>
      </c>
      <c r="I10" s="29" t="s">
        <v>140</v>
      </c>
      <c r="J10" s="31" t="s">
        <v>141</v>
      </c>
      <c r="K10" s="31" t="s">
        <v>142</v>
      </c>
      <c r="L10" s="31" t="s">
        <v>143</v>
      </c>
      <c r="M10" s="30" t="s">
        <v>144</v>
      </c>
    </row>
    <row r="11" spans="1:13" ht="19.95" customHeight="1" x14ac:dyDescent="0.3">
      <c r="A11" s="32">
        <v>6</v>
      </c>
      <c r="B11" s="32" t="s">
        <v>48</v>
      </c>
      <c r="C11" s="33" t="s">
        <v>49</v>
      </c>
      <c r="D11" s="33" t="s">
        <v>145</v>
      </c>
      <c r="E11" s="32">
        <v>2018</v>
      </c>
      <c r="F11" s="32">
        <v>8</v>
      </c>
      <c r="G11" s="34" t="s">
        <v>139</v>
      </c>
      <c r="H11" s="32" t="s">
        <v>117</v>
      </c>
      <c r="I11" s="32" t="s">
        <v>146</v>
      </c>
      <c r="J11" s="34" t="s">
        <v>147</v>
      </c>
      <c r="K11" s="34" t="s">
        <v>148</v>
      </c>
      <c r="L11" s="34" t="s">
        <v>149</v>
      </c>
      <c r="M11" s="33" t="s">
        <v>150</v>
      </c>
    </row>
    <row r="12" spans="1:13" ht="19.95" customHeight="1" x14ac:dyDescent="0.3">
      <c r="A12" s="29">
        <v>7</v>
      </c>
      <c r="B12" s="29" t="s">
        <v>53</v>
      </c>
      <c r="C12" s="30" t="s">
        <v>54</v>
      </c>
      <c r="D12" s="30" t="s">
        <v>151</v>
      </c>
      <c r="E12" s="29">
        <v>2010</v>
      </c>
      <c r="F12" s="29">
        <v>16</v>
      </c>
      <c r="G12" s="31" t="s">
        <v>152</v>
      </c>
      <c r="H12" s="29" t="s">
        <v>117</v>
      </c>
      <c r="I12" s="29" t="s">
        <v>131</v>
      </c>
      <c r="J12" s="31" t="s">
        <v>153</v>
      </c>
      <c r="K12" s="31" t="s">
        <v>154</v>
      </c>
      <c r="L12" s="31" t="s">
        <v>155</v>
      </c>
      <c r="M12" s="30" t="s">
        <v>156</v>
      </c>
    </row>
    <row r="13" spans="1:13" ht="19.95" customHeight="1" x14ac:dyDescent="0.3">
      <c r="A13" s="32">
        <v>8</v>
      </c>
      <c r="B13" s="32" t="s">
        <v>58</v>
      </c>
      <c r="C13" s="33" t="s">
        <v>59</v>
      </c>
      <c r="D13" s="33" t="s">
        <v>157</v>
      </c>
      <c r="E13" s="32">
        <v>2014</v>
      </c>
      <c r="F13" s="32">
        <v>12</v>
      </c>
      <c r="G13" s="34" t="s">
        <v>158</v>
      </c>
      <c r="H13" s="32" t="s">
        <v>117</v>
      </c>
      <c r="I13" s="32" t="s">
        <v>140</v>
      </c>
      <c r="J13" s="34" t="s">
        <v>159</v>
      </c>
      <c r="K13" s="34" t="s">
        <v>160</v>
      </c>
      <c r="L13" s="34" t="s">
        <v>161</v>
      </c>
      <c r="M13" s="33" t="s">
        <v>162</v>
      </c>
    </row>
    <row r="14" spans="1:13" ht="19.95" customHeight="1" x14ac:dyDescent="0.3">
      <c r="A14" s="29">
        <v>9</v>
      </c>
      <c r="B14" s="29" t="s">
        <v>63</v>
      </c>
      <c r="C14" s="30" t="s">
        <v>64</v>
      </c>
      <c r="D14" s="30" t="s">
        <v>163</v>
      </c>
      <c r="E14" s="29">
        <v>2003</v>
      </c>
      <c r="F14" s="29">
        <v>23</v>
      </c>
      <c r="G14" s="31" t="s">
        <v>139</v>
      </c>
      <c r="H14" s="29" t="s">
        <v>117</v>
      </c>
      <c r="I14" s="29" t="s">
        <v>164</v>
      </c>
      <c r="J14" s="31" t="s">
        <v>165</v>
      </c>
      <c r="K14" s="31" t="s">
        <v>166</v>
      </c>
      <c r="L14" s="31" t="s">
        <v>167</v>
      </c>
      <c r="M14" s="30" t="s">
        <v>168</v>
      </c>
    </row>
    <row r="15" spans="1:13" ht="19.95" customHeight="1" x14ac:dyDescent="0.3">
      <c r="A15" s="32">
        <v>10</v>
      </c>
      <c r="B15" s="32" t="s">
        <v>68</v>
      </c>
      <c r="C15" s="33" t="s">
        <v>69</v>
      </c>
      <c r="D15" s="33" t="s">
        <v>169</v>
      </c>
      <c r="E15" s="32">
        <v>2017</v>
      </c>
      <c r="F15" s="32">
        <v>9</v>
      </c>
      <c r="G15" s="34" t="s">
        <v>170</v>
      </c>
      <c r="H15" s="32" t="s">
        <v>117</v>
      </c>
      <c r="I15" s="32" t="s">
        <v>171</v>
      </c>
      <c r="J15" s="34" t="s">
        <v>172</v>
      </c>
      <c r="K15" s="34" t="s">
        <v>173</v>
      </c>
      <c r="L15" s="34" t="s">
        <v>174</v>
      </c>
      <c r="M15" s="33" t="s">
        <v>175</v>
      </c>
    </row>
    <row r="16" spans="1:13" ht="19.95" customHeight="1" x14ac:dyDescent="0.3">
      <c r="A16" s="29">
        <v>11</v>
      </c>
      <c r="B16" s="29" t="s">
        <v>74</v>
      </c>
      <c r="C16" s="30" t="s">
        <v>75</v>
      </c>
      <c r="D16" s="30" t="s">
        <v>176</v>
      </c>
      <c r="E16" s="29">
        <v>2013</v>
      </c>
      <c r="F16" s="29">
        <v>13</v>
      </c>
      <c r="G16" s="31" t="s">
        <v>177</v>
      </c>
      <c r="H16" s="29" t="s">
        <v>117</v>
      </c>
      <c r="I16" s="29" t="s">
        <v>178</v>
      </c>
      <c r="J16" s="31" t="s">
        <v>179</v>
      </c>
      <c r="K16" s="31" t="s">
        <v>180</v>
      </c>
      <c r="L16" s="31" t="s">
        <v>181</v>
      </c>
      <c r="M16" s="30" t="s">
        <v>182</v>
      </c>
    </row>
    <row r="17" spans="1:13" ht="19.95" customHeight="1" x14ac:dyDescent="0.3">
      <c r="A17" s="32">
        <v>12</v>
      </c>
      <c r="B17" s="32" t="s">
        <v>79</v>
      </c>
      <c r="C17" s="33" t="s">
        <v>80</v>
      </c>
      <c r="D17" s="33" t="s">
        <v>183</v>
      </c>
      <c r="E17" s="32">
        <v>2018</v>
      </c>
      <c r="F17" s="32">
        <v>8</v>
      </c>
      <c r="G17" s="34" t="s">
        <v>184</v>
      </c>
      <c r="H17" s="32" t="s">
        <v>117</v>
      </c>
      <c r="I17" s="32" t="s">
        <v>146</v>
      </c>
      <c r="J17" s="34" t="s">
        <v>185</v>
      </c>
      <c r="K17" s="34" t="s">
        <v>186</v>
      </c>
      <c r="L17" s="34" t="s">
        <v>187</v>
      </c>
      <c r="M17" s="33" t="s">
        <v>188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tabSelected="1" topLeftCell="E1" workbookViewId="0">
      <selection activeCell="N9" sqref="N9"/>
    </sheetView>
  </sheetViews>
  <sheetFormatPr baseColWidth="10" defaultColWidth="8.88671875" defaultRowHeight="14.4" x14ac:dyDescent="0.3"/>
  <cols>
    <col min="1" max="1" width="20.21875" bestFit="1" customWidth="1"/>
    <col min="2" max="2" width="33.6640625" bestFit="1" customWidth="1"/>
    <col min="3" max="3" width="36.6640625" bestFit="1" customWidth="1"/>
    <col min="4" max="5" width="24" customWidth="1"/>
    <col min="6" max="6" width="20.77734375" bestFit="1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189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190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87</v>
      </c>
      <c r="D5" s="35" t="s">
        <v>194</v>
      </c>
      <c r="E5" s="37">
        <v>1204</v>
      </c>
      <c r="F5" s="35" t="s">
        <v>195</v>
      </c>
      <c r="G5" s="38">
        <f>E5*$E$4</f>
        <v>2097.3679999999999</v>
      </c>
    </row>
    <row r="6" spans="1:14" x14ac:dyDescent="0.3">
      <c r="A6" s="1" t="s">
        <v>196</v>
      </c>
      <c r="B6" s="35" t="s">
        <v>197</v>
      </c>
      <c r="C6" s="36">
        <v>47</v>
      </c>
      <c r="D6" s="35" t="s">
        <v>198</v>
      </c>
      <c r="E6" s="37">
        <v>557</v>
      </c>
      <c r="F6" s="35" t="s">
        <v>199</v>
      </c>
      <c r="G6" s="38">
        <f>E6*$E$4</f>
        <v>970.29399999999998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87</v>
      </c>
      <c r="G9" s="9">
        <f>E5</f>
        <v>1204</v>
      </c>
      <c r="H9" s="9">
        <f t="shared" ref="H9:H21" si="0">G9*$E$4</f>
        <v>2097.3679999999999</v>
      </c>
      <c r="I9" s="9">
        <v>777</v>
      </c>
      <c r="J9" s="10">
        <f t="shared" ref="J9:J20" si="1">IF(H9&gt;0, I9/H9, 0)</f>
        <v>0.37046431527514484</v>
      </c>
      <c r="K9" s="10">
        <f t="shared" ref="K9:K20" si="2">IF(G9&gt;0, I9/G9, 0)</f>
        <v>0.64534883720930236</v>
      </c>
      <c r="L9" s="39">
        <v>67.2</v>
      </c>
      <c r="M9" s="40">
        <f t="shared" ref="M9:M20" si="3">IF(L9&gt;0, I9/L9, 0)</f>
        <v>11.5625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47</v>
      </c>
      <c r="G10" s="15">
        <f>E6</f>
        <v>557</v>
      </c>
      <c r="H10" s="15">
        <f t="shared" si="0"/>
        <v>970.29399999999998</v>
      </c>
      <c r="I10" s="15">
        <v>136</v>
      </c>
      <c r="J10" s="16">
        <f t="shared" si="1"/>
        <v>0.14016370296013372</v>
      </c>
      <c r="K10" s="16">
        <f t="shared" si="2"/>
        <v>0.24416517055655296</v>
      </c>
      <c r="L10" s="41">
        <v>16.239999999999998</v>
      </c>
      <c r="M10" s="42">
        <f t="shared" si="3"/>
        <v>8.3743842364532028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47</v>
      </c>
      <c r="G11" s="9">
        <f>E6</f>
        <v>557</v>
      </c>
      <c r="H11" s="9">
        <f t="shared" si="0"/>
        <v>970.29399999999998</v>
      </c>
      <c r="I11" s="9">
        <v>0</v>
      </c>
      <c r="J11" s="10">
        <f t="shared" si="1"/>
        <v>0</v>
      </c>
      <c r="K11" s="10">
        <f t="shared" si="2"/>
        <v>0</v>
      </c>
      <c r="L11" s="39">
        <v>14.3</v>
      </c>
      <c r="M11" s="40">
        <f t="shared" si="3"/>
        <v>0</v>
      </c>
      <c r="N11" s="17" t="s">
        <v>209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47</v>
      </c>
      <c r="G12" s="15">
        <f>E6</f>
        <v>557</v>
      </c>
      <c r="H12" s="15">
        <f t="shared" si="0"/>
        <v>970.29399999999998</v>
      </c>
      <c r="I12" s="15">
        <v>0</v>
      </c>
      <c r="J12" s="16">
        <f t="shared" si="1"/>
        <v>0</v>
      </c>
      <c r="K12" s="16">
        <f t="shared" si="2"/>
        <v>0</v>
      </c>
      <c r="L12" s="41">
        <v>14.3</v>
      </c>
      <c r="M12" s="42">
        <f t="shared" si="3"/>
        <v>0</v>
      </c>
      <c r="N12" s="17" t="s">
        <v>209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47</v>
      </c>
      <c r="G13" s="9">
        <f>E6</f>
        <v>557</v>
      </c>
      <c r="H13" s="9">
        <f t="shared" si="0"/>
        <v>970.29399999999998</v>
      </c>
      <c r="I13" s="9">
        <v>0</v>
      </c>
      <c r="J13" s="10">
        <f t="shared" si="1"/>
        <v>0</v>
      </c>
      <c r="K13" s="10">
        <f t="shared" si="2"/>
        <v>0</v>
      </c>
      <c r="L13" s="39">
        <v>11.44</v>
      </c>
      <c r="M13" s="40">
        <f t="shared" si="3"/>
        <v>0</v>
      </c>
      <c r="N13" s="17" t="s">
        <v>209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47</v>
      </c>
      <c r="G14" s="15">
        <f>E6</f>
        <v>557</v>
      </c>
      <c r="H14" s="15">
        <f t="shared" si="0"/>
        <v>970.29399999999998</v>
      </c>
      <c r="I14" s="15">
        <v>0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0</v>
      </c>
      <c r="N14" s="17" t="s">
        <v>209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47</v>
      </c>
      <c r="G15" s="9">
        <f>E6</f>
        <v>557</v>
      </c>
      <c r="H15" s="9">
        <f t="shared" si="0"/>
        <v>970.29399999999998</v>
      </c>
      <c r="I15" s="9">
        <v>60</v>
      </c>
      <c r="J15" s="10">
        <f t="shared" si="1"/>
        <v>6.183692777652959E-2</v>
      </c>
      <c r="K15" s="10">
        <f t="shared" si="2"/>
        <v>0.10771992818671454</v>
      </c>
      <c r="L15" s="39">
        <v>8.94</v>
      </c>
      <c r="M15" s="40">
        <f t="shared" si="3"/>
        <v>6.7114093959731544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87</v>
      </c>
      <c r="G16" s="15">
        <f>E5</f>
        <v>1204</v>
      </c>
      <c r="H16" s="15">
        <f t="shared" si="0"/>
        <v>2097.3679999999999</v>
      </c>
      <c r="I16" s="15">
        <v>80</v>
      </c>
      <c r="J16" s="16">
        <f t="shared" si="1"/>
        <v>3.8143044043772958E-2</v>
      </c>
      <c r="K16" s="16">
        <f t="shared" si="2"/>
        <v>6.6445182724252497E-2</v>
      </c>
      <c r="L16" s="41">
        <v>7.44</v>
      </c>
      <c r="M16" s="42">
        <f t="shared" si="3"/>
        <v>10.75268817204301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47</v>
      </c>
      <c r="G17" s="9">
        <f>E6</f>
        <v>557</v>
      </c>
      <c r="H17" s="9">
        <f t="shared" si="0"/>
        <v>970.29399999999998</v>
      </c>
      <c r="I17" s="9">
        <v>0</v>
      </c>
      <c r="J17" s="10">
        <f t="shared" si="1"/>
        <v>0</v>
      </c>
      <c r="K17" s="10">
        <f t="shared" si="2"/>
        <v>0</v>
      </c>
      <c r="L17" s="39">
        <v>12.76</v>
      </c>
      <c r="M17" s="40">
        <f t="shared" si="3"/>
        <v>0</v>
      </c>
      <c r="N17" s="17" t="s">
        <v>209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40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16.597510373443981</v>
      </c>
      <c r="N20" s="11" t="s">
        <v>208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392</v>
      </c>
      <c r="J21" s="22">
        <f>IF(H10&gt;0, I21/H10, 0)</f>
        <v>0.40400126147332666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212</v>
      </c>
      <c r="B22" s="70"/>
      <c r="C22" s="70"/>
      <c r="D22" s="70"/>
      <c r="E22" s="70"/>
      <c r="F22" s="24">
        <f>C5+C6</f>
        <v>134</v>
      </c>
      <c r="G22" s="25">
        <f>E5+E6</f>
        <v>1761</v>
      </c>
      <c r="H22" s="25">
        <f>G5+G6</f>
        <v>3067.6619999999998</v>
      </c>
      <c r="I22" s="26">
        <f>SUM(I9:I21)</f>
        <v>1485</v>
      </c>
      <c r="J22" s="27">
        <f>IF(H10&gt;0, I22/H10, 0)</f>
        <v>1.5304639624691074</v>
      </c>
      <c r="K22" s="27">
        <f>IF(G10&gt;0, I22/G10, 0)</f>
        <v>2.6660682226211847</v>
      </c>
      <c r="L22" s="28" t="s">
        <v>89</v>
      </c>
      <c r="M22" s="43">
        <f>SUM(M9:M20)</f>
        <v>53.998492177913349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215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79</v>
      </c>
      <c r="D5" s="35" t="s">
        <v>194</v>
      </c>
      <c r="E5" s="37">
        <v>994</v>
      </c>
      <c r="F5" s="35" t="s">
        <v>195</v>
      </c>
      <c r="G5" s="38">
        <f>E5*$E$4</f>
        <v>1731.548</v>
      </c>
    </row>
    <row r="6" spans="1:14" x14ac:dyDescent="0.3">
      <c r="A6" s="1" t="s">
        <v>196</v>
      </c>
      <c r="B6" s="35" t="s">
        <v>197</v>
      </c>
      <c r="C6" s="36">
        <v>77</v>
      </c>
      <c r="D6" s="35" t="s">
        <v>198</v>
      </c>
      <c r="E6" s="37">
        <v>1062</v>
      </c>
      <c r="F6" s="35" t="s">
        <v>199</v>
      </c>
      <c r="G6" s="38">
        <f>E6*$E$4</f>
        <v>1850.0039999999999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79</v>
      </c>
      <c r="G9" s="9">
        <f>E5</f>
        <v>994</v>
      </c>
      <c r="H9" s="9">
        <f t="shared" ref="H9:H21" si="0">G9*$E$4</f>
        <v>1731.548</v>
      </c>
      <c r="I9" s="9">
        <v>1200</v>
      </c>
      <c r="J9" s="10">
        <f t="shared" ref="J9:J20" si="1">IF(H9&gt;0, I9/H9, 0)</f>
        <v>0.69302150445728328</v>
      </c>
      <c r="K9" s="10">
        <f t="shared" ref="K9:K20" si="2">IF(G9&gt;0, I9/G9, 0)</f>
        <v>1.2072434607645874</v>
      </c>
      <c r="L9" s="39">
        <v>67.2</v>
      </c>
      <c r="M9" s="40">
        <f t="shared" ref="M9:M20" si="3">IF(L9&gt;0, I9/L9, 0)</f>
        <v>17.857142857142858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77</v>
      </c>
      <c r="G10" s="15">
        <f>E6</f>
        <v>1062</v>
      </c>
      <c r="H10" s="15">
        <f t="shared" si="0"/>
        <v>1850.0039999999999</v>
      </c>
      <c r="I10" s="15">
        <v>561</v>
      </c>
      <c r="J10" s="16">
        <f t="shared" si="1"/>
        <v>0.3032425875835944</v>
      </c>
      <c r="K10" s="16">
        <f t="shared" si="2"/>
        <v>0.52824858757062143</v>
      </c>
      <c r="L10" s="41">
        <v>16.239999999999998</v>
      </c>
      <c r="M10" s="42">
        <f t="shared" si="3"/>
        <v>34.544334975369459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77</v>
      </c>
      <c r="G11" s="9">
        <f>E6</f>
        <v>1062</v>
      </c>
      <c r="H11" s="9">
        <f t="shared" si="0"/>
        <v>1850.0039999999999</v>
      </c>
      <c r="I11" s="9">
        <v>172</v>
      </c>
      <c r="J11" s="10">
        <f t="shared" si="1"/>
        <v>9.2972771950763353E-2</v>
      </c>
      <c r="K11" s="10">
        <f t="shared" si="2"/>
        <v>0.16195856873822975</v>
      </c>
      <c r="L11" s="39">
        <v>14.3</v>
      </c>
      <c r="M11" s="40">
        <f t="shared" si="3"/>
        <v>12.027972027972027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77</v>
      </c>
      <c r="G12" s="15">
        <f>E6</f>
        <v>1062</v>
      </c>
      <c r="H12" s="15">
        <f t="shared" si="0"/>
        <v>1850.0039999999999</v>
      </c>
      <c r="I12" s="15">
        <v>33</v>
      </c>
      <c r="J12" s="16">
        <f t="shared" si="1"/>
        <v>1.78377992696232E-2</v>
      </c>
      <c r="K12" s="16">
        <f t="shared" si="2"/>
        <v>3.1073446327683617E-2</v>
      </c>
      <c r="L12" s="41">
        <v>14.3</v>
      </c>
      <c r="M12" s="42">
        <f t="shared" si="3"/>
        <v>2.3076923076923075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77</v>
      </c>
      <c r="G13" s="9">
        <f>E6</f>
        <v>1062</v>
      </c>
      <c r="H13" s="9">
        <f t="shared" si="0"/>
        <v>1850.0039999999999</v>
      </c>
      <c r="I13" s="9">
        <v>224</v>
      </c>
      <c r="J13" s="10">
        <f t="shared" si="1"/>
        <v>0.12108081928471506</v>
      </c>
      <c r="K13" s="10">
        <f t="shared" si="2"/>
        <v>0.21092278719397364</v>
      </c>
      <c r="L13" s="39">
        <v>11.44</v>
      </c>
      <c r="M13" s="40">
        <f t="shared" si="3"/>
        <v>19.58041958041958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77</v>
      </c>
      <c r="G14" s="15">
        <f>E6</f>
        <v>1062</v>
      </c>
      <c r="H14" s="15">
        <f t="shared" si="0"/>
        <v>1850.0039999999999</v>
      </c>
      <c r="I14" s="15">
        <v>0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0</v>
      </c>
      <c r="N14" s="17" t="s">
        <v>209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77</v>
      </c>
      <c r="G15" s="9">
        <f>E6</f>
        <v>1062</v>
      </c>
      <c r="H15" s="9">
        <f t="shared" si="0"/>
        <v>1850.0039999999999</v>
      </c>
      <c r="I15" s="9">
        <v>88</v>
      </c>
      <c r="J15" s="10">
        <f t="shared" si="1"/>
        <v>4.7567464718995207E-2</v>
      </c>
      <c r="K15" s="10">
        <f t="shared" si="2"/>
        <v>8.2862523540489647E-2</v>
      </c>
      <c r="L15" s="39">
        <v>8.94</v>
      </c>
      <c r="M15" s="40">
        <f t="shared" si="3"/>
        <v>9.8434004474272943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79</v>
      </c>
      <c r="G16" s="15">
        <f>E5</f>
        <v>994</v>
      </c>
      <c r="H16" s="15">
        <f t="shared" si="0"/>
        <v>1731.548</v>
      </c>
      <c r="I16" s="15">
        <v>320</v>
      </c>
      <c r="J16" s="16">
        <f t="shared" si="1"/>
        <v>0.18480573452194221</v>
      </c>
      <c r="K16" s="16">
        <f t="shared" si="2"/>
        <v>0.32193158953722334</v>
      </c>
      <c r="L16" s="41">
        <v>7.44</v>
      </c>
      <c r="M16" s="42">
        <f t="shared" si="3"/>
        <v>43.01075268817204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77</v>
      </c>
      <c r="G17" s="9">
        <f>E6</f>
        <v>1062</v>
      </c>
      <c r="H17" s="9">
        <f t="shared" si="0"/>
        <v>1850.0039999999999</v>
      </c>
      <c r="I17" s="9">
        <v>150</v>
      </c>
      <c r="J17" s="10">
        <f t="shared" si="1"/>
        <v>8.1080905771014553E-2</v>
      </c>
      <c r="K17" s="10">
        <f t="shared" si="2"/>
        <v>0.14124293785310735</v>
      </c>
      <c r="L17" s="39">
        <v>12.76</v>
      </c>
      <c r="M17" s="40">
        <f t="shared" si="3"/>
        <v>11.755485893416928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80</v>
      </c>
      <c r="J21" s="22">
        <f>IF(H10&gt;0, I21/H10, 0)</f>
        <v>4.3243149744541097E-2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216</v>
      </c>
      <c r="B22" s="70"/>
      <c r="C22" s="70"/>
      <c r="D22" s="70"/>
      <c r="E22" s="70"/>
      <c r="F22" s="24">
        <f>C5+C6</f>
        <v>156</v>
      </c>
      <c r="G22" s="25">
        <f>E5+E6</f>
        <v>2056</v>
      </c>
      <c r="H22" s="25">
        <f>G5+G6</f>
        <v>3581.5519999999997</v>
      </c>
      <c r="I22" s="26">
        <f>SUM(I9:I21)</f>
        <v>2828</v>
      </c>
      <c r="J22" s="27">
        <f>IF(H10&gt;0, I22/H10, 0)</f>
        <v>1.5286453434695277</v>
      </c>
      <c r="K22" s="27">
        <f>IF(G10&gt;0, I22/G10, 0)</f>
        <v>2.662900188323917</v>
      </c>
      <c r="L22" s="28" t="s">
        <v>89</v>
      </c>
      <c r="M22" s="43">
        <f>SUM(M9:M20)</f>
        <v>150.92720077761251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217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218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81</v>
      </c>
      <c r="D5" s="35" t="s">
        <v>194</v>
      </c>
      <c r="E5" s="37">
        <v>1029</v>
      </c>
      <c r="F5" s="35" t="s">
        <v>195</v>
      </c>
      <c r="G5" s="38">
        <f>E5*$E$4</f>
        <v>1792.518</v>
      </c>
    </row>
    <row r="6" spans="1:14" x14ac:dyDescent="0.3">
      <c r="A6" s="1" t="s">
        <v>196</v>
      </c>
      <c r="B6" s="35" t="s">
        <v>197</v>
      </c>
      <c r="C6" s="36">
        <v>66</v>
      </c>
      <c r="D6" s="35" t="s">
        <v>198</v>
      </c>
      <c r="E6" s="37">
        <v>583</v>
      </c>
      <c r="F6" s="35" t="s">
        <v>199</v>
      </c>
      <c r="G6" s="38">
        <f>E6*$E$4</f>
        <v>1015.586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81</v>
      </c>
      <c r="G9" s="9">
        <f>E5</f>
        <v>1029</v>
      </c>
      <c r="H9" s="9">
        <f t="shared" ref="H9:H21" si="0">G9*$E$4</f>
        <v>1792.518</v>
      </c>
      <c r="I9" s="9">
        <v>1393</v>
      </c>
      <c r="J9" s="10">
        <f t="shared" ref="J9:J20" si="1">IF(H9&gt;0, I9/H9, 0)</f>
        <v>0.77711911400610756</v>
      </c>
      <c r="K9" s="10">
        <f t="shared" ref="K9:K20" si="2">IF(G9&gt;0, I9/G9, 0)</f>
        <v>1.3537414965986394</v>
      </c>
      <c r="L9" s="39">
        <v>67.2</v>
      </c>
      <c r="M9" s="40">
        <f t="shared" ref="M9:M20" si="3">IF(L9&gt;0, I9/L9, 0)</f>
        <v>20.729166666666664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66</v>
      </c>
      <c r="G10" s="15">
        <f>E6</f>
        <v>583</v>
      </c>
      <c r="H10" s="15">
        <f t="shared" si="0"/>
        <v>1015.586</v>
      </c>
      <c r="I10" s="15">
        <v>322</v>
      </c>
      <c r="J10" s="16">
        <f t="shared" si="1"/>
        <v>0.31705832888598307</v>
      </c>
      <c r="K10" s="16">
        <f t="shared" si="2"/>
        <v>0.55231560891938247</v>
      </c>
      <c r="L10" s="41">
        <v>16.239999999999998</v>
      </c>
      <c r="M10" s="42">
        <f t="shared" si="3"/>
        <v>19.827586206896555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66</v>
      </c>
      <c r="G11" s="9">
        <f>E6</f>
        <v>583</v>
      </c>
      <c r="H11" s="9">
        <f t="shared" si="0"/>
        <v>1015.586</v>
      </c>
      <c r="I11" s="9">
        <v>117</v>
      </c>
      <c r="J11" s="10">
        <f t="shared" si="1"/>
        <v>0.11520442384987584</v>
      </c>
      <c r="K11" s="10">
        <f t="shared" si="2"/>
        <v>0.20068610634648371</v>
      </c>
      <c r="L11" s="39">
        <v>14.3</v>
      </c>
      <c r="M11" s="40">
        <f t="shared" si="3"/>
        <v>8.1818181818181817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66</v>
      </c>
      <c r="G12" s="15">
        <f>E6</f>
        <v>583</v>
      </c>
      <c r="H12" s="15">
        <f t="shared" si="0"/>
        <v>1015.586</v>
      </c>
      <c r="I12" s="15">
        <v>190</v>
      </c>
      <c r="J12" s="16">
        <f t="shared" si="1"/>
        <v>0.18708410710663598</v>
      </c>
      <c r="K12" s="16">
        <f t="shared" si="2"/>
        <v>0.32590051457975988</v>
      </c>
      <c r="L12" s="41">
        <v>14.3</v>
      </c>
      <c r="M12" s="42">
        <f t="shared" si="3"/>
        <v>13.286713286713287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66</v>
      </c>
      <c r="G13" s="9">
        <f>E6</f>
        <v>583</v>
      </c>
      <c r="H13" s="9">
        <f t="shared" si="0"/>
        <v>1015.586</v>
      </c>
      <c r="I13" s="9">
        <v>324</v>
      </c>
      <c r="J13" s="10">
        <f t="shared" si="1"/>
        <v>0.31902763527657924</v>
      </c>
      <c r="K13" s="10">
        <f t="shared" si="2"/>
        <v>0.55574614065180106</v>
      </c>
      <c r="L13" s="39">
        <v>11.44</v>
      </c>
      <c r="M13" s="40">
        <f t="shared" si="3"/>
        <v>28.321678321678323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66</v>
      </c>
      <c r="G14" s="15">
        <f>E6</f>
        <v>583</v>
      </c>
      <c r="H14" s="15">
        <f t="shared" si="0"/>
        <v>1015.586</v>
      </c>
      <c r="I14" s="15">
        <v>0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0</v>
      </c>
      <c r="N14" s="17" t="s">
        <v>209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66</v>
      </c>
      <c r="G15" s="9">
        <f>E6</f>
        <v>583</v>
      </c>
      <c r="H15" s="9">
        <f t="shared" si="0"/>
        <v>1015.586</v>
      </c>
      <c r="I15" s="9">
        <v>50</v>
      </c>
      <c r="J15" s="10">
        <f t="shared" si="1"/>
        <v>4.9232659764904201E-2</v>
      </c>
      <c r="K15" s="10">
        <f t="shared" si="2"/>
        <v>8.5763293310463118E-2</v>
      </c>
      <c r="L15" s="39">
        <v>8.94</v>
      </c>
      <c r="M15" s="40">
        <f t="shared" si="3"/>
        <v>5.592841163310962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81</v>
      </c>
      <c r="G16" s="15">
        <f>E5</f>
        <v>1029</v>
      </c>
      <c r="H16" s="15">
        <f t="shared" si="0"/>
        <v>1792.518</v>
      </c>
      <c r="I16" s="15">
        <v>258</v>
      </c>
      <c r="J16" s="16">
        <f t="shared" si="1"/>
        <v>0.14393160905497182</v>
      </c>
      <c r="K16" s="16">
        <f t="shared" si="2"/>
        <v>0.25072886297376096</v>
      </c>
      <c r="L16" s="41">
        <v>7.44</v>
      </c>
      <c r="M16" s="42">
        <f t="shared" si="3"/>
        <v>34.677419354838705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66</v>
      </c>
      <c r="G17" s="9">
        <f>E6</f>
        <v>583</v>
      </c>
      <c r="H17" s="9">
        <f t="shared" si="0"/>
        <v>1015.586</v>
      </c>
      <c r="I17" s="9">
        <v>100</v>
      </c>
      <c r="J17" s="10">
        <f t="shared" si="1"/>
        <v>9.8465319529808401E-2</v>
      </c>
      <c r="K17" s="10">
        <f t="shared" si="2"/>
        <v>0.17152658662092624</v>
      </c>
      <c r="L17" s="39">
        <v>12.76</v>
      </c>
      <c r="M17" s="40">
        <f t="shared" si="3"/>
        <v>7.8369905956112857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50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16.501650165016503</v>
      </c>
      <c r="N19" s="11" t="s">
        <v>208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-287</v>
      </c>
      <c r="J21" s="22">
        <f>IF(H10&gt;0, I21/H10, 0)</f>
        <v>-0.28259546705055011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219</v>
      </c>
      <c r="B22" s="70"/>
      <c r="C22" s="70"/>
      <c r="D22" s="70"/>
      <c r="E22" s="70"/>
      <c r="F22" s="24">
        <f>C5+C6</f>
        <v>147</v>
      </c>
      <c r="G22" s="25">
        <f>E5+E6</f>
        <v>1612</v>
      </c>
      <c r="H22" s="25">
        <f>G5+G6</f>
        <v>2808.1040000000003</v>
      </c>
      <c r="I22" s="26">
        <f>SUM(I9:I21)</f>
        <v>2517</v>
      </c>
      <c r="J22" s="27">
        <f>IF(H10&gt;0, I22/H10, 0)</f>
        <v>2.4783720925652775</v>
      </c>
      <c r="K22" s="27">
        <f>IF(G10&gt;0, I22/G10, 0)</f>
        <v>4.3173241852487134</v>
      </c>
      <c r="L22" s="28" t="s">
        <v>89</v>
      </c>
      <c r="M22" s="43">
        <f>SUM(M9:M20)</f>
        <v>154.95586394255048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220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221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115</v>
      </c>
      <c r="D5" s="35" t="s">
        <v>194</v>
      </c>
      <c r="E5" s="37">
        <v>1470</v>
      </c>
      <c r="F5" s="35" t="s">
        <v>195</v>
      </c>
      <c r="G5" s="38">
        <f>E5*$E$4</f>
        <v>2560.7399999999998</v>
      </c>
    </row>
    <row r="6" spans="1:14" x14ac:dyDescent="0.3">
      <c r="A6" s="1" t="s">
        <v>196</v>
      </c>
      <c r="B6" s="35" t="s">
        <v>197</v>
      </c>
      <c r="C6" s="36">
        <v>69</v>
      </c>
      <c r="D6" s="35" t="s">
        <v>198</v>
      </c>
      <c r="E6" s="37">
        <v>855</v>
      </c>
      <c r="F6" s="35" t="s">
        <v>199</v>
      </c>
      <c r="G6" s="38">
        <f>E6*$E$4</f>
        <v>1489.41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115</v>
      </c>
      <c r="G9" s="9">
        <f>E5</f>
        <v>1470</v>
      </c>
      <c r="H9" s="9">
        <f t="shared" ref="H9:H21" si="0">G9*$E$4</f>
        <v>2560.7399999999998</v>
      </c>
      <c r="I9" s="9">
        <v>1754</v>
      </c>
      <c r="J9" s="10">
        <f t="shared" ref="J9:J20" si="1">IF(H9&gt;0, I9/H9, 0)</f>
        <v>0.68495825425462953</v>
      </c>
      <c r="K9" s="10">
        <f t="shared" ref="K9:K20" si="2">IF(G9&gt;0, I9/G9, 0)</f>
        <v>1.1931972789115646</v>
      </c>
      <c r="L9" s="39">
        <v>67.2</v>
      </c>
      <c r="M9" s="40">
        <f t="shared" ref="M9:M20" si="3">IF(L9&gt;0, I9/L9, 0)</f>
        <v>26.101190476190474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69</v>
      </c>
      <c r="G10" s="15">
        <f>E6</f>
        <v>855</v>
      </c>
      <c r="H10" s="15">
        <f t="shared" si="0"/>
        <v>1489.41</v>
      </c>
      <c r="I10" s="15">
        <v>599</v>
      </c>
      <c r="J10" s="16">
        <f t="shared" si="1"/>
        <v>0.40217267240048071</v>
      </c>
      <c r="K10" s="16">
        <f t="shared" si="2"/>
        <v>0.70058479532163742</v>
      </c>
      <c r="L10" s="41">
        <v>16.239999999999998</v>
      </c>
      <c r="M10" s="42">
        <f t="shared" si="3"/>
        <v>36.884236453201972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69</v>
      </c>
      <c r="G11" s="9">
        <f>E6</f>
        <v>855</v>
      </c>
      <c r="H11" s="9">
        <f t="shared" si="0"/>
        <v>1489.41</v>
      </c>
      <c r="I11" s="9">
        <v>174</v>
      </c>
      <c r="J11" s="10">
        <f t="shared" si="1"/>
        <v>0.11682478296775232</v>
      </c>
      <c r="K11" s="10">
        <f t="shared" si="2"/>
        <v>0.20350877192982456</v>
      </c>
      <c r="L11" s="39">
        <v>14.3</v>
      </c>
      <c r="M11" s="40">
        <f t="shared" si="3"/>
        <v>12.167832167832167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69</v>
      </c>
      <c r="G12" s="15">
        <f>E6</f>
        <v>855</v>
      </c>
      <c r="H12" s="15">
        <f t="shared" si="0"/>
        <v>1489.41</v>
      </c>
      <c r="I12" s="15">
        <v>113</v>
      </c>
      <c r="J12" s="16">
        <f t="shared" si="1"/>
        <v>7.5868968249172483E-2</v>
      </c>
      <c r="K12" s="16">
        <f t="shared" si="2"/>
        <v>0.13216374269005848</v>
      </c>
      <c r="L12" s="41">
        <v>14.3</v>
      </c>
      <c r="M12" s="42">
        <f t="shared" si="3"/>
        <v>7.9020979020979016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69</v>
      </c>
      <c r="G13" s="9">
        <f>E6</f>
        <v>855</v>
      </c>
      <c r="H13" s="9">
        <f t="shared" si="0"/>
        <v>1489.41</v>
      </c>
      <c r="I13" s="9">
        <v>260</v>
      </c>
      <c r="J13" s="10">
        <f t="shared" si="1"/>
        <v>0.17456576765296325</v>
      </c>
      <c r="K13" s="10">
        <f t="shared" si="2"/>
        <v>0.30409356725146197</v>
      </c>
      <c r="L13" s="39">
        <v>11.44</v>
      </c>
      <c r="M13" s="40">
        <f t="shared" si="3"/>
        <v>22.727272727272727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69</v>
      </c>
      <c r="G14" s="15">
        <f>E6</f>
        <v>855</v>
      </c>
      <c r="H14" s="15">
        <f t="shared" si="0"/>
        <v>1489.41</v>
      </c>
      <c r="I14" s="15">
        <v>0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0</v>
      </c>
      <c r="N14" s="17" t="s">
        <v>209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69</v>
      </c>
      <c r="G15" s="9">
        <f>E6</f>
        <v>855</v>
      </c>
      <c r="H15" s="9">
        <f t="shared" si="0"/>
        <v>1489.41</v>
      </c>
      <c r="I15" s="9">
        <v>58</v>
      </c>
      <c r="J15" s="10">
        <f t="shared" si="1"/>
        <v>3.8941594322584108E-2</v>
      </c>
      <c r="K15" s="10">
        <f t="shared" si="2"/>
        <v>6.7836257309941514E-2</v>
      </c>
      <c r="L15" s="39">
        <v>8.94</v>
      </c>
      <c r="M15" s="40">
        <f t="shared" si="3"/>
        <v>6.4876957494407161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115</v>
      </c>
      <c r="G16" s="15">
        <f>E5</f>
        <v>1470</v>
      </c>
      <c r="H16" s="15">
        <f t="shared" si="0"/>
        <v>2560.7399999999998</v>
      </c>
      <c r="I16" s="15">
        <v>463</v>
      </c>
      <c r="J16" s="16">
        <f t="shared" si="1"/>
        <v>0.18080711044463713</v>
      </c>
      <c r="K16" s="16">
        <f t="shared" si="2"/>
        <v>0.31496598639455781</v>
      </c>
      <c r="L16" s="41">
        <v>7.44</v>
      </c>
      <c r="M16" s="42">
        <f t="shared" si="3"/>
        <v>62.231182795698921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69</v>
      </c>
      <c r="G17" s="9">
        <f>E6</f>
        <v>855</v>
      </c>
      <c r="H17" s="9">
        <f t="shared" si="0"/>
        <v>1489.41</v>
      </c>
      <c r="I17" s="9">
        <v>306</v>
      </c>
      <c r="J17" s="10">
        <f t="shared" si="1"/>
        <v>0.20545048039156444</v>
      </c>
      <c r="K17" s="10">
        <f t="shared" si="2"/>
        <v>0.35789473684210527</v>
      </c>
      <c r="L17" s="39">
        <v>12.76</v>
      </c>
      <c r="M17" s="40">
        <f t="shared" si="3"/>
        <v>23.981191222570533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1149</v>
      </c>
      <c r="J21" s="22">
        <f>IF(H10&gt;0, I21/H10, 0)</f>
        <v>0.77144641166636452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222</v>
      </c>
      <c r="B22" s="70"/>
      <c r="C22" s="70"/>
      <c r="D22" s="70"/>
      <c r="E22" s="70"/>
      <c r="F22" s="24">
        <f>C5+C6</f>
        <v>184</v>
      </c>
      <c r="G22" s="25">
        <f>E5+E6</f>
        <v>2325</v>
      </c>
      <c r="H22" s="25">
        <f>G5+G6</f>
        <v>4050.1499999999996</v>
      </c>
      <c r="I22" s="26">
        <f>SUM(I9:I21)</f>
        <v>4876</v>
      </c>
      <c r="J22" s="27">
        <f>IF(H10&gt;0, I22/H10, 0)</f>
        <v>3.2737795502917262</v>
      </c>
      <c r="K22" s="27">
        <f>IF(G10&gt;0, I22/G10, 0)</f>
        <v>5.7029239766081874</v>
      </c>
      <c r="L22" s="28" t="s">
        <v>89</v>
      </c>
      <c r="M22" s="43">
        <f>SUM(M9:M20)</f>
        <v>198.48269949430542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223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224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93</v>
      </c>
      <c r="D5" s="35" t="s">
        <v>194</v>
      </c>
      <c r="E5" s="37">
        <v>1224</v>
      </c>
      <c r="F5" s="35" t="s">
        <v>195</v>
      </c>
      <c r="G5" s="38">
        <f>E5*$E$4</f>
        <v>2132.2080000000001</v>
      </c>
    </row>
    <row r="6" spans="1:14" x14ac:dyDescent="0.3">
      <c r="A6" s="1" t="s">
        <v>196</v>
      </c>
      <c r="B6" s="35" t="s">
        <v>197</v>
      </c>
      <c r="C6" s="36">
        <v>40</v>
      </c>
      <c r="D6" s="35" t="s">
        <v>198</v>
      </c>
      <c r="E6" s="37">
        <v>490</v>
      </c>
      <c r="F6" s="35" t="s">
        <v>199</v>
      </c>
      <c r="G6" s="38">
        <f>E6*$E$4</f>
        <v>853.58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93</v>
      </c>
      <c r="G9" s="9">
        <f>E5</f>
        <v>1224</v>
      </c>
      <c r="H9" s="9">
        <f t="shared" ref="H9:H21" si="0">G9*$E$4</f>
        <v>2132.2080000000001</v>
      </c>
      <c r="I9" s="9">
        <v>150</v>
      </c>
      <c r="J9" s="10">
        <f t="shared" ref="J9:J20" si="1">IF(H9&gt;0, I9/H9, 0)</f>
        <v>7.0349609418968506E-2</v>
      </c>
      <c r="K9" s="10">
        <f t="shared" ref="K9:K20" si="2">IF(G9&gt;0, I9/G9, 0)</f>
        <v>0.12254901960784313</v>
      </c>
      <c r="L9" s="39">
        <v>67.2</v>
      </c>
      <c r="M9" s="40">
        <f t="shared" ref="M9:M20" si="3">IF(L9&gt;0, I9/L9, 0)</f>
        <v>2.2321428571428572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40</v>
      </c>
      <c r="G10" s="15">
        <f>E6</f>
        <v>490</v>
      </c>
      <c r="H10" s="15">
        <f t="shared" si="0"/>
        <v>853.58</v>
      </c>
      <c r="I10" s="15">
        <v>160</v>
      </c>
      <c r="J10" s="16">
        <f t="shared" si="1"/>
        <v>0.18744581644368424</v>
      </c>
      <c r="K10" s="16">
        <f t="shared" si="2"/>
        <v>0.32653061224489793</v>
      </c>
      <c r="L10" s="41">
        <v>16.239999999999998</v>
      </c>
      <c r="M10" s="42">
        <f t="shared" si="3"/>
        <v>9.8522167487684733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40</v>
      </c>
      <c r="G11" s="9">
        <f>E6</f>
        <v>490</v>
      </c>
      <c r="H11" s="9">
        <f t="shared" si="0"/>
        <v>853.58</v>
      </c>
      <c r="I11" s="9">
        <v>38</v>
      </c>
      <c r="J11" s="10">
        <f t="shared" si="1"/>
        <v>4.4518381405375007E-2</v>
      </c>
      <c r="K11" s="10">
        <f t="shared" si="2"/>
        <v>7.7551020408163265E-2</v>
      </c>
      <c r="L11" s="39">
        <v>14.3</v>
      </c>
      <c r="M11" s="40">
        <f t="shared" si="3"/>
        <v>2.6573426573426571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40</v>
      </c>
      <c r="G12" s="15">
        <f>E6</f>
        <v>490</v>
      </c>
      <c r="H12" s="15">
        <f t="shared" si="0"/>
        <v>853.58</v>
      </c>
      <c r="I12" s="15">
        <v>70</v>
      </c>
      <c r="J12" s="16">
        <f t="shared" si="1"/>
        <v>8.2007544694111853E-2</v>
      </c>
      <c r="K12" s="16">
        <f t="shared" si="2"/>
        <v>0.14285714285714285</v>
      </c>
      <c r="L12" s="41">
        <v>14.3</v>
      </c>
      <c r="M12" s="42">
        <f t="shared" si="3"/>
        <v>4.895104895104895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40</v>
      </c>
      <c r="G13" s="9">
        <f>E6</f>
        <v>490</v>
      </c>
      <c r="H13" s="9">
        <f t="shared" si="0"/>
        <v>853.58</v>
      </c>
      <c r="I13" s="9">
        <v>90</v>
      </c>
      <c r="J13" s="10">
        <f t="shared" si="1"/>
        <v>0.10543827174957239</v>
      </c>
      <c r="K13" s="10">
        <f t="shared" si="2"/>
        <v>0.18367346938775511</v>
      </c>
      <c r="L13" s="39">
        <v>11.44</v>
      </c>
      <c r="M13" s="40">
        <f t="shared" si="3"/>
        <v>7.8671328671328675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40</v>
      </c>
      <c r="G14" s="15">
        <f>E6</f>
        <v>490</v>
      </c>
      <c r="H14" s="15">
        <f t="shared" si="0"/>
        <v>853.58</v>
      </c>
      <c r="I14" s="15">
        <v>0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0</v>
      </c>
      <c r="N14" s="17" t="s">
        <v>209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40</v>
      </c>
      <c r="G15" s="9">
        <f>E6</f>
        <v>490</v>
      </c>
      <c r="H15" s="9">
        <f t="shared" si="0"/>
        <v>853.58</v>
      </c>
      <c r="I15" s="9">
        <v>25</v>
      </c>
      <c r="J15" s="10">
        <f t="shared" si="1"/>
        <v>2.9288408819325661E-2</v>
      </c>
      <c r="K15" s="10">
        <f t="shared" si="2"/>
        <v>5.1020408163265307E-2</v>
      </c>
      <c r="L15" s="39">
        <v>8.94</v>
      </c>
      <c r="M15" s="40">
        <f t="shared" si="3"/>
        <v>2.796420581655481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93</v>
      </c>
      <c r="G16" s="15">
        <f>E5</f>
        <v>1224</v>
      </c>
      <c r="H16" s="15">
        <f t="shared" si="0"/>
        <v>2132.2080000000001</v>
      </c>
      <c r="I16" s="15">
        <v>160</v>
      </c>
      <c r="J16" s="16">
        <f t="shared" si="1"/>
        <v>7.5039583380233074E-2</v>
      </c>
      <c r="K16" s="16">
        <f t="shared" si="2"/>
        <v>0.13071895424836602</v>
      </c>
      <c r="L16" s="41">
        <v>7.44</v>
      </c>
      <c r="M16" s="42">
        <f t="shared" si="3"/>
        <v>21.50537634408602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40</v>
      </c>
      <c r="G17" s="9">
        <f>E6</f>
        <v>490</v>
      </c>
      <c r="H17" s="9">
        <f t="shared" si="0"/>
        <v>853.58</v>
      </c>
      <c r="I17" s="9">
        <v>0</v>
      </c>
      <c r="J17" s="10">
        <f t="shared" si="1"/>
        <v>0</v>
      </c>
      <c r="K17" s="10">
        <f t="shared" si="2"/>
        <v>0</v>
      </c>
      <c r="L17" s="39">
        <v>12.76</v>
      </c>
      <c r="M17" s="40">
        <f t="shared" si="3"/>
        <v>0</v>
      </c>
      <c r="N17" s="17" t="s">
        <v>209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1828</v>
      </c>
      <c r="J21" s="22">
        <f>IF(H10&gt;0, I21/H10, 0)</f>
        <v>2.1415684528690924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225</v>
      </c>
      <c r="B22" s="70"/>
      <c r="C22" s="70"/>
      <c r="D22" s="70"/>
      <c r="E22" s="70"/>
      <c r="F22" s="24">
        <f>C5+C6</f>
        <v>133</v>
      </c>
      <c r="G22" s="25">
        <f>E5+E6</f>
        <v>1714</v>
      </c>
      <c r="H22" s="25">
        <f>G5+G6</f>
        <v>2985.788</v>
      </c>
      <c r="I22" s="26">
        <f>SUM(I9:I21)</f>
        <v>2521</v>
      </c>
      <c r="J22" s="27">
        <f>IF(H10&gt;0, I22/H10, 0)</f>
        <v>2.9534431453407999</v>
      </c>
      <c r="K22" s="27">
        <f>IF(G10&gt;0, I22/G10, 0)</f>
        <v>5.1448979591836732</v>
      </c>
      <c r="L22" s="28" t="s">
        <v>89</v>
      </c>
      <c r="M22" s="43">
        <f>SUM(M9:M20)</f>
        <v>51.805736951233257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226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227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108</v>
      </c>
      <c r="D5" s="35" t="s">
        <v>194</v>
      </c>
      <c r="E5" s="37">
        <v>1421</v>
      </c>
      <c r="F5" s="35" t="s">
        <v>195</v>
      </c>
      <c r="G5" s="38">
        <f>E5*$E$4</f>
        <v>2475.3820000000001</v>
      </c>
    </row>
    <row r="6" spans="1:14" x14ac:dyDescent="0.3">
      <c r="A6" s="1" t="s">
        <v>196</v>
      </c>
      <c r="B6" s="35" t="s">
        <v>197</v>
      </c>
      <c r="C6" s="36">
        <v>58</v>
      </c>
      <c r="D6" s="35" t="s">
        <v>198</v>
      </c>
      <c r="E6" s="37">
        <v>812</v>
      </c>
      <c r="F6" s="35" t="s">
        <v>199</v>
      </c>
      <c r="G6" s="38">
        <f>E6*$E$4</f>
        <v>1414.5039999999999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108</v>
      </c>
      <c r="G9" s="9">
        <f>E5</f>
        <v>1421</v>
      </c>
      <c r="H9" s="9">
        <f t="shared" ref="H9:H21" si="0">G9*$E$4</f>
        <v>2475.3820000000001</v>
      </c>
      <c r="I9" s="9">
        <v>1970</v>
      </c>
      <c r="J9" s="10">
        <f t="shared" ref="J9:J20" si="1">IF(H9&gt;0, I9/H9, 0)</f>
        <v>0.79583676378029733</v>
      </c>
      <c r="K9" s="10">
        <f t="shared" ref="K9:K20" si="2">IF(G9&gt;0, I9/G9, 0)</f>
        <v>1.3863476425052779</v>
      </c>
      <c r="L9" s="39">
        <v>67.2</v>
      </c>
      <c r="M9" s="40">
        <f t="shared" ref="M9:M20" si="3">IF(L9&gt;0, I9/L9, 0)</f>
        <v>29.31547619047619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58</v>
      </c>
      <c r="G10" s="15">
        <f>E6</f>
        <v>812</v>
      </c>
      <c r="H10" s="15">
        <f t="shared" si="0"/>
        <v>1414.5039999999999</v>
      </c>
      <c r="I10" s="15">
        <v>530</v>
      </c>
      <c r="J10" s="16">
        <f t="shared" si="1"/>
        <v>0.37468964386102832</v>
      </c>
      <c r="K10" s="16">
        <f t="shared" si="2"/>
        <v>0.65270935960591137</v>
      </c>
      <c r="L10" s="41">
        <v>16.239999999999998</v>
      </c>
      <c r="M10" s="42">
        <f t="shared" si="3"/>
        <v>32.635467980295573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58</v>
      </c>
      <c r="G11" s="9">
        <f>E6</f>
        <v>812</v>
      </c>
      <c r="H11" s="9">
        <f t="shared" si="0"/>
        <v>1414.5039999999999</v>
      </c>
      <c r="I11" s="9">
        <v>0</v>
      </c>
      <c r="J11" s="10">
        <f t="shared" si="1"/>
        <v>0</v>
      </c>
      <c r="K11" s="10">
        <f t="shared" si="2"/>
        <v>0</v>
      </c>
      <c r="L11" s="39">
        <v>14.3</v>
      </c>
      <c r="M11" s="40">
        <f t="shared" si="3"/>
        <v>0</v>
      </c>
      <c r="N11" s="17" t="s">
        <v>209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58</v>
      </c>
      <c r="G12" s="15">
        <f>E6</f>
        <v>812</v>
      </c>
      <c r="H12" s="15">
        <f t="shared" si="0"/>
        <v>1414.5039999999999</v>
      </c>
      <c r="I12" s="15">
        <v>0</v>
      </c>
      <c r="J12" s="16">
        <f t="shared" si="1"/>
        <v>0</v>
      </c>
      <c r="K12" s="16">
        <f t="shared" si="2"/>
        <v>0</v>
      </c>
      <c r="L12" s="41">
        <v>14.3</v>
      </c>
      <c r="M12" s="42">
        <f t="shared" si="3"/>
        <v>0</v>
      </c>
      <c r="N12" s="17" t="s">
        <v>209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58</v>
      </c>
      <c r="G13" s="9">
        <f>E6</f>
        <v>812</v>
      </c>
      <c r="H13" s="9">
        <f t="shared" si="0"/>
        <v>1414.5039999999999</v>
      </c>
      <c r="I13" s="9">
        <v>40</v>
      </c>
      <c r="J13" s="10">
        <f t="shared" si="1"/>
        <v>2.827846368762478E-2</v>
      </c>
      <c r="K13" s="10">
        <f t="shared" si="2"/>
        <v>4.9261083743842367E-2</v>
      </c>
      <c r="L13" s="39">
        <v>11.44</v>
      </c>
      <c r="M13" s="40">
        <f t="shared" si="3"/>
        <v>3.4965034965034967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58</v>
      </c>
      <c r="G14" s="15">
        <f>E6</f>
        <v>812</v>
      </c>
      <c r="H14" s="15">
        <f t="shared" si="0"/>
        <v>1414.5039999999999</v>
      </c>
      <c r="I14" s="15">
        <v>0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0</v>
      </c>
      <c r="N14" s="17" t="s">
        <v>209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58</v>
      </c>
      <c r="G15" s="9">
        <f>E6</f>
        <v>812</v>
      </c>
      <c r="H15" s="9">
        <f t="shared" si="0"/>
        <v>1414.5039999999999</v>
      </c>
      <c r="I15" s="9">
        <v>110</v>
      </c>
      <c r="J15" s="10">
        <f t="shared" si="1"/>
        <v>7.7765775140968149E-2</v>
      </c>
      <c r="K15" s="10">
        <f t="shared" si="2"/>
        <v>0.1354679802955665</v>
      </c>
      <c r="L15" s="39">
        <v>8.94</v>
      </c>
      <c r="M15" s="40">
        <f t="shared" si="3"/>
        <v>12.304250559284117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108</v>
      </c>
      <c r="G16" s="15">
        <f>E5</f>
        <v>1421</v>
      </c>
      <c r="H16" s="15">
        <f t="shared" si="0"/>
        <v>2475.3820000000001</v>
      </c>
      <c r="I16" s="15">
        <v>550</v>
      </c>
      <c r="J16" s="16">
        <f t="shared" si="1"/>
        <v>0.22218792897419468</v>
      </c>
      <c r="K16" s="16">
        <f t="shared" si="2"/>
        <v>0.38705137227304715</v>
      </c>
      <c r="L16" s="41">
        <v>7.44</v>
      </c>
      <c r="M16" s="42">
        <f t="shared" si="3"/>
        <v>73.924731182795696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58</v>
      </c>
      <c r="G17" s="9">
        <f>E6</f>
        <v>812</v>
      </c>
      <c r="H17" s="9">
        <f t="shared" si="0"/>
        <v>1414.5039999999999</v>
      </c>
      <c r="I17" s="9">
        <v>180</v>
      </c>
      <c r="J17" s="10">
        <f t="shared" si="1"/>
        <v>0.1272530865943115</v>
      </c>
      <c r="K17" s="10">
        <f t="shared" si="2"/>
        <v>0.22167487684729065</v>
      </c>
      <c r="L17" s="39">
        <v>12.76</v>
      </c>
      <c r="M17" s="40">
        <f t="shared" si="3"/>
        <v>14.106583072100314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325.77</v>
      </c>
      <c r="J21" s="22">
        <f>IF(H10&gt;0, I21/H10, 0)</f>
        <v>0.23030687788793811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228</v>
      </c>
      <c r="B22" s="70"/>
      <c r="C22" s="70"/>
      <c r="D22" s="70"/>
      <c r="E22" s="70"/>
      <c r="F22" s="24">
        <f>C5+C6</f>
        <v>166</v>
      </c>
      <c r="G22" s="25">
        <f>E5+E6</f>
        <v>2233</v>
      </c>
      <c r="H22" s="25">
        <f>G5+G6</f>
        <v>3889.886</v>
      </c>
      <c r="I22" s="26">
        <f>SUM(I9:I21)</f>
        <v>3705.77</v>
      </c>
      <c r="J22" s="27">
        <f>IF(H10&gt;0, I22/H10, 0)</f>
        <v>2.619837059492232</v>
      </c>
      <c r="K22" s="27">
        <f>IF(G10&gt;0, I22/G10, 0)</f>
        <v>4.5637561576354679</v>
      </c>
      <c r="L22" s="28" t="s">
        <v>89</v>
      </c>
      <c r="M22" s="43">
        <f>SUM(M9:M20)</f>
        <v>165.78301248145539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229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146</v>
      </c>
      <c r="D5" s="35" t="s">
        <v>194</v>
      </c>
      <c r="E5" s="37">
        <v>1953</v>
      </c>
      <c r="F5" s="35" t="s">
        <v>195</v>
      </c>
      <c r="G5" s="38">
        <f>E5*$E$4</f>
        <v>3402.1260000000002</v>
      </c>
    </row>
    <row r="6" spans="1:14" x14ac:dyDescent="0.3">
      <c r="A6" s="1" t="s">
        <v>196</v>
      </c>
      <c r="B6" s="35" t="s">
        <v>197</v>
      </c>
      <c r="C6" s="36">
        <v>74</v>
      </c>
      <c r="D6" s="35" t="s">
        <v>198</v>
      </c>
      <c r="E6" s="37">
        <v>1036</v>
      </c>
      <c r="F6" s="35" t="s">
        <v>199</v>
      </c>
      <c r="G6" s="38">
        <f>E6*$E$4</f>
        <v>1804.712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146</v>
      </c>
      <c r="G9" s="9">
        <f>E5</f>
        <v>1953</v>
      </c>
      <c r="H9" s="9">
        <f t="shared" ref="H9:H21" si="0">G9*$E$4</f>
        <v>3402.1260000000002</v>
      </c>
      <c r="I9" s="9">
        <v>1200</v>
      </c>
      <c r="J9" s="10">
        <f t="shared" ref="J9:J20" si="1">IF(H9&gt;0, I9/H9, 0)</f>
        <v>0.35272062234026602</v>
      </c>
      <c r="K9" s="10">
        <f t="shared" ref="K9:K20" si="2">IF(G9&gt;0, I9/G9, 0)</f>
        <v>0.61443932411674351</v>
      </c>
      <c r="L9" s="39">
        <v>67.2</v>
      </c>
      <c r="M9" s="40">
        <f t="shared" ref="M9:M20" si="3">IF(L9&gt;0, I9/L9, 0)</f>
        <v>17.857142857142858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74</v>
      </c>
      <c r="G10" s="15">
        <f>E6</f>
        <v>1036</v>
      </c>
      <c r="H10" s="15">
        <f t="shared" si="0"/>
        <v>1804.712</v>
      </c>
      <c r="I10" s="15">
        <v>350</v>
      </c>
      <c r="J10" s="16">
        <f t="shared" si="1"/>
        <v>0.19393676110094021</v>
      </c>
      <c r="K10" s="16">
        <f t="shared" si="2"/>
        <v>0.33783783783783783</v>
      </c>
      <c r="L10" s="41">
        <v>16.239999999999998</v>
      </c>
      <c r="M10" s="42">
        <f t="shared" si="3"/>
        <v>21.551724137931036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74</v>
      </c>
      <c r="G11" s="9">
        <f>E6</f>
        <v>1036</v>
      </c>
      <c r="H11" s="9">
        <f t="shared" si="0"/>
        <v>1804.712</v>
      </c>
      <c r="I11" s="9">
        <v>250</v>
      </c>
      <c r="J11" s="10">
        <f t="shared" si="1"/>
        <v>0.138526257929243</v>
      </c>
      <c r="K11" s="10">
        <f t="shared" si="2"/>
        <v>0.2413127413127413</v>
      </c>
      <c r="L11" s="39">
        <v>14.3</v>
      </c>
      <c r="M11" s="40">
        <f t="shared" si="3"/>
        <v>17.482517482517483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74</v>
      </c>
      <c r="G12" s="15">
        <f>E6</f>
        <v>1036</v>
      </c>
      <c r="H12" s="15">
        <f t="shared" si="0"/>
        <v>1804.712</v>
      </c>
      <c r="I12" s="15">
        <v>0</v>
      </c>
      <c r="J12" s="16">
        <f t="shared" si="1"/>
        <v>0</v>
      </c>
      <c r="K12" s="16">
        <f t="shared" si="2"/>
        <v>0</v>
      </c>
      <c r="L12" s="41">
        <v>14.3</v>
      </c>
      <c r="M12" s="42">
        <f t="shared" si="3"/>
        <v>0</v>
      </c>
      <c r="N12" s="17" t="s">
        <v>209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74</v>
      </c>
      <c r="G13" s="9">
        <f>E6</f>
        <v>1036</v>
      </c>
      <c r="H13" s="9">
        <f t="shared" si="0"/>
        <v>1804.712</v>
      </c>
      <c r="I13" s="9">
        <v>306</v>
      </c>
      <c r="J13" s="10">
        <f t="shared" si="1"/>
        <v>0.16955613970539343</v>
      </c>
      <c r="K13" s="10">
        <f t="shared" si="2"/>
        <v>0.29536679536679539</v>
      </c>
      <c r="L13" s="39">
        <v>11.44</v>
      </c>
      <c r="M13" s="40">
        <f t="shared" si="3"/>
        <v>26.74825174825175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74</v>
      </c>
      <c r="G14" s="15">
        <f>E6</f>
        <v>1036</v>
      </c>
      <c r="H14" s="15">
        <f t="shared" si="0"/>
        <v>1804.712</v>
      </c>
      <c r="I14" s="15">
        <v>150</v>
      </c>
      <c r="J14" s="16">
        <f t="shared" si="1"/>
        <v>8.3115754757545804E-2</v>
      </c>
      <c r="K14" s="16">
        <f t="shared" si="2"/>
        <v>0.14478764478764478</v>
      </c>
      <c r="L14" s="41">
        <v>10.96</v>
      </c>
      <c r="M14" s="42">
        <f t="shared" si="3"/>
        <v>13.686131386861312</v>
      </c>
      <c r="N14" s="11" t="s">
        <v>208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74</v>
      </c>
      <c r="G15" s="9">
        <f>E6</f>
        <v>1036</v>
      </c>
      <c r="H15" s="9">
        <f t="shared" si="0"/>
        <v>1804.712</v>
      </c>
      <c r="I15" s="9">
        <v>120</v>
      </c>
      <c r="J15" s="10">
        <f t="shared" si="1"/>
        <v>6.6492603806036638E-2</v>
      </c>
      <c r="K15" s="10">
        <f t="shared" si="2"/>
        <v>0.11583011583011583</v>
      </c>
      <c r="L15" s="39">
        <v>8.94</v>
      </c>
      <c r="M15" s="40">
        <f t="shared" si="3"/>
        <v>13.422818791946309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146</v>
      </c>
      <c r="G16" s="15">
        <f>E5</f>
        <v>1953</v>
      </c>
      <c r="H16" s="15">
        <f t="shared" si="0"/>
        <v>3402.1260000000002</v>
      </c>
      <c r="I16" s="15">
        <v>100</v>
      </c>
      <c r="J16" s="16">
        <f t="shared" si="1"/>
        <v>2.939338519502217E-2</v>
      </c>
      <c r="K16" s="16">
        <f t="shared" si="2"/>
        <v>5.1203277009728626E-2</v>
      </c>
      <c r="L16" s="41">
        <v>7.44</v>
      </c>
      <c r="M16" s="42">
        <f t="shared" si="3"/>
        <v>13.440860215053762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74</v>
      </c>
      <c r="G17" s="9">
        <f>E6</f>
        <v>1036</v>
      </c>
      <c r="H17" s="9">
        <f t="shared" si="0"/>
        <v>1804.712</v>
      </c>
      <c r="I17" s="9">
        <v>187</v>
      </c>
      <c r="J17" s="10">
        <f t="shared" si="1"/>
        <v>0.10361764093107377</v>
      </c>
      <c r="K17" s="10">
        <f t="shared" si="2"/>
        <v>0.1805019305019305</v>
      </c>
      <c r="L17" s="39">
        <v>12.76</v>
      </c>
      <c r="M17" s="40">
        <f t="shared" si="3"/>
        <v>14.655172413793103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989.18</v>
      </c>
      <c r="J21" s="22">
        <f>IF(H10&gt;0, I21/H10, 0)</f>
        <v>0.54810961527379432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231</v>
      </c>
      <c r="B22" s="70"/>
      <c r="C22" s="70"/>
      <c r="D22" s="70"/>
      <c r="E22" s="70"/>
      <c r="F22" s="24">
        <f>C5+C6</f>
        <v>220</v>
      </c>
      <c r="G22" s="25">
        <f>E5+E6</f>
        <v>2989</v>
      </c>
      <c r="H22" s="25">
        <f>G5+G6</f>
        <v>5206.8379999999997</v>
      </c>
      <c r="I22" s="26">
        <f>SUM(I9:I21)</f>
        <v>3652.18</v>
      </c>
      <c r="J22" s="27">
        <f>IF(H10&gt;0, I22/H10, 0)</f>
        <v>2.0236913147360909</v>
      </c>
      <c r="K22" s="27">
        <f>IF(G10&gt;0, I22/G10, 0)</f>
        <v>3.5252702702702701</v>
      </c>
      <c r="L22" s="28" t="s">
        <v>89</v>
      </c>
      <c r="M22" s="43">
        <f>SUM(M9:M20)</f>
        <v>138.84461903349759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232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233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97</v>
      </c>
      <c r="D5" s="35" t="s">
        <v>194</v>
      </c>
      <c r="E5" s="37">
        <v>1288</v>
      </c>
      <c r="F5" s="35" t="s">
        <v>195</v>
      </c>
      <c r="G5" s="38">
        <f>E5*$E$4</f>
        <v>2243.6959999999999</v>
      </c>
    </row>
    <row r="6" spans="1:14" x14ac:dyDescent="0.3">
      <c r="A6" s="1" t="s">
        <v>196</v>
      </c>
      <c r="B6" s="35" t="s">
        <v>197</v>
      </c>
      <c r="C6" s="36">
        <v>72</v>
      </c>
      <c r="D6" s="35" t="s">
        <v>198</v>
      </c>
      <c r="E6" s="37">
        <v>1001</v>
      </c>
      <c r="F6" s="35" t="s">
        <v>199</v>
      </c>
      <c r="G6" s="38">
        <f>E6*$E$4</f>
        <v>1743.742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97</v>
      </c>
      <c r="G9" s="9">
        <f>E5</f>
        <v>1288</v>
      </c>
      <c r="H9" s="9">
        <f t="shared" ref="H9:H21" si="0">G9*$E$4</f>
        <v>2243.6959999999999</v>
      </c>
      <c r="I9" s="9">
        <v>1200</v>
      </c>
      <c r="J9" s="10">
        <f t="shared" ref="J9:J20" si="1">IF(H9&gt;0, I9/H9, 0)</f>
        <v>0.53483181322246864</v>
      </c>
      <c r="K9" s="10">
        <f t="shared" ref="K9:K20" si="2">IF(G9&gt;0, I9/G9, 0)</f>
        <v>0.93167701863354035</v>
      </c>
      <c r="L9" s="39">
        <v>67.2</v>
      </c>
      <c r="M9" s="40">
        <f t="shared" ref="M9:M20" si="3">IF(L9&gt;0, I9/L9, 0)</f>
        <v>17.857142857142858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72</v>
      </c>
      <c r="G10" s="15">
        <f>E6</f>
        <v>1001</v>
      </c>
      <c r="H10" s="15">
        <f t="shared" si="0"/>
        <v>1743.742</v>
      </c>
      <c r="I10" s="15">
        <v>551</v>
      </c>
      <c r="J10" s="16">
        <f t="shared" si="1"/>
        <v>0.31598711277241703</v>
      </c>
      <c r="K10" s="16">
        <f t="shared" si="2"/>
        <v>0.55044955044955046</v>
      </c>
      <c r="L10" s="41">
        <v>16.239999999999998</v>
      </c>
      <c r="M10" s="42">
        <f t="shared" si="3"/>
        <v>33.928571428571431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72</v>
      </c>
      <c r="G11" s="9">
        <f>E6</f>
        <v>1001</v>
      </c>
      <c r="H11" s="9">
        <f t="shared" si="0"/>
        <v>1743.742</v>
      </c>
      <c r="I11" s="9">
        <v>150</v>
      </c>
      <c r="J11" s="10">
        <f t="shared" si="1"/>
        <v>8.6021900028788664E-2</v>
      </c>
      <c r="K11" s="10">
        <f t="shared" si="2"/>
        <v>0.14985014985014986</v>
      </c>
      <c r="L11" s="39">
        <v>14.3</v>
      </c>
      <c r="M11" s="40">
        <f t="shared" si="3"/>
        <v>10.489510489510488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72</v>
      </c>
      <c r="G12" s="15">
        <f>E6</f>
        <v>1001</v>
      </c>
      <c r="H12" s="15">
        <f t="shared" si="0"/>
        <v>1743.742</v>
      </c>
      <c r="I12" s="15">
        <v>155</v>
      </c>
      <c r="J12" s="16">
        <f t="shared" si="1"/>
        <v>8.888929669641496E-2</v>
      </c>
      <c r="K12" s="16">
        <f t="shared" si="2"/>
        <v>0.15484515484515485</v>
      </c>
      <c r="L12" s="41">
        <v>14.3</v>
      </c>
      <c r="M12" s="42">
        <f t="shared" si="3"/>
        <v>10.839160839160838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72</v>
      </c>
      <c r="G13" s="9">
        <f>E6</f>
        <v>1001</v>
      </c>
      <c r="H13" s="9">
        <f t="shared" si="0"/>
        <v>1743.742</v>
      </c>
      <c r="I13" s="9">
        <v>109</v>
      </c>
      <c r="J13" s="10">
        <f t="shared" si="1"/>
        <v>6.2509247354253103E-2</v>
      </c>
      <c r="K13" s="10">
        <f t="shared" si="2"/>
        <v>0.1088911088911089</v>
      </c>
      <c r="L13" s="39">
        <v>11.44</v>
      </c>
      <c r="M13" s="40">
        <f t="shared" si="3"/>
        <v>9.5279720279720284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72</v>
      </c>
      <c r="G14" s="15">
        <f>E6</f>
        <v>1001</v>
      </c>
      <c r="H14" s="15">
        <f t="shared" si="0"/>
        <v>1743.742</v>
      </c>
      <c r="I14" s="15">
        <v>153</v>
      </c>
      <c r="J14" s="16">
        <f t="shared" si="1"/>
        <v>8.7742338029364444E-2</v>
      </c>
      <c r="K14" s="16">
        <f t="shared" si="2"/>
        <v>0.15284715284715283</v>
      </c>
      <c r="L14" s="41">
        <v>10.96</v>
      </c>
      <c r="M14" s="42">
        <f t="shared" si="3"/>
        <v>13.959854014598539</v>
      </c>
      <c r="N14" s="11" t="s">
        <v>208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72</v>
      </c>
      <c r="G15" s="9">
        <f>E6</f>
        <v>1001</v>
      </c>
      <c r="H15" s="9">
        <f t="shared" si="0"/>
        <v>1743.742</v>
      </c>
      <c r="I15" s="9">
        <v>102</v>
      </c>
      <c r="J15" s="10">
        <f t="shared" si="1"/>
        <v>5.8494892019576292E-2</v>
      </c>
      <c r="K15" s="10">
        <f t="shared" si="2"/>
        <v>0.1018981018981019</v>
      </c>
      <c r="L15" s="39">
        <v>8.94</v>
      </c>
      <c r="M15" s="40">
        <f t="shared" si="3"/>
        <v>11.409395973154362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97</v>
      </c>
      <c r="G16" s="15">
        <f>E5</f>
        <v>1288</v>
      </c>
      <c r="H16" s="15">
        <f t="shared" si="0"/>
        <v>2243.6959999999999</v>
      </c>
      <c r="I16" s="15">
        <v>390</v>
      </c>
      <c r="J16" s="16">
        <f t="shared" si="1"/>
        <v>0.17382033929730231</v>
      </c>
      <c r="K16" s="16">
        <f t="shared" si="2"/>
        <v>0.30279503105590061</v>
      </c>
      <c r="L16" s="41">
        <v>7.44</v>
      </c>
      <c r="M16" s="42">
        <f t="shared" si="3"/>
        <v>52.419354838709673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72</v>
      </c>
      <c r="G17" s="9">
        <f>E6</f>
        <v>1001</v>
      </c>
      <c r="H17" s="9">
        <f t="shared" si="0"/>
        <v>1743.742</v>
      </c>
      <c r="I17" s="9">
        <v>290</v>
      </c>
      <c r="J17" s="10">
        <f t="shared" si="1"/>
        <v>0.16630900672232476</v>
      </c>
      <c r="K17" s="10">
        <f t="shared" si="2"/>
        <v>0.28971028971028973</v>
      </c>
      <c r="L17" s="39">
        <v>12.76</v>
      </c>
      <c r="M17" s="40">
        <f t="shared" si="3"/>
        <v>22.727272727272727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3.7099999999999942</v>
      </c>
      <c r="J21" s="22">
        <f>IF(H10&gt;0, I21/H10, 0)</f>
        <v>2.1276083273787032E-3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234</v>
      </c>
      <c r="B22" s="70"/>
      <c r="C22" s="70"/>
      <c r="D22" s="70"/>
      <c r="E22" s="70"/>
      <c r="F22" s="24">
        <f>C5+C6</f>
        <v>169</v>
      </c>
      <c r="G22" s="25">
        <f>E5+E6</f>
        <v>2289</v>
      </c>
      <c r="H22" s="25">
        <f>G5+G6</f>
        <v>3987.4380000000001</v>
      </c>
      <c r="I22" s="26">
        <f>SUM(I9:I21)</f>
        <v>3103.71</v>
      </c>
      <c r="J22" s="27">
        <f>IF(H10&gt;0, I22/H10, 0)</f>
        <v>1.7799135422556778</v>
      </c>
      <c r="K22" s="27">
        <f>IF(G10&gt;0, I22/G10, 0)</f>
        <v>3.1006093906093906</v>
      </c>
      <c r="L22" s="28" t="s">
        <v>89</v>
      </c>
      <c r="M22" s="43">
        <f>SUM(M9:M20)</f>
        <v>183.15823519609293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235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236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114</v>
      </c>
      <c r="D5" s="35" t="s">
        <v>194</v>
      </c>
      <c r="E5" s="37">
        <v>1533</v>
      </c>
      <c r="F5" s="35" t="s">
        <v>195</v>
      </c>
      <c r="G5" s="38">
        <f>E5*$E$4</f>
        <v>2670.4859999999999</v>
      </c>
    </row>
    <row r="6" spans="1:14" x14ac:dyDescent="0.3">
      <c r="A6" s="1" t="s">
        <v>196</v>
      </c>
      <c r="B6" s="35" t="s">
        <v>197</v>
      </c>
      <c r="C6" s="36">
        <v>82</v>
      </c>
      <c r="D6" s="35" t="s">
        <v>198</v>
      </c>
      <c r="E6" s="37">
        <v>1141</v>
      </c>
      <c r="F6" s="35" t="s">
        <v>199</v>
      </c>
      <c r="G6" s="38">
        <f>E6*$E$4</f>
        <v>1987.6220000000001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114</v>
      </c>
      <c r="G9" s="9">
        <f>E5</f>
        <v>1533</v>
      </c>
      <c r="H9" s="9">
        <f t="shared" ref="H9:H21" si="0">G9*$E$4</f>
        <v>2670.4859999999999</v>
      </c>
      <c r="I9" s="9">
        <v>960</v>
      </c>
      <c r="J9" s="10">
        <f t="shared" ref="J9:J20" si="1">IF(H9&gt;0, I9/H9, 0)</f>
        <v>0.35948512742624378</v>
      </c>
      <c r="K9" s="10">
        <f t="shared" ref="K9:K20" si="2">IF(G9&gt;0, I9/G9, 0)</f>
        <v>0.6262230919765166</v>
      </c>
      <c r="L9" s="39">
        <v>67.2</v>
      </c>
      <c r="M9" s="40">
        <f t="shared" ref="M9:M20" si="3">IF(L9&gt;0, I9/L9, 0)</f>
        <v>14.285714285714285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82</v>
      </c>
      <c r="G10" s="15">
        <f>E6</f>
        <v>1141</v>
      </c>
      <c r="H10" s="15">
        <f t="shared" si="0"/>
        <v>1987.6220000000001</v>
      </c>
      <c r="I10" s="15">
        <v>726</v>
      </c>
      <c r="J10" s="16">
        <f t="shared" si="1"/>
        <v>0.36526059784003195</v>
      </c>
      <c r="K10" s="16">
        <f t="shared" si="2"/>
        <v>0.63628396143733568</v>
      </c>
      <c r="L10" s="41">
        <v>16.239999999999998</v>
      </c>
      <c r="M10" s="42">
        <f t="shared" si="3"/>
        <v>44.704433497536947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82</v>
      </c>
      <c r="G11" s="9">
        <f>E6</f>
        <v>1141</v>
      </c>
      <c r="H11" s="9">
        <f t="shared" si="0"/>
        <v>1987.6220000000001</v>
      </c>
      <c r="I11" s="9">
        <v>60</v>
      </c>
      <c r="J11" s="10">
        <f t="shared" si="1"/>
        <v>3.0186826267771236E-2</v>
      </c>
      <c r="K11" s="10">
        <f t="shared" si="2"/>
        <v>5.2585451358457491E-2</v>
      </c>
      <c r="L11" s="39">
        <v>14.3</v>
      </c>
      <c r="M11" s="40">
        <f t="shared" si="3"/>
        <v>4.1958041958041958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82</v>
      </c>
      <c r="G12" s="15">
        <f>E6</f>
        <v>1141</v>
      </c>
      <c r="H12" s="15">
        <f t="shared" si="0"/>
        <v>1987.6220000000001</v>
      </c>
      <c r="I12" s="15">
        <v>203</v>
      </c>
      <c r="J12" s="16">
        <f t="shared" si="1"/>
        <v>0.10213209553929267</v>
      </c>
      <c r="K12" s="16">
        <f t="shared" si="2"/>
        <v>0.17791411042944785</v>
      </c>
      <c r="L12" s="41">
        <v>14.3</v>
      </c>
      <c r="M12" s="42">
        <f t="shared" si="3"/>
        <v>14.195804195804195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82</v>
      </c>
      <c r="G13" s="9">
        <f>E6</f>
        <v>1141</v>
      </c>
      <c r="H13" s="9">
        <f t="shared" si="0"/>
        <v>1987.6220000000001</v>
      </c>
      <c r="I13" s="9">
        <v>53</v>
      </c>
      <c r="J13" s="10">
        <f t="shared" si="1"/>
        <v>2.666502986986459E-2</v>
      </c>
      <c r="K13" s="10">
        <f t="shared" si="2"/>
        <v>4.6450482033304118E-2</v>
      </c>
      <c r="L13" s="39">
        <v>11.44</v>
      </c>
      <c r="M13" s="40">
        <f t="shared" si="3"/>
        <v>4.6328671328671334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82</v>
      </c>
      <c r="G14" s="15">
        <f>E6</f>
        <v>1141</v>
      </c>
      <c r="H14" s="15">
        <f t="shared" si="0"/>
        <v>1987.6220000000001</v>
      </c>
      <c r="I14" s="15">
        <v>83</v>
      </c>
      <c r="J14" s="16">
        <f t="shared" si="1"/>
        <v>4.1758443003750208E-2</v>
      </c>
      <c r="K14" s="16">
        <f t="shared" si="2"/>
        <v>7.274320771253287E-2</v>
      </c>
      <c r="L14" s="41">
        <v>10.96</v>
      </c>
      <c r="M14" s="42">
        <f t="shared" si="3"/>
        <v>7.5729927007299267</v>
      </c>
      <c r="N14" s="11" t="s">
        <v>208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82</v>
      </c>
      <c r="G15" s="9">
        <f>E6</f>
        <v>1141</v>
      </c>
      <c r="H15" s="9">
        <f t="shared" si="0"/>
        <v>1987.6220000000001</v>
      </c>
      <c r="I15" s="9">
        <v>96</v>
      </c>
      <c r="J15" s="10">
        <f t="shared" si="1"/>
        <v>4.8298922028433978E-2</v>
      </c>
      <c r="K15" s="10">
        <f t="shared" si="2"/>
        <v>8.4136722173531991E-2</v>
      </c>
      <c r="L15" s="39">
        <v>8.94</v>
      </c>
      <c r="M15" s="40">
        <f t="shared" si="3"/>
        <v>10.738255033557047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114</v>
      </c>
      <c r="G16" s="15">
        <f>E5</f>
        <v>1533</v>
      </c>
      <c r="H16" s="15">
        <f t="shared" si="0"/>
        <v>2670.4859999999999</v>
      </c>
      <c r="I16" s="15">
        <v>332</v>
      </c>
      <c r="J16" s="16">
        <f t="shared" si="1"/>
        <v>0.12432193990157597</v>
      </c>
      <c r="K16" s="16">
        <f t="shared" si="2"/>
        <v>0.21656881930854532</v>
      </c>
      <c r="L16" s="41">
        <v>7.44</v>
      </c>
      <c r="M16" s="42">
        <f t="shared" si="3"/>
        <v>44.623655913978489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82</v>
      </c>
      <c r="G17" s="9">
        <f>E6</f>
        <v>1141</v>
      </c>
      <c r="H17" s="9">
        <f t="shared" si="0"/>
        <v>1987.6220000000001</v>
      </c>
      <c r="I17" s="9">
        <v>80</v>
      </c>
      <c r="J17" s="10">
        <f t="shared" si="1"/>
        <v>4.0249101690361645E-2</v>
      </c>
      <c r="K17" s="10">
        <f t="shared" si="2"/>
        <v>7.0113935144609993E-2</v>
      </c>
      <c r="L17" s="39">
        <v>12.76</v>
      </c>
      <c r="M17" s="40">
        <f t="shared" si="3"/>
        <v>6.2695924764890281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338</v>
      </c>
      <c r="J21" s="22">
        <f>IF(H10&gt;0, I21/H10, 0)</f>
        <v>0.17005245464177796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237</v>
      </c>
      <c r="B22" s="70"/>
      <c r="C22" s="70"/>
      <c r="D22" s="70"/>
      <c r="E22" s="70"/>
      <c r="F22" s="24">
        <f>C5+C6</f>
        <v>196</v>
      </c>
      <c r="G22" s="25">
        <f>E5+E6</f>
        <v>2674</v>
      </c>
      <c r="H22" s="25">
        <f>G5+G6</f>
        <v>4658.1080000000002</v>
      </c>
      <c r="I22" s="26">
        <f>SUM(I9:I21)</f>
        <v>2931</v>
      </c>
      <c r="J22" s="27">
        <f>IF(H10&gt;0, I22/H10, 0)</f>
        <v>1.4746264631806247</v>
      </c>
      <c r="K22" s="27">
        <f>IF(G10&gt;0, I22/G10, 0)</f>
        <v>2.5687992988606485</v>
      </c>
      <c r="L22" s="28" t="s">
        <v>89</v>
      </c>
      <c r="M22" s="43">
        <f>SUM(M9:M20)</f>
        <v>151.21911943248125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238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239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0</v>
      </c>
      <c r="D5" s="35" t="s">
        <v>194</v>
      </c>
      <c r="E5" s="37">
        <v>0</v>
      </c>
      <c r="F5" s="35" t="s">
        <v>195</v>
      </c>
      <c r="G5" s="38">
        <f>E5*$E$4</f>
        <v>0</v>
      </c>
    </row>
    <row r="6" spans="1:14" x14ac:dyDescent="0.3">
      <c r="A6" s="1" t="s">
        <v>196</v>
      </c>
      <c r="B6" s="35" t="s">
        <v>197</v>
      </c>
      <c r="C6" s="36">
        <v>0</v>
      </c>
      <c r="D6" s="35" t="s">
        <v>198</v>
      </c>
      <c r="E6" s="37">
        <v>0</v>
      </c>
      <c r="F6" s="35" t="s">
        <v>199</v>
      </c>
      <c r="G6" s="38">
        <f>E6*$E$4</f>
        <v>0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0</v>
      </c>
      <c r="G9" s="9">
        <f>E5</f>
        <v>0</v>
      </c>
      <c r="H9" s="9">
        <f t="shared" ref="H9:H21" si="0">G9*$E$4</f>
        <v>0</v>
      </c>
      <c r="I9" s="9">
        <v>1220</v>
      </c>
      <c r="J9" s="10">
        <f t="shared" ref="J9:J20" si="1">IF(H9&gt;0, I9/H9, 0)</f>
        <v>0</v>
      </c>
      <c r="K9" s="10">
        <f t="shared" ref="K9:K20" si="2">IF(G9&gt;0, I9/G9, 0)</f>
        <v>0</v>
      </c>
      <c r="L9" s="39">
        <v>67.2</v>
      </c>
      <c r="M9" s="40">
        <f t="shared" ref="M9:M20" si="3">IF(L9&gt;0, I9/L9, 0)</f>
        <v>18.154761904761905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0</v>
      </c>
      <c r="G10" s="15">
        <f>E6</f>
        <v>0</v>
      </c>
      <c r="H10" s="15">
        <f t="shared" si="0"/>
        <v>0</v>
      </c>
      <c r="I10" s="15">
        <v>700</v>
      </c>
      <c r="J10" s="16">
        <f t="shared" si="1"/>
        <v>0</v>
      </c>
      <c r="K10" s="16">
        <f t="shared" si="2"/>
        <v>0</v>
      </c>
      <c r="L10" s="41">
        <v>16.239999999999998</v>
      </c>
      <c r="M10" s="42">
        <f t="shared" si="3"/>
        <v>43.103448275862071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0</v>
      </c>
      <c r="G11" s="9">
        <f>E6</f>
        <v>0</v>
      </c>
      <c r="H11" s="9">
        <f t="shared" si="0"/>
        <v>0</v>
      </c>
      <c r="I11" s="9">
        <v>148</v>
      </c>
      <c r="J11" s="10">
        <f t="shared" si="1"/>
        <v>0</v>
      </c>
      <c r="K11" s="10">
        <f t="shared" si="2"/>
        <v>0</v>
      </c>
      <c r="L11" s="39">
        <v>14.3</v>
      </c>
      <c r="M11" s="40">
        <f t="shared" si="3"/>
        <v>10.34965034965035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0</v>
      </c>
      <c r="G12" s="15">
        <f>E6</f>
        <v>0</v>
      </c>
      <c r="H12" s="15">
        <f t="shared" si="0"/>
        <v>0</v>
      </c>
      <c r="I12" s="15">
        <v>50</v>
      </c>
      <c r="J12" s="16">
        <f t="shared" si="1"/>
        <v>0</v>
      </c>
      <c r="K12" s="16">
        <f t="shared" si="2"/>
        <v>0</v>
      </c>
      <c r="L12" s="41">
        <v>14.3</v>
      </c>
      <c r="M12" s="42">
        <f t="shared" si="3"/>
        <v>3.4965034965034962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0</v>
      </c>
      <c r="G13" s="9">
        <f>E6</f>
        <v>0</v>
      </c>
      <c r="H13" s="9">
        <f t="shared" si="0"/>
        <v>0</v>
      </c>
      <c r="I13" s="9">
        <v>34</v>
      </c>
      <c r="J13" s="10">
        <f t="shared" si="1"/>
        <v>0</v>
      </c>
      <c r="K13" s="10">
        <f t="shared" si="2"/>
        <v>0</v>
      </c>
      <c r="L13" s="39">
        <v>11.44</v>
      </c>
      <c r="M13" s="40">
        <f t="shared" si="3"/>
        <v>2.9720279720279721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0</v>
      </c>
      <c r="G14" s="15">
        <f>E6</f>
        <v>0</v>
      </c>
      <c r="H14" s="15">
        <f t="shared" si="0"/>
        <v>0</v>
      </c>
      <c r="I14" s="15">
        <v>147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13.412408759124087</v>
      </c>
      <c r="N14" s="11" t="s">
        <v>208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0</v>
      </c>
      <c r="G15" s="9">
        <f>E6</f>
        <v>0</v>
      </c>
      <c r="H15" s="9">
        <f t="shared" si="0"/>
        <v>0</v>
      </c>
      <c r="I15" s="9">
        <v>111</v>
      </c>
      <c r="J15" s="10">
        <f t="shared" si="1"/>
        <v>0</v>
      </c>
      <c r="K15" s="10">
        <f t="shared" si="2"/>
        <v>0</v>
      </c>
      <c r="L15" s="39">
        <v>8.94</v>
      </c>
      <c r="M15" s="40">
        <f t="shared" si="3"/>
        <v>12.416107382550337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0</v>
      </c>
      <c r="G16" s="15">
        <f>E5</f>
        <v>0</v>
      </c>
      <c r="H16" s="15">
        <f t="shared" si="0"/>
        <v>0</v>
      </c>
      <c r="I16" s="15">
        <v>500</v>
      </c>
      <c r="J16" s="16">
        <f t="shared" si="1"/>
        <v>0</v>
      </c>
      <c r="K16" s="16">
        <f t="shared" si="2"/>
        <v>0</v>
      </c>
      <c r="L16" s="41">
        <v>7.44</v>
      </c>
      <c r="M16" s="42">
        <f t="shared" si="3"/>
        <v>67.204301075268816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0</v>
      </c>
      <c r="G17" s="9">
        <f>E6</f>
        <v>0</v>
      </c>
      <c r="H17" s="9">
        <f t="shared" si="0"/>
        <v>0</v>
      </c>
      <c r="I17" s="9">
        <v>270</v>
      </c>
      <c r="J17" s="10">
        <f t="shared" si="1"/>
        <v>0</v>
      </c>
      <c r="K17" s="10">
        <f t="shared" si="2"/>
        <v>0</v>
      </c>
      <c r="L17" s="39">
        <v>12.76</v>
      </c>
      <c r="M17" s="40">
        <f t="shared" si="3"/>
        <v>21.159874608150471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0</v>
      </c>
      <c r="J21" s="22">
        <f>IF(H10&gt;0, I21/H10, 0)</f>
        <v>0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240</v>
      </c>
      <c r="B22" s="70"/>
      <c r="C22" s="70"/>
      <c r="D22" s="70"/>
      <c r="E22" s="70"/>
      <c r="F22" s="24">
        <f>C5+C6</f>
        <v>0</v>
      </c>
      <c r="G22" s="25">
        <f>E5+E6</f>
        <v>0</v>
      </c>
      <c r="H22" s="25">
        <f>G5+G6</f>
        <v>0</v>
      </c>
      <c r="I22" s="26">
        <f>SUM(I9:I21)</f>
        <v>3180</v>
      </c>
      <c r="J22" s="27">
        <f>IF(H10&gt;0, I22/H10, 0)</f>
        <v>0</v>
      </c>
      <c r="K22" s="27">
        <f>IF(G10&gt;0, I22/G10, 0)</f>
        <v>0</v>
      </c>
      <c r="L22" s="28" t="s">
        <v>89</v>
      </c>
      <c r="M22" s="43">
        <f>SUM(M9:M20)</f>
        <v>192.26908382389951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2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</cols>
  <sheetData>
    <row r="1" spans="1:14" ht="25.95" customHeight="1" x14ac:dyDescent="0.3">
      <c r="A1" s="74" t="s">
        <v>241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19.95" customHeight="1" x14ac:dyDescent="0.3">
      <c r="A2" s="73" t="s">
        <v>242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5" x14ac:dyDescent="0.35">
      <c r="A4" s="1" t="s">
        <v>191</v>
      </c>
      <c r="B4" s="2" t="s">
        <v>4</v>
      </c>
      <c r="E4" s="3">
        <v>1.742</v>
      </c>
    </row>
    <row r="5" spans="1:14" x14ac:dyDescent="0.3">
      <c r="A5" s="1" t="s">
        <v>192</v>
      </c>
      <c r="B5" s="35" t="s">
        <v>193</v>
      </c>
      <c r="C5" s="36">
        <v>0</v>
      </c>
      <c r="D5" s="35" t="s">
        <v>194</v>
      </c>
      <c r="E5" s="37">
        <v>0</v>
      </c>
      <c r="F5" s="35" t="s">
        <v>195</v>
      </c>
      <c r="G5" s="38">
        <f>E5*$E$4</f>
        <v>0</v>
      </c>
    </row>
    <row r="6" spans="1:14" x14ac:dyDescent="0.3">
      <c r="A6" s="1" t="s">
        <v>196</v>
      </c>
      <c r="B6" s="35" t="s">
        <v>197</v>
      </c>
      <c r="C6" s="36">
        <v>0</v>
      </c>
      <c r="D6" s="35" t="s">
        <v>198</v>
      </c>
      <c r="E6" s="37">
        <v>0</v>
      </c>
      <c r="F6" s="35" t="s">
        <v>199</v>
      </c>
      <c r="G6" s="38">
        <f>E6*$E$4</f>
        <v>0</v>
      </c>
    </row>
    <row r="8" spans="1:14" ht="25.95" customHeight="1" x14ac:dyDescent="0.3">
      <c r="A8" s="5" t="s">
        <v>9</v>
      </c>
      <c r="B8" s="5" t="s">
        <v>10</v>
      </c>
      <c r="C8" s="5" t="s">
        <v>11</v>
      </c>
      <c r="D8" s="5" t="s">
        <v>200</v>
      </c>
      <c r="E8" s="5" t="s">
        <v>201</v>
      </c>
      <c r="F8" s="5" t="s">
        <v>202</v>
      </c>
      <c r="G8" s="5" t="s">
        <v>203</v>
      </c>
      <c r="H8" s="5" t="s">
        <v>204</v>
      </c>
      <c r="I8" s="5" t="s">
        <v>205</v>
      </c>
      <c r="J8" s="5" t="s">
        <v>19</v>
      </c>
      <c r="K8" s="5" t="s">
        <v>20</v>
      </c>
      <c r="L8" s="5" t="s">
        <v>206</v>
      </c>
      <c r="M8" s="5" t="s">
        <v>207</v>
      </c>
      <c r="N8" s="5" t="s">
        <v>21</v>
      </c>
    </row>
    <row r="9" spans="1:14" ht="19.95" customHeight="1" x14ac:dyDescent="0.3">
      <c r="A9" s="6">
        <v>1</v>
      </c>
      <c r="B9" s="6" t="s">
        <v>22</v>
      </c>
      <c r="C9" s="7" t="s">
        <v>23</v>
      </c>
      <c r="D9" s="7" t="s">
        <v>25</v>
      </c>
      <c r="E9" s="7" t="s">
        <v>26</v>
      </c>
      <c r="F9" s="8">
        <f>C5</f>
        <v>0</v>
      </c>
      <c r="G9" s="9">
        <f>E5</f>
        <v>0</v>
      </c>
      <c r="H9" s="9">
        <f t="shared" ref="H9:H21" si="0">G9*$E$4</f>
        <v>0</v>
      </c>
      <c r="I9" s="9">
        <v>1200</v>
      </c>
      <c r="J9" s="10">
        <f t="shared" ref="J9:J20" si="1">IF(H9&gt;0, I9/H9, 0)</f>
        <v>0</v>
      </c>
      <c r="K9" s="10">
        <f t="shared" ref="K9:K20" si="2">IF(G9&gt;0, I9/G9, 0)</f>
        <v>0</v>
      </c>
      <c r="L9" s="39">
        <v>67.2</v>
      </c>
      <c r="M9" s="40">
        <f t="shared" ref="M9:M20" si="3">IF(L9&gt;0, I9/L9, 0)</f>
        <v>17.857142857142858</v>
      </c>
      <c r="N9" s="11" t="s">
        <v>208</v>
      </c>
    </row>
    <row r="10" spans="1:14" ht="19.95" customHeight="1" x14ac:dyDescent="0.3">
      <c r="A10" s="12">
        <v>2</v>
      </c>
      <c r="B10" s="12" t="s">
        <v>28</v>
      </c>
      <c r="C10" s="13" t="s">
        <v>29</v>
      </c>
      <c r="D10" s="13" t="s">
        <v>31</v>
      </c>
      <c r="E10" s="13" t="s">
        <v>32</v>
      </c>
      <c r="F10" s="14">
        <f>C6</f>
        <v>0</v>
      </c>
      <c r="G10" s="15">
        <f>E6</f>
        <v>0</v>
      </c>
      <c r="H10" s="15">
        <f t="shared" si="0"/>
        <v>0</v>
      </c>
      <c r="I10" s="15">
        <v>580</v>
      </c>
      <c r="J10" s="16">
        <f t="shared" si="1"/>
        <v>0</v>
      </c>
      <c r="K10" s="16">
        <f t="shared" si="2"/>
        <v>0</v>
      </c>
      <c r="L10" s="41">
        <v>16.239999999999998</v>
      </c>
      <c r="M10" s="42">
        <f t="shared" si="3"/>
        <v>35.714285714285715</v>
      </c>
      <c r="N10" s="11" t="s">
        <v>208</v>
      </c>
    </row>
    <row r="11" spans="1:14" ht="19.95" customHeight="1" x14ac:dyDescent="0.3">
      <c r="A11" s="6">
        <v>3</v>
      </c>
      <c r="B11" s="6" t="s">
        <v>33</v>
      </c>
      <c r="C11" s="7" t="s">
        <v>34</v>
      </c>
      <c r="D11" s="7" t="s">
        <v>36</v>
      </c>
      <c r="E11" s="7" t="s">
        <v>37</v>
      </c>
      <c r="F11" s="8">
        <f>C6</f>
        <v>0</v>
      </c>
      <c r="G11" s="9">
        <f>E6</f>
        <v>0</v>
      </c>
      <c r="H11" s="9">
        <f t="shared" si="0"/>
        <v>0</v>
      </c>
      <c r="I11" s="9">
        <v>150</v>
      </c>
      <c r="J11" s="10">
        <f t="shared" si="1"/>
        <v>0</v>
      </c>
      <c r="K11" s="10">
        <f t="shared" si="2"/>
        <v>0</v>
      </c>
      <c r="L11" s="39">
        <v>14.3</v>
      </c>
      <c r="M11" s="40">
        <f t="shared" si="3"/>
        <v>10.489510489510488</v>
      </c>
      <c r="N11" s="11" t="s">
        <v>208</v>
      </c>
    </row>
    <row r="12" spans="1:14" ht="19.95" customHeight="1" x14ac:dyDescent="0.3">
      <c r="A12" s="12">
        <v>4</v>
      </c>
      <c r="B12" s="12" t="s">
        <v>38</v>
      </c>
      <c r="C12" s="13" t="s">
        <v>39</v>
      </c>
      <c r="D12" s="13" t="s">
        <v>41</v>
      </c>
      <c r="E12" s="13" t="s">
        <v>42</v>
      </c>
      <c r="F12" s="14">
        <f>C6</f>
        <v>0</v>
      </c>
      <c r="G12" s="15">
        <f>E6</f>
        <v>0</v>
      </c>
      <c r="H12" s="15">
        <f t="shared" si="0"/>
        <v>0</v>
      </c>
      <c r="I12" s="15">
        <v>150</v>
      </c>
      <c r="J12" s="16">
        <f t="shared" si="1"/>
        <v>0</v>
      </c>
      <c r="K12" s="16">
        <f t="shared" si="2"/>
        <v>0</v>
      </c>
      <c r="L12" s="41">
        <v>14.3</v>
      </c>
      <c r="M12" s="42">
        <f t="shared" si="3"/>
        <v>10.489510489510488</v>
      </c>
      <c r="N12" s="11" t="s">
        <v>208</v>
      </c>
    </row>
    <row r="13" spans="1:14" ht="19.95" customHeight="1" x14ac:dyDescent="0.3">
      <c r="A13" s="6">
        <v>5</v>
      </c>
      <c r="B13" s="6" t="s">
        <v>43</v>
      </c>
      <c r="C13" s="7" t="s">
        <v>44</v>
      </c>
      <c r="D13" s="7" t="s">
        <v>46</v>
      </c>
      <c r="E13" s="7" t="s">
        <v>47</v>
      </c>
      <c r="F13" s="8">
        <f>C6</f>
        <v>0</v>
      </c>
      <c r="G13" s="9">
        <f>E6</f>
        <v>0</v>
      </c>
      <c r="H13" s="9">
        <f t="shared" si="0"/>
        <v>0</v>
      </c>
      <c r="I13" s="9">
        <v>71</v>
      </c>
      <c r="J13" s="10">
        <f t="shared" si="1"/>
        <v>0</v>
      </c>
      <c r="K13" s="10">
        <f t="shared" si="2"/>
        <v>0</v>
      </c>
      <c r="L13" s="39">
        <v>11.44</v>
      </c>
      <c r="M13" s="40">
        <f t="shared" si="3"/>
        <v>6.2062937062937067</v>
      </c>
      <c r="N13" s="11" t="s">
        <v>208</v>
      </c>
    </row>
    <row r="14" spans="1:14" ht="19.95" customHeight="1" x14ac:dyDescent="0.3">
      <c r="A14" s="12">
        <v>6</v>
      </c>
      <c r="B14" s="12" t="s">
        <v>48</v>
      </c>
      <c r="C14" s="13" t="s">
        <v>49</v>
      </c>
      <c r="D14" s="13" t="s">
        <v>51</v>
      </c>
      <c r="E14" s="13" t="s">
        <v>52</v>
      </c>
      <c r="F14" s="14">
        <f>C6</f>
        <v>0</v>
      </c>
      <c r="G14" s="15">
        <f>E6</f>
        <v>0</v>
      </c>
      <c r="H14" s="15">
        <f t="shared" si="0"/>
        <v>0</v>
      </c>
      <c r="I14" s="15">
        <v>150</v>
      </c>
      <c r="J14" s="16">
        <f t="shared" si="1"/>
        <v>0</v>
      </c>
      <c r="K14" s="16">
        <f t="shared" si="2"/>
        <v>0</v>
      </c>
      <c r="L14" s="41">
        <v>10.96</v>
      </c>
      <c r="M14" s="42">
        <f t="shared" si="3"/>
        <v>13.686131386861312</v>
      </c>
      <c r="N14" s="11" t="s">
        <v>208</v>
      </c>
    </row>
    <row r="15" spans="1:14" ht="19.95" customHeight="1" x14ac:dyDescent="0.3">
      <c r="A15" s="6">
        <v>7</v>
      </c>
      <c r="B15" s="6" t="s">
        <v>53</v>
      </c>
      <c r="C15" s="7" t="s">
        <v>54</v>
      </c>
      <c r="D15" s="7" t="s">
        <v>56</v>
      </c>
      <c r="E15" s="7" t="s">
        <v>57</v>
      </c>
      <c r="F15" s="8">
        <f>C6</f>
        <v>0</v>
      </c>
      <c r="G15" s="9">
        <f>E6</f>
        <v>0</v>
      </c>
      <c r="H15" s="9">
        <f t="shared" si="0"/>
        <v>0</v>
      </c>
      <c r="I15" s="9">
        <v>120</v>
      </c>
      <c r="J15" s="10">
        <f t="shared" si="1"/>
        <v>0</v>
      </c>
      <c r="K15" s="10">
        <f t="shared" si="2"/>
        <v>0</v>
      </c>
      <c r="L15" s="39">
        <v>8.94</v>
      </c>
      <c r="M15" s="40">
        <f t="shared" si="3"/>
        <v>13.422818791946309</v>
      </c>
      <c r="N15" s="11" t="s">
        <v>208</v>
      </c>
    </row>
    <row r="16" spans="1:14" ht="19.95" customHeight="1" x14ac:dyDescent="0.3">
      <c r="A16" s="12">
        <v>8</v>
      </c>
      <c r="B16" s="12" t="s">
        <v>58</v>
      </c>
      <c r="C16" s="13" t="s">
        <v>59</v>
      </c>
      <c r="D16" s="13" t="s">
        <v>61</v>
      </c>
      <c r="E16" s="13" t="s">
        <v>62</v>
      </c>
      <c r="F16" s="14">
        <f>C5</f>
        <v>0</v>
      </c>
      <c r="G16" s="15">
        <f>E5</f>
        <v>0</v>
      </c>
      <c r="H16" s="15">
        <f t="shared" si="0"/>
        <v>0</v>
      </c>
      <c r="I16" s="15">
        <v>435</v>
      </c>
      <c r="J16" s="16">
        <f t="shared" si="1"/>
        <v>0</v>
      </c>
      <c r="K16" s="16">
        <f t="shared" si="2"/>
        <v>0</v>
      </c>
      <c r="L16" s="41">
        <v>7.44</v>
      </c>
      <c r="M16" s="42">
        <f t="shared" si="3"/>
        <v>58.467741935483865</v>
      </c>
      <c r="N16" s="11" t="s">
        <v>208</v>
      </c>
    </row>
    <row r="17" spans="1:14" ht="19.95" customHeight="1" x14ac:dyDescent="0.3">
      <c r="A17" s="6">
        <v>9</v>
      </c>
      <c r="B17" s="6" t="s">
        <v>63</v>
      </c>
      <c r="C17" s="7" t="s">
        <v>64</v>
      </c>
      <c r="D17" s="7" t="s">
        <v>66</v>
      </c>
      <c r="E17" s="7" t="s">
        <v>67</v>
      </c>
      <c r="F17" s="8">
        <f>C6</f>
        <v>0</v>
      </c>
      <c r="G17" s="9">
        <f>E6</f>
        <v>0</v>
      </c>
      <c r="H17" s="9">
        <f t="shared" si="0"/>
        <v>0</v>
      </c>
      <c r="I17" s="9">
        <v>60</v>
      </c>
      <c r="J17" s="10">
        <f t="shared" si="1"/>
        <v>0</v>
      </c>
      <c r="K17" s="10">
        <f t="shared" si="2"/>
        <v>0</v>
      </c>
      <c r="L17" s="39">
        <v>12.76</v>
      </c>
      <c r="M17" s="40">
        <f t="shared" si="3"/>
        <v>4.7021943573667713</v>
      </c>
      <c r="N17" s="11" t="s">
        <v>208</v>
      </c>
    </row>
    <row r="18" spans="1:14" ht="19.95" customHeight="1" x14ac:dyDescent="0.3">
      <c r="A18" s="12">
        <v>10</v>
      </c>
      <c r="B18" s="12" t="s">
        <v>68</v>
      </c>
      <c r="C18" s="13" t="s">
        <v>69</v>
      </c>
      <c r="D18" s="13" t="s">
        <v>71</v>
      </c>
      <c r="E18" s="13" t="s">
        <v>72</v>
      </c>
      <c r="F18" s="14">
        <v>0</v>
      </c>
      <c r="G18" s="15">
        <v>0</v>
      </c>
      <c r="H18" s="15">
        <f t="shared" si="0"/>
        <v>0</v>
      </c>
      <c r="I18" s="15">
        <v>0</v>
      </c>
      <c r="J18" s="16">
        <f t="shared" si="1"/>
        <v>0</v>
      </c>
      <c r="K18" s="16">
        <f t="shared" si="2"/>
        <v>0</v>
      </c>
      <c r="L18" s="41">
        <v>9.9700000000000006</v>
      </c>
      <c r="M18" s="42">
        <f t="shared" si="3"/>
        <v>0</v>
      </c>
      <c r="N18" s="17" t="s">
        <v>209</v>
      </c>
    </row>
    <row r="19" spans="1:14" ht="19.95" customHeight="1" x14ac:dyDescent="0.3">
      <c r="A19" s="6">
        <v>11</v>
      </c>
      <c r="B19" s="6" t="s">
        <v>74</v>
      </c>
      <c r="C19" s="7" t="s">
        <v>75</v>
      </c>
      <c r="D19" s="7" t="s">
        <v>77</v>
      </c>
      <c r="E19" s="7" t="s">
        <v>78</v>
      </c>
      <c r="F19" s="8">
        <v>0</v>
      </c>
      <c r="G19" s="9">
        <v>0</v>
      </c>
      <c r="H19" s="9">
        <f t="shared" si="0"/>
        <v>0</v>
      </c>
      <c r="I19" s="9">
        <v>0</v>
      </c>
      <c r="J19" s="10">
        <f t="shared" si="1"/>
        <v>0</v>
      </c>
      <c r="K19" s="10">
        <f t="shared" si="2"/>
        <v>0</v>
      </c>
      <c r="L19" s="39">
        <v>3.03</v>
      </c>
      <c r="M19" s="40">
        <f t="shared" si="3"/>
        <v>0</v>
      </c>
      <c r="N19" s="17" t="s">
        <v>209</v>
      </c>
    </row>
    <row r="20" spans="1:14" ht="19.95" customHeight="1" x14ac:dyDescent="0.3">
      <c r="A20" s="12">
        <v>12</v>
      </c>
      <c r="B20" s="12" t="s">
        <v>79</v>
      </c>
      <c r="C20" s="13" t="s">
        <v>80</v>
      </c>
      <c r="D20" s="13" t="s">
        <v>82</v>
      </c>
      <c r="E20" s="13" t="s">
        <v>83</v>
      </c>
      <c r="F20" s="14">
        <v>0</v>
      </c>
      <c r="G20" s="15">
        <v>0</v>
      </c>
      <c r="H20" s="15">
        <f t="shared" si="0"/>
        <v>0</v>
      </c>
      <c r="I20" s="15">
        <v>0</v>
      </c>
      <c r="J20" s="16">
        <f t="shared" si="1"/>
        <v>0</v>
      </c>
      <c r="K20" s="16">
        <f t="shared" si="2"/>
        <v>0</v>
      </c>
      <c r="L20" s="41">
        <v>2.41</v>
      </c>
      <c r="M20" s="42">
        <f t="shared" si="3"/>
        <v>0</v>
      </c>
      <c r="N20" s="17" t="s">
        <v>209</v>
      </c>
    </row>
    <row r="21" spans="1:14" ht="19.95" customHeight="1" x14ac:dyDescent="0.3">
      <c r="A21" s="18">
        <v>13</v>
      </c>
      <c r="B21" s="18" t="s">
        <v>84</v>
      </c>
      <c r="C21" s="19" t="s">
        <v>85</v>
      </c>
      <c r="D21" s="19" t="s">
        <v>210</v>
      </c>
      <c r="E21" s="19" t="s">
        <v>211</v>
      </c>
      <c r="F21" s="18">
        <v>0</v>
      </c>
      <c r="G21" s="20">
        <v>0</v>
      </c>
      <c r="H21" s="20">
        <f t="shared" si="0"/>
        <v>0</v>
      </c>
      <c r="I21" s="21">
        <v>-141</v>
      </c>
      <c r="J21" s="22">
        <f>IF(H10&gt;0, I21/H10, 0)</f>
        <v>0</v>
      </c>
      <c r="K21" s="18" t="s">
        <v>89</v>
      </c>
      <c r="L21" s="18" t="s">
        <v>89</v>
      </c>
      <c r="M21" s="18" t="s">
        <v>89</v>
      </c>
      <c r="N21" s="23" t="s">
        <v>90</v>
      </c>
    </row>
    <row r="22" spans="1:14" ht="22.05" customHeight="1" x14ac:dyDescent="0.35">
      <c r="A22" s="69" t="s">
        <v>243</v>
      </c>
      <c r="B22" s="70"/>
      <c r="C22" s="70"/>
      <c r="D22" s="70"/>
      <c r="E22" s="70"/>
      <c r="F22" s="24">
        <f>C5+C6</f>
        <v>0</v>
      </c>
      <c r="G22" s="25">
        <f>E5+E6</f>
        <v>0</v>
      </c>
      <c r="H22" s="25">
        <f>G5+G6</f>
        <v>0</v>
      </c>
      <c r="I22" s="26">
        <f>SUM(I9:I21)</f>
        <v>2775</v>
      </c>
      <c r="J22" s="27">
        <f>IF(H10&gt;0, I22/H10, 0)</f>
        <v>0</v>
      </c>
      <c r="K22" s="27">
        <f>IF(G10&gt;0, I22/G10, 0)</f>
        <v>0</v>
      </c>
      <c r="L22" s="28" t="s">
        <v>89</v>
      </c>
      <c r="M22" s="43">
        <f>SUM(M9:M20)</f>
        <v>171.03562972840152</v>
      </c>
      <c r="N22" s="28" t="s">
        <v>213</v>
      </c>
    </row>
  </sheetData>
  <mergeCells count="3">
    <mergeCell ref="A22:E22"/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9"/>
  <sheetViews>
    <sheetView workbookViewId="0"/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5" width="24" customWidth="1"/>
    <col min="6" max="6" width="16" customWidth="1"/>
    <col min="7" max="11" width="18" customWidth="1"/>
    <col min="12" max="12" width="16" customWidth="1"/>
    <col min="13" max="13" width="18" customWidth="1"/>
    <col min="14" max="14" width="20" customWidth="1"/>
    <col min="15" max="16" width="18" customWidth="1"/>
  </cols>
  <sheetData>
    <row r="1" spans="1:16" ht="28.05" customHeight="1" x14ac:dyDescent="0.3">
      <c r="A1" s="66" t="s">
        <v>244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1:16" ht="22.05" customHeight="1" x14ac:dyDescent="0.3">
      <c r="A2" s="72" t="s">
        <v>245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4" spans="1:16" ht="16.8" x14ac:dyDescent="0.4">
      <c r="A4" s="44" t="s">
        <v>246</v>
      </c>
    </row>
    <row r="5" spans="1:16" ht="24" customHeight="1" x14ac:dyDescent="0.3">
      <c r="A5" s="45" t="s">
        <v>9</v>
      </c>
      <c r="B5" s="45" t="s">
        <v>10</v>
      </c>
      <c r="C5" s="45" t="s">
        <v>11</v>
      </c>
      <c r="D5" s="45" t="s">
        <v>247</v>
      </c>
      <c r="E5" s="45" t="s">
        <v>248</v>
      </c>
      <c r="F5" s="45" t="s">
        <v>249</v>
      </c>
      <c r="G5" s="45" t="s">
        <v>250</v>
      </c>
      <c r="H5" s="45" t="s">
        <v>251</v>
      </c>
      <c r="I5" s="45" t="s">
        <v>252</v>
      </c>
      <c r="J5" s="45" t="s">
        <v>253</v>
      </c>
      <c r="K5" s="45" t="s">
        <v>254</v>
      </c>
      <c r="L5" s="45" t="s">
        <v>255</v>
      </c>
      <c r="M5" s="45" t="s">
        <v>256</v>
      </c>
      <c r="N5" s="45" t="s">
        <v>257</v>
      </c>
      <c r="O5" s="45" t="s">
        <v>258</v>
      </c>
      <c r="P5" s="45" t="s">
        <v>259</v>
      </c>
    </row>
    <row r="6" spans="1:16" ht="19.95" customHeight="1" x14ac:dyDescent="0.3">
      <c r="A6" s="46">
        <v>1</v>
      </c>
      <c r="B6" s="46" t="s">
        <v>22</v>
      </c>
      <c r="C6" s="47" t="s">
        <v>23</v>
      </c>
      <c r="D6" s="48">
        <v>777</v>
      </c>
      <c r="E6" s="48">
        <v>1200</v>
      </c>
      <c r="F6" s="48">
        <v>1393</v>
      </c>
      <c r="G6" s="48">
        <v>1754</v>
      </c>
      <c r="H6" s="48">
        <v>150</v>
      </c>
      <c r="I6" s="48">
        <v>1970</v>
      </c>
      <c r="J6" s="48">
        <v>1200</v>
      </c>
      <c r="K6" s="48">
        <v>1200</v>
      </c>
      <c r="L6" s="48">
        <v>960</v>
      </c>
      <c r="M6" s="48">
        <v>1220</v>
      </c>
      <c r="N6" s="48">
        <v>1200</v>
      </c>
      <c r="O6" s="49">
        <v>13024</v>
      </c>
      <c r="P6" s="48">
        <v>1184</v>
      </c>
    </row>
    <row r="7" spans="1:16" ht="19.95" customHeight="1" x14ac:dyDescent="0.3">
      <c r="A7" s="50">
        <v>2</v>
      </c>
      <c r="B7" s="50" t="s">
        <v>28</v>
      </c>
      <c r="C7" s="51" t="s">
        <v>29</v>
      </c>
      <c r="D7" s="52">
        <v>136</v>
      </c>
      <c r="E7" s="52">
        <v>561</v>
      </c>
      <c r="F7" s="52">
        <v>322</v>
      </c>
      <c r="G7" s="52">
        <v>599</v>
      </c>
      <c r="H7" s="52">
        <v>160</v>
      </c>
      <c r="I7" s="52">
        <v>530</v>
      </c>
      <c r="J7" s="52">
        <v>350</v>
      </c>
      <c r="K7" s="52">
        <v>551</v>
      </c>
      <c r="L7" s="52">
        <v>726</v>
      </c>
      <c r="M7" s="52">
        <v>700</v>
      </c>
      <c r="N7" s="52">
        <v>580</v>
      </c>
      <c r="O7" s="53">
        <v>5215</v>
      </c>
      <c r="P7" s="52">
        <v>474.09090909090912</v>
      </c>
    </row>
    <row r="8" spans="1:16" ht="19.95" customHeight="1" x14ac:dyDescent="0.3">
      <c r="A8" s="46">
        <v>3</v>
      </c>
      <c r="B8" s="46" t="s">
        <v>33</v>
      </c>
      <c r="C8" s="47" t="s">
        <v>34</v>
      </c>
      <c r="D8" s="54" t="s">
        <v>89</v>
      </c>
      <c r="E8" s="48">
        <v>172</v>
      </c>
      <c r="F8" s="48">
        <v>117</v>
      </c>
      <c r="G8" s="48">
        <v>174</v>
      </c>
      <c r="H8" s="48">
        <v>38</v>
      </c>
      <c r="I8" s="54" t="s">
        <v>89</v>
      </c>
      <c r="J8" s="48">
        <v>250</v>
      </c>
      <c r="K8" s="48">
        <v>150</v>
      </c>
      <c r="L8" s="48">
        <v>60</v>
      </c>
      <c r="M8" s="48">
        <v>148</v>
      </c>
      <c r="N8" s="48">
        <v>150</v>
      </c>
      <c r="O8" s="49">
        <v>1259</v>
      </c>
      <c r="P8" s="48">
        <v>139.88888888888891</v>
      </c>
    </row>
    <row r="9" spans="1:16" ht="19.95" customHeight="1" x14ac:dyDescent="0.3">
      <c r="A9" s="50">
        <v>4</v>
      </c>
      <c r="B9" s="50" t="s">
        <v>38</v>
      </c>
      <c r="C9" s="51" t="s">
        <v>39</v>
      </c>
      <c r="D9" s="55" t="s">
        <v>89</v>
      </c>
      <c r="E9" s="52">
        <v>33</v>
      </c>
      <c r="F9" s="52">
        <v>190</v>
      </c>
      <c r="G9" s="52">
        <v>113</v>
      </c>
      <c r="H9" s="52">
        <v>70</v>
      </c>
      <c r="I9" s="55" t="s">
        <v>89</v>
      </c>
      <c r="J9" s="55" t="s">
        <v>89</v>
      </c>
      <c r="K9" s="52">
        <v>155</v>
      </c>
      <c r="L9" s="52">
        <v>203</v>
      </c>
      <c r="M9" s="52">
        <v>50</v>
      </c>
      <c r="N9" s="52">
        <v>150</v>
      </c>
      <c r="O9" s="53">
        <v>964</v>
      </c>
      <c r="P9" s="52">
        <v>120.5</v>
      </c>
    </row>
    <row r="10" spans="1:16" ht="19.95" customHeight="1" x14ac:dyDescent="0.3">
      <c r="A10" s="46">
        <v>5</v>
      </c>
      <c r="B10" s="46" t="s">
        <v>43</v>
      </c>
      <c r="C10" s="47" t="s">
        <v>44</v>
      </c>
      <c r="D10" s="54" t="s">
        <v>89</v>
      </c>
      <c r="E10" s="48">
        <v>224</v>
      </c>
      <c r="F10" s="48">
        <v>324</v>
      </c>
      <c r="G10" s="48">
        <v>260</v>
      </c>
      <c r="H10" s="48">
        <v>90</v>
      </c>
      <c r="I10" s="48">
        <v>40</v>
      </c>
      <c r="J10" s="48">
        <v>306</v>
      </c>
      <c r="K10" s="48">
        <v>109</v>
      </c>
      <c r="L10" s="48">
        <v>53</v>
      </c>
      <c r="M10" s="48">
        <v>34</v>
      </c>
      <c r="N10" s="48">
        <v>71</v>
      </c>
      <c r="O10" s="49">
        <v>1511</v>
      </c>
      <c r="P10" s="48">
        <v>151.1</v>
      </c>
    </row>
    <row r="11" spans="1:16" ht="19.95" customHeight="1" x14ac:dyDescent="0.3">
      <c r="A11" s="50">
        <v>6</v>
      </c>
      <c r="B11" s="50" t="s">
        <v>48</v>
      </c>
      <c r="C11" s="51" t="s">
        <v>49</v>
      </c>
      <c r="D11" s="55" t="s">
        <v>89</v>
      </c>
      <c r="E11" s="55" t="s">
        <v>89</v>
      </c>
      <c r="F11" s="55" t="s">
        <v>89</v>
      </c>
      <c r="G11" s="55" t="s">
        <v>89</v>
      </c>
      <c r="H11" s="55" t="s">
        <v>89</v>
      </c>
      <c r="I11" s="55" t="s">
        <v>89</v>
      </c>
      <c r="J11" s="52">
        <v>150</v>
      </c>
      <c r="K11" s="52">
        <v>153</v>
      </c>
      <c r="L11" s="52">
        <v>83</v>
      </c>
      <c r="M11" s="52">
        <v>147</v>
      </c>
      <c r="N11" s="52">
        <v>150</v>
      </c>
      <c r="O11" s="53">
        <v>683</v>
      </c>
      <c r="P11" s="52">
        <v>136.6</v>
      </c>
    </row>
    <row r="12" spans="1:16" ht="19.95" customHeight="1" x14ac:dyDescent="0.3">
      <c r="A12" s="46">
        <v>7</v>
      </c>
      <c r="B12" s="46" t="s">
        <v>53</v>
      </c>
      <c r="C12" s="47" t="s">
        <v>54</v>
      </c>
      <c r="D12" s="48">
        <v>60</v>
      </c>
      <c r="E12" s="48">
        <v>88</v>
      </c>
      <c r="F12" s="48">
        <v>50</v>
      </c>
      <c r="G12" s="48">
        <v>58</v>
      </c>
      <c r="H12" s="48">
        <v>25</v>
      </c>
      <c r="I12" s="48">
        <v>110</v>
      </c>
      <c r="J12" s="48">
        <v>120</v>
      </c>
      <c r="K12" s="48">
        <v>102</v>
      </c>
      <c r="L12" s="48">
        <v>96</v>
      </c>
      <c r="M12" s="48">
        <v>111</v>
      </c>
      <c r="N12" s="48">
        <v>120</v>
      </c>
      <c r="O12" s="49">
        <v>940</v>
      </c>
      <c r="P12" s="48">
        <v>85.454545454545453</v>
      </c>
    </row>
    <row r="13" spans="1:16" ht="19.95" customHeight="1" x14ac:dyDescent="0.3">
      <c r="A13" s="50">
        <v>8</v>
      </c>
      <c r="B13" s="50" t="s">
        <v>58</v>
      </c>
      <c r="C13" s="51" t="s">
        <v>59</v>
      </c>
      <c r="D13" s="52">
        <v>80</v>
      </c>
      <c r="E13" s="52">
        <v>320</v>
      </c>
      <c r="F13" s="52">
        <v>258</v>
      </c>
      <c r="G13" s="52">
        <v>463</v>
      </c>
      <c r="H13" s="52">
        <v>160</v>
      </c>
      <c r="I13" s="52">
        <v>550</v>
      </c>
      <c r="J13" s="52">
        <v>100</v>
      </c>
      <c r="K13" s="52">
        <v>390</v>
      </c>
      <c r="L13" s="52">
        <v>332</v>
      </c>
      <c r="M13" s="52">
        <v>500</v>
      </c>
      <c r="N13" s="52">
        <v>435</v>
      </c>
      <c r="O13" s="53">
        <v>3588</v>
      </c>
      <c r="P13" s="52">
        <v>326.18181818181819</v>
      </c>
    </row>
    <row r="14" spans="1:16" ht="19.95" customHeight="1" x14ac:dyDescent="0.3">
      <c r="A14" s="46">
        <v>9</v>
      </c>
      <c r="B14" s="46" t="s">
        <v>63</v>
      </c>
      <c r="C14" s="47" t="s">
        <v>64</v>
      </c>
      <c r="D14" s="54" t="s">
        <v>89</v>
      </c>
      <c r="E14" s="48">
        <v>150</v>
      </c>
      <c r="F14" s="48">
        <v>100</v>
      </c>
      <c r="G14" s="48">
        <v>306</v>
      </c>
      <c r="H14" s="54" t="s">
        <v>89</v>
      </c>
      <c r="I14" s="48">
        <v>180</v>
      </c>
      <c r="J14" s="48">
        <v>187</v>
      </c>
      <c r="K14" s="48">
        <v>290</v>
      </c>
      <c r="L14" s="48">
        <v>80</v>
      </c>
      <c r="M14" s="48">
        <v>270</v>
      </c>
      <c r="N14" s="48">
        <v>60</v>
      </c>
      <c r="O14" s="49">
        <v>1623</v>
      </c>
      <c r="P14" s="48">
        <v>180.33333333333329</v>
      </c>
    </row>
    <row r="15" spans="1:16" ht="19.95" customHeight="1" x14ac:dyDescent="0.3">
      <c r="A15" s="50">
        <v>10</v>
      </c>
      <c r="B15" s="50" t="s">
        <v>68</v>
      </c>
      <c r="C15" s="51" t="s">
        <v>69</v>
      </c>
      <c r="D15" s="55" t="s">
        <v>89</v>
      </c>
      <c r="E15" s="55" t="s">
        <v>89</v>
      </c>
      <c r="F15" s="55" t="s">
        <v>89</v>
      </c>
      <c r="G15" s="55" t="s">
        <v>89</v>
      </c>
      <c r="H15" s="55" t="s">
        <v>89</v>
      </c>
      <c r="I15" s="55" t="s">
        <v>89</v>
      </c>
      <c r="J15" s="55" t="s">
        <v>89</v>
      </c>
      <c r="K15" s="55" t="s">
        <v>89</v>
      </c>
      <c r="L15" s="55" t="s">
        <v>89</v>
      </c>
      <c r="M15" s="55" t="s">
        <v>89</v>
      </c>
      <c r="N15" s="55" t="s">
        <v>89</v>
      </c>
      <c r="O15" s="53">
        <v>0</v>
      </c>
      <c r="P15" s="52">
        <v>0</v>
      </c>
    </row>
    <row r="16" spans="1:16" ht="19.95" customHeight="1" x14ac:dyDescent="0.3">
      <c r="A16" s="46">
        <v>11</v>
      </c>
      <c r="B16" s="46" t="s">
        <v>74</v>
      </c>
      <c r="C16" s="47" t="s">
        <v>75</v>
      </c>
      <c r="D16" s="54" t="s">
        <v>89</v>
      </c>
      <c r="E16" s="54" t="s">
        <v>89</v>
      </c>
      <c r="F16" s="48">
        <v>50</v>
      </c>
      <c r="G16" s="54" t="s">
        <v>89</v>
      </c>
      <c r="H16" s="54" t="s">
        <v>89</v>
      </c>
      <c r="I16" s="54" t="s">
        <v>89</v>
      </c>
      <c r="J16" s="54" t="s">
        <v>89</v>
      </c>
      <c r="K16" s="54" t="s">
        <v>89</v>
      </c>
      <c r="L16" s="54" t="s">
        <v>89</v>
      </c>
      <c r="M16" s="54" t="s">
        <v>89</v>
      </c>
      <c r="N16" s="54" t="s">
        <v>89</v>
      </c>
      <c r="O16" s="49">
        <v>50</v>
      </c>
      <c r="P16" s="48">
        <v>50</v>
      </c>
    </row>
    <row r="17" spans="1:16" ht="19.95" customHeight="1" x14ac:dyDescent="0.3">
      <c r="A17" s="50">
        <v>12</v>
      </c>
      <c r="B17" s="50" t="s">
        <v>79</v>
      </c>
      <c r="C17" s="51" t="s">
        <v>80</v>
      </c>
      <c r="D17" s="52">
        <v>40</v>
      </c>
      <c r="E17" s="55" t="s">
        <v>89</v>
      </c>
      <c r="F17" s="55" t="s">
        <v>89</v>
      </c>
      <c r="G17" s="55" t="s">
        <v>89</v>
      </c>
      <c r="H17" s="55" t="s">
        <v>89</v>
      </c>
      <c r="I17" s="55" t="s">
        <v>89</v>
      </c>
      <c r="J17" s="55" t="s">
        <v>89</v>
      </c>
      <c r="K17" s="55" t="s">
        <v>89</v>
      </c>
      <c r="L17" s="55" t="s">
        <v>89</v>
      </c>
      <c r="M17" s="55" t="s">
        <v>89</v>
      </c>
      <c r="N17" s="55" t="s">
        <v>89</v>
      </c>
      <c r="O17" s="53">
        <v>40</v>
      </c>
      <c r="P17" s="52">
        <v>40</v>
      </c>
    </row>
    <row r="18" spans="1:16" ht="19.95" customHeight="1" x14ac:dyDescent="0.3">
      <c r="A18" s="18">
        <v>13</v>
      </c>
      <c r="B18" s="18" t="s">
        <v>84</v>
      </c>
      <c r="C18" s="19" t="s">
        <v>260</v>
      </c>
      <c r="D18" s="21">
        <v>392</v>
      </c>
      <c r="E18" s="21">
        <v>80</v>
      </c>
      <c r="F18" s="21">
        <v>-287</v>
      </c>
      <c r="G18" s="21">
        <v>1149</v>
      </c>
      <c r="H18" s="21">
        <v>1828</v>
      </c>
      <c r="I18" s="21">
        <v>325.77</v>
      </c>
      <c r="J18" s="21">
        <v>989.18</v>
      </c>
      <c r="K18" s="21">
        <v>3.7099999999999942</v>
      </c>
      <c r="L18" s="21">
        <v>338</v>
      </c>
      <c r="M18" s="20" t="s">
        <v>89</v>
      </c>
      <c r="N18" s="21">
        <v>-141</v>
      </c>
      <c r="O18" s="56">
        <v>4677.66</v>
      </c>
      <c r="P18" s="21">
        <v>425.24181818181819</v>
      </c>
    </row>
    <row r="19" spans="1:16" ht="22.05" customHeight="1" x14ac:dyDescent="0.3">
      <c r="A19" s="75" t="s">
        <v>261</v>
      </c>
      <c r="B19" s="70"/>
      <c r="C19" s="70"/>
      <c r="D19" s="57">
        <v>1485</v>
      </c>
      <c r="E19" s="57">
        <v>2828</v>
      </c>
      <c r="F19" s="57">
        <v>2517</v>
      </c>
      <c r="G19" s="57">
        <v>4876</v>
      </c>
      <c r="H19" s="57">
        <v>2521</v>
      </c>
      <c r="I19" s="57">
        <v>3705.77</v>
      </c>
      <c r="J19" s="57">
        <v>3652.18</v>
      </c>
      <c r="K19" s="57">
        <v>3103.71</v>
      </c>
      <c r="L19" s="57">
        <v>2931</v>
      </c>
      <c r="M19" s="57">
        <v>3180</v>
      </c>
      <c r="N19" s="57">
        <v>2775</v>
      </c>
      <c r="O19" s="58">
        <v>33574.660000000003</v>
      </c>
      <c r="P19" s="58">
        <v>3052.241818181818</v>
      </c>
    </row>
    <row r="22" spans="1:16" ht="16.8" x14ac:dyDescent="0.4">
      <c r="A22" s="44" t="s">
        <v>262</v>
      </c>
    </row>
    <row r="23" spans="1:16" ht="24" customHeight="1" x14ac:dyDescent="0.3">
      <c r="B23" s="45" t="s">
        <v>263</v>
      </c>
      <c r="C23" s="45" t="s">
        <v>264</v>
      </c>
      <c r="D23" s="45" t="s">
        <v>247</v>
      </c>
      <c r="E23" s="45" t="s">
        <v>248</v>
      </c>
      <c r="F23" s="45" t="s">
        <v>249</v>
      </c>
      <c r="G23" s="45" t="s">
        <v>250</v>
      </c>
      <c r="H23" s="45" t="s">
        <v>251</v>
      </c>
      <c r="I23" s="45" t="s">
        <v>252</v>
      </c>
      <c r="J23" s="45" t="s">
        <v>253</v>
      </c>
      <c r="K23" s="45" t="s">
        <v>254</v>
      </c>
      <c r="L23" s="45" t="s">
        <v>255</v>
      </c>
      <c r="M23" s="45" t="s">
        <v>256</v>
      </c>
      <c r="N23" s="45" t="s">
        <v>257</v>
      </c>
      <c r="O23" s="45" t="s">
        <v>265</v>
      </c>
      <c r="P23" s="45" t="s">
        <v>266</v>
      </c>
    </row>
    <row r="24" spans="1:16" ht="19.95" customHeight="1" x14ac:dyDescent="0.3">
      <c r="B24" s="47" t="s">
        <v>267</v>
      </c>
      <c r="C24" s="46" t="s">
        <v>268</v>
      </c>
      <c r="D24" s="48">
        <v>1204</v>
      </c>
      <c r="E24" s="48">
        <v>994</v>
      </c>
      <c r="F24" s="48">
        <v>1029</v>
      </c>
      <c r="G24" s="48">
        <v>1470</v>
      </c>
      <c r="H24" s="48">
        <v>1224</v>
      </c>
      <c r="I24" s="48">
        <v>1421</v>
      </c>
      <c r="J24" s="48">
        <v>1953</v>
      </c>
      <c r="K24" s="48">
        <v>1288</v>
      </c>
      <c r="L24" s="48">
        <v>1533</v>
      </c>
      <c r="M24" s="48">
        <v>0</v>
      </c>
      <c r="N24" s="48">
        <v>0</v>
      </c>
      <c r="O24" s="49">
        <v>12116</v>
      </c>
      <c r="P24" s="48">
        <v>1346.2222222222219</v>
      </c>
    </row>
    <row r="25" spans="1:16" ht="19.95" customHeight="1" x14ac:dyDescent="0.3">
      <c r="B25" s="51" t="s">
        <v>269</v>
      </c>
      <c r="C25" s="50" t="s">
        <v>270</v>
      </c>
      <c r="D25" s="52">
        <v>2097.3679999999972</v>
      </c>
      <c r="E25" s="52">
        <v>1731.547999999998</v>
      </c>
      <c r="F25" s="52">
        <v>1792.517999999998</v>
      </c>
      <c r="G25" s="52">
        <v>2560.7399999999961</v>
      </c>
      <c r="H25" s="52">
        <v>2132.2079999999969</v>
      </c>
      <c r="I25" s="52">
        <v>2475.381999999996</v>
      </c>
      <c r="J25" s="52">
        <v>3402.1259999999929</v>
      </c>
      <c r="K25" s="52">
        <v>2243.6959999999972</v>
      </c>
      <c r="L25" s="52">
        <v>2670.4859999999949</v>
      </c>
      <c r="M25" s="52">
        <v>0</v>
      </c>
      <c r="N25" s="52">
        <v>0</v>
      </c>
      <c r="O25" s="53">
        <v>21106.072</v>
      </c>
      <c r="P25" s="52">
        <v>2345.1191111111111</v>
      </c>
    </row>
    <row r="26" spans="1:16" ht="19.95" customHeight="1" x14ac:dyDescent="0.3">
      <c r="B26" s="47" t="s">
        <v>271</v>
      </c>
      <c r="C26" s="46" t="s">
        <v>272</v>
      </c>
      <c r="D26" s="59">
        <v>87</v>
      </c>
      <c r="E26" s="59">
        <v>79</v>
      </c>
      <c r="F26" s="59">
        <v>81</v>
      </c>
      <c r="G26" s="59">
        <v>115</v>
      </c>
      <c r="H26" s="59">
        <v>93</v>
      </c>
      <c r="I26" s="59">
        <v>108</v>
      </c>
      <c r="J26" s="59">
        <v>146</v>
      </c>
      <c r="K26" s="59">
        <v>97</v>
      </c>
      <c r="L26" s="59">
        <v>114</v>
      </c>
      <c r="M26" s="59">
        <v>0</v>
      </c>
      <c r="N26" s="59">
        <v>0</v>
      </c>
      <c r="O26" s="60">
        <v>920</v>
      </c>
      <c r="P26" s="59">
        <v>102.2222222222222</v>
      </c>
    </row>
    <row r="27" spans="1:16" ht="19.95" customHeight="1" x14ac:dyDescent="0.3">
      <c r="B27" s="51" t="s">
        <v>273</v>
      </c>
      <c r="C27" s="50" t="s">
        <v>268</v>
      </c>
      <c r="D27" s="52">
        <v>557</v>
      </c>
      <c r="E27" s="52">
        <v>1062</v>
      </c>
      <c r="F27" s="52">
        <v>583</v>
      </c>
      <c r="G27" s="52">
        <v>855</v>
      </c>
      <c r="H27" s="52">
        <v>490</v>
      </c>
      <c r="I27" s="52">
        <v>812</v>
      </c>
      <c r="J27" s="52">
        <v>1036</v>
      </c>
      <c r="K27" s="52">
        <v>1001</v>
      </c>
      <c r="L27" s="52">
        <v>1141</v>
      </c>
      <c r="M27" s="52">
        <v>0</v>
      </c>
      <c r="N27" s="52">
        <v>0</v>
      </c>
      <c r="O27" s="53">
        <v>7537</v>
      </c>
      <c r="P27" s="52">
        <v>837.44444444444446</v>
      </c>
    </row>
    <row r="28" spans="1:16" ht="19.95" customHeight="1" x14ac:dyDescent="0.3">
      <c r="B28" s="47" t="s">
        <v>274</v>
      </c>
      <c r="C28" s="46" t="s">
        <v>270</v>
      </c>
      <c r="D28" s="48">
        <v>970.29400000000021</v>
      </c>
      <c r="E28" s="48">
        <v>1850.0039999999981</v>
      </c>
      <c r="F28" s="48">
        <v>1015.586</v>
      </c>
      <c r="G28" s="48">
        <v>1489.4099999999989</v>
      </c>
      <c r="H28" s="48">
        <v>853.58000000000027</v>
      </c>
      <c r="I28" s="48">
        <v>1414.503999999999</v>
      </c>
      <c r="J28" s="48">
        <v>1804.7119999999979</v>
      </c>
      <c r="K28" s="48">
        <v>1743.7419999999979</v>
      </c>
      <c r="L28" s="48">
        <v>1987.6219999999969</v>
      </c>
      <c r="M28" s="48">
        <v>0</v>
      </c>
      <c r="N28" s="48">
        <v>0</v>
      </c>
      <c r="O28" s="49">
        <v>13129.454</v>
      </c>
      <c r="P28" s="48">
        <v>1458.8282222222219</v>
      </c>
    </row>
    <row r="29" spans="1:16" ht="19.95" customHeight="1" x14ac:dyDescent="0.3">
      <c r="B29" s="51" t="s">
        <v>275</v>
      </c>
      <c r="C29" s="50" t="s">
        <v>272</v>
      </c>
      <c r="D29" s="61">
        <v>47</v>
      </c>
      <c r="E29" s="61">
        <v>77</v>
      </c>
      <c r="F29" s="61">
        <v>66</v>
      </c>
      <c r="G29" s="61">
        <v>69</v>
      </c>
      <c r="H29" s="61">
        <v>40</v>
      </c>
      <c r="I29" s="61">
        <v>58</v>
      </c>
      <c r="J29" s="61">
        <v>74</v>
      </c>
      <c r="K29" s="61">
        <v>72</v>
      </c>
      <c r="L29" s="61">
        <v>82</v>
      </c>
      <c r="M29" s="61">
        <v>0</v>
      </c>
      <c r="N29" s="61">
        <v>0</v>
      </c>
      <c r="O29" s="62">
        <v>585</v>
      </c>
      <c r="P29" s="61">
        <v>65</v>
      </c>
    </row>
  </sheetData>
  <mergeCells count="3">
    <mergeCell ref="A1:P1"/>
    <mergeCell ref="A19:C1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Histórico y Rendimiento</vt:lpstr>
      <vt:lpstr>Rendimiento Base y Desgaste</vt:lpstr>
      <vt:lpstr>Semana 24</vt:lpstr>
      <vt:lpstr>Semana 25</vt:lpstr>
      <vt:lpstr>Semana 26</vt:lpstr>
      <vt:lpstr>Semana 27</vt:lpstr>
      <vt:lpstr>Semana 28</vt:lpstr>
      <vt:lpstr>Semana 29</vt:lpstr>
      <vt:lpstr>Semana 30</vt:lpstr>
      <vt:lpstr>Semana 31</vt:lpstr>
      <vt:lpstr>Semana 32</vt:lpstr>
      <vt:lpstr>Semana 33</vt:lpstr>
      <vt:lpstr>Semana 34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2026-08-27T16:12:15Z</dcterms:created>
  <dcterms:modified xsi:type="dcterms:W3CDTF">2026-08-27T16:26:48Z</dcterms:modified>
</cp:coreProperties>
</file>