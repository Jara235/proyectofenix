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y Rendimiento" sheetId="1" state="visible" r:id="rId1"/>
    <sheet name="Semana 24" sheetId="2" state="visible" r:id="rId2"/>
    <sheet name="Semana 25" sheetId="3" state="visible" r:id="rId3"/>
    <sheet name="Semana 26" sheetId="4" state="visible" r:id="rId4"/>
    <sheet name="Semana 27" sheetId="5" state="visible" r:id="rId5"/>
    <sheet name="Semana 28" sheetId="6" state="visible" r:id="rId6"/>
    <sheet name="Semana 29" sheetId="7" state="visible" r:id="rId7"/>
    <sheet name="Semana 30" sheetId="8" state="visible" r:id="rId8"/>
    <sheet name="Semana 31" sheetId="9" state="visible" r:id="rId9"/>
    <sheet name="Semana 32" sheetId="10" state="visible" r:id="rId10"/>
    <sheet name="Semana 33" sheetId="11" state="visible" r:id="rId11"/>
    <sheet name="Semana 34" sheetId="12" state="visible" r:id="rId12"/>
    <sheet name="Resumen Ejecutiv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0"/>
    <numFmt numFmtId="166" formatCode="0.0 &quot;hrs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FFFFFF"/>
      <sz val="9"/>
    </font>
    <font>
      <name val="Calibri"/>
      <sz val="9"/>
    </font>
    <font>
      <name val="Calibri"/>
      <i val="1"/>
      <sz val="8.5"/>
    </font>
    <font>
      <name val="Calibri"/>
      <i val="1"/>
      <color rgb="00FFFFFF"/>
      <sz val="9.5"/>
    </font>
    <font>
      <name val="Calibri"/>
      <b val="1"/>
      <color rgb="00FFFFFF"/>
      <sz val="10.5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0B2240"/>
        <bgColor rgb="000B2240"/>
      </patternFill>
    </fill>
    <fill>
      <patternFill patternType="solid">
        <fgColor rgb="002B4C7E"/>
        <bgColor rgb="002B4C7E"/>
      </patternFill>
    </fill>
    <fill>
      <patternFill patternType="solid">
        <fgColor rgb="002C5282"/>
        <bgColor rgb="002C528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3" fontId="5" fillId="0" borderId="2" pivotButton="0" quotePrefix="0" xfId="0"/>
    <xf numFmtId="4" fontId="5" fillId="0" borderId="2" pivotButton="0" quotePrefix="0" xfId="0"/>
    <xf numFmtId="165" fontId="5" fillId="0" borderId="2" pivotButton="0" quotePrefix="0" xfId="0"/>
    <xf numFmtId="164" fontId="5" fillId="0" borderId="2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4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2" fontId="5" fillId="0" borderId="2" pivotButton="0" quotePrefix="0" xfId="0"/>
    <xf numFmtId="166" fontId="5" fillId="0" borderId="2" pivotButton="0" quotePrefix="0" xfId="0"/>
    <xf numFmtId="166" fontId="2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8" fillId="5" borderId="0" applyAlignment="1" pivotButton="0" quotePrefix="0" xfId="0">
      <alignment horizontal="left" vertical="center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18" customWidth="1" min="4" max="4"/>
    <col width="28" customWidth="1" min="5" max="5"/>
    <col width="28" customWidth="1" min="6" max="6"/>
    <col width="15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22" customWidth="1" min="13" max="13"/>
  </cols>
  <sheetData>
    <row r="1">
      <c r="A1" s="1" t="inlineStr">
        <is>
          <t>GRUPO FÉNIX — DIRECCIÓN DE OPERACIONES Y MAQUINARIA PESADA</t>
        </is>
      </c>
    </row>
    <row r="2">
      <c r="A2" s="2" t="inlineStr">
        <is>
          <t>REPORTE HISTÓRICO CONSOLIDADO DE RENDIMIENTO DE MAQUINARIA — CARRETERA LIBRE MÉXICO-TOLUCA</t>
        </is>
      </c>
    </row>
    <row r="3">
      <c r="A3" s="3" t="inlineStr">
        <is>
          <t>Corte Oficial: Semanas 24 a 34 | Frente SICT Huixquilucan | Peso Volumétrico Asfalto: 1,742 kg/m³ (1.742 Ton/m³)</t>
        </is>
      </c>
    </row>
    <row r="5">
      <c r="C5" s="4" t="inlineStr">
        <is>
          <t>PESO VOLUMÉTRICO ASFALTO (Ton/m³):</t>
        </is>
      </c>
      <c r="F5" s="5" t="n">
        <v>1.742</v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No. Serie</t>
        </is>
      </c>
      <c r="E8" s="6" t="inlineStr">
        <is>
          <t>Operador Registrado</t>
        </is>
      </c>
      <c r="F8" s="6" t="inlineStr">
        <is>
          <t>Concepto / Trabajo</t>
        </is>
      </c>
      <c r="G8" s="6" t="inlineStr">
        <is>
          <t>Viajes Acumulados</t>
        </is>
      </c>
      <c r="H8" s="6" t="inlineStr">
        <is>
          <t>Volumen Total (m³)</t>
        </is>
      </c>
      <c r="I8" s="6" t="inlineStr">
        <is>
          <t>Toneladas Totales (Ton)</t>
        </is>
      </c>
      <c r="J8" s="6" t="inlineStr">
        <is>
          <t>Diésel Acumulado (L)</t>
        </is>
      </c>
      <c r="K8" s="6" t="inlineStr">
        <is>
          <t>Rendimiento Real (L/Ton)</t>
        </is>
      </c>
      <c r="L8" s="6" t="inlineStr">
        <is>
          <t>Rendimiento Real (L/m³)</t>
        </is>
      </c>
      <c r="M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7" t="inlineStr">
        <is>
          <t>14200089</t>
        </is>
      </c>
      <c r="E9" s="8" t="inlineStr">
        <is>
          <t>JAVIER PAREDES CORTE</t>
        </is>
      </c>
      <c r="F9" s="8" t="inlineStr">
        <is>
          <t>Fresado de Pavimento</t>
        </is>
      </c>
      <c r="G9" s="9" t="n">
        <v>1138</v>
      </c>
      <c r="H9" s="10" t="n">
        <v>15603</v>
      </c>
      <c r="I9" s="11" t="n">
        <v>27180.426</v>
      </c>
      <c r="J9" s="10">
        <f>'Semana 24'!I9+'Semana 25'!I9+'Semana 26'!I9+'Semana 27'!I9+'Semana 28'!I9+'Semana 29'!I9+'Semana 30'!I9+'Semana 31'!I9+'Semana 32'!I9+'Semana 33'!I9+'Semana 34'!I9</f>
        <v/>
      </c>
      <c r="K9" s="12">
        <f>IF(I9&gt;0, J9/I9, 0)</f>
        <v/>
      </c>
      <c r="L9" s="12">
        <f>IF(H9&gt;0, J9/H9, 0)</f>
        <v/>
      </c>
      <c r="M9" s="7" t="inlineStr">
        <is>
          <t>ÓPTIMO / OPERATIVO</t>
        </is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7" t="inlineStr">
        <is>
          <t>14821687</t>
        </is>
      </c>
      <c r="E10" s="8" t="inlineStr">
        <is>
          <t>ERWIN CUTEÑO HERNANDEZ</t>
        </is>
      </c>
      <c r="F10" s="8" t="inlineStr">
        <is>
          <t>Tendido de Mezcla Asfáltica</t>
        </is>
      </c>
      <c r="G10" s="9" t="n">
        <v>638</v>
      </c>
      <c r="H10" s="10" t="n">
        <v>8968</v>
      </c>
      <c r="I10" s="11" t="n">
        <v>15622.256</v>
      </c>
      <c r="J10" s="10">
        <f>'Semana 24'!I10+'Semana 25'!I10+'Semana 26'!I10+'Semana 27'!I10+'Semana 28'!I10+'Semana 29'!I10+'Semana 30'!I10+'Semana 31'!I10+'Semana 32'!I10+'Semana 33'!I10+'Semana 34'!I10</f>
        <v/>
      </c>
      <c r="K10" s="12">
        <f>IF(I10&gt;0, J10/I10, 0)</f>
        <v/>
      </c>
      <c r="L10" s="12">
        <f>IF(H10&gt;0, J10/H10, 0)</f>
        <v/>
      </c>
      <c r="M10" s="7" t="inlineStr">
        <is>
          <t>ÓPTIMO / OPERATIVO</t>
        </is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7" t="inlineStr">
        <is>
          <t>H1840093</t>
        </is>
      </c>
      <c r="E11" s="8" t="inlineStr">
        <is>
          <t>JOEL ALBERTO RIVERA RIVAS</t>
        </is>
      </c>
      <c r="F11" s="8" t="inlineStr">
        <is>
          <t>Compactación Tándem Primaria</t>
        </is>
      </c>
      <c r="G11" s="9" t="n">
        <v>638</v>
      </c>
      <c r="H11" s="10" t="n">
        <v>8968</v>
      </c>
      <c r="I11" s="11" t="n">
        <v>15622.256</v>
      </c>
      <c r="J11" s="10">
        <f>'Semana 24'!I11+'Semana 25'!I11+'Semana 26'!I11+'Semana 27'!I11+'Semana 28'!I11+'Semana 29'!I11+'Semana 30'!I11+'Semana 31'!I11+'Semana 32'!I11+'Semana 33'!I11+'Semana 34'!I11</f>
        <v/>
      </c>
      <c r="K11" s="12">
        <f>IF(I11&gt;0, J11/I11, 0)</f>
        <v/>
      </c>
      <c r="L11" s="12">
        <f>IF(H11&gt;0, J11/H11, 0)</f>
        <v/>
      </c>
      <c r="M11" s="7" t="inlineStr">
        <is>
          <t>ÓPTIMO / OPERATIVO</t>
        </is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7" t="inlineStr">
        <is>
          <t>H1840234</t>
        </is>
      </c>
      <c r="E12" s="8" t="inlineStr">
        <is>
          <t>ALEXIS RENDON DOMINGUEZ</t>
        </is>
      </c>
      <c r="F12" s="8" t="inlineStr">
        <is>
          <t>Compactación Tándem Pesada</t>
        </is>
      </c>
      <c r="G12" s="9" t="n">
        <v>638</v>
      </c>
      <c r="H12" s="10" t="n">
        <v>8968</v>
      </c>
      <c r="I12" s="11" t="n">
        <v>15622.256</v>
      </c>
      <c r="J12" s="10">
        <f>'Semana 24'!I12+'Semana 25'!I12+'Semana 26'!I12+'Semana 27'!I12+'Semana 28'!I12+'Semana 29'!I12+'Semana 30'!I12+'Semana 31'!I12+'Semana 32'!I12+'Semana 33'!I12+'Semana 34'!I12</f>
        <v/>
      </c>
      <c r="K12" s="12">
        <f>IF(I12&gt;0, J12/I12, 0)</f>
        <v/>
      </c>
      <c r="L12" s="12">
        <f>IF(H12&gt;0, J12/H12, 0)</f>
        <v/>
      </c>
      <c r="M12" s="7" t="inlineStr">
        <is>
          <t>ÓPTIMO / OPERATIVO</t>
        </is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7" t="inlineStr">
        <is>
          <t>CP271-980</t>
        </is>
      </c>
      <c r="E13" s="8" t="inlineStr">
        <is>
          <t>JOSE CARLOS ROMERO TELLEZ</t>
        </is>
      </c>
      <c r="F13" s="8" t="inlineStr">
        <is>
          <t>Compactación Neumática / Sellado</t>
        </is>
      </c>
      <c r="G13" s="9" t="n">
        <v>638</v>
      </c>
      <c r="H13" s="10" t="n">
        <v>8968</v>
      </c>
      <c r="I13" s="11" t="n">
        <v>15622.256</v>
      </c>
      <c r="J13" s="10">
        <f>'Semana 24'!I13+'Semana 25'!I13+'Semana 26'!I13+'Semana 27'!I13+'Semana 28'!I13+'Semana 29'!I13+'Semana 30'!I13+'Semana 31'!I13+'Semana 32'!I13+'Semana 33'!I13+'Semana 34'!I13</f>
        <v/>
      </c>
      <c r="K13" s="12">
        <f>IF(I13&gt;0, J13/I13, 0)</f>
        <v/>
      </c>
      <c r="L13" s="12">
        <f>IF(H13&gt;0, J13/H13, 0)</f>
        <v/>
      </c>
      <c r="M13" s="7" t="inlineStr">
        <is>
          <t>ÓPTIMO / OPERATIVO</t>
        </is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7" t="inlineStr">
        <is>
          <t>HM-208-114</t>
        </is>
      </c>
      <c r="E14" s="8" t="inlineStr">
        <is>
          <t>NOLVIN DE JESUS PEREZ GOMEZ</t>
        </is>
      </c>
      <c r="F14" s="8" t="inlineStr">
        <is>
          <t>Compactación Neumática / Acabado</t>
        </is>
      </c>
      <c r="G14" s="9" t="n">
        <v>638</v>
      </c>
      <c r="H14" s="10" t="n">
        <v>8968</v>
      </c>
      <c r="I14" s="11" t="n">
        <v>15622.256</v>
      </c>
      <c r="J14" s="10">
        <f>'Semana 24'!I14+'Semana 25'!I14+'Semana 26'!I14+'Semana 27'!I14+'Semana 28'!I14+'Semana 29'!I14+'Semana 30'!I14+'Semana 31'!I14+'Semana 32'!I14+'Semana 33'!I14+'Semana 34'!I14</f>
        <v/>
      </c>
      <c r="K14" s="12">
        <f>IF(I14&gt;0, J14/I14, 0)</f>
        <v/>
      </c>
      <c r="L14" s="12">
        <f>IF(H14&gt;0, J14/H14, 0)</f>
        <v/>
      </c>
      <c r="M14" s="7" t="inlineStr">
        <is>
          <t>ÓPTIMO / OPERATIVO</t>
        </is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7" t="inlineStr">
        <is>
          <t>51300000-4794</t>
        </is>
      </c>
      <c r="E15" s="8" t="inlineStr">
        <is>
          <t>EDGAR ROSALES MARTINEZ</t>
        </is>
      </c>
      <c r="F15" s="8" t="inlineStr">
        <is>
          <t>Limpieza y Barrido Previo</t>
        </is>
      </c>
      <c r="G15" s="9" t="n">
        <v>638</v>
      </c>
      <c r="H15" s="10" t="n">
        <v>8968</v>
      </c>
      <c r="I15" s="11" t="n">
        <v>15622.256</v>
      </c>
      <c r="J15" s="10">
        <f>'Semana 24'!I15+'Semana 25'!I15+'Semana 26'!I15+'Semana 27'!I15+'Semana 28'!I15+'Semana 29'!I15+'Semana 30'!I15+'Semana 31'!I15+'Semana 32'!I15+'Semana 33'!I15+'Semana 34'!I15</f>
        <v/>
      </c>
      <c r="K15" s="12">
        <f>IF(I15&gt;0, J15/I15, 0)</f>
        <v/>
      </c>
      <c r="L15" s="12">
        <f>IF(H15&gt;0, J15/H15, 0)</f>
        <v/>
      </c>
      <c r="M15" s="7" t="inlineStr">
        <is>
          <t>ÓPTIMO / OPERATIVO</t>
        </is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7" t="inlineStr">
        <is>
          <t>1T0310SKAEE262172</t>
        </is>
      </c>
      <c r="E16" s="8" t="inlineStr">
        <is>
          <t>ADOLFO NAVA LOPEZ</t>
        </is>
      </c>
      <c r="F16" s="8" t="inlineStr">
        <is>
          <t>Carga Fresado y Derrumbes</t>
        </is>
      </c>
      <c r="G16" s="9" t="n">
        <v>1138</v>
      </c>
      <c r="H16" s="10" t="n">
        <v>15603</v>
      </c>
      <c r="I16" s="11" t="n">
        <v>27180.426</v>
      </c>
      <c r="J16" s="10">
        <f>'Semana 24'!I16+'Semana 25'!I16+'Semana 26'!I16+'Semana 27'!I16+'Semana 28'!I16+'Semana 29'!I16+'Semana 30'!I16+'Semana 31'!I16+'Semana 32'!I16+'Semana 33'!I16+'Semana 34'!I16</f>
        <v/>
      </c>
      <c r="K16" s="12">
        <f>IF(I16&gt;0, J16/I16, 0)</f>
        <v/>
      </c>
      <c r="L16" s="12">
        <f>IF(H16&gt;0, J16/H16, 0)</f>
        <v/>
      </c>
      <c r="M16" s="7" t="inlineStr">
        <is>
          <t>ÓPTIMO / OPERATIVO</t>
        </is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7" t="inlineStr">
        <is>
          <t>3HTMMAAR830567</t>
        </is>
      </c>
      <c r="E17" s="8" t="inlineStr">
        <is>
          <t>ELTHON EDUARDO MARTINEZ GOMORA</t>
        </is>
      </c>
      <c r="F17" s="8" t="inlineStr">
        <is>
          <t>Riego de Liga / Emulsión</t>
        </is>
      </c>
      <c r="G17" s="9" t="n">
        <v>638</v>
      </c>
      <c r="H17" s="10" t="n">
        <v>8968</v>
      </c>
      <c r="I17" s="11" t="n">
        <v>15622.256</v>
      </c>
      <c r="J17" s="10">
        <f>'Semana 24'!I17+'Semana 25'!I17+'Semana 26'!I17+'Semana 27'!I17+'Semana 28'!I17+'Semana 29'!I17+'Semana 30'!I17+'Semana 31'!I17+'Semana 32'!I17+'Semana 33'!I17+'Semana 34'!I17</f>
        <v/>
      </c>
      <c r="K17" s="12">
        <f>IF(I17&gt;0, J17/I17, 0)</f>
        <v/>
      </c>
      <c r="L17" s="12">
        <f>IF(H17&gt;0, J17/H17, 0)</f>
        <v/>
      </c>
      <c r="M17" s="7" t="inlineStr">
        <is>
          <t>ÓPTIMO / OPERATIVO</t>
        </is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7" t="inlineStr">
        <is>
          <t>PHD25B330551</t>
        </is>
      </c>
      <c r="E18" s="8" t="inlineStr">
        <is>
          <t>CUADRILLA DE LIMPIEZA</t>
        </is>
      </c>
      <c r="F18" s="8" t="inlineStr">
        <is>
          <t>Sopleteado de Juntas</t>
        </is>
      </c>
      <c r="G18" s="9" t="n">
        <v>0</v>
      </c>
      <c r="H18" s="10" t="n">
        <v>0</v>
      </c>
      <c r="I18" s="11" t="n">
        <v>0</v>
      </c>
      <c r="J18" s="10">
        <f>'Semana 24'!I18+'Semana 25'!I18+'Semana 26'!I18+'Semana 27'!I18+'Semana 28'!I18+'Semana 29'!I18+'Semana 30'!I18+'Semana 31'!I18+'Semana 32'!I18+'Semana 33'!I18+'Semana 34'!I18</f>
        <v/>
      </c>
      <c r="K18" s="12" t="n">
        <v>0</v>
      </c>
      <c r="L18" s="12" t="n">
        <v>0</v>
      </c>
      <c r="M18" s="7" t="inlineStr">
        <is>
          <t>SIN REGISTRO</t>
        </is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7" t="inlineStr">
        <is>
          <t>1FDYR80U0GVA15942</t>
        </is>
      </c>
      <c r="E19" s="8" t="inlineStr">
        <is>
          <t>CUADRILLA DE AGUA</t>
        </is>
      </c>
      <c r="F19" s="8" t="inlineStr">
        <is>
          <t>Enfriamiento Rodillos / Riego</t>
        </is>
      </c>
      <c r="G19" s="9" t="n">
        <v>0</v>
      </c>
      <c r="H19" s="10" t="n">
        <v>0</v>
      </c>
      <c r="I19" s="11" t="n">
        <v>0</v>
      </c>
      <c r="J19" s="10">
        <f>'Semana 24'!I19+'Semana 25'!I19+'Semana 26'!I19+'Semana 27'!I19+'Semana 28'!I19+'Semana 29'!I19+'Semana 30'!I19+'Semana 31'!I19+'Semana 32'!I19+'Semana 33'!I19+'Semana 34'!I19</f>
        <v/>
      </c>
      <c r="K19" s="12" t="n">
        <v>0</v>
      </c>
      <c r="L19" s="12" t="n">
        <v>0</v>
      </c>
      <c r="M19" s="7" t="inlineStr">
        <is>
          <t>ÓPTIMO / OPERATIVO</t>
        </is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7" t="inlineStr">
        <is>
          <t>MX-4000-22</t>
        </is>
      </c>
      <c r="E20" s="8" t="inlineStr">
        <is>
          <t>CUADRILLA NOCTURNA</t>
        </is>
      </c>
      <c r="F20" s="8" t="inlineStr">
        <is>
          <t>Iluminación Nocturna</t>
        </is>
      </c>
      <c r="G20" s="9" t="n">
        <v>0</v>
      </c>
      <c r="H20" s="10" t="n">
        <v>0</v>
      </c>
      <c r="I20" s="11" t="n">
        <v>0</v>
      </c>
      <c r="J20" s="10">
        <f>'Semana 24'!I20+'Semana 25'!I20+'Semana 26'!I20+'Semana 27'!I20+'Semana 28'!I20+'Semana 29'!I20+'Semana 30'!I20+'Semana 31'!I20+'Semana 32'!I20+'Semana 33'!I20+'Semana 34'!I20</f>
        <v/>
      </c>
      <c r="K20" s="12" t="n">
        <v>0</v>
      </c>
      <c r="L20" s="12" t="n">
        <v>0</v>
      </c>
      <c r="M20" s="7" t="inlineStr">
        <is>
          <t>ÓPTIMO / OPERATIVO</t>
        </is>
      </c>
    </row>
    <row r="21" ht="20" customHeight="1">
      <c r="A21" s="7" t="n">
        <v>13</v>
      </c>
      <c r="B21" s="7" t="inlineStr">
        <is>
          <t>APOYO</t>
        </is>
      </c>
      <c r="C21" s="8" t="inlineStr">
        <is>
          <t>EQUIPOS DE APOYO / BIDONES / AJUSTES</t>
        </is>
      </c>
      <c r="D21" s="7" t="inlineStr">
        <is>
          <t>S/N</t>
        </is>
      </c>
      <c r="E21" s="8" t="inlineStr">
        <is>
          <t>Personal de Apoyo Obra</t>
        </is>
      </c>
      <c r="F21" s="8" t="inlineStr">
        <is>
          <t>Excavadora 320, Motoconformadora, Bidones</t>
        </is>
      </c>
      <c r="G21" s="9" t="n">
        <v>0</v>
      </c>
      <c r="H21" s="10" t="n">
        <v>0</v>
      </c>
      <c r="I21" s="11" t="n">
        <v>0</v>
      </c>
      <c r="J21" s="10" t="n">
        <v>4677.66</v>
      </c>
      <c r="K21" s="12" t="n">
        <v>0</v>
      </c>
      <c r="L21" s="12" t="n">
        <v>0</v>
      </c>
      <c r="M21" s="7" t="inlineStr">
        <is>
          <t>APOYOS PUNTUALES</t>
        </is>
      </c>
    </row>
    <row r="22" ht="22" customHeight="1">
      <c r="A22" s="13" t="inlineStr">
        <is>
          <t>TOTAL CONSOLIDADO OBRA MÉXICO-TOLUCA (SEM 24 A 34)</t>
        </is>
      </c>
      <c r="B22" s="14" t="n"/>
      <c r="C22" s="14" t="n"/>
      <c r="D22" s="14" t="n"/>
      <c r="E22" s="14" t="n"/>
      <c r="F22" s="14" t="n"/>
      <c r="G22" s="15">
        <f>1138+638</f>
        <v/>
      </c>
      <c r="H22" s="16">
        <f>15603+8968</f>
        <v/>
      </c>
      <c r="I22" s="17">
        <f>27180.426+15622.256</f>
        <v/>
      </c>
      <c r="J22" s="16">
        <f>SUM(J9:J21)</f>
        <v/>
      </c>
      <c r="K22" s="18">
        <f>IF(I22&gt;0, J22/I22, 0)</f>
        <v/>
      </c>
      <c r="L22" s="18">
        <f>IF(H22&gt;0, J22/H22, 0)</f>
        <v/>
      </c>
      <c r="M22" s="13" t="inlineStr">
        <is>
          <t>CIERRE GENERAL</t>
        </is>
      </c>
    </row>
  </sheetData>
  <mergeCells count="4">
    <mergeCell ref="A3:M3"/>
    <mergeCell ref="A2:M2"/>
    <mergeCell ref="A22:F2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24)</t>
        </is>
      </c>
    </row>
    <row r="2" ht="18" customHeight="1">
      <c r="A2" s="2" t="inlineStr">
        <is>
          <t>OBRA: CARRETERA LIBRE MÉXICO-TOLUCA | PERIODO: 08/Jun/2026 - 13/Jun/2026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85</v>
      </c>
      <c r="D5" t="inlineStr">
        <is>
          <t>Volumen Fresado (m³):</t>
        </is>
      </c>
      <c r="E5" s="20" t="n">
        <v>1190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37</v>
      </c>
      <c r="D6" t="inlineStr">
        <is>
          <t>Volumen Carpeta (m³):</t>
        </is>
      </c>
      <c r="E6" s="20" t="n">
        <v>547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777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136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0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0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0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60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80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40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24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24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277</v>
      </c>
      <c r="G27" s="10" t="n">
        <v>98</v>
      </c>
      <c r="H27" s="11">
        <f>G27*$E$4</f>
        <v/>
      </c>
      <c r="I27" s="12">
        <f>IF(G27&gt;0, F27/G27, 0)</f>
        <v/>
      </c>
      <c r="J27" s="10" t="n">
        <v>0</v>
      </c>
      <c r="K27" s="10" t="n">
        <v>294</v>
      </c>
      <c r="L27" s="11">
        <f>K27*$E$4</f>
        <v/>
      </c>
      <c r="M27" s="12">
        <f>IF(K27&gt;0, J27/K27, 0)</f>
        <v/>
      </c>
      <c r="N27" s="10" t="n">
        <v>250</v>
      </c>
      <c r="O27" s="10" t="n">
        <v>378</v>
      </c>
      <c r="P27" s="11">
        <f>O27*$E$4</f>
        <v/>
      </c>
      <c r="Q27" s="12">
        <f>IF(O27&gt;0, N27/O27, 0)</f>
        <v/>
      </c>
      <c r="R27" s="10" t="n">
        <v>0</v>
      </c>
      <c r="S27" s="10" t="n">
        <v>0</v>
      </c>
      <c r="T27" s="11">
        <f>S27*$E$4</f>
        <v/>
      </c>
      <c r="U27" s="12">
        <f>IF(S27&gt;0, R27/S27, 0)</f>
        <v/>
      </c>
      <c r="V27" s="10" t="n">
        <v>250</v>
      </c>
      <c r="W27" s="10" t="n">
        <v>406</v>
      </c>
      <c r="X27" s="11">
        <f>W27*$E$4</f>
        <v/>
      </c>
      <c r="Y27" s="12">
        <f>IF(W27&gt;0, V27/W27, 0)</f>
        <v/>
      </c>
      <c r="Z27" s="10" t="n">
        <v>0</v>
      </c>
      <c r="AA27" s="10" t="n">
        <v>0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0</v>
      </c>
      <c r="G28" s="10" t="n">
        <v>90</v>
      </c>
      <c r="H28" s="11">
        <f>G28*$E$4</f>
        <v/>
      </c>
      <c r="I28" s="12">
        <f>IF(H28&gt;0, F28/H28, 0)</f>
        <v/>
      </c>
      <c r="J28" s="10" t="n">
        <v>0</v>
      </c>
      <c r="K28" s="10" t="n">
        <v>0</v>
      </c>
      <c r="L28" s="11">
        <f>K28*$E$4</f>
        <v/>
      </c>
      <c r="M28" s="12">
        <f>IF(L28&gt;0, J28/L28, 0)</f>
        <v/>
      </c>
      <c r="N28" s="10" t="n">
        <v>0</v>
      </c>
      <c r="O28" s="10" t="n">
        <v>0</v>
      </c>
      <c r="P28" s="11">
        <f>O28*$E$4</f>
        <v/>
      </c>
      <c r="Q28" s="12">
        <f>IF(P28&gt;0, N28/P28, 0)</f>
        <v/>
      </c>
      <c r="R28" s="10" t="n">
        <v>136</v>
      </c>
      <c r="S28" s="10" t="n">
        <v>120</v>
      </c>
      <c r="T28" s="11">
        <f>S28*$E$4</f>
        <v/>
      </c>
      <c r="U28" s="12">
        <f>IF(T28&gt;0, R28/T28, 0)</f>
        <v/>
      </c>
      <c r="V28" s="10" t="n">
        <v>0</v>
      </c>
      <c r="W28" s="10" t="n">
        <v>247</v>
      </c>
      <c r="X28" s="11">
        <f>W28*$E$4</f>
        <v/>
      </c>
      <c r="Y28" s="12">
        <f>IF(X28&gt;0, V28/X28, 0)</f>
        <v/>
      </c>
      <c r="Z28" s="10" t="n">
        <v>0</v>
      </c>
      <c r="AA28" s="10" t="n">
        <v>90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32</v>
      </c>
      <c r="G29" s="10" t="n">
        <v>90</v>
      </c>
      <c r="H29" s="11">
        <f>G29*$E$4</f>
        <v/>
      </c>
      <c r="I29" s="12">
        <f>IF(H29&gt;0, F29/H29, 0)</f>
        <v/>
      </c>
      <c r="J29" s="10" t="n">
        <v>0</v>
      </c>
      <c r="K29" s="10" t="n">
        <v>0</v>
      </c>
      <c r="L29" s="11">
        <f>K29*$E$4</f>
        <v/>
      </c>
      <c r="M29" s="12">
        <f>IF(L29&gt;0, J29/L29, 0)</f>
        <v/>
      </c>
      <c r="N29" s="10" t="n">
        <v>0</v>
      </c>
      <c r="O29" s="10" t="n">
        <v>0</v>
      </c>
      <c r="P29" s="11">
        <f>O29*$E$4</f>
        <v/>
      </c>
      <c r="Q29" s="12">
        <f>IF(P29&gt;0, N29/P29, 0)</f>
        <v/>
      </c>
      <c r="R29" s="10" t="n">
        <v>30</v>
      </c>
      <c r="S29" s="10" t="n">
        <v>120</v>
      </c>
      <c r="T29" s="11">
        <f>S29*$E$4</f>
        <v/>
      </c>
      <c r="U29" s="12">
        <f>IF(T29&gt;0, R29/T29, 0)</f>
        <v/>
      </c>
      <c r="V29" s="10" t="n">
        <v>40</v>
      </c>
      <c r="W29" s="10" t="n">
        <v>247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90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0</v>
      </c>
      <c r="G30" s="10" t="n">
        <v>90</v>
      </c>
      <c r="H30" s="11">
        <f>G30*$E$4</f>
        <v/>
      </c>
      <c r="I30" s="12">
        <f>IF(H30&gt;0, F30/H30, 0)</f>
        <v/>
      </c>
      <c r="J30" s="10" t="n">
        <v>0</v>
      </c>
      <c r="K30" s="10" t="n">
        <v>0</v>
      </c>
      <c r="L30" s="11">
        <f>K30*$E$4</f>
        <v/>
      </c>
      <c r="M30" s="12">
        <f>IF(L30&gt;0, J30/L30, 0)</f>
        <v/>
      </c>
      <c r="N30" s="10" t="n">
        <v>0</v>
      </c>
      <c r="O30" s="10" t="n">
        <v>0</v>
      </c>
      <c r="P30" s="11">
        <f>O30*$E$4</f>
        <v/>
      </c>
      <c r="Q30" s="12">
        <f>IF(P30&gt;0, N30/P30, 0)</f>
        <v/>
      </c>
      <c r="R30" s="10" t="n">
        <v>0</v>
      </c>
      <c r="S30" s="10" t="n">
        <v>120</v>
      </c>
      <c r="T30" s="11">
        <f>S30*$E$4</f>
        <v/>
      </c>
      <c r="U30" s="12">
        <f>IF(T30&gt;0, R30/T30, 0)</f>
        <v/>
      </c>
      <c r="V30" s="10" t="n">
        <v>0</v>
      </c>
      <c r="W30" s="10" t="n">
        <v>247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90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30</v>
      </c>
      <c r="G31" s="10" t="n">
        <v>90</v>
      </c>
      <c r="H31" s="11">
        <f>G31*$E$4</f>
        <v/>
      </c>
      <c r="I31" s="12">
        <f>IF(H31&gt;0, F31/H31, 0)</f>
        <v/>
      </c>
      <c r="J31" s="10" t="n">
        <v>0</v>
      </c>
      <c r="K31" s="10" t="n">
        <v>0</v>
      </c>
      <c r="L31" s="11">
        <f>K31*$E$4</f>
        <v/>
      </c>
      <c r="M31" s="12">
        <f>IF(L31&gt;0, J31/L31, 0)</f>
        <v/>
      </c>
      <c r="N31" s="10" t="n">
        <v>0</v>
      </c>
      <c r="O31" s="10" t="n">
        <v>0</v>
      </c>
      <c r="P31" s="11">
        <f>O31*$E$4</f>
        <v/>
      </c>
      <c r="Q31" s="12">
        <f>IF(P31&gt;0, N31/P31, 0)</f>
        <v/>
      </c>
      <c r="R31" s="10" t="n">
        <v>30</v>
      </c>
      <c r="S31" s="10" t="n">
        <v>120</v>
      </c>
      <c r="T31" s="11">
        <f>S31*$E$4</f>
        <v/>
      </c>
      <c r="U31" s="12">
        <f>IF(T31&gt;0, R31/T31, 0)</f>
        <v/>
      </c>
      <c r="V31" s="10" t="n">
        <v>30</v>
      </c>
      <c r="W31" s="10" t="n">
        <v>247</v>
      </c>
      <c r="X31" s="11">
        <f>W31*$E$4</f>
        <v/>
      </c>
      <c r="Y31" s="12">
        <f>IF(X31&gt;0, V31/X31, 0)</f>
        <v/>
      </c>
      <c r="Z31" s="10" t="n">
        <v>0</v>
      </c>
      <c r="AA31" s="10" t="n">
        <v>90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90</v>
      </c>
      <c r="H32" s="11">
        <f>G32*$E$4</f>
        <v/>
      </c>
      <c r="I32" s="12">
        <f>IF(H32&gt;0, F32/H32, 0)</f>
        <v/>
      </c>
      <c r="J32" s="10" t="n">
        <v>0</v>
      </c>
      <c r="K32" s="10" t="n">
        <v>0</v>
      </c>
      <c r="L32" s="11">
        <f>K32*$E$4</f>
        <v/>
      </c>
      <c r="M32" s="12">
        <f>IF(L32&gt;0, J32/L32, 0)</f>
        <v/>
      </c>
      <c r="N32" s="10" t="n">
        <v>0</v>
      </c>
      <c r="O32" s="10" t="n">
        <v>0</v>
      </c>
      <c r="P32" s="11">
        <f>O32*$E$4</f>
        <v/>
      </c>
      <c r="Q32" s="12">
        <f>IF(P32&gt;0, N32/P32, 0)</f>
        <v/>
      </c>
      <c r="R32" s="10" t="n">
        <v>0</v>
      </c>
      <c r="S32" s="10" t="n">
        <v>120</v>
      </c>
      <c r="T32" s="11">
        <f>S32*$E$4</f>
        <v/>
      </c>
      <c r="U32" s="12">
        <f>IF(T32&gt;0, R32/T32, 0)</f>
        <v/>
      </c>
      <c r="V32" s="10" t="n">
        <v>0</v>
      </c>
      <c r="W32" s="10" t="n">
        <v>247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90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90</v>
      </c>
      <c r="H33" s="11">
        <f>G33*$E$4</f>
        <v/>
      </c>
      <c r="I33" s="12">
        <f>IF(H33&gt;0, F33/H33, 0)</f>
        <v/>
      </c>
      <c r="J33" s="10" t="n">
        <v>0</v>
      </c>
      <c r="K33" s="10" t="n">
        <v>0</v>
      </c>
      <c r="L33" s="11">
        <f>K33*$E$4</f>
        <v/>
      </c>
      <c r="M33" s="12">
        <f>IF(L33&gt;0, J33/L33, 0)</f>
        <v/>
      </c>
      <c r="N33" s="10" t="n">
        <v>20</v>
      </c>
      <c r="O33" s="10" t="n">
        <v>0</v>
      </c>
      <c r="P33" s="11">
        <f>O33*$E$4</f>
        <v/>
      </c>
      <c r="Q33" s="12">
        <f>IF(P33&gt;0, N33/P33, 0)</f>
        <v/>
      </c>
      <c r="R33" s="10" t="n">
        <v>20</v>
      </c>
      <c r="S33" s="10" t="n">
        <v>120</v>
      </c>
      <c r="T33" s="11">
        <f>S33*$E$4</f>
        <v/>
      </c>
      <c r="U33" s="12">
        <f>IF(T33&gt;0, R33/T33, 0)</f>
        <v/>
      </c>
      <c r="V33" s="10" t="n">
        <v>20</v>
      </c>
      <c r="W33" s="10" t="n">
        <v>247</v>
      </c>
      <c r="X33" s="11">
        <f>W33*$E$4</f>
        <v/>
      </c>
      <c r="Y33" s="12">
        <f>IF(X33&gt;0, V33/X33, 0)</f>
        <v/>
      </c>
      <c r="Z33" s="10" t="n">
        <v>0</v>
      </c>
      <c r="AA33" s="10" t="n">
        <v>90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30</v>
      </c>
      <c r="G34" s="10" t="n">
        <v>98</v>
      </c>
      <c r="H34" s="11">
        <f>G34*$E$4</f>
        <v/>
      </c>
      <c r="I34" s="12">
        <f>IF(G34&gt;0, F34/G34, 0)</f>
        <v/>
      </c>
      <c r="J34" s="10" t="n">
        <v>0</v>
      </c>
      <c r="K34" s="10" t="n">
        <v>294</v>
      </c>
      <c r="L34" s="11">
        <f>K34*$E$4</f>
        <v/>
      </c>
      <c r="M34" s="12">
        <f>IF(K34&gt;0, J34/K34, 0)</f>
        <v/>
      </c>
      <c r="N34" s="10" t="n">
        <v>30</v>
      </c>
      <c r="O34" s="10" t="n">
        <v>378</v>
      </c>
      <c r="P34" s="11">
        <f>O34*$E$4</f>
        <v/>
      </c>
      <c r="Q34" s="12">
        <f>IF(O34&gt;0, N34/O34, 0)</f>
        <v/>
      </c>
      <c r="R34" s="10" t="n">
        <v>20</v>
      </c>
      <c r="S34" s="10" t="n">
        <v>0</v>
      </c>
      <c r="T34" s="11">
        <f>S34*$E$4</f>
        <v/>
      </c>
      <c r="U34" s="12">
        <f>IF(S34&gt;0, R34/S34, 0)</f>
        <v/>
      </c>
      <c r="V34" s="10" t="n">
        <v>0</v>
      </c>
      <c r="W34" s="10" t="n">
        <v>406</v>
      </c>
      <c r="X34" s="11">
        <f>W34*$E$4</f>
        <v/>
      </c>
      <c r="Y34" s="12">
        <f>IF(W34&gt;0, V34/W34, 0)</f>
        <v/>
      </c>
      <c r="Z34" s="10" t="n">
        <v>0</v>
      </c>
      <c r="AA34" s="10" t="n">
        <v>0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0</v>
      </c>
      <c r="G35" s="10" t="n">
        <v>90</v>
      </c>
      <c r="H35" s="11">
        <f>G35*$E$4</f>
        <v/>
      </c>
      <c r="I35" s="12">
        <f>IF(H35&gt;0, F35/H35, 0)</f>
        <v/>
      </c>
      <c r="J35" s="10" t="n">
        <v>0</v>
      </c>
      <c r="K35" s="10" t="n">
        <v>0</v>
      </c>
      <c r="L35" s="11">
        <f>K35*$E$4</f>
        <v/>
      </c>
      <c r="M35" s="12">
        <f>IF(L35&gt;0, J35/L35, 0)</f>
        <v/>
      </c>
      <c r="N35" s="10" t="n">
        <v>0</v>
      </c>
      <c r="O35" s="10" t="n">
        <v>0</v>
      </c>
      <c r="P35" s="11">
        <f>O35*$E$4</f>
        <v/>
      </c>
      <c r="Q35" s="12">
        <f>IF(P35&gt;0, N35/P35, 0)</f>
        <v/>
      </c>
      <c r="R35" s="10" t="n">
        <v>0</v>
      </c>
      <c r="S35" s="10" t="n">
        <v>120</v>
      </c>
      <c r="T35" s="11">
        <f>S35*$E$4</f>
        <v/>
      </c>
      <c r="U35" s="12">
        <f>IF(T35&gt;0, R35/T35, 0)</f>
        <v/>
      </c>
      <c r="V35" s="10" t="n">
        <v>0</v>
      </c>
      <c r="W35" s="10" t="n">
        <v>247</v>
      </c>
      <c r="X35" s="11">
        <f>W35*$E$4</f>
        <v/>
      </c>
      <c r="Y35" s="12">
        <f>IF(X35&gt;0, V35/X35, 0)</f>
        <v/>
      </c>
      <c r="Z35" s="10" t="n">
        <v>0</v>
      </c>
      <c r="AA35" s="10" t="n">
        <v>90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20</v>
      </c>
      <c r="S38" s="10" t="n">
        <v>0</v>
      </c>
      <c r="T38" s="11">
        <f>S38*$E$4</f>
        <v/>
      </c>
      <c r="U38" s="12" t="n">
        <v>0</v>
      </c>
      <c r="V38" s="10" t="n">
        <v>20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25)</t>
        </is>
      </c>
    </row>
    <row r="2" ht="18" customHeight="1">
      <c r="A2" s="2" t="inlineStr">
        <is>
          <t>OBRA: CARRETERA LIBRE MÉXICO-TOLUCA | PERIODO: 15/Jun/2026 - 20/Jun/2026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71</v>
      </c>
      <c r="D5" t="inlineStr">
        <is>
          <t>Volumen Fresado (m³):</t>
        </is>
      </c>
      <c r="E5" s="20" t="n">
        <v>994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69</v>
      </c>
      <c r="D6" t="inlineStr">
        <is>
          <t>Volumen Carpeta (m³):</t>
        </is>
      </c>
      <c r="E6" s="20" t="n">
        <v>960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1200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561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172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33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224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88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320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150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25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25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400</v>
      </c>
      <c r="G27" s="10" t="n">
        <v>238</v>
      </c>
      <c r="H27" s="11">
        <f>G27*$E$4</f>
        <v/>
      </c>
      <c r="I27" s="12">
        <f>IF(G27&gt;0, F27/G27, 0)</f>
        <v/>
      </c>
      <c r="J27" s="10" t="n">
        <v>400</v>
      </c>
      <c r="K27" s="10" t="n">
        <v>196</v>
      </c>
      <c r="L27" s="11">
        <f>K27*$E$4</f>
        <v/>
      </c>
      <c r="M27" s="12">
        <f>IF(K27&gt;0, J27/K27, 0)</f>
        <v/>
      </c>
      <c r="N27" s="10" t="n">
        <v>200</v>
      </c>
      <c r="O27" s="10" t="n">
        <v>280</v>
      </c>
      <c r="P27" s="11">
        <f>O27*$E$4</f>
        <v/>
      </c>
      <c r="Q27" s="12">
        <f>IF(O27&gt;0, N27/O27, 0)</f>
        <v/>
      </c>
      <c r="R27" s="10" t="n">
        <v>200</v>
      </c>
      <c r="S27" s="10" t="n">
        <v>252</v>
      </c>
      <c r="T27" s="11">
        <f>S27*$E$4</f>
        <v/>
      </c>
      <c r="U27" s="12">
        <f>IF(S27&gt;0, R27/S27, 0)</f>
        <v/>
      </c>
      <c r="V27" s="10" t="n">
        <v>0</v>
      </c>
      <c r="W27" s="10" t="n">
        <v>0</v>
      </c>
      <c r="X27" s="11">
        <f>W27*$E$4</f>
        <v/>
      </c>
      <c r="Y27" s="12">
        <f>IF(W27&gt;0, V27/W27, 0)</f>
        <v/>
      </c>
      <c r="Z27" s="10" t="n">
        <v>0</v>
      </c>
      <c r="AA27" s="10" t="n">
        <v>0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99</v>
      </c>
      <c r="G28" s="10" t="n">
        <v>168</v>
      </c>
      <c r="H28" s="11">
        <f>G28*$E$4</f>
        <v/>
      </c>
      <c r="I28" s="12">
        <f>IF(H28&gt;0, F28/H28, 0)</f>
        <v/>
      </c>
      <c r="J28" s="10" t="n">
        <v>107</v>
      </c>
      <c r="K28" s="10" t="n">
        <v>238</v>
      </c>
      <c r="L28" s="11">
        <f>K28*$E$4</f>
        <v/>
      </c>
      <c r="M28" s="12">
        <f>IF(L28&gt;0, J28/L28, 0)</f>
        <v/>
      </c>
      <c r="N28" s="10" t="n">
        <v>120</v>
      </c>
      <c r="O28" s="10" t="n">
        <v>168</v>
      </c>
      <c r="P28" s="11">
        <f>O28*$E$4</f>
        <v/>
      </c>
      <c r="Q28" s="12">
        <f>IF(P28&gt;0, N28/P28, 0)</f>
        <v/>
      </c>
      <c r="R28" s="10" t="n">
        <v>115</v>
      </c>
      <c r="S28" s="10" t="n">
        <v>196</v>
      </c>
      <c r="T28" s="11">
        <f>S28*$E$4</f>
        <v/>
      </c>
      <c r="U28" s="12">
        <f>IF(T28&gt;0, R28/T28, 0)</f>
        <v/>
      </c>
      <c r="V28" s="10" t="n">
        <v>120</v>
      </c>
      <c r="W28" s="10" t="n">
        <v>196</v>
      </c>
      <c r="X28" s="11">
        <f>W28*$E$4</f>
        <v/>
      </c>
      <c r="Y28" s="12">
        <f>IF(X28&gt;0, V28/X28, 0)</f>
        <v/>
      </c>
      <c r="Z28" s="10" t="n">
        <v>0</v>
      </c>
      <c r="AA28" s="10" t="n">
        <v>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0</v>
      </c>
      <c r="G29" s="10" t="n">
        <v>168</v>
      </c>
      <c r="H29" s="11">
        <f>G29*$E$4</f>
        <v/>
      </c>
      <c r="I29" s="12">
        <f>IF(H29&gt;0, F29/H29, 0)</f>
        <v/>
      </c>
      <c r="J29" s="10" t="n">
        <v>0</v>
      </c>
      <c r="K29" s="10" t="n">
        <v>238</v>
      </c>
      <c r="L29" s="11">
        <f>K29*$E$4</f>
        <v/>
      </c>
      <c r="M29" s="12">
        <f>IF(L29&gt;0, J29/L29, 0)</f>
        <v/>
      </c>
      <c r="N29" s="10" t="n">
        <v>0</v>
      </c>
      <c r="O29" s="10" t="n">
        <v>168</v>
      </c>
      <c r="P29" s="11">
        <f>O29*$E$4</f>
        <v/>
      </c>
      <c r="Q29" s="12">
        <f>IF(P29&gt;0, N29/P29, 0)</f>
        <v/>
      </c>
      <c r="R29" s="10" t="n">
        <v>0</v>
      </c>
      <c r="S29" s="10" t="n">
        <v>196</v>
      </c>
      <c r="T29" s="11">
        <f>S29*$E$4</f>
        <v/>
      </c>
      <c r="U29" s="12">
        <f>IF(T29&gt;0, R29/T29, 0)</f>
        <v/>
      </c>
      <c r="V29" s="10" t="n">
        <v>0</v>
      </c>
      <c r="W29" s="10" t="n">
        <v>196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33</v>
      </c>
      <c r="G30" s="10" t="n">
        <v>168</v>
      </c>
      <c r="H30" s="11">
        <f>G30*$E$4</f>
        <v/>
      </c>
      <c r="I30" s="12">
        <f>IF(H30&gt;0, F30/H30, 0)</f>
        <v/>
      </c>
      <c r="J30" s="10" t="n">
        <v>0</v>
      </c>
      <c r="K30" s="10" t="n">
        <v>238</v>
      </c>
      <c r="L30" s="11">
        <f>K30*$E$4</f>
        <v/>
      </c>
      <c r="M30" s="12">
        <f>IF(L30&gt;0, J30/L30, 0)</f>
        <v/>
      </c>
      <c r="N30" s="10" t="n">
        <v>0</v>
      </c>
      <c r="O30" s="10" t="n">
        <v>168</v>
      </c>
      <c r="P30" s="11">
        <f>O30*$E$4</f>
        <v/>
      </c>
      <c r="Q30" s="12">
        <f>IF(P30&gt;0, N30/P30, 0)</f>
        <v/>
      </c>
      <c r="R30" s="10" t="n">
        <v>0</v>
      </c>
      <c r="S30" s="10" t="n">
        <v>196</v>
      </c>
      <c r="T30" s="11">
        <f>S30*$E$4</f>
        <v/>
      </c>
      <c r="U30" s="12">
        <f>IF(T30&gt;0, R30/T30, 0)</f>
        <v/>
      </c>
      <c r="V30" s="10" t="n">
        <v>0</v>
      </c>
      <c r="W30" s="10" t="n">
        <v>196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50</v>
      </c>
      <c r="G31" s="10" t="n">
        <v>168</v>
      </c>
      <c r="H31" s="11">
        <f>G31*$E$4</f>
        <v/>
      </c>
      <c r="I31" s="12">
        <f>IF(H31&gt;0, F31/H31, 0)</f>
        <v/>
      </c>
      <c r="J31" s="10" t="n">
        <v>30</v>
      </c>
      <c r="K31" s="10" t="n">
        <v>238</v>
      </c>
      <c r="L31" s="11">
        <f>K31*$E$4</f>
        <v/>
      </c>
      <c r="M31" s="12">
        <f>IF(L31&gt;0, J31/L31, 0)</f>
        <v/>
      </c>
      <c r="N31" s="10" t="n">
        <v>30</v>
      </c>
      <c r="O31" s="10" t="n">
        <v>168</v>
      </c>
      <c r="P31" s="11">
        <f>O31*$E$4</f>
        <v/>
      </c>
      <c r="Q31" s="12">
        <f>IF(P31&gt;0, N31/P31, 0)</f>
        <v/>
      </c>
      <c r="R31" s="10" t="n">
        <v>30</v>
      </c>
      <c r="S31" s="10" t="n">
        <v>196</v>
      </c>
      <c r="T31" s="11">
        <f>S31*$E$4</f>
        <v/>
      </c>
      <c r="U31" s="12">
        <f>IF(T31&gt;0, R31/T31, 0)</f>
        <v/>
      </c>
      <c r="V31" s="10" t="n">
        <v>84</v>
      </c>
      <c r="W31" s="10" t="n">
        <v>196</v>
      </c>
      <c r="X31" s="11">
        <f>W31*$E$4</f>
        <v/>
      </c>
      <c r="Y31" s="12">
        <f>IF(X31&gt;0, V31/X31, 0)</f>
        <v/>
      </c>
      <c r="Z31" s="10" t="n">
        <v>0</v>
      </c>
      <c r="AA31" s="10" t="n">
        <v>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168</v>
      </c>
      <c r="H32" s="11">
        <f>G32*$E$4</f>
        <v/>
      </c>
      <c r="I32" s="12">
        <f>IF(H32&gt;0, F32/H32, 0)</f>
        <v/>
      </c>
      <c r="J32" s="10" t="n">
        <v>0</v>
      </c>
      <c r="K32" s="10" t="n">
        <v>238</v>
      </c>
      <c r="L32" s="11">
        <f>K32*$E$4</f>
        <v/>
      </c>
      <c r="M32" s="12">
        <f>IF(L32&gt;0, J32/L32, 0)</f>
        <v/>
      </c>
      <c r="N32" s="10" t="n">
        <v>0</v>
      </c>
      <c r="O32" s="10" t="n">
        <v>168</v>
      </c>
      <c r="P32" s="11">
        <f>O32*$E$4</f>
        <v/>
      </c>
      <c r="Q32" s="12">
        <f>IF(P32&gt;0, N32/P32, 0)</f>
        <v/>
      </c>
      <c r="R32" s="10" t="n">
        <v>0</v>
      </c>
      <c r="S32" s="10" t="n">
        <v>196</v>
      </c>
      <c r="T32" s="11">
        <f>S32*$E$4</f>
        <v/>
      </c>
      <c r="U32" s="12">
        <f>IF(T32&gt;0, R32/T32, 0)</f>
        <v/>
      </c>
      <c r="V32" s="10" t="n">
        <v>0</v>
      </c>
      <c r="W32" s="10" t="n">
        <v>196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168</v>
      </c>
      <c r="H33" s="11">
        <f>G33*$E$4</f>
        <v/>
      </c>
      <c r="I33" s="12">
        <f>IF(H33&gt;0, F33/H33, 0)</f>
        <v/>
      </c>
      <c r="J33" s="10" t="n">
        <v>30</v>
      </c>
      <c r="K33" s="10" t="n">
        <v>238</v>
      </c>
      <c r="L33" s="11">
        <f>K33*$E$4</f>
        <v/>
      </c>
      <c r="M33" s="12">
        <f>IF(L33&gt;0, J33/L33, 0)</f>
        <v/>
      </c>
      <c r="N33" s="10" t="n">
        <v>28</v>
      </c>
      <c r="O33" s="10" t="n">
        <v>168</v>
      </c>
      <c r="P33" s="11">
        <f>O33*$E$4</f>
        <v/>
      </c>
      <c r="Q33" s="12">
        <f>IF(P33&gt;0, N33/P33, 0)</f>
        <v/>
      </c>
      <c r="R33" s="10" t="n">
        <v>0</v>
      </c>
      <c r="S33" s="10" t="n">
        <v>196</v>
      </c>
      <c r="T33" s="11">
        <f>S33*$E$4</f>
        <v/>
      </c>
      <c r="U33" s="12">
        <f>IF(T33&gt;0, R33/T33, 0)</f>
        <v/>
      </c>
      <c r="V33" s="10" t="n">
        <v>30</v>
      </c>
      <c r="W33" s="10" t="n">
        <v>196</v>
      </c>
      <c r="X33" s="11">
        <f>W33*$E$4</f>
        <v/>
      </c>
      <c r="Y33" s="12">
        <f>IF(X33&gt;0, V33/X33, 0)</f>
        <v/>
      </c>
      <c r="Z33" s="10" t="n">
        <v>0</v>
      </c>
      <c r="AA33" s="10" t="n">
        <v>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40</v>
      </c>
      <c r="G34" s="10" t="n">
        <v>238</v>
      </c>
      <c r="H34" s="11">
        <f>G34*$E$4</f>
        <v/>
      </c>
      <c r="I34" s="12">
        <f>IF(G34&gt;0, F34/G34, 0)</f>
        <v/>
      </c>
      <c r="J34" s="10" t="n">
        <v>40</v>
      </c>
      <c r="K34" s="10" t="n">
        <v>196</v>
      </c>
      <c r="L34" s="11">
        <f>K34*$E$4</f>
        <v/>
      </c>
      <c r="M34" s="12">
        <f>IF(K34&gt;0, J34/K34, 0)</f>
        <v/>
      </c>
      <c r="N34" s="10" t="n">
        <v>60</v>
      </c>
      <c r="O34" s="10" t="n">
        <v>280</v>
      </c>
      <c r="P34" s="11">
        <f>O34*$E$4</f>
        <v/>
      </c>
      <c r="Q34" s="12">
        <f>IF(O34&gt;0, N34/O34, 0)</f>
        <v/>
      </c>
      <c r="R34" s="10" t="n">
        <v>30</v>
      </c>
      <c r="S34" s="10" t="n">
        <v>252</v>
      </c>
      <c r="T34" s="11">
        <f>S34*$E$4</f>
        <v/>
      </c>
      <c r="U34" s="12">
        <f>IF(S34&gt;0, R34/S34, 0)</f>
        <v/>
      </c>
      <c r="V34" s="10" t="n">
        <v>150</v>
      </c>
      <c r="W34" s="10" t="n">
        <v>0</v>
      </c>
      <c r="X34" s="11">
        <f>W34*$E$4</f>
        <v/>
      </c>
      <c r="Y34" s="12">
        <f>IF(W34&gt;0, V34/W34, 0)</f>
        <v/>
      </c>
      <c r="Z34" s="10" t="n">
        <v>0</v>
      </c>
      <c r="AA34" s="10" t="n">
        <v>0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50</v>
      </c>
      <c r="G35" s="10" t="n">
        <v>168</v>
      </c>
      <c r="H35" s="11">
        <f>G35*$E$4</f>
        <v/>
      </c>
      <c r="I35" s="12">
        <f>IF(H35&gt;0, F35/H35, 0)</f>
        <v/>
      </c>
      <c r="J35" s="10" t="n">
        <v>50</v>
      </c>
      <c r="K35" s="10" t="n">
        <v>238</v>
      </c>
      <c r="L35" s="11">
        <f>K35*$E$4</f>
        <v/>
      </c>
      <c r="M35" s="12">
        <f>IF(L35&gt;0, J35/L35, 0)</f>
        <v/>
      </c>
      <c r="N35" s="10" t="n">
        <v>0</v>
      </c>
      <c r="O35" s="10" t="n">
        <v>168</v>
      </c>
      <c r="P35" s="11">
        <f>O35*$E$4</f>
        <v/>
      </c>
      <c r="Q35" s="12">
        <f>IF(P35&gt;0, N35/P35, 0)</f>
        <v/>
      </c>
      <c r="R35" s="10" t="n">
        <v>50</v>
      </c>
      <c r="S35" s="10" t="n">
        <v>196</v>
      </c>
      <c r="T35" s="11">
        <f>S35*$E$4</f>
        <v/>
      </c>
      <c r="U35" s="12">
        <f>IF(T35&gt;0, R35/T35, 0)</f>
        <v/>
      </c>
      <c r="V35" s="10" t="n">
        <v>0</v>
      </c>
      <c r="W35" s="10" t="n">
        <v>196</v>
      </c>
      <c r="X35" s="11">
        <f>W35*$E$4</f>
        <v/>
      </c>
      <c r="Y35" s="12">
        <f>IF(X35&gt;0, V35/X35, 0)</f>
        <v/>
      </c>
      <c r="Z35" s="10" t="n">
        <v>0</v>
      </c>
      <c r="AA35" s="10" t="n">
        <v>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26)</t>
        </is>
      </c>
    </row>
    <row r="2" ht="18" customHeight="1">
      <c r="A2" s="2" t="inlineStr">
        <is>
          <t>OBRA: CARRETERA LIBRE MÉXICO-TOLUCA | PERIODO: 22/Jun/2026 - 27/Jun/2026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76</v>
      </c>
      <c r="D5" t="inlineStr">
        <is>
          <t>Volumen Fresado (m³):</t>
        </is>
      </c>
      <c r="E5" s="20" t="n">
        <v>1029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41</v>
      </c>
      <c r="D6" t="inlineStr">
        <is>
          <t>Volumen Carpeta (m³):</t>
        </is>
      </c>
      <c r="E6" s="20" t="n">
        <v>583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1393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322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117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190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324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50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258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100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50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26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26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250</v>
      </c>
      <c r="G27" s="10" t="n">
        <v>154</v>
      </c>
      <c r="H27" s="11">
        <f>G27*$E$4</f>
        <v/>
      </c>
      <c r="I27" s="12">
        <f>IF(G27&gt;0, F27/G27, 0)</f>
        <v/>
      </c>
      <c r="J27" s="10" t="n">
        <v>296</v>
      </c>
      <c r="K27" s="10" t="n">
        <v>0</v>
      </c>
      <c r="L27" s="11">
        <f>K27*$E$4</f>
        <v/>
      </c>
      <c r="M27" s="12">
        <f>IF(K27&gt;0, J27/K27, 0)</f>
        <v/>
      </c>
      <c r="N27" s="10" t="n">
        <v>200</v>
      </c>
      <c r="O27" s="10" t="n">
        <v>266</v>
      </c>
      <c r="P27" s="11">
        <f>O27*$E$4</f>
        <v/>
      </c>
      <c r="Q27" s="12">
        <f>IF(O27&gt;0, N27/O27, 0)</f>
        <v/>
      </c>
      <c r="R27" s="10" t="n">
        <v>0</v>
      </c>
      <c r="S27" s="10" t="n">
        <v>70</v>
      </c>
      <c r="T27" s="11">
        <f>S27*$E$4</f>
        <v/>
      </c>
      <c r="U27" s="12">
        <f>IF(S27&gt;0, R27/S27, 0)</f>
        <v/>
      </c>
      <c r="V27" s="10" t="n">
        <v>529</v>
      </c>
      <c r="W27" s="10" t="n">
        <v>210</v>
      </c>
      <c r="X27" s="11">
        <f>W27*$E$4</f>
        <v/>
      </c>
      <c r="Y27" s="12">
        <f>IF(W27&gt;0, V27/W27, 0)</f>
        <v/>
      </c>
      <c r="Z27" s="10" t="n">
        <v>118</v>
      </c>
      <c r="AA27" s="10" t="n">
        <v>294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106</v>
      </c>
      <c r="G28" s="10" t="n">
        <v>112</v>
      </c>
      <c r="H28" s="11">
        <f>G28*$E$4</f>
        <v/>
      </c>
      <c r="I28" s="12">
        <f>IF(H28&gt;0, F28/H28, 0)</f>
        <v/>
      </c>
      <c r="J28" s="10" t="n">
        <v>20</v>
      </c>
      <c r="K28" s="10" t="n">
        <v>196</v>
      </c>
      <c r="L28" s="11">
        <f>K28*$E$4</f>
        <v/>
      </c>
      <c r="M28" s="12">
        <f>IF(L28&gt;0, J28/L28, 0)</f>
        <v/>
      </c>
      <c r="N28" s="10" t="n">
        <v>76</v>
      </c>
      <c r="O28" s="10" t="n">
        <v>0</v>
      </c>
      <c r="P28" s="11">
        <f>O28*$E$4</f>
        <v/>
      </c>
      <c r="Q28" s="12">
        <f>IF(P28&gt;0, N28/P28, 0)</f>
        <v/>
      </c>
      <c r="R28" s="10" t="n">
        <v>0</v>
      </c>
      <c r="S28" s="10" t="n">
        <v>135</v>
      </c>
      <c r="T28" s="11">
        <f>S28*$E$4</f>
        <v/>
      </c>
      <c r="U28" s="12">
        <f>IF(T28&gt;0, R28/T28, 0)</f>
        <v/>
      </c>
      <c r="V28" s="10" t="n">
        <v>120</v>
      </c>
      <c r="W28" s="10" t="n">
        <v>140</v>
      </c>
      <c r="X28" s="11">
        <f>W28*$E$4</f>
        <v/>
      </c>
      <c r="Y28" s="12">
        <f>IF(X28&gt;0, V28/X28, 0)</f>
        <v/>
      </c>
      <c r="Z28" s="10" t="n">
        <v>0</v>
      </c>
      <c r="AA28" s="10" t="n">
        <v>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50</v>
      </c>
      <c r="G29" s="10" t="n">
        <v>112</v>
      </c>
      <c r="H29" s="11">
        <f>G29*$E$4</f>
        <v/>
      </c>
      <c r="I29" s="12">
        <f>IF(H29&gt;0, F29/H29, 0)</f>
        <v/>
      </c>
      <c r="J29" s="10" t="n">
        <v>0</v>
      </c>
      <c r="K29" s="10" t="n">
        <v>196</v>
      </c>
      <c r="L29" s="11">
        <f>K29*$E$4</f>
        <v/>
      </c>
      <c r="M29" s="12">
        <f>IF(L29&gt;0, J29/L29, 0)</f>
        <v/>
      </c>
      <c r="N29" s="10" t="n">
        <v>35</v>
      </c>
      <c r="O29" s="10" t="n">
        <v>0</v>
      </c>
      <c r="P29" s="11">
        <f>O29*$E$4</f>
        <v/>
      </c>
      <c r="Q29" s="12">
        <f>IF(P29&gt;0, N29/P29, 0)</f>
        <v/>
      </c>
      <c r="R29" s="10" t="n">
        <v>0</v>
      </c>
      <c r="S29" s="10" t="n">
        <v>135</v>
      </c>
      <c r="T29" s="11">
        <f>S29*$E$4</f>
        <v/>
      </c>
      <c r="U29" s="12">
        <f>IF(T29&gt;0, R29/T29, 0)</f>
        <v/>
      </c>
      <c r="V29" s="10" t="n">
        <v>32</v>
      </c>
      <c r="W29" s="10" t="n">
        <v>140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0</v>
      </c>
      <c r="G30" s="10" t="n">
        <v>112</v>
      </c>
      <c r="H30" s="11">
        <f>G30*$E$4</f>
        <v/>
      </c>
      <c r="I30" s="12">
        <f>IF(H30&gt;0, F30/H30, 0)</f>
        <v/>
      </c>
      <c r="J30" s="10" t="n">
        <v>0</v>
      </c>
      <c r="K30" s="10" t="n">
        <v>196</v>
      </c>
      <c r="L30" s="11">
        <f>K30*$E$4</f>
        <v/>
      </c>
      <c r="M30" s="12">
        <f>IF(L30&gt;0, J30/L30, 0)</f>
        <v/>
      </c>
      <c r="N30" s="10" t="n">
        <v>40</v>
      </c>
      <c r="O30" s="10" t="n">
        <v>0</v>
      </c>
      <c r="P30" s="11">
        <f>O30*$E$4</f>
        <v/>
      </c>
      <c r="Q30" s="12">
        <f>IF(P30&gt;0, N30/P30, 0)</f>
        <v/>
      </c>
      <c r="R30" s="10" t="n">
        <v>30</v>
      </c>
      <c r="S30" s="10" t="n">
        <v>135</v>
      </c>
      <c r="T30" s="11">
        <f>S30*$E$4</f>
        <v/>
      </c>
      <c r="U30" s="12">
        <f>IF(T30&gt;0, R30/T30, 0)</f>
        <v/>
      </c>
      <c r="V30" s="10" t="n">
        <v>120</v>
      </c>
      <c r="W30" s="10" t="n">
        <v>140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50</v>
      </c>
      <c r="G31" s="10" t="n">
        <v>112</v>
      </c>
      <c r="H31" s="11">
        <f>G31*$E$4</f>
        <v/>
      </c>
      <c r="I31" s="12">
        <f>IF(H31&gt;0, F31/H31, 0)</f>
        <v/>
      </c>
      <c r="J31" s="10" t="n">
        <v>50</v>
      </c>
      <c r="K31" s="10" t="n">
        <v>196</v>
      </c>
      <c r="L31" s="11">
        <f>K31*$E$4</f>
        <v/>
      </c>
      <c r="M31" s="12">
        <f>IF(L31&gt;0, J31/L31, 0)</f>
        <v/>
      </c>
      <c r="N31" s="10" t="n">
        <v>80</v>
      </c>
      <c r="O31" s="10" t="n">
        <v>0</v>
      </c>
      <c r="P31" s="11">
        <f>O31*$E$4</f>
        <v/>
      </c>
      <c r="Q31" s="12">
        <f>IF(P31&gt;0, N31/P31, 0)</f>
        <v/>
      </c>
      <c r="R31" s="10" t="n">
        <v>44</v>
      </c>
      <c r="S31" s="10" t="n">
        <v>135</v>
      </c>
      <c r="T31" s="11">
        <f>S31*$E$4</f>
        <v/>
      </c>
      <c r="U31" s="12">
        <f>IF(T31&gt;0, R31/T31, 0)</f>
        <v/>
      </c>
      <c r="V31" s="10" t="n">
        <v>70</v>
      </c>
      <c r="W31" s="10" t="n">
        <v>140</v>
      </c>
      <c r="X31" s="11">
        <f>W31*$E$4</f>
        <v/>
      </c>
      <c r="Y31" s="12">
        <f>IF(X31&gt;0, V31/X31, 0)</f>
        <v/>
      </c>
      <c r="Z31" s="10" t="n">
        <v>30</v>
      </c>
      <c r="AA31" s="10" t="n">
        <v>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112</v>
      </c>
      <c r="H32" s="11">
        <f>G32*$E$4</f>
        <v/>
      </c>
      <c r="I32" s="12">
        <f>IF(H32&gt;0, F32/H32, 0)</f>
        <v/>
      </c>
      <c r="J32" s="10" t="n">
        <v>0</v>
      </c>
      <c r="K32" s="10" t="n">
        <v>196</v>
      </c>
      <c r="L32" s="11">
        <f>K32*$E$4</f>
        <v/>
      </c>
      <c r="M32" s="12">
        <f>IF(L32&gt;0, J32/L32, 0)</f>
        <v/>
      </c>
      <c r="N32" s="10" t="n">
        <v>0</v>
      </c>
      <c r="O32" s="10" t="n">
        <v>0</v>
      </c>
      <c r="P32" s="11">
        <f>O32*$E$4</f>
        <v/>
      </c>
      <c r="Q32" s="12">
        <f>IF(P32&gt;0, N32/P32, 0)</f>
        <v/>
      </c>
      <c r="R32" s="10" t="n">
        <v>0</v>
      </c>
      <c r="S32" s="10" t="n">
        <v>135</v>
      </c>
      <c r="T32" s="11">
        <f>S32*$E$4</f>
        <v/>
      </c>
      <c r="U32" s="12">
        <f>IF(T32&gt;0, R32/T32, 0)</f>
        <v/>
      </c>
      <c r="V32" s="10" t="n">
        <v>0</v>
      </c>
      <c r="W32" s="10" t="n">
        <v>140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112</v>
      </c>
      <c r="H33" s="11">
        <f>G33*$E$4</f>
        <v/>
      </c>
      <c r="I33" s="12">
        <f>IF(H33&gt;0, F33/H33, 0)</f>
        <v/>
      </c>
      <c r="J33" s="10" t="n">
        <v>0</v>
      </c>
      <c r="K33" s="10" t="n">
        <v>196</v>
      </c>
      <c r="L33" s="11">
        <f>K33*$E$4</f>
        <v/>
      </c>
      <c r="M33" s="12">
        <f>IF(L33&gt;0, J33/L33, 0)</f>
        <v/>
      </c>
      <c r="N33" s="10" t="n">
        <v>0</v>
      </c>
      <c r="O33" s="10" t="n">
        <v>0</v>
      </c>
      <c r="P33" s="11">
        <f>O33*$E$4</f>
        <v/>
      </c>
      <c r="Q33" s="12">
        <f>IF(P33&gt;0, N33/P33, 0)</f>
        <v/>
      </c>
      <c r="R33" s="10" t="n">
        <v>26</v>
      </c>
      <c r="S33" s="10" t="n">
        <v>135</v>
      </c>
      <c r="T33" s="11">
        <f>S33*$E$4</f>
        <v/>
      </c>
      <c r="U33" s="12">
        <f>IF(T33&gt;0, R33/T33, 0)</f>
        <v/>
      </c>
      <c r="V33" s="10" t="n">
        <v>0</v>
      </c>
      <c r="W33" s="10" t="n">
        <v>140</v>
      </c>
      <c r="X33" s="11">
        <f>W33*$E$4</f>
        <v/>
      </c>
      <c r="Y33" s="12">
        <f>IF(X33&gt;0, V33/X33, 0)</f>
        <v/>
      </c>
      <c r="Z33" s="10" t="n">
        <v>24</v>
      </c>
      <c r="AA33" s="10" t="n">
        <v>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50</v>
      </c>
      <c r="G34" s="10" t="n">
        <v>154</v>
      </c>
      <c r="H34" s="11">
        <f>G34*$E$4</f>
        <v/>
      </c>
      <c r="I34" s="12">
        <f>IF(G34&gt;0, F34/G34, 0)</f>
        <v/>
      </c>
      <c r="J34" s="10" t="n">
        <v>0</v>
      </c>
      <c r="K34" s="10" t="n">
        <v>0</v>
      </c>
      <c r="L34" s="11">
        <f>K34*$E$4</f>
        <v/>
      </c>
      <c r="M34" s="12">
        <f>IF(K34&gt;0, J34/K34, 0)</f>
        <v/>
      </c>
      <c r="N34" s="10" t="n">
        <v>40</v>
      </c>
      <c r="O34" s="10" t="n">
        <v>266</v>
      </c>
      <c r="P34" s="11">
        <f>O34*$E$4</f>
        <v/>
      </c>
      <c r="Q34" s="12">
        <f>IF(O34&gt;0, N34/O34, 0)</f>
        <v/>
      </c>
      <c r="R34" s="10" t="n">
        <v>0</v>
      </c>
      <c r="S34" s="10" t="n">
        <v>70</v>
      </c>
      <c r="T34" s="11">
        <f>S34*$E$4</f>
        <v/>
      </c>
      <c r="U34" s="12">
        <f>IF(S34&gt;0, R34/S34, 0)</f>
        <v/>
      </c>
      <c r="V34" s="10" t="n">
        <v>168</v>
      </c>
      <c r="W34" s="10" t="n">
        <v>210</v>
      </c>
      <c r="X34" s="11">
        <f>W34*$E$4</f>
        <v/>
      </c>
      <c r="Y34" s="12">
        <f>IF(W34&gt;0, V34/W34, 0)</f>
        <v/>
      </c>
      <c r="Z34" s="10" t="n">
        <v>0</v>
      </c>
      <c r="AA34" s="10" t="n">
        <v>294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0</v>
      </c>
      <c r="G35" s="10" t="n">
        <v>112</v>
      </c>
      <c r="H35" s="11">
        <f>G35*$E$4</f>
        <v/>
      </c>
      <c r="I35" s="12">
        <f>IF(H35&gt;0, F35/H35, 0)</f>
        <v/>
      </c>
      <c r="J35" s="10" t="n">
        <v>0</v>
      </c>
      <c r="K35" s="10" t="n">
        <v>196</v>
      </c>
      <c r="L35" s="11">
        <f>K35*$E$4</f>
        <v/>
      </c>
      <c r="M35" s="12">
        <f>IF(L35&gt;0, J35/L35, 0)</f>
        <v/>
      </c>
      <c r="N35" s="10" t="n">
        <v>0</v>
      </c>
      <c r="O35" s="10" t="n">
        <v>0</v>
      </c>
      <c r="P35" s="11">
        <f>O35*$E$4</f>
        <v/>
      </c>
      <c r="Q35" s="12">
        <f>IF(P35&gt;0, N35/P35, 0)</f>
        <v/>
      </c>
      <c r="R35" s="10" t="n">
        <v>50</v>
      </c>
      <c r="S35" s="10" t="n">
        <v>135</v>
      </c>
      <c r="T35" s="11">
        <f>S35*$E$4</f>
        <v/>
      </c>
      <c r="U35" s="12">
        <f>IF(T35&gt;0, R35/T35, 0)</f>
        <v/>
      </c>
      <c r="V35" s="10" t="n">
        <v>0</v>
      </c>
      <c r="W35" s="10" t="n">
        <v>140</v>
      </c>
      <c r="X35" s="11">
        <f>W35*$E$4</f>
        <v/>
      </c>
      <c r="Y35" s="12">
        <f>IF(X35&gt;0, V35/X35, 0)</f>
        <v/>
      </c>
      <c r="Z35" s="10" t="n">
        <v>50</v>
      </c>
      <c r="AA35" s="10" t="n">
        <v>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50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27)</t>
        </is>
      </c>
    </row>
    <row r="2" ht="18" customHeight="1">
      <c r="A2" s="2" t="inlineStr">
        <is>
          <t>OBRA: CARRETERA LIBRE MÉXICO-TOLUCA | PERIODO: 29/Jun/2026 - 04/Jul/2026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107</v>
      </c>
      <c r="D5" t="inlineStr">
        <is>
          <t>Volumen Fresado (m³):</t>
        </is>
      </c>
      <c r="E5" s="20" t="n">
        <v>1470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61</v>
      </c>
      <c r="D6" t="inlineStr">
        <is>
          <t>Volumen Carpeta (m³):</t>
        </is>
      </c>
      <c r="E6" s="20" t="n">
        <v>857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1754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599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174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113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260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58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463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306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27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27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97</v>
      </c>
      <c r="G27" s="10" t="n">
        <v>140</v>
      </c>
      <c r="H27" s="11">
        <f>G27*$E$4</f>
        <v/>
      </c>
      <c r="I27" s="12">
        <f>IF(G27&gt;0, F27/G27, 0)</f>
        <v/>
      </c>
      <c r="J27" s="10" t="n">
        <v>500</v>
      </c>
      <c r="K27" s="10" t="n">
        <v>322</v>
      </c>
      <c r="L27" s="11">
        <f>K27*$E$4</f>
        <v/>
      </c>
      <c r="M27" s="12">
        <f>IF(K27&gt;0, J27/K27, 0)</f>
        <v/>
      </c>
      <c r="N27" s="10" t="n">
        <v>250</v>
      </c>
      <c r="O27" s="10" t="n">
        <v>294</v>
      </c>
      <c r="P27" s="11">
        <f>O27*$E$4</f>
        <v/>
      </c>
      <c r="Q27" s="12">
        <f>IF(O27&gt;0, N27/O27, 0)</f>
        <v/>
      </c>
      <c r="R27" s="10" t="n">
        <v>0</v>
      </c>
      <c r="S27" s="10" t="n">
        <v>280</v>
      </c>
      <c r="T27" s="11">
        <f>S27*$E$4</f>
        <v/>
      </c>
      <c r="U27" s="12">
        <f>IF(S27&gt;0, R27/S27, 0)</f>
        <v/>
      </c>
      <c r="V27" s="10" t="n">
        <v>907</v>
      </c>
      <c r="W27" s="10" t="n">
        <v>196</v>
      </c>
      <c r="X27" s="11">
        <f>W27*$E$4</f>
        <v/>
      </c>
      <c r="Y27" s="12">
        <f>IF(W27&gt;0, V27/W27, 0)</f>
        <v/>
      </c>
      <c r="Z27" s="10" t="n">
        <v>0</v>
      </c>
      <c r="AA27" s="10" t="n">
        <v>182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102</v>
      </c>
      <c r="G28" s="10" t="n">
        <v>60</v>
      </c>
      <c r="H28" s="11">
        <f>G28*$E$4</f>
        <v/>
      </c>
      <c r="I28" s="12">
        <f>IF(H28&gt;0, F28/H28, 0)</f>
        <v/>
      </c>
      <c r="J28" s="10" t="n">
        <v>120</v>
      </c>
      <c r="K28" s="10" t="n">
        <v>158</v>
      </c>
      <c r="L28" s="11">
        <f>K28*$E$4</f>
        <v/>
      </c>
      <c r="M28" s="12">
        <f>IF(L28&gt;0, J28/L28, 0)</f>
        <v/>
      </c>
      <c r="N28" s="10" t="n">
        <v>0</v>
      </c>
      <c r="O28" s="10" t="n">
        <v>133</v>
      </c>
      <c r="P28" s="11">
        <f>O28*$E$4</f>
        <v/>
      </c>
      <c r="Q28" s="12">
        <f>IF(P28&gt;0, N28/P28, 0)</f>
        <v/>
      </c>
      <c r="R28" s="10" t="n">
        <v>0</v>
      </c>
      <c r="S28" s="10" t="n">
        <v>210</v>
      </c>
      <c r="T28" s="11">
        <f>S28*$E$4</f>
        <v/>
      </c>
      <c r="U28" s="12">
        <f>IF(T28&gt;0, R28/T28, 0)</f>
        <v/>
      </c>
      <c r="V28" s="10" t="n">
        <v>267</v>
      </c>
      <c r="W28" s="10" t="n">
        <v>168</v>
      </c>
      <c r="X28" s="11">
        <f>W28*$E$4</f>
        <v/>
      </c>
      <c r="Y28" s="12">
        <f>IF(X28&gt;0, V28/X28, 0)</f>
        <v/>
      </c>
      <c r="Z28" s="10" t="n">
        <v>110</v>
      </c>
      <c r="AA28" s="10" t="n">
        <v>126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41</v>
      </c>
      <c r="G29" s="10" t="n">
        <v>60</v>
      </c>
      <c r="H29" s="11">
        <f>G29*$E$4</f>
        <v/>
      </c>
      <c r="I29" s="12">
        <f>IF(H29&gt;0, F29/H29, 0)</f>
        <v/>
      </c>
      <c r="J29" s="10" t="n">
        <v>33</v>
      </c>
      <c r="K29" s="10" t="n">
        <v>158</v>
      </c>
      <c r="L29" s="11">
        <f>K29*$E$4</f>
        <v/>
      </c>
      <c r="M29" s="12">
        <f>IF(L29&gt;0, J29/L29, 0)</f>
        <v/>
      </c>
      <c r="N29" s="10" t="n">
        <v>0</v>
      </c>
      <c r="O29" s="10" t="n">
        <v>133</v>
      </c>
      <c r="P29" s="11">
        <f>O29*$E$4</f>
        <v/>
      </c>
      <c r="Q29" s="12">
        <f>IF(P29&gt;0, N29/P29, 0)</f>
        <v/>
      </c>
      <c r="R29" s="10" t="n">
        <v>50</v>
      </c>
      <c r="S29" s="10" t="n">
        <v>210</v>
      </c>
      <c r="T29" s="11">
        <f>S29*$E$4</f>
        <v/>
      </c>
      <c r="U29" s="12">
        <f>IF(T29&gt;0, R29/T29, 0)</f>
        <v/>
      </c>
      <c r="V29" s="10" t="n">
        <v>50</v>
      </c>
      <c r="W29" s="10" t="n">
        <v>168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126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23</v>
      </c>
      <c r="G30" s="10" t="n">
        <v>60</v>
      </c>
      <c r="H30" s="11">
        <f>G30*$E$4</f>
        <v/>
      </c>
      <c r="I30" s="12">
        <f>IF(H30&gt;0, F30/H30, 0)</f>
        <v/>
      </c>
      <c r="J30" s="10" t="n">
        <v>40</v>
      </c>
      <c r="K30" s="10" t="n">
        <v>158</v>
      </c>
      <c r="L30" s="11">
        <f>K30*$E$4</f>
        <v/>
      </c>
      <c r="M30" s="12">
        <f>IF(L30&gt;0, J30/L30, 0)</f>
        <v/>
      </c>
      <c r="N30" s="10" t="n">
        <v>0</v>
      </c>
      <c r="O30" s="10" t="n">
        <v>133</v>
      </c>
      <c r="P30" s="11">
        <f>O30*$E$4</f>
        <v/>
      </c>
      <c r="Q30" s="12">
        <f>IF(P30&gt;0, N30/P30, 0)</f>
        <v/>
      </c>
      <c r="R30" s="10" t="n">
        <v>0</v>
      </c>
      <c r="S30" s="10" t="n">
        <v>210</v>
      </c>
      <c r="T30" s="11">
        <f>S30*$E$4</f>
        <v/>
      </c>
      <c r="U30" s="12">
        <f>IF(T30&gt;0, R30/T30, 0)</f>
        <v/>
      </c>
      <c r="V30" s="10" t="n">
        <v>50</v>
      </c>
      <c r="W30" s="10" t="n">
        <v>168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126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0</v>
      </c>
      <c r="G31" s="10" t="n">
        <v>60</v>
      </c>
      <c r="H31" s="11">
        <f>G31*$E$4</f>
        <v/>
      </c>
      <c r="I31" s="12">
        <f>IF(H31&gt;0, F31/H31, 0)</f>
        <v/>
      </c>
      <c r="J31" s="10" t="n">
        <v>80</v>
      </c>
      <c r="K31" s="10" t="n">
        <v>158</v>
      </c>
      <c r="L31" s="11">
        <f>K31*$E$4</f>
        <v/>
      </c>
      <c r="M31" s="12">
        <f>IF(L31&gt;0, J31/L31, 0)</f>
        <v/>
      </c>
      <c r="N31" s="10" t="n">
        <v>0</v>
      </c>
      <c r="O31" s="10" t="n">
        <v>133</v>
      </c>
      <c r="P31" s="11">
        <f>O31*$E$4</f>
        <v/>
      </c>
      <c r="Q31" s="12">
        <f>IF(P31&gt;0, N31/P31, 0)</f>
        <v/>
      </c>
      <c r="R31" s="10" t="n">
        <v>59</v>
      </c>
      <c r="S31" s="10" t="n">
        <v>210</v>
      </c>
      <c r="T31" s="11">
        <f>S31*$E$4</f>
        <v/>
      </c>
      <c r="U31" s="12">
        <f>IF(T31&gt;0, R31/T31, 0)</f>
        <v/>
      </c>
      <c r="V31" s="10" t="n">
        <v>40</v>
      </c>
      <c r="W31" s="10" t="n">
        <v>168</v>
      </c>
      <c r="X31" s="11">
        <f>W31*$E$4</f>
        <v/>
      </c>
      <c r="Y31" s="12">
        <f>IF(X31&gt;0, V31/X31, 0)</f>
        <v/>
      </c>
      <c r="Z31" s="10" t="n">
        <v>81</v>
      </c>
      <c r="AA31" s="10" t="n">
        <v>126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60</v>
      </c>
      <c r="H32" s="11">
        <f>G32*$E$4</f>
        <v/>
      </c>
      <c r="I32" s="12">
        <f>IF(H32&gt;0, F32/H32, 0)</f>
        <v/>
      </c>
      <c r="J32" s="10" t="n">
        <v>0</v>
      </c>
      <c r="K32" s="10" t="n">
        <v>158</v>
      </c>
      <c r="L32" s="11">
        <f>K32*$E$4</f>
        <v/>
      </c>
      <c r="M32" s="12">
        <f>IF(L32&gt;0, J32/L32, 0)</f>
        <v/>
      </c>
      <c r="N32" s="10" t="n">
        <v>0</v>
      </c>
      <c r="O32" s="10" t="n">
        <v>133</v>
      </c>
      <c r="P32" s="11">
        <f>O32*$E$4</f>
        <v/>
      </c>
      <c r="Q32" s="12">
        <f>IF(P32&gt;0, N32/P32, 0)</f>
        <v/>
      </c>
      <c r="R32" s="10" t="n">
        <v>0</v>
      </c>
      <c r="S32" s="10" t="n">
        <v>210</v>
      </c>
      <c r="T32" s="11">
        <f>S32*$E$4</f>
        <v/>
      </c>
      <c r="U32" s="12">
        <f>IF(T32&gt;0, R32/T32, 0)</f>
        <v/>
      </c>
      <c r="V32" s="10" t="n">
        <v>0</v>
      </c>
      <c r="W32" s="10" t="n">
        <v>168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126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60</v>
      </c>
      <c r="H33" s="11">
        <f>G33*$E$4</f>
        <v/>
      </c>
      <c r="I33" s="12">
        <f>IF(H33&gt;0, F33/H33, 0)</f>
        <v/>
      </c>
      <c r="J33" s="10" t="n">
        <v>30</v>
      </c>
      <c r="K33" s="10" t="n">
        <v>158</v>
      </c>
      <c r="L33" s="11">
        <f>K33*$E$4</f>
        <v/>
      </c>
      <c r="M33" s="12">
        <f>IF(L33&gt;0, J33/L33, 0)</f>
        <v/>
      </c>
      <c r="N33" s="10" t="n">
        <v>0</v>
      </c>
      <c r="O33" s="10" t="n">
        <v>133</v>
      </c>
      <c r="P33" s="11">
        <f>O33*$E$4</f>
        <v/>
      </c>
      <c r="Q33" s="12">
        <f>IF(P33&gt;0, N33/P33, 0)</f>
        <v/>
      </c>
      <c r="R33" s="10" t="n">
        <v>0</v>
      </c>
      <c r="S33" s="10" t="n">
        <v>210</v>
      </c>
      <c r="T33" s="11">
        <f>S33*$E$4</f>
        <v/>
      </c>
      <c r="U33" s="12">
        <f>IF(T33&gt;0, R33/T33, 0)</f>
        <v/>
      </c>
      <c r="V33" s="10" t="n">
        <v>28</v>
      </c>
      <c r="W33" s="10" t="n">
        <v>168</v>
      </c>
      <c r="X33" s="11">
        <f>W33*$E$4</f>
        <v/>
      </c>
      <c r="Y33" s="12">
        <f>IF(X33&gt;0, V33/X33, 0)</f>
        <v/>
      </c>
      <c r="Z33" s="10" t="n">
        <v>0</v>
      </c>
      <c r="AA33" s="10" t="n">
        <v>126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105</v>
      </c>
      <c r="G34" s="10" t="n">
        <v>140</v>
      </c>
      <c r="H34" s="11">
        <f>G34*$E$4</f>
        <v/>
      </c>
      <c r="I34" s="12">
        <f>IF(G34&gt;0, F34/G34, 0)</f>
        <v/>
      </c>
      <c r="J34" s="10" t="n">
        <v>50</v>
      </c>
      <c r="K34" s="10" t="n">
        <v>322</v>
      </c>
      <c r="L34" s="11">
        <f>K34*$E$4</f>
        <v/>
      </c>
      <c r="M34" s="12">
        <f>IF(K34&gt;0, J34/K34, 0)</f>
        <v/>
      </c>
      <c r="N34" s="10" t="n">
        <v>50</v>
      </c>
      <c r="O34" s="10" t="n">
        <v>294</v>
      </c>
      <c r="P34" s="11">
        <f>O34*$E$4</f>
        <v/>
      </c>
      <c r="Q34" s="12">
        <f>IF(O34&gt;0, N34/O34, 0)</f>
        <v/>
      </c>
      <c r="R34" s="10" t="n">
        <v>128</v>
      </c>
      <c r="S34" s="10" t="n">
        <v>280</v>
      </c>
      <c r="T34" s="11">
        <f>S34*$E$4</f>
        <v/>
      </c>
      <c r="U34" s="12">
        <f>IF(S34&gt;0, R34/S34, 0)</f>
        <v/>
      </c>
      <c r="V34" s="10" t="n">
        <v>0</v>
      </c>
      <c r="W34" s="10" t="n">
        <v>196</v>
      </c>
      <c r="X34" s="11">
        <f>W34*$E$4</f>
        <v/>
      </c>
      <c r="Y34" s="12">
        <f>IF(W34&gt;0, V34/W34, 0)</f>
        <v/>
      </c>
      <c r="Z34" s="10" t="n">
        <v>130</v>
      </c>
      <c r="AA34" s="10" t="n">
        <v>182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50</v>
      </c>
      <c r="G35" s="10" t="n">
        <v>60</v>
      </c>
      <c r="H35" s="11">
        <f>G35*$E$4</f>
        <v/>
      </c>
      <c r="I35" s="12">
        <f>IF(H35&gt;0, F35/H35, 0)</f>
        <v/>
      </c>
      <c r="J35" s="10" t="n">
        <v>0</v>
      </c>
      <c r="K35" s="10" t="n">
        <v>158</v>
      </c>
      <c r="L35" s="11">
        <f>K35*$E$4</f>
        <v/>
      </c>
      <c r="M35" s="12">
        <f>IF(L35&gt;0, J35/L35, 0)</f>
        <v/>
      </c>
      <c r="N35" s="10" t="n">
        <v>50</v>
      </c>
      <c r="O35" s="10" t="n">
        <v>133</v>
      </c>
      <c r="P35" s="11">
        <f>O35*$E$4</f>
        <v/>
      </c>
      <c r="Q35" s="12">
        <f>IF(P35&gt;0, N35/P35, 0)</f>
        <v/>
      </c>
      <c r="R35" s="10" t="n">
        <v>0</v>
      </c>
      <c r="S35" s="10" t="n">
        <v>210</v>
      </c>
      <c r="T35" s="11">
        <f>S35*$E$4</f>
        <v/>
      </c>
      <c r="U35" s="12">
        <f>IF(T35&gt;0, R35/T35, 0)</f>
        <v/>
      </c>
      <c r="V35" s="10" t="n">
        <v>50</v>
      </c>
      <c r="W35" s="10" t="n">
        <v>168</v>
      </c>
      <c r="X35" s="11">
        <f>W35*$E$4</f>
        <v/>
      </c>
      <c r="Y35" s="12">
        <f>IF(X35&gt;0, V35/X35, 0)</f>
        <v/>
      </c>
      <c r="Z35" s="10" t="n">
        <v>156</v>
      </c>
      <c r="AA35" s="10" t="n">
        <v>126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28)</t>
        </is>
      </c>
    </row>
    <row r="2" ht="18" customHeight="1">
      <c r="A2" s="2" t="inlineStr">
        <is>
          <t>OBRA: CARRETERA LIBRE MÉXICO-TOLUCA | PERIODO: 06/Jul/2026 - 11/Jul/2026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90</v>
      </c>
      <c r="D5" t="inlineStr">
        <is>
          <t>Volumen Fresado (m³):</t>
        </is>
      </c>
      <c r="E5" s="20" t="n">
        <v>1239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35</v>
      </c>
      <c r="D6" t="inlineStr">
        <is>
          <t>Volumen Carpeta (m³):</t>
        </is>
      </c>
      <c r="E6" s="20" t="n">
        <v>490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150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160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38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70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90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25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160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28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28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150</v>
      </c>
      <c r="G27" s="10" t="n">
        <v>406</v>
      </c>
      <c r="H27" s="11">
        <f>G27*$E$4</f>
        <v/>
      </c>
      <c r="I27" s="12">
        <f>IF(G27&gt;0, F27/G27, 0)</f>
        <v/>
      </c>
      <c r="J27" s="10" t="n">
        <v>0</v>
      </c>
      <c r="K27" s="10" t="n">
        <v>266</v>
      </c>
      <c r="L27" s="11">
        <f>K27*$E$4</f>
        <v/>
      </c>
      <c r="M27" s="12">
        <f>IF(K27&gt;0, J27/K27, 0)</f>
        <v/>
      </c>
      <c r="N27" s="10" t="n">
        <v>0</v>
      </c>
      <c r="O27" s="10" t="n">
        <v>532</v>
      </c>
      <c r="P27" s="11">
        <f>O27*$E$4</f>
        <v/>
      </c>
      <c r="Q27" s="12">
        <f>IF(O27&gt;0, N27/O27, 0)</f>
        <v/>
      </c>
      <c r="R27" s="10" t="n">
        <v>0</v>
      </c>
      <c r="S27" s="10" t="n">
        <v>0</v>
      </c>
      <c r="T27" s="11">
        <f>S27*$E$4</f>
        <v/>
      </c>
      <c r="U27" s="12">
        <f>IF(S27&gt;0, R27/S27, 0)</f>
        <v/>
      </c>
      <c r="V27" s="10" t="n">
        <v>0</v>
      </c>
      <c r="W27" s="10" t="n">
        <v>0</v>
      </c>
      <c r="X27" s="11">
        <f>W27*$E$4</f>
        <v/>
      </c>
      <c r="Y27" s="12">
        <f>IF(W27&gt;0, V27/W27, 0)</f>
        <v/>
      </c>
      <c r="Z27" s="10" t="n">
        <v>0</v>
      </c>
      <c r="AA27" s="10" t="n">
        <v>0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160</v>
      </c>
      <c r="G28" s="10" t="n">
        <v>140</v>
      </c>
      <c r="H28" s="11">
        <f>G28*$E$4</f>
        <v/>
      </c>
      <c r="I28" s="12">
        <f>IF(H28&gt;0, F28/H28, 0)</f>
        <v/>
      </c>
      <c r="J28" s="10" t="n">
        <v>0</v>
      </c>
      <c r="K28" s="10" t="n">
        <v>210</v>
      </c>
      <c r="L28" s="11">
        <f>K28*$E$4</f>
        <v/>
      </c>
      <c r="M28" s="12">
        <f>IF(L28&gt;0, J28/L28, 0)</f>
        <v/>
      </c>
      <c r="N28" s="10" t="n">
        <v>0</v>
      </c>
      <c r="O28" s="10" t="n">
        <v>140</v>
      </c>
      <c r="P28" s="11">
        <f>O28*$E$4</f>
        <v/>
      </c>
      <c r="Q28" s="12">
        <f>IF(P28&gt;0, N28/P28, 0)</f>
        <v/>
      </c>
      <c r="R28" s="10" t="n">
        <v>0</v>
      </c>
      <c r="S28" s="10" t="n">
        <v>0</v>
      </c>
      <c r="T28" s="11">
        <f>S28*$E$4</f>
        <v/>
      </c>
      <c r="U28" s="12">
        <f>IF(T28&gt;0, R28/T28, 0)</f>
        <v/>
      </c>
      <c r="V28" s="10" t="n">
        <v>0</v>
      </c>
      <c r="W28" s="10" t="n">
        <v>0</v>
      </c>
      <c r="X28" s="11">
        <f>W28*$E$4</f>
        <v/>
      </c>
      <c r="Y28" s="12">
        <f>IF(X28&gt;0, V28/X28, 0)</f>
        <v/>
      </c>
      <c r="Z28" s="10" t="n">
        <v>0</v>
      </c>
      <c r="AA28" s="10" t="n">
        <v>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98</v>
      </c>
      <c r="G29" s="10" t="n">
        <v>140</v>
      </c>
      <c r="H29" s="11">
        <f>G29*$E$4</f>
        <v/>
      </c>
      <c r="I29" s="12">
        <f>IF(H29&gt;0, F29/H29, 0)</f>
        <v/>
      </c>
      <c r="J29" s="10" t="n">
        <v>0</v>
      </c>
      <c r="K29" s="10" t="n">
        <v>210</v>
      </c>
      <c r="L29" s="11">
        <f>K29*$E$4</f>
        <v/>
      </c>
      <c r="M29" s="12">
        <f>IF(L29&gt;0, J29/L29, 0)</f>
        <v/>
      </c>
      <c r="N29" s="10" t="n">
        <v>0</v>
      </c>
      <c r="O29" s="10" t="n">
        <v>140</v>
      </c>
      <c r="P29" s="11">
        <f>O29*$E$4</f>
        <v/>
      </c>
      <c r="Q29" s="12">
        <f>IF(P29&gt;0, N29/P29, 0)</f>
        <v/>
      </c>
      <c r="R29" s="10" t="n">
        <v>0</v>
      </c>
      <c r="S29" s="10" t="n">
        <v>0</v>
      </c>
      <c r="T29" s="11">
        <f>S29*$E$4</f>
        <v/>
      </c>
      <c r="U29" s="12">
        <f>IF(T29&gt;0, R29/T29, 0)</f>
        <v/>
      </c>
      <c r="V29" s="10" t="n">
        <v>0</v>
      </c>
      <c r="W29" s="10" t="n">
        <v>0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70</v>
      </c>
      <c r="G30" s="10" t="n">
        <v>140</v>
      </c>
      <c r="H30" s="11">
        <f>G30*$E$4</f>
        <v/>
      </c>
      <c r="I30" s="12">
        <f>IF(H30&gt;0, F30/H30, 0)</f>
        <v/>
      </c>
      <c r="J30" s="10" t="n">
        <v>0</v>
      </c>
      <c r="K30" s="10" t="n">
        <v>210</v>
      </c>
      <c r="L30" s="11">
        <f>K30*$E$4</f>
        <v/>
      </c>
      <c r="M30" s="12">
        <f>IF(L30&gt;0, J30/L30, 0)</f>
        <v/>
      </c>
      <c r="N30" s="10" t="n">
        <v>0</v>
      </c>
      <c r="O30" s="10" t="n">
        <v>140</v>
      </c>
      <c r="P30" s="11">
        <f>O30*$E$4</f>
        <v/>
      </c>
      <c r="Q30" s="12">
        <f>IF(P30&gt;0, N30/P30, 0)</f>
        <v/>
      </c>
      <c r="R30" s="10" t="n">
        <v>0</v>
      </c>
      <c r="S30" s="10" t="n">
        <v>0</v>
      </c>
      <c r="T30" s="11">
        <f>S30*$E$4</f>
        <v/>
      </c>
      <c r="U30" s="12">
        <f>IF(T30&gt;0, R30/T30, 0)</f>
        <v/>
      </c>
      <c r="V30" s="10" t="n">
        <v>0</v>
      </c>
      <c r="W30" s="10" t="n">
        <v>0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90</v>
      </c>
      <c r="G31" s="10" t="n">
        <v>140</v>
      </c>
      <c r="H31" s="11">
        <f>G31*$E$4</f>
        <v/>
      </c>
      <c r="I31" s="12">
        <f>IF(H31&gt;0, F31/H31, 0)</f>
        <v/>
      </c>
      <c r="J31" s="10" t="n">
        <v>0</v>
      </c>
      <c r="K31" s="10" t="n">
        <v>210</v>
      </c>
      <c r="L31" s="11">
        <f>K31*$E$4</f>
        <v/>
      </c>
      <c r="M31" s="12">
        <f>IF(L31&gt;0, J31/L31, 0)</f>
        <v/>
      </c>
      <c r="N31" s="10" t="n">
        <v>0</v>
      </c>
      <c r="O31" s="10" t="n">
        <v>140</v>
      </c>
      <c r="P31" s="11">
        <f>O31*$E$4</f>
        <v/>
      </c>
      <c r="Q31" s="12">
        <f>IF(P31&gt;0, N31/P31, 0)</f>
        <v/>
      </c>
      <c r="R31" s="10" t="n">
        <v>0</v>
      </c>
      <c r="S31" s="10" t="n">
        <v>0</v>
      </c>
      <c r="T31" s="11">
        <f>S31*$E$4</f>
        <v/>
      </c>
      <c r="U31" s="12">
        <f>IF(T31&gt;0, R31/T31, 0)</f>
        <v/>
      </c>
      <c r="V31" s="10" t="n">
        <v>0</v>
      </c>
      <c r="W31" s="10" t="n">
        <v>0</v>
      </c>
      <c r="X31" s="11">
        <f>W31*$E$4</f>
        <v/>
      </c>
      <c r="Y31" s="12">
        <f>IF(X31&gt;0, V31/X31, 0)</f>
        <v/>
      </c>
      <c r="Z31" s="10" t="n">
        <v>0</v>
      </c>
      <c r="AA31" s="10" t="n">
        <v>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140</v>
      </c>
      <c r="H32" s="11">
        <f>G32*$E$4</f>
        <v/>
      </c>
      <c r="I32" s="12">
        <f>IF(H32&gt;0, F32/H32, 0)</f>
        <v/>
      </c>
      <c r="J32" s="10" t="n">
        <v>0</v>
      </c>
      <c r="K32" s="10" t="n">
        <v>210</v>
      </c>
      <c r="L32" s="11">
        <f>K32*$E$4</f>
        <v/>
      </c>
      <c r="M32" s="12">
        <f>IF(L32&gt;0, J32/L32, 0)</f>
        <v/>
      </c>
      <c r="N32" s="10" t="n">
        <v>0</v>
      </c>
      <c r="O32" s="10" t="n">
        <v>140</v>
      </c>
      <c r="P32" s="11">
        <f>O32*$E$4</f>
        <v/>
      </c>
      <c r="Q32" s="12">
        <f>IF(P32&gt;0, N32/P32, 0)</f>
        <v/>
      </c>
      <c r="R32" s="10" t="n">
        <v>0</v>
      </c>
      <c r="S32" s="10" t="n">
        <v>0</v>
      </c>
      <c r="T32" s="11">
        <f>S32*$E$4</f>
        <v/>
      </c>
      <c r="U32" s="12">
        <f>IF(T32&gt;0, R32/T32, 0)</f>
        <v/>
      </c>
      <c r="V32" s="10" t="n">
        <v>0</v>
      </c>
      <c r="W32" s="10" t="n">
        <v>0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25</v>
      </c>
      <c r="G33" s="10" t="n">
        <v>140</v>
      </c>
      <c r="H33" s="11">
        <f>G33*$E$4</f>
        <v/>
      </c>
      <c r="I33" s="12">
        <f>IF(H33&gt;0, F33/H33, 0)</f>
        <v/>
      </c>
      <c r="J33" s="10" t="n">
        <v>0</v>
      </c>
      <c r="K33" s="10" t="n">
        <v>210</v>
      </c>
      <c r="L33" s="11">
        <f>K33*$E$4</f>
        <v/>
      </c>
      <c r="M33" s="12">
        <f>IF(L33&gt;0, J33/L33, 0)</f>
        <v/>
      </c>
      <c r="N33" s="10" t="n">
        <v>0</v>
      </c>
      <c r="O33" s="10" t="n">
        <v>140</v>
      </c>
      <c r="P33" s="11">
        <f>O33*$E$4</f>
        <v/>
      </c>
      <c r="Q33" s="12">
        <f>IF(P33&gt;0, N33/P33, 0)</f>
        <v/>
      </c>
      <c r="R33" s="10" t="n">
        <v>0</v>
      </c>
      <c r="S33" s="10" t="n">
        <v>0</v>
      </c>
      <c r="T33" s="11">
        <f>S33*$E$4</f>
        <v/>
      </c>
      <c r="U33" s="12">
        <f>IF(T33&gt;0, R33/T33, 0)</f>
        <v/>
      </c>
      <c r="V33" s="10" t="n">
        <v>0</v>
      </c>
      <c r="W33" s="10" t="n">
        <v>0</v>
      </c>
      <c r="X33" s="11">
        <f>W33*$E$4</f>
        <v/>
      </c>
      <c r="Y33" s="12">
        <f>IF(X33&gt;0, V33/X33, 0)</f>
        <v/>
      </c>
      <c r="Z33" s="10" t="n">
        <v>0</v>
      </c>
      <c r="AA33" s="10" t="n">
        <v>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50</v>
      </c>
      <c r="G34" s="10" t="n">
        <v>406</v>
      </c>
      <c r="H34" s="11">
        <f>G34*$E$4</f>
        <v/>
      </c>
      <c r="I34" s="12">
        <f>IF(G34&gt;0, F34/G34, 0)</f>
        <v/>
      </c>
      <c r="J34" s="10" t="n">
        <v>110</v>
      </c>
      <c r="K34" s="10" t="n">
        <v>266</v>
      </c>
      <c r="L34" s="11">
        <f>K34*$E$4</f>
        <v/>
      </c>
      <c r="M34" s="12">
        <f>IF(K34&gt;0, J34/K34, 0)</f>
        <v/>
      </c>
      <c r="N34" s="10" t="n">
        <v>0</v>
      </c>
      <c r="O34" s="10" t="n">
        <v>532</v>
      </c>
      <c r="P34" s="11">
        <f>O34*$E$4</f>
        <v/>
      </c>
      <c r="Q34" s="12">
        <f>IF(O34&gt;0, N34/O34, 0)</f>
        <v/>
      </c>
      <c r="R34" s="10" t="n">
        <v>0</v>
      </c>
      <c r="S34" s="10" t="n">
        <v>0</v>
      </c>
      <c r="T34" s="11">
        <f>S34*$E$4</f>
        <v/>
      </c>
      <c r="U34" s="12">
        <f>IF(S34&gt;0, R34/S34, 0)</f>
        <v/>
      </c>
      <c r="V34" s="10" t="n">
        <v>0</v>
      </c>
      <c r="W34" s="10" t="n">
        <v>0</v>
      </c>
      <c r="X34" s="11">
        <f>W34*$E$4</f>
        <v/>
      </c>
      <c r="Y34" s="12">
        <f>IF(W34&gt;0, V34/W34, 0)</f>
        <v/>
      </c>
      <c r="Z34" s="10" t="n">
        <v>0</v>
      </c>
      <c r="AA34" s="10" t="n">
        <v>0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0</v>
      </c>
      <c r="G35" s="10" t="n">
        <v>140</v>
      </c>
      <c r="H35" s="11">
        <f>G35*$E$4</f>
        <v/>
      </c>
      <c r="I35" s="12">
        <f>IF(H35&gt;0, F35/H35, 0)</f>
        <v/>
      </c>
      <c r="J35" s="10" t="n">
        <v>0</v>
      </c>
      <c r="K35" s="10" t="n">
        <v>210</v>
      </c>
      <c r="L35" s="11">
        <f>K35*$E$4</f>
        <v/>
      </c>
      <c r="M35" s="12">
        <f>IF(L35&gt;0, J35/L35, 0)</f>
        <v/>
      </c>
      <c r="N35" s="10" t="n">
        <v>0</v>
      </c>
      <c r="O35" s="10" t="n">
        <v>140</v>
      </c>
      <c r="P35" s="11">
        <f>O35*$E$4</f>
        <v/>
      </c>
      <c r="Q35" s="12">
        <f>IF(P35&gt;0, N35/P35, 0)</f>
        <v/>
      </c>
      <c r="R35" s="10" t="n">
        <v>0</v>
      </c>
      <c r="S35" s="10" t="n">
        <v>0</v>
      </c>
      <c r="T35" s="11">
        <f>S35*$E$4</f>
        <v/>
      </c>
      <c r="U35" s="12">
        <f>IF(T35&gt;0, R35/T35, 0)</f>
        <v/>
      </c>
      <c r="V35" s="10" t="n">
        <v>0</v>
      </c>
      <c r="W35" s="10" t="n">
        <v>0</v>
      </c>
      <c r="X35" s="11">
        <f>W35*$E$4</f>
        <v/>
      </c>
      <c r="Y35" s="12">
        <f>IF(X35&gt;0, V35/X35, 0)</f>
        <v/>
      </c>
      <c r="Z35" s="10" t="n">
        <v>0</v>
      </c>
      <c r="AA35" s="10" t="n">
        <v>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29)</t>
        </is>
      </c>
    </row>
    <row r="2" ht="18" customHeight="1">
      <c r="A2" s="2" t="inlineStr">
        <is>
          <t>OBRA: CARRETERA LIBRE MÉXICO-TOLUCA | PERIODO: 13/Jul/2026 - 18/Jul/2026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99</v>
      </c>
      <c r="D5" t="inlineStr">
        <is>
          <t>Volumen Fresado (m³):</t>
        </is>
      </c>
      <c r="E5" s="20" t="n">
        <v>1351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58</v>
      </c>
      <c r="D6" t="inlineStr">
        <is>
          <t>Volumen Carpeta (m³):</t>
        </is>
      </c>
      <c r="E6" s="20" t="n">
        <v>812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1970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530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0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0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40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110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550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180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29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29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0</v>
      </c>
      <c r="G27" s="10" t="n">
        <v>0</v>
      </c>
      <c r="H27" s="11">
        <f>G27*$E$4</f>
        <v/>
      </c>
      <c r="I27" s="12">
        <f>IF(G27&gt;0, F27/G27, 0)</f>
        <v/>
      </c>
      <c r="J27" s="10" t="n">
        <v>600</v>
      </c>
      <c r="K27" s="10" t="n">
        <v>364</v>
      </c>
      <c r="L27" s="11">
        <f>K27*$E$4</f>
        <v/>
      </c>
      <c r="M27" s="12">
        <f>IF(K27&gt;0, J27/K27, 0)</f>
        <v/>
      </c>
      <c r="N27" s="10" t="n">
        <v>680</v>
      </c>
      <c r="O27" s="10" t="n">
        <v>182</v>
      </c>
      <c r="P27" s="11">
        <f>O27*$E$4</f>
        <v/>
      </c>
      <c r="Q27" s="12">
        <f>IF(O27&gt;0, N27/O27, 0)</f>
        <v/>
      </c>
      <c r="R27" s="10" t="n">
        <v>0</v>
      </c>
      <c r="S27" s="10" t="n">
        <v>308</v>
      </c>
      <c r="T27" s="11">
        <f>S27*$E$4</f>
        <v/>
      </c>
      <c r="U27" s="12">
        <f>IF(S27&gt;0, R27/S27, 0)</f>
        <v/>
      </c>
      <c r="V27" s="10" t="n">
        <v>690</v>
      </c>
      <c r="W27" s="10" t="n">
        <v>280</v>
      </c>
      <c r="X27" s="11">
        <f>W27*$E$4</f>
        <v/>
      </c>
      <c r="Y27" s="12">
        <f>IF(W27&gt;0, V27/W27, 0)</f>
        <v/>
      </c>
      <c r="Z27" s="10" t="n">
        <v>0</v>
      </c>
      <c r="AA27" s="10" t="n">
        <v>182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0</v>
      </c>
      <c r="G28" s="10" t="n">
        <v>0</v>
      </c>
      <c r="H28" s="11">
        <f>G28*$E$4</f>
        <v/>
      </c>
      <c r="I28" s="12">
        <f>IF(H28&gt;0, F28/H28, 0)</f>
        <v/>
      </c>
      <c r="J28" s="10" t="n">
        <v>180</v>
      </c>
      <c r="K28" s="10" t="n">
        <v>70</v>
      </c>
      <c r="L28" s="11">
        <f>K28*$E$4</f>
        <v/>
      </c>
      <c r="M28" s="12">
        <f>IF(L28&gt;0, J28/L28, 0)</f>
        <v/>
      </c>
      <c r="N28" s="10" t="n">
        <v>180</v>
      </c>
      <c r="O28" s="10" t="n">
        <v>140</v>
      </c>
      <c r="P28" s="11">
        <f>O28*$E$4</f>
        <v/>
      </c>
      <c r="Q28" s="12">
        <f>IF(P28&gt;0, N28/P28, 0)</f>
        <v/>
      </c>
      <c r="R28" s="10" t="n">
        <v>0</v>
      </c>
      <c r="S28" s="10" t="n">
        <v>350</v>
      </c>
      <c r="T28" s="11">
        <f>S28*$E$4</f>
        <v/>
      </c>
      <c r="U28" s="12">
        <f>IF(T28&gt;0, R28/T28, 0)</f>
        <v/>
      </c>
      <c r="V28" s="10" t="n">
        <v>170</v>
      </c>
      <c r="W28" s="10" t="n">
        <v>238</v>
      </c>
      <c r="X28" s="11">
        <f>W28*$E$4</f>
        <v/>
      </c>
      <c r="Y28" s="12">
        <f>IF(X28&gt;0, V28/X28, 0)</f>
        <v/>
      </c>
      <c r="Z28" s="10" t="n">
        <v>0</v>
      </c>
      <c r="AA28" s="10" t="n">
        <v>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0</v>
      </c>
      <c r="G29" s="10" t="n">
        <v>0</v>
      </c>
      <c r="H29" s="11">
        <f>G29*$E$4</f>
        <v/>
      </c>
      <c r="I29" s="12">
        <f>IF(H29&gt;0, F29/H29, 0)</f>
        <v/>
      </c>
      <c r="J29" s="10" t="n">
        <v>0</v>
      </c>
      <c r="K29" s="10" t="n">
        <v>70</v>
      </c>
      <c r="L29" s="11">
        <f>K29*$E$4</f>
        <v/>
      </c>
      <c r="M29" s="12">
        <f>IF(L29&gt;0, J29/L29, 0)</f>
        <v/>
      </c>
      <c r="N29" s="10" t="n">
        <v>0</v>
      </c>
      <c r="O29" s="10" t="n">
        <v>140</v>
      </c>
      <c r="P29" s="11">
        <f>O29*$E$4</f>
        <v/>
      </c>
      <c r="Q29" s="12">
        <f>IF(P29&gt;0, N29/P29, 0)</f>
        <v/>
      </c>
      <c r="R29" s="10" t="n">
        <v>0</v>
      </c>
      <c r="S29" s="10" t="n">
        <v>350</v>
      </c>
      <c r="T29" s="11">
        <f>S29*$E$4</f>
        <v/>
      </c>
      <c r="U29" s="12">
        <f>IF(T29&gt;0, R29/T29, 0)</f>
        <v/>
      </c>
      <c r="V29" s="10" t="n">
        <v>60</v>
      </c>
      <c r="W29" s="10" t="n">
        <v>238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0</v>
      </c>
      <c r="G30" s="10" t="n">
        <v>0</v>
      </c>
      <c r="H30" s="11">
        <f>G30*$E$4</f>
        <v/>
      </c>
      <c r="I30" s="12">
        <f>IF(H30&gt;0, F30/H30, 0)</f>
        <v/>
      </c>
      <c r="J30" s="10" t="n">
        <v>0</v>
      </c>
      <c r="K30" s="10" t="n">
        <v>70</v>
      </c>
      <c r="L30" s="11">
        <f>K30*$E$4</f>
        <v/>
      </c>
      <c r="M30" s="12">
        <f>IF(L30&gt;0, J30/L30, 0)</f>
        <v/>
      </c>
      <c r="N30" s="10" t="n">
        <v>0</v>
      </c>
      <c r="O30" s="10" t="n">
        <v>140</v>
      </c>
      <c r="P30" s="11">
        <f>O30*$E$4</f>
        <v/>
      </c>
      <c r="Q30" s="12">
        <f>IF(P30&gt;0, N30/P30, 0)</f>
        <v/>
      </c>
      <c r="R30" s="10" t="n">
        <v>0</v>
      </c>
      <c r="S30" s="10" t="n">
        <v>350</v>
      </c>
      <c r="T30" s="11">
        <f>S30*$E$4</f>
        <v/>
      </c>
      <c r="U30" s="12">
        <f>IF(T30&gt;0, R30/T30, 0)</f>
        <v/>
      </c>
      <c r="V30" s="10" t="n">
        <v>0</v>
      </c>
      <c r="W30" s="10" t="n">
        <v>238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0</v>
      </c>
      <c r="G31" s="10" t="n">
        <v>0</v>
      </c>
      <c r="H31" s="11">
        <f>G31*$E$4</f>
        <v/>
      </c>
      <c r="I31" s="12">
        <f>IF(H31&gt;0, F31/H31, 0)</f>
        <v/>
      </c>
      <c r="J31" s="10" t="n">
        <v>20</v>
      </c>
      <c r="K31" s="10" t="n">
        <v>70</v>
      </c>
      <c r="L31" s="11">
        <f>K31*$E$4</f>
        <v/>
      </c>
      <c r="M31" s="12">
        <f>IF(L31&gt;0, J31/L31, 0)</f>
        <v/>
      </c>
      <c r="N31" s="10" t="n">
        <v>20</v>
      </c>
      <c r="O31" s="10" t="n">
        <v>140</v>
      </c>
      <c r="P31" s="11">
        <f>O31*$E$4</f>
        <v/>
      </c>
      <c r="Q31" s="12">
        <f>IF(P31&gt;0, N31/P31, 0)</f>
        <v/>
      </c>
      <c r="R31" s="10" t="n">
        <v>0</v>
      </c>
      <c r="S31" s="10" t="n">
        <v>350</v>
      </c>
      <c r="T31" s="11">
        <f>S31*$E$4</f>
        <v/>
      </c>
      <c r="U31" s="12">
        <f>IF(T31&gt;0, R31/T31, 0)</f>
        <v/>
      </c>
      <c r="V31" s="10" t="n">
        <v>40</v>
      </c>
      <c r="W31" s="10" t="n">
        <v>238</v>
      </c>
      <c r="X31" s="11">
        <f>W31*$E$4</f>
        <v/>
      </c>
      <c r="Y31" s="12">
        <f>IF(X31&gt;0, V31/X31, 0)</f>
        <v/>
      </c>
      <c r="Z31" s="10" t="n">
        <v>0</v>
      </c>
      <c r="AA31" s="10" t="n">
        <v>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0</v>
      </c>
      <c r="H32" s="11">
        <f>G32*$E$4</f>
        <v/>
      </c>
      <c r="I32" s="12">
        <f>IF(H32&gt;0, F32/H32, 0)</f>
        <v/>
      </c>
      <c r="J32" s="10" t="n">
        <v>0</v>
      </c>
      <c r="K32" s="10" t="n">
        <v>70</v>
      </c>
      <c r="L32" s="11">
        <f>K32*$E$4</f>
        <v/>
      </c>
      <c r="M32" s="12">
        <f>IF(L32&gt;0, J32/L32, 0)</f>
        <v/>
      </c>
      <c r="N32" s="10" t="n">
        <v>0</v>
      </c>
      <c r="O32" s="10" t="n">
        <v>140</v>
      </c>
      <c r="P32" s="11">
        <f>O32*$E$4</f>
        <v/>
      </c>
      <c r="Q32" s="12">
        <f>IF(P32&gt;0, N32/P32, 0)</f>
        <v/>
      </c>
      <c r="R32" s="10" t="n">
        <v>0</v>
      </c>
      <c r="S32" s="10" t="n">
        <v>350</v>
      </c>
      <c r="T32" s="11">
        <f>S32*$E$4</f>
        <v/>
      </c>
      <c r="U32" s="12">
        <f>IF(T32&gt;0, R32/T32, 0)</f>
        <v/>
      </c>
      <c r="V32" s="10" t="n">
        <v>0</v>
      </c>
      <c r="W32" s="10" t="n">
        <v>238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0</v>
      </c>
      <c r="H33" s="11">
        <f>G33*$E$4</f>
        <v/>
      </c>
      <c r="I33" s="12">
        <f>IF(H33&gt;0, F33/H33, 0)</f>
        <v/>
      </c>
      <c r="J33" s="10" t="n">
        <v>40</v>
      </c>
      <c r="K33" s="10" t="n">
        <v>70</v>
      </c>
      <c r="L33" s="11">
        <f>K33*$E$4</f>
        <v/>
      </c>
      <c r="M33" s="12">
        <f>IF(L33&gt;0, J33/L33, 0)</f>
        <v/>
      </c>
      <c r="N33" s="10" t="n">
        <v>40</v>
      </c>
      <c r="O33" s="10" t="n">
        <v>140</v>
      </c>
      <c r="P33" s="11">
        <f>O33*$E$4</f>
        <v/>
      </c>
      <c r="Q33" s="12">
        <f>IF(P33&gt;0, N33/P33, 0)</f>
        <v/>
      </c>
      <c r="R33" s="10" t="n">
        <v>0</v>
      </c>
      <c r="S33" s="10" t="n">
        <v>350</v>
      </c>
      <c r="T33" s="11">
        <f>S33*$E$4</f>
        <v/>
      </c>
      <c r="U33" s="12">
        <f>IF(T33&gt;0, R33/T33, 0)</f>
        <v/>
      </c>
      <c r="V33" s="10" t="n">
        <v>30</v>
      </c>
      <c r="W33" s="10" t="n">
        <v>238</v>
      </c>
      <c r="X33" s="11">
        <f>W33*$E$4</f>
        <v/>
      </c>
      <c r="Y33" s="12">
        <f>IF(X33&gt;0, V33/X33, 0)</f>
        <v/>
      </c>
      <c r="Z33" s="10" t="n">
        <v>0</v>
      </c>
      <c r="AA33" s="10" t="n">
        <v>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150</v>
      </c>
      <c r="G34" s="10" t="n">
        <v>0</v>
      </c>
      <c r="H34" s="11">
        <f>G34*$E$4</f>
        <v/>
      </c>
      <c r="I34" s="12">
        <f>IF(G34&gt;0, F34/G34, 0)</f>
        <v/>
      </c>
      <c r="J34" s="10" t="n">
        <v>180</v>
      </c>
      <c r="K34" s="10" t="n">
        <v>364</v>
      </c>
      <c r="L34" s="11">
        <f>K34*$E$4</f>
        <v/>
      </c>
      <c r="M34" s="12">
        <f>IF(K34&gt;0, J34/K34, 0)</f>
        <v/>
      </c>
      <c r="N34" s="10" t="n">
        <v>120</v>
      </c>
      <c r="O34" s="10" t="n">
        <v>182</v>
      </c>
      <c r="P34" s="11">
        <f>O34*$E$4</f>
        <v/>
      </c>
      <c r="Q34" s="12">
        <f>IF(O34&gt;0, N34/O34, 0)</f>
        <v/>
      </c>
      <c r="R34" s="10" t="n">
        <v>0</v>
      </c>
      <c r="S34" s="10" t="n">
        <v>308</v>
      </c>
      <c r="T34" s="11">
        <f>S34*$E$4</f>
        <v/>
      </c>
      <c r="U34" s="12">
        <f>IF(S34&gt;0, R34/S34, 0)</f>
        <v/>
      </c>
      <c r="V34" s="10" t="n">
        <v>100</v>
      </c>
      <c r="W34" s="10" t="n">
        <v>280</v>
      </c>
      <c r="X34" s="11">
        <f>W34*$E$4</f>
        <v/>
      </c>
      <c r="Y34" s="12">
        <f>IF(W34&gt;0, V34/W34, 0)</f>
        <v/>
      </c>
      <c r="Z34" s="10" t="n">
        <v>0</v>
      </c>
      <c r="AA34" s="10" t="n">
        <v>182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0</v>
      </c>
      <c r="G35" s="10" t="n">
        <v>0</v>
      </c>
      <c r="H35" s="11">
        <f>G35*$E$4</f>
        <v/>
      </c>
      <c r="I35" s="12">
        <f>IF(H35&gt;0, F35/H35, 0)</f>
        <v/>
      </c>
      <c r="J35" s="10" t="n">
        <v>60</v>
      </c>
      <c r="K35" s="10" t="n">
        <v>70</v>
      </c>
      <c r="L35" s="11">
        <f>K35*$E$4</f>
        <v/>
      </c>
      <c r="M35" s="12">
        <f>IF(L35&gt;0, J35/L35, 0)</f>
        <v/>
      </c>
      <c r="N35" s="10" t="n">
        <v>60</v>
      </c>
      <c r="O35" s="10" t="n">
        <v>140</v>
      </c>
      <c r="P35" s="11">
        <f>O35*$E$4</f>
        <v/>
      </c>
      <c r="Q35" s="12">
        <f>IF(P35&gt;0, N35/P35, 0)</f>
        <v/>
      </c>
      <c r="R35" s="10" t="n">
        <v>0</v>
      </c>
      <c r="S35" s="10" t="n">
        <v>350</v>
      </c>
      <c r="T35" s="11">
        <f>S35*$E$4</f>
        <v/>
      </c>
      <c r="U35" s="12">
        <f>IF(T35&gt;0, R35/T35, 0)</f>
        <v/>
      </c>
      <c r="V35" s="10" t="n">
        <v>60</v>
      </c>
      <c r="W35" s="10" t="n">
        <v>238</v>
      </c>
      <c r="X35" s="11">
        <f>W35*$E$4</f>
        <v/>
      </c>
      <c r="Y35" s="12">
        <f>IF(X35&gt;0, V35/X35, 0)</f>
        <v/>
      </c>
      <c r="Z35" s="10" t="n">
        <v>0</v>
      </c>
      <c r="AA35" s="10" t="n">
        <v>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30)</t>
        </is>
      </c>
    </row>
    <row r="2" ht="18" customHeight="1">
      <c r="A2" s="2" t="inlineStr">
        <is>
          <t>OBRA: CARRETERA LIBRE MÉXICO-TOLUCA | PERIODO: 20/Jul/2026 - 25/Jul/2026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139</v>
      </c>
      <c r="D5" t="inlineStr">
        <is>
          <t>Volumen Fresado (m³):</t>
        </is>
      </c>
      <c r="E5" s="20" t="n">
        <v>1904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74</v>
      </c>
      <c r="D6" t="inlineStr">
        <is>
          <t>Volumen Carpeta (m³):</t>
        </is>
      </c>
      <c r="E6" s="20" t="n">
        <v>1036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1200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350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250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0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306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150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120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100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187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30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30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0</v>
      </c>
      <c r="G27" s="10" t="n">
        <v>364</v>
      </c>
      <c r="H27" s="11">
        <f>G27*$E$4</f>
        <v/>
      </c>
      <c r="I27" s="12">
        <f>IF(G27&gt;0, F27/G27, 0)</f>
        <v/>
      </c>
      <c r="J27" s="10" t="n">
        <v>400</v>
      </c>
      <c r="K27" s="10" t="n">
        <v>294</v>
      </c>
      <c r="L27" s="11">
        <f>K27*$E$4</f>
        <v/>
      </c>
      <c r="M27" s="12">
        <f>IF(K27&gt;0, J27/K27, 0)</f>
        <v/>
      </c>
      <c r="N27" s="10" t="n">
        <v>0</v>
      </c>
      <c r="O27" s="10" t="n">
        <v>406</v>
      </c>
      <c r="P27" s="11">
        <f>O27*$E$4</f>
        <v/>
      </c>
      <c r="Q27" s="12">
        <f>IF(O27&gt;0, N27/O27, 0)</f>
        <v/>
      </c>
      <c r="R27" s="10" t="n">
        <v>400</v>
      </c>
      <c r="S27" s="10" t="n">
        <v>280</v>
      </c>
      <c r="T27" s="11">
        <f>S27*$E$4</f>
        <v/>
      </c>
      <c r="U27" s="12">
        <f>IF(S27&gt;0, R27/S27, 0)</f>
        <v/>
      </c>
      <c r="V27" s="10" t="n">
        <v>0</v>
      </c>
      <c r="W27" s="10" t="n">
        <v>336</v>
      </c>
      <c r="X27" s="11">
        <f>W27*$E$4</f>
        <v/>
      </c>
      <c r="Y27" s="12">
        <f>IF(W27&gt;0, V27/W27, 0)</f>
        <v/>
      </c>
      <c r="Z27" s="10" t="n">
        <v>400</v>
      </c>
      <c r="AA27" s="10" t="n">
        <v>168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0</v>
      </c>
      <c r="G28" s="10" t="n">
        <v>182</v>
      </c>
      <c r="H28" s="11">
        <f>G28*$E$4</f>
        <v/>
      </c>
      <c r="I28" s="12">
        <f>IF(H28&gt;0, F28/H28, 0)</f>
        <v/>
      </c>
      <c r="J28" s="10" t="n">
        <v>0</v>
      </c>
      <c r="K28" s="10" t="n">
        <v>210</v>
      </c>
      <c r="L28" s="11">
        <f>K28*$E$4</f>
        <v/>
      </c>
      <c r="M28" s="12">
        <f>IF(L28&gt;0, J28/L28, 0)</f>
        <v/>
      </c>
      <c r="N28" s="10" t="n">
        <v>0</v>
      </c>
      <c r="O28" s="10" t="n">
        <v>210</v>
      </c>
      <c r="P28" s="11">
        <f>O28*$E$4</f>
        <v/>
      </c>
      <c r="Q28" s="12">
        <f>IF(P28&gt;0, N28/P28, 0)</f>
        <v/>
      </c>
      <c r="R28" s="10" t="n">
        <v>190</v>
      </c>
      <c r="S28" s="10" t="n">
        <v>210</v>
      </c>
      <c r="T28" s="11">
        <f>S28*$E$4</f>
        <v/>
      </c>
      <c r="U28" s="12">
        <f>IF(T28&gt;0, R28/T28, 0)</f>
        <v/>
      </c>
      <c r="V28" s="10" t="n">
        <v>0</v>
      </c>
      <c r="W28" s="10" t="n">
        <v>224</v>
      </c>
      <c r="X28" s="11">
        <f>W28*$E$4</f>
        <v/>
      </c>
      <c r="Y28" s="12">
        <f>IF(X28&gt;0, V28/X28, 0)</f>
        <v/>
      </c>
      <c r="Z28" s="10" t="n">
        <v>160</v>
      </c>
      <c r="AA28" s="10" t="n">
        <v>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0</v>
      </c>
      <c r="G29" s="10" t="n">
        <v>182</v>
      </c>
      <c r="H29" s="11">
        <f>G29*$E$4</f>
        <v/>
      </c>
      <c r="I29" s="12">
        <f>IF(H29&gt;0, F29/H29, 0)</f>
        <v/>
      </c>
      <c r="J29" s="10" t="n">
        <v>100</v>
      </c>
      <c r="K29" s="10" t="n">
        <v>210</v>
      </c>
      <c r="L29" s="11">
        <f>K29*$E$4</f>
        <v/>
      </c>
      <c r="M29" s="12">
        <f>IF(L29&gt;0, J29/L29, 0)</f>
        <v/>
      </c>
      <c r="N29" s="10" t="n">
        <v>0</v>
      </c>
      <c r="O29" s="10" t="n">
        <v>210</v>
      </c>
      <c r="P29" s="11">
        <f>O29*$E$4</f>
        <v/>
      </c>
      <c r="Q29" s="12">
        <f>IF(P29&gt;0, N29/P29, 0)</f>
        <v/>
      </c>
      <c r="R29" s="10" t="n">
        <v>100</v>
      </c>
      <c r="S29" s="10" t="n">
        <v>210</v>
      </c>
      <c r="T29" s="11">
        <f>S29*$E$4</f>
        <v/>
      </c>
      <c r="U29" s="12">
        <f>IF(T29&gt;0, R29/T29, 0)</f>
        <v/>
      </c>
      <c r="V29" s="10" t="n">
        <v>0</v>
      </c>
      <c r="W29" s="10" t="n">
        <v>224</v>
      </c>
      <c r="X29" s="11">
        <f>W29*$E$4</f>
        <v/>
      </c>
      <c r="Y29" s="12">
        <f>IF(X29&gt;0, V29/X29, 0)</f>
        <v/>
      </c>
      <c r="Z29" s="10" t="n">
        <v>100</v>
      </c>
      <c r="AA29" s="10" t="n">
        <v>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0</v>
      </c>
      <c r="G30" s="10" t="n">
        <v>182</v>
      </c>
      <c r="H30" s="11">
        <f>G30*$E$4</f>
        <v/>
      </c>
      <c r="I30" s="12">
        <f>IF(H30&gt;0, F30/H30, 0)</f>
        <v/>
      </c>
      <c r="J30" s="10" t="n">
        <v>0</v>
      </c>
      <c r="K30" s="10" t="n">
        <v>210</v>
      </c>
      <c r="L30" s="11">
        <f>K30*$E$4</f>
        <v/>
      </c>
      <c r="M30" s="12">
        <f>IF(L30&gt;0, J30/L30, 0)</f>
        <v/>
      </c>
      <c r="N30" s="10" t="n">
        <v>0</v>
      </c>
      <c r="O30" s="10" t="n">
        <v>210</v>
      </c>
      <c r="P30" s="11">
        <f>O30*$E$4</f>
        <v/>
      </c>
      <c r="Q30" s="12">
        <f>IF(P30&gt;0, N30/P30, 0)</f>
        <v/>
      </c>
      <c r="R30" s="10" t="n">
        <v>0</v>
      </c>
      <c r="S30" s="10" t="n">
        <v>210</v>
      </c>
      <c r="T30" s="11">
        <f>S30*$E$4</f>
        <v/>
      </c>
      <c r="U30" s="12">
        <f>IF(T30&gt;0, R30/T30, 0)</f>
        <v/>
      </c>
      <c r="V30" s="10" t="n">
        <v>0</v>
      </c>
      <c r="W30" s="10" t="n">
        <v>224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0</v>
      </c>
      <c r="G31" s="10" t="n">
        <v>182</v>
      </c>
      <c r="H31" s="11">
        <f>G31*$E$4</f>
        <v/>
      </c>
      <c r="I31" s="12">
        <f>IF(H31&gt;0, F31/H31, 0)</f>
        <v/>
      </c>
      <c r="J31" s="10" t="n">
        <v>247</v>
      </c>
      <c r="K31" s="10" t="n">
        <v>210</v>
      </c>
      <c r="L31" s="11">
        <f>K31*$E$4</f>
        <v/>
      </c>
      <c r="M31" s="12">
        <f>IF(L31&gt;0, J31/L31, 0)</f>
        <v/>
      </c>
      <c r="N31" s="10" t="n">
        <v>0</v>
      </c>
      <c r="O31" s="10" t="n">
        <v>210</v>
      </c>
      <c r="P31" s="11">
        <f>O31*$E$4</f>
        <v/>
      </c>
      <c r="Q31" s="12">
        <f>IF(P31&gt;0, N31/P31, 0)</f>
        <v/>
      </c>
      <c r="R31" s="10" t="n">
        <v>20</v>
      </c>
      <c r="S31" s="10" t="n">
        <v>210</v>
      </c>
      <c r="T31" s="11">
        <f>S31*$E$4</f>
        <v/>
      </c>
      <c r="U31" s="12">
        <f>IF(T31&gt;0, R31/T31, 0)</f>
        <v/>
      </c>
      <c r="V31" s="10" t="n">
        <v>0</v>
      </c>
      <c r="W31" s="10" t="n">
        <v>224</v>
      </c>
      <c r="X31" s="11">
        <f>W31*$E$4</f>
        <v/>
      </c>
      <c r="Y31" s="12">
        <f>IF(X31&gt;0, V31/X31, 0)</f>
        <v/>
      </c>
      <c r="Z31" s="10" t="n">
        <v>39</v>
      </c>
      <c r="AA31" s="10" t="n">
        <v>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182</v>
      </c>
      <c r="H32" s="11">
        <f>G32*$E$4</f>
        <v/>
      </c>
      <c r="I32" s="12">
        <f>IF(H32&gt;0, F32/H32, 0)</f>
        <v/>
      </c>
      <c r="J32" s="10" t="n">
        <v>50</v>
      </c>
      <c r="K32" s="10" t="n">
        <v>210</v>
      </c>
      <c r="L32" s="11">
        <f>K32*$E$4</f>
        <v/>
      </c>
      <c r="M32" s="12">
        <f>IF(L32&gt;0, J32/L32, 0)</f>
        <v/>
      </c>
      <c r="N32" s="10" t="n">
        <v>0</v>
      </c>
      <c r="O32" s="10" t="n">
        <v>210</v>
      </c>
      <c r="P32" s="11">
        <f>O32*$E$4</f>
        <v/>
      </c>
      <c r="Q32" s="12">
        <f>IF(P32&gt;0, N32/P32, 0)</f>
        <v/>
      </c>
      <c r="R32" s="10" t="n">
        <v>50</v>
      </c>
      <c r="S32" s="10" t="n">
        <v>210</v>
      </c>
      <c r="T32" s="11">
        <f>S32*$E$4</f>
        <v/>
      </c>
      <c r="U32" s="12">
        <f>IF(T32&gt;0, R32/T32, 0)</f>
        <v/>
      </c>
      <c r="V32" s="10" t="n">
        <v>0</v>
      </c>
      <c r="W32" s="10" t="n">
        <v>224</v>
      </c>
      <c r="X32" s="11">
        <f>W32*$E$4</f>
        <v/>
      </c>
      <c r="Y32" s="12">
        <f>IF(X32&gt;0, V32/X32, 0)</f>
        <v/>
      </c>
      <c r="Z32" s="10" t="n">
        <v>50</v>
      </c>
      <c r="AA32" s="10" t="n">
        <v>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182</v>
      </c>
      <c r="H33" s="11">
        <f>G33*$E$4</f>
        <v/>
      </c>
      <c r="I33" s="12">
        <f>IF(H33&gt;0, F33/H33, 0)</f>
        <v/>
      </c>
      <c r="J33" s="10" t="n">
        <v>40</v>
      </c>
      <c r="K33" s="10" t="n">
        <v>210</v>
      </c>
      <c r="L33" s="11">
        <f>K33*$E$4</f>
        <v/>
      </c>
      <c r="M33" s="12">
        <f>IF(L33&gt;0, J33/L33, 0)</f>
        <v/>
      </c>
      <c r="N33" s="10" t="n">
        <v>0</v>
      </c>
      <c r="O33" s="10" t="n">
        <v>210</v>
      </c>
      <c r="P33" s="11">
        <f>O33*$E$4</f>
        <v/>
      </c>
      <c r="Q33" s="12">
        <f>IF(P33&gt;0, N33/P33, 0)</f>
        <v/>
      </c>
      <c r="R33" s="10" t="n">
        <v>40</v>
      </c>
      <c r="S33" s="10" t="n">
        <v>210</v>
      </c>
      <c r="T33" s="11">
        <f>S33*$E$4</f>
        <v/>
      </c>
      <c r="U33" s="12">
        <f>IF(T33&gt;0, R33/T33, 0)</f>
        <v/>
      </c>
      <c r="V33" s="10" t="n">
        <v>0</v>
      </c>
      <c r="W33" s="10" t="n">
        <v>224</v>
      </c>
      <c r="X33" s="11">
        <f>W33*$E$4</f>
        <v/>
      </c>
      <c r="Y33" s="12">
        <f>IF(X33&gt;0, V33/X33, 0)</f>
        <v/>
      </c>
      <c r="Z33" s="10" t="n">
        <v>40</v>
      </c>
      <c r="AA33" s="10" t="n">
        <v>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0</v>
      </c>
      <c r="G34" s="10" t="n">
        <v>364</v>
      </c>
      <c r="H34" s="11">
        <f>G34*$E$4</f>
        <v/>
      </c>
      <c r="I34" s="12">
        <f>IF(G34&gt;0, F34/G34, 0)</f>
        <v/>
      </c>
      <c r="J34" s="10" t="n">
        <v>60</v>
      </c>
      <c r="K34" s="10" t="n">
        <v>294</v>
      </c>
      <c r="L34" s="11">
        <f>K34*$E$4</f>
        <v/>
      </c>
      <c r="M34" s="12">
        <f>IF(K34&gt;0, J34/K34, 0)</f>
        <v/>
      </c>
      <c r="N34" s="10" t="n">
        <v>0</v>
      </c>
      <c r="O34" s="10" t="n">
        <v>406</v>
      </c>
      <c r="P34" s="11">
        <f>O34*$E$4</f>
        <v/>
      </c>
      <c r="Q34" s="12">
        <f>IF(O34&gt;0, N34/O34, 0)</f>
        <v/>
      </c>
      <c r="R34" s="10" t="n">
        <v>0</v>
      </c>
      <c r="S34" s="10" t="n">
        <v>280</v>
      </c>
      <c r="T34" s="11">
        <f>S34*$E$4</f>
        <v/>
      </c>
      <c r="U34" s="12">
        <f>IF(S34&gt;0, R34/S34, 0)</f>
        <v/>
      </c>
      <c r="V34" s="10" t="n">
        <v>40</v>
      </c>
      <c r="W34" s="10" t="n">
        <v>336</v>
      </c>
      <c r="X34" s="11">
        <f>W34*$E$4</f>
        <v/>
      </c>
      <c r="Y34" s="12">
        <f>IF(W34&gt;0, V34/W34, 0)</f>
        <v/>
      </c>
      <c r="Z34" s="10" t="n">
        <v>0</v>
      </c>
      <c r="AA34" s="10" t="n">
        <v>168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0</v>
      </c>
      <c r="G35" s="10" t="n">
        <v>182</v>
      </c>
      <c r="H35" s="11">
        <f>G35*$E$4</f>
        <v/>
      </c>
      <c r="I35" s="12">
        <f>IF(H35&gt;0, F35/H35, 0)</f>
        <v/>
      </c>
      <c r="J35" s="10" t="n">
        <v>60</v>
      </c>
      <c r="K35" s="10" t="n">
        <v>210</v>
      </c>
      <c r="L35" s="11">
        <f>K35*$E$4</f>
        <v/>
      </c>
      <c r="M35" s="12">
        <f>IF(L35&gt;0, J35/L35, 0)</f>
        <v/>
      </c>
      <c r="N35" s="10" t="n">
        <v>0</v>
      </c>
      <c r="O35" s="10" t="n">
        <v>210</v>
      </c>
      <c r="P35" s="11">
        <f>O35*$E$4</f>
        <v/>
      </c>
      <c r="Q35" s="12">
        <f>IF(P35&gt;0, N35/P35, 0)</f>
        <v/>
      </c>
      <c r="R35" s="10" t="n">
        <v>50</v>
      </c>
      <c r="S35" s="10" t="n">
        <v>210</v>
      </c>
      <c r="T35" s="11">
        <f>S35*$E$4</f>
        <v/>
      </c>
      <c r="U35" s="12">
        <f>IF(T35&gt;0, R35/T35, 0)</f>
        <v/>
      </c>
      <c r="V35" s="10" t="n">
        <v>0</v>
      </c>
      <c r="W35" s="10" t="n">
        <v>224</v>
      </c>
      <c r="X35" s="11">
        <f>W35*$E$4</f>
        <v/>
      </c>
      <c r="Y35" s="12">
        <f>IF(X35&gt;0, V35/X35, 0)</f>
        <v/>
      </c>
      <c r="Z35" s="10" t="n">
        <v>77</v>
      </c>
      <c r="AA35" s="10" t="n">
        <v>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31)</t>
        </is>
      </c>
    </row>
    <row r="2" ht="18" customHeight="1">
      <c r="A2" s="2" t="inlineStr">
        <is>
          <t>OBRA: CARRETERA LIBRE MÉXICO-TOLUCA | PERIODO: 27/Jul/2026 - 01/Ago/2026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95</v>
      </c>
      <c r="D5" t="inlineStr">
        <is>
          <t>Volumen Fresado (m³):</t>
        </is>
      </c>
      <c r="E5" s="20" t="n">
        <v>1288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72</v>
      </c>
      <c r="D6" t="inlineStr">
        <is>
          <t>Volumen Carpeta (m³):</t>
        </is>
      </c>
      <c r="E6" s="20" t="n">
        <v>1001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1200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551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150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155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109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153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102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390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290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31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31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0</v>
      </c>
      <c r="G27" s="10" t="n">
        <v>336</v>
      </c>
      <c r="H27" s="11">
        <f>G27*$E$4</f>
        <v/>
      </c>
      <c r="I27" s="12">
        <f>IF(G27&gt;0, F27/G27, 0)</f>
        <v/>
      </c>
      <c r="J27" s="10" t="n">
        <v>400</v>
      </c>
      <c r="K27" s="10" t="n">
        <v>336</v>
      </c>
      <c r="L27" s="11">
        <f>K27*$E$4</f>
        <v/>
      </c>
      <c r="M27" s="12">
        <f>IF(K27&gt;0, J27/K27, 0)</f>
        <v/>
      </c>
      <c r="N27" s="10" t="n">
        <v>0</v>
      </c>
      <c r="O27" s="10" t="n">
        <v>154</v>
      </c>
      <c r="P27" s="11">
        <f>O27*$E$4</f>
        <v/>
      </c>
      <c r="Q27" s="12">
        <f>IF(O27&gt;0, N27/O27, 0)</f>
        <v/>
      </c>
      <c r="R27" s="10" t="n">
        <v>400</v>
      </c>
      <c r="S27" s="10" t="n">
        <v>98</v>
      </c>
      <c r="T27" s="11">
        <f>S27*$E$4</f>
        <v/>
      </c>
      <c r="U27" s="12">
        <f>IF(S27&gt;0, R27/S27, 0)</f>
        <v/>
      </c>
      <c r="V27" s="10" t="n">
        <v>0</v>
      </c>
      <c r="W27" s="10" t="n">
        <v>70</v>
      </c>
      <c r="X27" s="11">
        <f>W27*$E$4</f>
        <v/>
      </c>
      <c r="Y27" s="12">
        <f>IF(W27&gt;0, V27/W27, 0)</f>
        <v/>
      </c>
      <c r="Z27" s="10" t="n">
        <v>400</v>
      </c>
      <c r="AA27" s="10" t="n">
        <v>252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0</v>
      </c>
      <c r="G28" s="10" t="n">
        <v>203</v>
      </c>
      <c r="H28" s="11">
        <f>G28*$E$4</f>
        <v/>
      </c>
      <c r="I28" s="12">
        <f>IF(H28&gt;0, F28/H28, 0)</f>
        <v/>
      </c>
      <c r="J28" s="10" t="n">
        <v>230</v>
      </c>
      <c r="K28" s="10" t="n">
        <v>140</v>
      </c>
      <c r="L28" s="11">
        <f>K28*$E$4</f>
        <v/>
      </c>
      <c r="M28" s="12">
        <f>IF(L28&gt;0, J28/L28, 0)</f>
        <v/>
      </c>
      <c r="N28" s="10" t="n">
        <v>0</v>
      </c>
      <c r="O28" s="10" t="n">
        <v>210</v>
      </c>
      <c r="P28" s="11">
        <f>O28*$E$4</f>
        <v/>
      </c>
      <c r="Q28" s="12">
        <f>IF(P28&gt;0, N28/P28, 0)</f>
        <v/>
      </c>
      <c r="R28" s="10" t="n">
        <v>160</v>
      </c>
      <c r="S28" s="10" t="n">
        <v>210</v>
      </c>
      <c r="T28" s="11">
        <f>S28*$E$4</f>
        <v/>
      </c>
      <c r="U28" s="12">
        <f>IF(T28&gt;0, R28/T28, 0)</f>
        <v/>
      </c>
      <c r="V28" s="10" t="n">
        <v>0</v>
      </c>
      <c r="W28" s="10" t="n">
        <v>210</v>
      </c>
      <c r="X28" s="11">
        <f>W28*$E$4</f>
        <v/>
      </c>
      <c r="Y28" s="12">
        <f>IF(X28&gt;0, V28/X28, 0)</f>
        <v/>
      </c>
      <c r="Z28" s="10" t="n">
        <v>161</v>
      </c>
      <c r="AA28" s="10" t="n">
        <v>28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0</v>
      </c>
      <c r="G29" s="10" t="n">
        <v>203</v>
      </c>
      <c r="H29" s="11">
        <f>G29*$E$4</f>
        <v/>
      </c>
      <c r="I29" s="12">
        <f>IF(H29&gt;0, F29/H29, 0)</f>
        <v/>
      </c>
      <c r="J29" s="10" t="n">
        <v>50</v>
      </c>
      <c r="K29" s="10" t="n">
        <v>140</v>
      </c>
      <c r="L29" s="11">
        <f>K29*$E$4</f>
        <v/>
      </c>
      <c r="M29" s="12">
        <f>IF(L29&gt;0, J29/L29, 0)</f>
        <v/>
      </c>
      <c r="N29" s="10" t="n">
        <v>0</v>
      </c>
      <c r="O29" s="10" t="n">
        <v>210</v>
      </c>
      <c r="P29" s="11">
        <f>O29*$E$4</f>
        <v/>
      </c>
      <c r="Q29" s="12">
        <f>IF(P29&gt;0, N29/P29, 0)</f>
        <v/>
      </c>
      <c r="R29" s="10" t="n">
        <v>50</v>
      </c>
      <c r="S29" s="10" t="n">
        <v>210</v>
      </c>
      <c r="T29" s="11">
        <f>S29*$E$4</f>
        <v/>
      </c>
      <c r="U29" s="12">
        <f>IF(T29&gt;0, R29/T29, 0)</f>
        <v/>
      </c>
      <c r="V29" s="10" t="n">
        <v>0</v>
      </c>
      <c r="W29" s="10" t="n">
        <v>210</v>
      </c>
      <c r="X29" s="11">
        <f>W29*$E$4</f>
        <v/>
      </c>
      <c r="Y29" s="12">
        <f>IF(X29&gt;0, V29/X29, 0)</f>
        <v/>
      </c>
      <c r="Z29" s="10" t="n">
        <v>50</v>
      </c>
      <c r="AA29" s="10" t="n">
        <v>28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0</v>
      </c>
      <c r="G30" s="10" t="n">
        <v>203</v>
      </c>
      <c r="H30" s="11">
        <f>G30*$E$4</f>
        <v/>
      </c>
      <c r="I30" s="12">
        <f>IF(H30&gt;0, F30/H30, 0)</f>
        <v/>
      </c>
      <c r="J30" s="10" t="n">
        <v>50</v>
      </c>
      <c r="K30" s="10" t="n">
        <v>140</v>
      </c>
      <c r="L30" s="11">
        <f>K30*$E$4</f>
        <v/>
      </c>
      <c r="M30" s="12">
        <f>IF(L30&gt;0, J30/L30, 0)</f>
        <v/>
      </c>
      <c r="N30" s="10" t="n">
        <v>0</v>
      </c>
      <c r="O30" s="10" t="n">
        <v>210</v>
      </c>
      <c r="P30" s="11">
        <f>O30*$E$4</f>
        <v/>
      </c>
      <c r="Q30" s="12">
        <f>IF(P30&gt;0, N30/P30, 0)</f>
        <v/>
      </c>
      <c r="R30" s="10" t="n">
        <v>55</v>
      </c>
      <c r="S30" s="10" t="n">
        <v>210</v>
      </c>
      <c r="T30" s="11">
        <f>S30*$E$4</f>
        <v/>
      </c>
      <c r="U30" s="12">
        <f>IF(T30&gt;0, R30/T30, 0)</f>
        <v/>
      </c>
      <c r="V30" s="10" t="n">
        <v>0</v>
      </c>
      <c r="W30" s="10" t="n">
        <v>210</v>
      </c>
      <c r="X30" s="11">
        <f>W30*$E$4</f>
        <v/>
      </c>
      <c r="Y30" s="12">
        <f>IF(X30&gt;0, V30/X30, 0)</f>
        <v/>
      </c>
      <c r="Z30" s="10" t="n">
        <v>50</v>
      </c>
      <c r="AA30" s="10" t="n">
        <v>28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0</v>
      </c>
      <c r="G31" s="10" t="n">
        <v>203</v>
      </c>
      <c r="H31" s="11">
        <f>G31*$E$4</f>
        <v/>
      </c>
      <c r="I31" s="12">
        <f>IF(H31&gt;0, F31/H31, 0)</f>
        <v/>
      </c>
      <c r="J31" s="10" t="n">
        <v>12</v>
      </c>
      <c r="K31" s="10" t="n">
        <v>140</v>
      </c>
      <c r="L31" s="11">
        <f>K31*$E$4</f>
        <v/>
      </c>
      <c r="M31" s="12">
        <f>IF(L31&gt;0, J31/L31, 0)</f>
        <v/>
      </c>
      <c r="N31" s="10" t="n">
        <v>0</v>
      </c>
      <c r="O31" s="10" t="n">
        <v>210</v>
      </c>
      <c r="P31" s="11">
        <f>O31*$E$4</f>
        <v/>
      </c>
      <c r="Q31" s="12">
        <f>IF(P31&gt;0, N31/P31, 0)</f>
        <v/>
      </c>
      <c r="R31" s="10" t="n">
        <v>50</v>
      </c>
      <c r="S31" s="10" t="n">
        <v>210</v>
      </c>
      <c r="T31" s="11">
        <f>S31*$E$4</f>
        <v/>
      </c>
      <c r="U31" s="12">
        <f>IF(T31&gt;0, R31/T31, 0)</f>
        <v/>
      </c>
      <c r="V31" s="10" t="n">
        <v>0</v>
      </c>
      <c r="W31" s="10" t="n">
        <v>210</v>
      </c>
      <c r="X31" s="11">
        <f>W31*$E$4</f>
        <v/>
      </c>
      <c r="Y31" s="12">
        <f>IF(X31&gt;0, V31/X31, 0)</f>
        <v/>
      </c>
      <c r="Z31" s="10" t="n">
        <v>47</v>
      </c>
      <c r="AA31" s="10" t="n">
        <v>28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203</v>
      </c>
      <c r="H32" s="11">
        <f>G32*$E$4</f>
        <v/>
      </c>
      <c r="I32" s="12">
        <f>IF(H32&gt;0, F32/H32, 0)</f>
        <v/>
      </c>
      <c r="J32" s="10" t="n">
        <v>50</v>
      </c>
      <c r="K32" s="10" t="n">
        <v>140</v>
      </c>
      <c r="L32" s="11">
        <f>K32*$E$4</f>
        <v/>
      </c>
      <c r="M32" s="12">
        <f>IF(L32&gt;0, J32/L32, 0)</f>
        <v/>
      </c>
      <c r="N32" s="10" t="n">
        <v>0</v>
      </c>
      <c r="O32" s="10" t="n">
        <v>210</v>
      </c>
      <c r="P32" s="11">
        <f>O32*$E$4</f>
        <v/>
      </c>
      <c r="Q32" s="12">
        <f>IF(P32&gt;0, N32/P32, 0)</f>
        <v/>
      </c>
      <c r="R32" s="10" t="n">
        <v>50</v>
      </c>
      <c r="S32" s="10" t="n">
        <v>210</v>
      </c>
      <c r="T32" s="11">
        <f>S32*$E$4</f>
        <v/>
      </c>
      <c r="U32" s="12">
        <f>IF(T32&gt;0, R32/T32, 0)</f>
        <v/>
      </c>
      <c r="V32" s="10" t="n">
        <v>0</v>
      </c>
      <c r="W32" s="10" t="n">
        <v>210</v>
      </c>
      <c r="X32" s="11">
        <f>W32*$E$4</f>
        <v/>
      </c>
      <c r="Y32" s="12">
        <f>IF(X32&gt;0, V32/X32, 0)</f>
        <v/>
      </c>
      <c r="Z32" s="10" t="n">
        <v>53</v>
      </c>
      <c r="AA32" s="10" t="n">
        <v>28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203</v>
      </c>
      <c r="H33" s="11">
        <f>G33*$E$4</f>
        <v/>
      </c>
      <c r="I33" s="12">
        <f>IF(H33&gt;0, F33/H33, 0)</f>
        <v/>
      </c>
      <c r="J33" s="10" t="n">
        <v>38</v>
      </c>
      <c r="K33" s="10" t="n">
        <v>140</v>
      </c>
      <c r="L33" s="11">
        <f>K33*$E$4</f>
        <v/>
      </c>
      <c r="M33" s="12">
        <f>IF(L33&gt;0, J33/L33, 0)</f>
        <v/>
      </c>
      <c r="N33" s="10" t="n">
        <v>0</v>
      </c>
      <c r="O33" s="10" t="n">
        <v>210</v>
      </c>
      <c r="P33" s="11">
        <f>O33*$E$4</f>
        <v/>
      </c>
      <c r="Q33" s="12">
        <f>IF(P33&gt;0, N33/P33, 0)</f>
        <v/>
      </c>
      <c r="R33" s="10" t="n">
        <v>28</v>
      </c>
      <c r="S33" s="10" t="n">
        <v>210</v>
      </c>
      <c r="T33" s="11">
        <f>S33*$E$4</f>
        <v/>
      </c>
      <c r="U33" s="12">
        <f>IF(T33&gt;0, R33/T33, 0)</f>
        <v/>
      </c>
      <c r="V33" s="10" t="n">
        <v>0</v>
      </c>
      <c r="W33" s="10" t="n">
        <v>210</v>
      </c>
      <c r="X33" s="11">
        <f>W33*$E$4</f>
        <v/>
      </c>
      <c r="Y33" s="12">
        <f>IF(X33&gt;0, V33/X33, 0)</f>
        <v/>
      </c>
      <c r="Z33" s="10" t="n">
        <v>36</v>
      </c>
      <c r="AA33" s="10" t="n">
        <v>28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115</v>
      </c>
      <c r="G34" s="10" t="n">
        <v>336</v>
      </c>
      <c r="H34" s="11">
        <f>G34*$E$4</f>
        <v/>
      </c>
      <c r="I34" s="12">
        <f>IF(G34&gt;0, F34/G34, 0)</f>
        <v/>
      </c>
      <c r="J34" s="10" t="n">
        <v>100</v>
      </c>
      <c r="K34" s="10" t="n">
        <v>336</v>
      </c>
      <c r="L34" s="11">
        <f>K34*$E$4</f>
        <v/>
      </c>
      <c r="M34" s="12">
        <f>IF(K34&gt;0, J34/K34, 0)</f>
        <v/>
      </c>
      <c r="N34" s="10" t="n">
        <v>0</v>
      </c>
      <c r="O34" s="10" t="n">
        <v>154</v>
      </c>
      <c r="P34" s="11">
        <f>O34*$E$4</f>
        <v/>
      </c>
      <c r="Q34" s="12">
        <f>IF(O34&gt;0, N34/O34, 0)</f>
        <v/>
      </c>
      <c r="R34" s="10" t="n">
        <v>60</v>
      </c>
      <c r="S34" s="10" t="n">
        <v>98</v>
      </c>
      <c r="T34" s="11">
        <f>S34*$E$4</f>
        <v/>
      </c>
      <c r="U34" s="12">
        <f>IF(S34&gt;0, R34/S34, 0)</f>
        <v/>
      </c>
      <c r="V34" s="10" t="n">
        <v>50</v>
      </c>
      <c r="W34" s="10" t="n">
        <v>70</v>
      </c>
      <c r="X34" s="11">
        <f>W34*$E$4</f>
        <v/>
      </c>
      <c r="Y34" s="12">
        <f>IF(W34&gt;0, V34/W34, 0)</f>
        <v/>
      </c>
      <c r="Z34" s="10" t="n">
        <v>65</v>
      </c>
      <c r="AA34" s="10" t="n">
        <v>252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0</v>
      </c>
      <c r="G35" s="10" t="n">
        <v>203</v>
      </c>
      <c r="H35" s="11">
        <f>G35*$E$4</f>
        <v/>
      </c>
      <c r="I35" s="12">
        <f>IF(H35&gt;0, F35/H35, 0)</f>
        <v/>
      </c>
      <c r="J35" s="10" t="n">
        <v>60</v>
      </c>
      <c r="K35" s="10" t="n">
        <v>140</v>
      </c>
      <c r="L35" s="11">
        <f>K35*$E$4</f>
        <v/>
      </c>
      <c r="M35" s="12">
        <f>IF(L35&gt;0, J35/L35, 0)</f>
        <v/>
      </c>
      <c r="N35" s="10" t="n">
        <v>50</v>
      </c>
      <c r="O35" s="10" t="n">
        <v>210</v>
      </c>
      <c r="P35" s="11">
        <f>O35*$E$4</f>
        <v/>
      </c>
      <c r="Q35" s="12">
        <f>IF(P35&gt;0, N35/P35, 0)</f>
        <v/>
      </c>
      <c r="R35" s="10" t="n">
        <v>60</v>
      </c>
      <c r="S35" s="10" t="n">
        <v>210</v>
      </c>
      <c r="T35" s="11">
        <f>S35*$E$4</f>
        <v/>
      </c>
      <c r="U35" s="12">
        <f>IF(T35&gt;0, R35/T35, 0)</f>
        <v/>
      </c>
      <c r="V35" s="10" t="n">
        <v>0</v>
      </c>
      <c r="W35" s="10" t="n">
        <v>210</v>
      </c>
      <c r="X35" s="11">
        <f>W35*$E$4</f>
        <v/>
      </c>
      <c r="Y35" s="12">
        <f>IF(X35&gt;0, V35/X35, 0)</f>
        <v/>
      </c>
      <c r="Z35" s="10" t="n">
        <v>120</v>
      </c>
      <c r="AA35" s="10" t="n">
        <v>28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32)</t>
        </is>
      </c>
    </row>
    <row r="2" ht="18" customHeight="1">
      <c r="A2" s="2" t="inlineStr">
        <is>
          <t>OBRA: CARRETERA LIBRE MÉXICO-TOLUCA | PERIODO: 03/Ago/2026 - 08/Ago/2026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113</v>
      </c>
      <c r="D5" t="inlineStr">
        <is>
          <t>Volumen Fresado (m³):</t>
        </is>
      </c>
      <c r="E5" s="20" t="n">
        <v>1547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82</v>
      </c>
      <c r="D6" t="inlineStr">
        <is>
          <t>Volumen Carpeta (m³):</t>
        </is>
      </c>
      <c r="E6" s="20" t="n">
        <v>1148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960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726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60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203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53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83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96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332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80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32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32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0</v>
      </c>
      <c r="G27" s="10" t="n">
        <v>224</v>
      </c>
      <c r="H27" s="11">
        <f>G27*$E$4</f>
        <v/>
      </c>
      <c r="I27" s="12">
        <f>IF(G27&gt;0, F27/G27, 0)</f>
        <v/>
      </c>
      <c r="J27" s="10" t="n">
        <v>510</v>
      </c>
      <c r="K27" s="10" t="n">
        <v>308</v>
      </c>
      <c r="L27" s="11">
        <f>K27*$E$4</f>
        <v/>
      </c>
      <c r="M27" s="12">
        <f>IF(K27&gt;0, J27/K27, 0)</f>
        <v/>
      </c>
      <c r="N27" s="10" t="n">
        <v>0</v>
      </c>
      <c r="O27" s="10" t="n">
        <v>56</v>
      </c>
      <c r="P27" s="11">
        <f>O27*$E$4</f>
        <v/>
      </c>
      <c r="Q27" s="12">
        <f>IF(O27&gt;0, N27/O27, 0)</f>
        <v/>
      </c>
      <c r="R27" s="10" t="n">
        <v>250</v>
      </c>
      <c r="S27" s="10" t="n">
        <v>238</v>
      </c>
      <c r="T27" s="11">
        <f>S27*$E$4</f>
        <v/>
      </c>
      <c r="U27" s="12">
        <f>IF(S27&gt;0, R27/S27, 0)</f>
        <v/>
      </c>
      <c r="V27" s="10" t="n">
        <v>0</v>
      </c>
      <c r="W27" s="10" t="n">
        <v>364</v>
      </c>
      <c r="X27" s="11">
        <f>W27*$E$4</f>
        <v/>
      </c>
      <c r="Y27" s="12">
        <f>IF(W27&gt;0, V27/W27, 0)</f>
        <v/>
      </c>
      <c r="Z27" s="10" t="n">
        <v>200</v>
      </c>
      <c r="AA27" s="10" t="n">
        <v>308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0</v>
      </c>
      <c r="G28" s="10" t="n">
        <v>203</v>
      </c>
      <c r="H28" s="11">
        <f>G28*$E$4</f>
        <v/>
      </c>
      <c r="I28" s="12">
        <f>IF(H28&gt;0, F28/H28, 0)</f>
        <v/>
      </c>
      <c r="J28" s="10" t="n">
        <v>160</v>
      </c>
      <c r="K28" s="10" t="n">
        <v>0</v>
      </c>
      <c r="L28" s="11">
        <f>K28*$E$4</f>
        <v/>
      </c>
      <c r="M28" s="12">
        <f>IF(L28&gt;0, J28/L28, 0)</f>
        <v/>
      </c>
      <c r="N28" s="10" t="n">
        <v>0</v>
      </c>
      <c r="O28" s="10" t="n">
        <v>210</v>
      </c>
      <c r="P28" s="11">
        <f>O28*$E$4</f>
        <v/>
      </c>
      <c r="Q28" s="12">
        <f>IF(P28&gt;0, N28/P28, 0)</f>
        <v/>
      </c>
      <c r="R28" s="10" t="n">
        <v>336</v>
      </c>
      <c r="S28" s="10" t="n">
        <v>168</v>
      </c>
      <c r="T28" s="11">
        <f>S28*$E$4</f>
        <v/>
      </c>
      <c r="U28" s="12">
        <f>IF(T28&gt;0, R28/T28, 0)</f>
        <v/>
      </c>
      <c r="V28" s="10" t="n">
        <v>0</v>
      </c>
      <c r="W28" s="10" t="n">
        <v>210</v>
      </c>
      <c r="X28" s="11">
        <f>W28*$E$4</f>
        <v/>
      </c>
      <c r="Y28" s="12">
        <f>IF(X28&gt;0, V28/X28, 0)</f>
        <v/>
      </c>
      <c r="Z28" s="10" t="n">
        <v>230</v>
      </c>
      <c r="AA28" s="10" t="n">
        <v>350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0</v>
      </c>
      <c r="G29" s="10" t="n">
        <v>203</v>
      </c>
      <c r="H29" s="11">
        <f>G29*$E$4</f>
        <v/>
      </c>
      <c r="I29" s="12">
        <f>IF(H29&gt;0, F29/H29, 0)</f>
        <v/>
      </c>
      <c r="J29" s="10" t="n">
        <v>60</v>
      </c>
      <c r="K29" s="10" t="n">
        <v>0</v>
      </c>
      <c r="L29" s="11">
        <f>K29*$E$4</f>
        <v/>
      </c>
      <c r="M29" s="12">
        <f>IF(L29&gt;0, J29/L29, 0)</f>
        <v/>
      </c>
      <c r="N29" s="10" t="n">
        <v>0</v>
      </c>
      <c r="O29" s="10" t="n">
        <v>210</v>
      </c>
      <c r="P29" s="11">
        <f>O29*$E$4</f>
        <v/>
      </c>
      <c r="Q29" s="12">
        <f>IF(P29&gt;0, N29/P29, 0)</f>
        <v/>
      </c>
      <c r="R29" s="10" t="n">
        <v>0</v>
      </c>
      <c r="S29" s="10" t="n">
        <v>168</v>
      </c>
      <c r="T29" s="11">
        <f>S29*$E$4</f>
        <v/>
      </c>
      <c r="U29" s="12">
        <f>IF(T29&gt;0, R29/T29, 0)</f>
        <v/>
      </c>
      <c r="V29" s="10" t="n">
        <v>0</v>
      </c>
      <c r="W29" s="10" t="n">
        <v>210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350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0</v>
      </c>
      <c r="G30" s="10" t="n">
        <v>203</v>
      </c>
      <c r="H30" s="11">
        <f>G30*$E$4</f>
        <v/>
      </c>
      <c r="I30" s="12">
        <f>IF(H30&gt;0, F30/H30, 0)</f>
        <v/>
      </c>
      <c r="J30" s="10" t="n">
        <v>60</v>
      </c>
      <c r="K30" s="10" t="n">
        <v>0</v>
      </c>
      <c r="L30" s="11">
        <f>K30*$E$4</f>
        <v/>
      </c>
      <c r="M30" s="12">
        <f>IF(L30&gt;0, J30/L30, 0)</f>
        <v/>
      </c>
      <c r="N30" s="10" t="n">
        <v>0</v>
      </c>
      <c r="O30" s="10" t="n">
        <v>210</v>
      </c>
      <c r="P30" s="11">
        <f>O30*$E$4</f>
        <v/>
      </c>
      <c r="Q30" s="12">
        <f>IF(P30&gt;0, N30/P30, 0)</f>
        <v/>
      </c>
      <c r="R30" s="10" t="n">
        <v>60</v>
      </c>
      <c r="S30" s="10" t="n">
        <v>168</v>
      </c>
      <c r="T30" s="11">
        <f>S30*$E$4</f>
        <v/>
      </c>
      <c r="U30" s="12">
        <f>IF(T30&gt;0, R30/T30, 0)</f>
        <v/>
      </c>
      <c r="V30" s="10" t="n">
        <v>0</v>
      </c>
      <c r="W30" s="10" t="n">
        <v>210</v>
      </c>
      <c r="X30" s="11">
        <f>W30*$E$4</f>
        <v/>
      </c>
      <c r="Y30" s="12">
        <f>IF(X30&gt;0, V30/X30, 0)</f>
        <v/>
      </c>
      <c r="Z30" s="10" t="n">
        <v>83</v>
      </c>
      <c r="AA30" s="10" t="n">
        <v>350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0</v>
      </c>
      <c r="G31" s="10" t="n">
        <v>203</v>
      </c>
      <c r="H31" s="11">
        <f>G31*$E$4</f>
        <v/>
      </c>
      <c r="I31" s="12">
        <f>IF(H31&gt;0, F31/H31, 0)</f>
        <v/>
      </c>
      <c r="J31" s="10" t="n">
        <v>3</v>
      </c>
      <c r="K31" s="10" t="n">
        <v>0</v>
      </c>
      <c r="L31" s="11">
        <f>K31*$E$4</f>
        <v/>
      </c>
      <c r="M31" s="12">
        <f>IF(L31&gt;0, J31/L31, 0)</f>
        <v/>
      </c>
      <c r="N31" s="10" t="n">
        <v>0</v>
      </c>
      <c r="O31" s="10" t="n">
        <v>210</v>
      </c>
      <c r="P31" s="11">
        <f>O31*$E$4</f>
        <v/>
      </c>
      <c r="Q31" s="12">
        <f>IF(P31&gt;0, N31/P31, 0)</f>
        <v/>
      </c>
      <c r="R31" s="10" t="n">
        <v>0</v>
      </c>
      <c r="S31" s="10" t="n">
        <v>168</v>
      </c>
      <c r="T31" s="11">
        <f>S31*$E$4</f>
        <v/>
      </c>
      <c r="U31" s="12">
        <f>IF(T31&gt;0, R31/T31, 0)</f>
        <v/>
      </c>
      <c r="V31" s="10" t="n">
        <v>0</v>
      </c>
      <c r="W31" s="10" t="n">
        <v>210</v>
      </c>
      <c r="X31" s="11">
        <f>W31*$E$4</f>
        <v/>
      </c>
      <c r="Y31" s="12">
        <f>IF(X31&gt;0, V31/X31, 0)</f>
        <v/>
      </c>
      <c r="Z31" s="10" t="n">
        <v>50</v>
      </c>
      <c r="AA31" s="10" t="n">
        <v>350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0</v>
      </c>
      <c r="G32" s="10" t="n">
        <v>203</v>
      </c>
      <c r="H32" s="11">
        <f>G32*$E$4</f>
        <v/>
      </c>
      <c r="I32" s="12">
        <f>IF(H32&gt;0, F32/H32, 0)</f>
        <v/>
      </c>
      <c r="J32" s="10" t="n">
        <v>48</v>
      </c>
      <c r="K32" s="10" t="n">
        <v>0</v>
      </c>
      <c r="L32" s="11">
        <f>K32*$E$4</f>
        <v/>
      </c>
      <c r="M32" s="12">
        <f>IF(L32&gt;0, J32/L32, 0)</f>
        <v/>
      </c>
      <c r="N32" s="10" t="n">
        <v>0</v>
      </c>
      <c r="O32" s="10" t="n">
        <v>210</v>
      </c>
      <c r="P32" s="11">
        <f>O32*$E$4</f>
        <v/>
      </c>
      <c r="Q32" s="12">
        <f>IF(P32&gt;0, N32/P32, 0)</f>
        <v/>
      </c>
      <c r="R32" s="10" t="n">
        <v>35</v>
      </c>
      <c r="S32" s="10" t="n">
        <v>168</v>
      </c>
      <c r="T32" s="11">
        <f>S32*$E$4</f>
        <v/>
      </c>
      <c r="U32" s="12">
        <f>IF(T32&gt;0, R32/T32, 0)</f>
        <v/>
      </c>
      <c r="V32" s="10" t="n">
        <v>0</v>
      </c>
      <c r="W32" s="10" t="n">
        <v>210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350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0</v>
      </c>
      <c r="G33" s="10" t="n">
        <v>203</v>
      </c>
      <c r="H33" s="11">
        <f>G33*$E$4</f>
        <v/>
      </c>
      <c r="I33" s="12">
        <f>IF(H33&gt;0, F33/H33, 0)</f>
        <v/>
      </c>
      <c r="J33" s="10" t="n">
        <v>29</v>
      </c>
      <c r="K33" s="10" t="n">
        <v>0</v>
      </c>
      <c r="L33" s="11">
        <f>K33*$E$4</f>
        <v/>
      </c>
      <c r="M33" s="12">
        <f>IF(L33&gt;0, J33/L33, 0)</f>
        <v/>
      </c>
      <c r="N33" s="10" t="n">
        <v>0</v>
      </c>
      <c r="O33" s="10" t="n">
        <v>210</v>
      </c>
      <c r="P33" s="11">
        <f>O33*$E$4</f>
        <v/>
      </c>
      <c r="Q33" s="12">
        <f>IF(P33&gt;0, N33/P33, 0)</f>
        <v/>
      </c>
      <c r="R33" s="10" t="n">
        <v>28</v>
      </c>
      <c r="S33" s="10" t="n">
        <v>168</v>
      </c>
      <c r="T33" s="11">
        <f>S33*$E$4</f>
        <v/>
      </c>
      <c r="U33" s="12">
        <f>IF(T33&gt;0, R33/T33, 0)</f>
        <v/>
      </c>
      <c r="V33" s="10" t="n">
        <v>0</v>
      </c>
      <c r="W33" s="10" t="n">
        <v>210</v>
      </c>
      <c r="X33" s="11">
        <f>W33*$E$4</f>
        <v/>
      </c>
      <c r="Y33" s="12">
        <f>IF(X33&gt;0, V33/X33, 0)</f>
        <v/>
      </c>
      <c r="Z33" s="10" t="n">
        <v>39</v>
      </c>
      <c r="AA33" s="10" t="n">
        <v>350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0</v>
      </c>
      <c r="G34" s="10" t="n">
        <v>224</v>
      </c>
      <c r="H34" s="11">
        <f>G34*$E$4</f>
        <v/>
      </c>
      <c r="I34" s="12">
        <f>IF(G34&gt;0, F34/G34, 0)</f>
        <v/>
      </c>
      <c r="J34" s="10" t="n">
        <v>80</v>
      </c>
      <c r="K34" s="10" t="n">
        <v>308</v>
      </c>
      <c r="L34" s="11">
        <f>K34*$E$4</f>
        <v/>
      </c>
      <c r="M34" s="12">
        <f>IF(K34&gt;0, J34/K34, 0)</f>
        <v/>
      </c>
      <c r="N34" s="10" t="n">
        <v>0</v>
      </c>
      <c r="O34" s="10" t="n">
        <v>56</v>
      </c>
      <c r="P34" s="11">
        <f>O34*$E$4</f>
        <v/>
      </c>
      <c r="Q34" s="12">
        <f>IF(O34&gt;0, N34/O34, 0)</f>
        <v/>
      </c>
      <c r="R34" s="10" t="n">
        <v>211</v>
      </c>
      <c r="S34" s="10" t="n">
        <v>238</v>
      </c>
      <c r="T34" s="11">
        <f>S34*$E$4</f>
        <v/>
      </c>
      <c r="U34" s="12">
        <f>IF(S34&gt;0, R34/S34, 0)</f>
        <v/>
      </c>
      <c r="V34" s="10" t="n">
        <v>0</v>
      </c>
      <c r="W34" s="10" t="n">
        <v>364</v>
      </c>
      <c r="X34" s="11">
        <f>W34*$E$4</f>
        <v/>
      </c>
      <c r="Y34" s="12">
        <f>IF(W34&gt;0, V34/W34, 0)</f>
        <v/>
      </c>
      <c r="Z34" s="10" t="n">
        <v>41</v>
      </c>
      <c r="AA34" s="10" t="n">
        <v>308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0</v>
      </c>
      <c r="G35" s="10" t="n">
        <v>203</v>
      </c>
      <c r="H35" s="11">
        <f>G35*$E$4</f>
        <v/>
      </c>
      <c r="I35" s="12">
        <f>IF(H35&gt;0, F35/H35, 0)</f>
        <v/>
      </c>
      <c r="J35" s="10" t="n">
        <v>0</v>
      </c>
      <c r="K35" s="10" t="n">
        <v>0</v>
      </c>
      <c r="L35" s="11">
        <f>K35*$E$4</f>
        <v/>
      </c>
      <c r="M35" s="12">
        <f>IF(L35&gt;0, J35/L35, 0)</f>
        <v/>
      </c>
      <c r="N35" s="10" t="n">
        <v>0</v>
      </c>
      <c r="O35" s="10" t="n">
        <v>210</v>
      </c>
      <c r="P35" s="11">
        <f>O35*$E$4</f>
        <v/>
      </c>
      <c r="Q35" s="12">
        <f>IF(P35&gt;0, N35/P35, 0)</f>
        <v/>
      </c>
      <c r="R35" s="10" t="n">
        <v>80</v>
      </c>
      <c r="S35" s="10" t="n">
        <v>168</v>
      </c>
      <c r="T35" s="11">
        <f>S35*$E$4</f>
        <v/>
      </c>
      <c r="U35" s="12">
        <f>IF(T35&gt;0, R35/T35, 0)</f>
        <v/>
      </c>
      <c r="V35" s="10" t="n">
        <v>0</v>
      </c>
      <c r="W35" s="10" t="n">
        <v>210</v>
      </c>
      <c r="X35" s="11">
        <f>W35*$E$4</f>
        <v/>
      </c>
      <c r="Y35" s="12">
        <f>IF(X35&gt;0, V35/X35, 0)</f>
        <v/>
      </c>
      <c r="Z35" s="10" t="n">
        <v>0</v>
      </c>
      <c r="AA35" s="10" t="n">
        <v>350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33)</t>
        </is>
      </c>
    </row>
    <row r="2" ht="18" customHeight="1">
      <c r="A2" s="2" t="inlineStr">
        <is>
          <t>OBRA: CARRETERA LIBRE MÉXICO-TOLUCA | PERIODO: 10/Ago/2026 - 15/Ago/2026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117</v>
      </c>
      <c r="D5" t="inlineStr">
        <is>
          <t>Volumen Fresado (m³):</t>
        </is>
      </c>
      <c r="E5" s="20" t="n">
        <v>1589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53</v>
      </c>
      <c r="D6" t="inlineStr">
        <is>
          <t>Volumen Carpeta (m³):</t>
        </is>
      </c>
      <c r="E6" s="20" t="n">
        <v>742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1220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700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148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50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34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147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111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500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270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33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33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400</v>
      </c>
      <c r="G27" s="10" t="n">
        <v>0</v>
      </c>
      <c r="H27" s="11">
        <f>G27*$E$4</f>
        <v/>
      </c>
      <c r="I27" s="12">
        <f>IF(G27&gt;0, F27/G27, 0)</f>
        <v/>
      </c>
      <c r="J27" s="10" t="n">
        <v>120</v>
      </c>
      <c r="K27" s="10" t="n">
        <v>0</v>
      </c>
      <c r="L27" s="11">
        <f>K27*$E$4</f>
        <v/>
      </c>
      <c r="M27" s="12">
        <f>IF(K27&gt;0, J27/K27, 0)</f>
        <v/>
      </c>
      <c r="N27" s="10" t="n">
        <v>300</v>
      </c>
      <c r="O27" s="10" t="n">
        <v>0</v>
      </c>
      <c r="P27" s="11">
        <f>O27*$E$4</f>
        <v/>
      </c>
      <c r="Q27" s="12">
        <f>IF(O27&gt;0, N27/O27, 0)</f>
        <v/>
      </c>
      <c r="R27" s="10" t="n">
        <v>0</v>
      </c>
      <c r="S27" s="10" t="n">
        <v>0</v>
      </c>
      <c r="T27" s="11">
        <f>S27*$E$4</f>
        <v/>
      </c>
      <c r="U27" s="12">
        <f>IF(S27&gt;0, R27/S27, 0)</f>
        <v/>
      </c>
      <c r="V27" s="10" t="n">
        <v>400</v>
      </c>
      <c r="W27" s="10" t="n">
        <v>0</v>
      </c>
      <c r="X27" s="11">
        <f>W27*$E$4</f>
        <v/>
      </c>
      <c r="Y27" s="12">
        <f>IF(W27&gt;0, V27/W27, 0)</f>
        <v/>
      </c>
      <c r="Z27" s="10" t="n">
        <v>0</v>
      </c>
      <c r="AA27" s="10" t="n">
        <v>0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150</v>
      </c>
      <c r="G28" s="10" t="n">
        <v>0</v>
      </c>
      <c r="H28" s="11">
        <f>G28*$E$4</f>
        <v/>
      </c>
      <c r="I28" s="12">
        <f>IF(H28&gt;0, F28/H28, 0)</f>
        <v/>
      </c>
      <c r="J28" s="10" t="n">
        <v>230</v>
      </c>
      <c r="K28" s="10" t="n">
        <v>0</v>
      </c>
      <c r="L28" s="11">
        <f>K28*$E$4</f>
        <v/>
      </c>
      <c r="M28" s="12">
        <f>IF(L28&gt;0, J28/L28, 0)</f>
        <v/>
      </c>
      <c r="N28" s="10" t="n">
        <v>160</v>
      </c>
      <c r="O28" s="10" t="n">
        <v>0</v>
      </c>
      <c r="P28" s="11">
        <f>O28*$E$4</f>
        <v/>
      </c>
      <c r="Q28" s="12">
        <f>IF(P28&gt;0, N28/P28, 0)</f>
        <v/>
      </c>
      <c r="R28" s="10" t="n">
        <v>0</v>
      </c>
      <c r="S28" s="10" t="n">
        <v>0</v>
      </c>
      <c r="T28" s="11">
        <f>S28*$E$4</f>
        <v/>
      </c>
      <c r="U28" s="12">
        <f>IF(T28&gt;0, R28/T28, 0)</f>
        <v/>
      </c>
      <c r="V28" s="10" t="n">
        <v>160</v>
      </c>
      <c r="W28" s="10" t="n">
        <v>0</v>
      </c>
      <c r="X28" s="11">
        <f>W28*$E$4</f>
        <v/>
      </c>
      <c r="Y28" s="12">
        <f>IF(X28&gt;0, V28/X28, 0)</f>
        <v/>
      </c>
      <c r="Z28" s="10" t="n">
        <v>0</v>
      </c>
      <c r="AA28" s="10" t="n">
        <v>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50</v>
      </c>
      <c r="G29" s="10" t="n">
        <v>0</v>
      </c>
      <c r="H29" s="11">
        <f>G29*$E$4</f>
        <v/>
      </c>
      <c r="I29" s="12">
        <f>IF(H29&gt;0, F29/H29, 0)</f>
        <v/>
      </c>
      <c r="J29" s="10" t="n">
        <v>0</v>
      </c>
      <c r="K29" s="10" t="n">
        <v>0</v>
      </c>
      <c r="L29" s="11">
        <f>K29*$E$4</f>
        <v/>
      </c>
      <c r="M29" s="12">
        <f>IF(L29&gt;0, J29/L29, 0)</f>
        <v/>
      </c>
      <c r="N29" s="10" t="n">
        <v>50</v>
      </c>
      <c r="O29" s="10" t="n">
        <v>0</v>
      </c>
      <c r="P29" s="11">
        <f>O29*$E$4</f>
        <v/>
      </c>
      <c r="Q29" s="12">
        <f>IF(P29&gt;0, N29/P29, 0)</f>
        <v/>
      </c>
      <c r="R29" s="10" t="n">
        <v>0</v>
      </c>
      <c r="S29" s="10" t="n">
        <v>0</v>
      </c>
      <c r="T29" s="11">
        <f>S29*$E$4</f>
        <v/>
      </c>
      <c r="U29" s="12">
        <f>IF(T29&gt;0, R29/T29, 0)</f>
        <v/>
      </c>
      <c r="V29" s="10" t="n">
        <v>48</v>
      </c>
      <c r="W29" s="10" t="n">
        <v>0</v>
      </c>
      <c r="X29" s="11">
        <f>W29*$E$4</f>
        <v/>
      </c>
      <c r="Y29" s="12">
        <f>IF(X29&gt;0, V29/X29, 0)</f>
        <v/>
      </c>
      <c r="Z29" s="10" t="n">
        <v>0</v>
      </c>
      <c r="AA29" s="10" t="n">
        <v>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0</v>
      </c>
      <c r="G30" s="10" t="n">
        <v>0</v>
      </c>
      <c r="H30" s="11">
        <f>G30*$E$4</f>
        <v/>
      </c>
      <c r="I30" s="12">
        <f>IF(H30&gt;0, F30/H30, 0)</f>
        <v/>
      </c>
      <c r="J30" s="10" t="n">
        <v>50</v>
      </c>
      <c r="K30" s="10" t="n">
        <v>0</v>
      </c>
      <c r="L30" s="11">
        <f>K30*$E$4</f>
        <v/>
      </c>
      <c r="M30" s="12">
        <f>IF(L30&gt;0, J30/L30, 0)</f>
        <v/>
      </c>
      <c r="N30" s="10" t="n">
        <v>0</v>
      </c>
      <c r="O30" s="10" t="n">
        <v>0</v>
      </c>
      <c r="P30" s="11">
        <f>O30*$E$4</f>
        <v/>
      </c>
      <c r="Q30" s="12">
        <f>IF(P30&gt;0, N30/P30, 0)</f>
        <v/>
      </c>
      <c r="R30" s="10" t="n">
        <v>0</v>
      </c>
      <c r="S30" s="10" t="n">
        <v>0</v>
      </c>
      <c r="T30" s="11">
        <f>S30*$E$4</f>
        <v/>
      </c>
      <c r="U30" s="12">
        <f>IF(T30&gt;0, R30/T30, 0)</f>
        <v/>
      </c>
      <c r="V30" s="10" t="n">
        <v>0</v>
      </c>
      <c r="W30" s="10" t="n">
        <v>0</v>
      </c>
      <c r="X30" s="11">
        <f>W30*$E$4</f>
        <v/>
      </c>
      <c r="Y30" s="12">
        <f>IF(X30&gt;0, V30/X30, 0)</f>
        <v/>
      </c>
      <c r="Z30" s="10" t="n">
        <v>0</v>
      </c>
      <c r="AA30" s="10" t="n">
        <v>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0</v>
      </c>
      <c r="G31" s="10" t="n">
        <v>0</v>
      </c>
      <c r="H31" s="11">
        <f>G31*$E$4</f>
        <v/>
      </c>
      <c r="I31" s="12">
        <f>IF(H31&gt;0, F31/H31, 0)</f>
        <v/>
      </c>
      <c r="J31" s="10" t="n">
        <v>34</v>
      </c>
      <c r="K31" s="10" t="n">
        <v>0</v>
      </c>
      <c r="L31" s="11">
        <f>K31*$E$4</f>
        <v/>
      </c>
      <c r="M31" s="12">
        <f>IF(L31&gt;0, J31/L31, 0)</f>
        <v/>
      </c>
      <c r="N31" s="10" t="n">
        <v>0</v>
      </c>
      <c r="O31" s="10" t="n">
        <v>0</v>
      </c>
      <c r="P31" s="11">
        <f>O31*$E$4</f>
        <v/>
      </c>
      <c r="Q31" s="12">
        <f>IF(P31&gt;0, N31/P31, 0)</f>
        <v/>
      </c>
      <c r="R31" s="10" t="n">
        <v>0</v>
      </c>
      <c r="S31" s="10" t="n">
        <v>0</v>
      </c>
      <c r="T31" s="11">
        <f>S31*$E$4</f>
        <v/>
      </c>
      <c r="U31" s="12">
        <f>IF(T31&gt;0, R31/T31, 0)</f>
        <v/>
      </c>
      <c r="V31" s="10" t="n">
        <v>0</v>
      </c>
      <c r="W31" s="10" t="n">
        <v>0</v>
      </c>
      <c r="X31" s="11">
        <f>W31*$E$4</f>
        <v/>
      </c>
      <c r="Y31" s="12">
        <f>IF(X31&gt;0, V31/X31, 0)</f>
        <v/>
      </c>
      <c r="Z31" s="10" t="n">
        <v>0</v>
      </c>
      <c r="AA31" s="10" t="n">
        <v>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48</v>
      </c>
      <c r="G32" s="10" t="n">
        <v>0</v>
      </c>
      <c r="H32" s="11">
        <f>G32*$E$4</f>
        <v/>
      </c>
      <c r="I32" s="12">
        <f>IF(H32&gt;0, F32/H32, 0)</f>
        <v/>
      </c>
      <c r="J32" s="10" t="n">
        <v>0</v>
      </c>
      <c r="K32" s="10" t="n">
        <v>0</v>
      </c>
      <c r="L32" s="11">
        <f>K32*$E$4</f>
        <v/>
      </c>
      <c r="M32" s="12">
        <f>IF(L32&gt;0, J32/L32, 0)</f>
        <v/>
      </c>
      <c r="N32" s="10" t="n">
        <v>49</v>
      </c>
      <c r="O32" s="10" t="n">
        <v>0</v>
      </c>
      <c r="P32" s="11">
        <f>O32*$E$4</f>
        <v/>
      </c>
      <c r="Q32" s="12">
        <f>IF(P32&gt;0, N32/P32, 0)</f>
        <v/>
      </c>
      <c r="R32" s="10" t="n">
        <v>0</v>
      </c>
      <c r="S32" s="10" t="n">
        <v>0</v>
      </c>
      <c r="T32" s="11">
        <f>S32*$E$4</f>
        <v/>
      </c>
      <c r="U32" s="12">
        <f>IF(T32&gt;0, R32/T32, 0)</f>
        <v/>
      </c>
      <c r="V32" s="10" t="n">
        <v>50</v>
      </c>
      <c r="W32" s="10" t="n">
        <v>0</v>
      </c>
      <c r="X32" s="11">
        <f>W32*$E$4</f>
        <v/>
      </c>
      <c r="Y32" s="12">
        <f>IF(X32&gt;0, V32/X32, 0)</f>
        <v/>
      </c>
      <c r="Z32" s="10" t="n">
        <v>0</v>
      </c>
      <c r="AA32" s="10" t="n">
        <v>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20</v>
      </c>
      <c r="G33" s="10" t="n">
        <v>0</v>
      </c>
      <c r="H33" s="11">
        <f>G33*$E$4</f>
        <v/>
      </c>
      <c r="I33" s="12">
        <f>IF(H33&gt;0, F33/H33, 0)</f>
        <v/>
      </c>
      <c r="J33" s="10" t="n">
        <v>30</v>
      </c>
      <c r="K33" s="10" t="n">
        <v>0</v>
      </c>
      <c r="L33" s="11">
        <f>K33*$E$4</f>
        <v/>
      </c>
      <c r="M33" s="12">
        <f>IF(L33&gt;0, J33/L33, 0)</f>
        <v/>
      </c>
      <c r="N33" s="10" t="n">
        <v>24</v>
      </c>
      <c r="O33" s="10" t="n">
        <v>0</v>
      </c>
      <c r="P33" s="11">
        <f>O33*$E$4</f>
        <v/>
      </c>
      <c r="Q33" s="12">
        <f>IF(P33&gt;0, N33/P33, 0)</f>
        <v/>
      </c>
      <c r="R33" s="10" t="n">
        <v>0</v>
      </c>
      <c r="S33" s="10" t="n">
        <v>0</v>
      </c>
      <c r="T33" s="11">
        <f>S33*$E$4</f>
        <v/>
      </c>
      <c r="U33" s="12">
        <f>IF(T33&gt;0, R33/T33, 0)</f>
        <v/>
      </c>
      <c r="V33" s="10" t="n">
        <v>37</v>
      </c>
      <c r="W33" s="10" t="n">
        <v>0</v>
      </c>
      <c r="X33" s="11">
        <f>W33*$E$4</f>
        <v/>
      </c>
      <c r="Y33" s="12">
        <f>IF(X33&gt;0, V33/X33, 0)</f>
        <v/>
      </c>
      <c r="Z33" s="10" t="n">
        <v>0</v>
      </c>
      <c r="AA33" s="10" t="n">
        <v>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60</v>
      </c>
      <c r="G34" s="10" t="n">
        <v>0</v>
      </c>
      <c r="H34" s="11">
        <f>G34*$E$4</f>
        <v/>
      </c>
      <c r="I34" s="12">
        <f>IF(G34&gt;0, F34/G34, 0)</f>
        <v/>
      </c>
      <c r="J34" s="10" t="n">
        <v>50</v>
      </c>
      <c r="K34" s="10" t="n">
        <v>0</v>
      </c>
      <c r="L34" s="11">
        <f>K34*$E$4</f>
        <v/>
      </c>
      <c r="M34" s="12">
        <f>IF(K34&gt;0, J34/K34, 0)</f>
        <v/>
      </c>
      <c r="N34" s="10" t="n">
        <v>60</v>
      </c>
      <c r="O34" s="10" t="n">
        <v>0</v>
      </c>
      <c r="P34" s="11">
        <f>O34*$E$4</f>
        <v/>
      </c>
      <c r="Q34" s="12">
        <f>IF(O34&gt;0, N34/O34, 0)</f>
        <v/>
      </c>
      <c r="R34" s="10" t="n">
        <v>120</v>
      </c>
      <c r="S34" s="10" t="n">
        <v>0</v>
      </c>
      <c r="T34" s="11">
        <f>S34*$E$4</f>
        <v/>
      </c>
      <c r="U34" s="12">
        <f>IF(S34&gt;0, R34/S34, 0)</f>
        <v/>
      </c>
      <c r="V34" s="10" t="n">
        <v>170</v>
      </c>
      <c r="W34" s="10" t="n">
        <v>0</v>
      </c>
      <c r="X34" s="11">
        <f>W34*$E$4</f>
        <v/>
      </c>
      <c r="Y34" s="12">
        <f>IF(W34&gt;0, V34/W34, 0)</f>
        <v/>
      </c>
      <c r="Z34" s="10" t="n">
        <v>40</v>
      </c>
      <c r="AA34" s="10" t="n">
        <v>0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60</v>
      </c>
      <c r="G35" s="10" t="n">
        <v>0</v>
      </c>
      <c r="H35" s="11">
        <f>G35*$E$4</f>
        <v/>
      </c>
      <c r="I35" s="12">
        <f>IF(H35&gt;0, F35/H35, 0)</f>
        <v/>
      </c>
      <c r="J35" s="10" t="n">
        <v>0</v>
      </c>
      <c r="K35" s="10" t="n">
        <v>0</v>
      </c>
      <c r="L35" s="11">
        <f>K35*$E$4</f>
        <v/>
      </c>
      <c r="M35" s="12">
        <f>IF(L35&gt;0, J35/L35, 0)</f>
        <v/>
      </c>
      <c r="N35" s="10" t="n">
        <v>120</v>
      </c>
      <c r="O35" s="10" t="n">
        <v>0</v>
      </c>
      <c r="P35" s="11">
        <f>O35*$E$4</f>
        <v/>
      </c>
      <c r="Q35" s="12">
        <f>IF(P35&gt;0, N35/P35, 0)</f>
        <v/>
      </c>
      <c r="R35" s="10" t="n">
        <v>30</v>
      </c>
      <c r="S35" s="10" t="n">
        <v>0</v>
      </c>
      <c r="T35" s="11">
        <f>S35*$E$4</f>
        <v/>
      </c>
      <c r="U35" s="12">
        <f>IF(T35&gt;0, R35/T35, 0)</f>
        <v/>
      </c>
      <c r="V35" s="10" t="n">
        <v>60</v>
      </c>
      <c r="W35" s="10" t="n">
        <v>0</v>
      </c>
      <c r="X35" s="11">
        <f>W35*$E$4</f>
        <v/>
      </c>
      <c r="Y35" s="12">
        <f>IF(X35&gt;0, V35/X35, 0)</f>
        <v/>
      </c>
      <c r="Z35" s="10" t="n">
        <v>0</v>
      </c>
      <c r="AA35" s="10" t="n">
        <v>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26" customWidth="1" min="4" max="4"/>
    <col width="28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6" customWidth="1" min="11" max="11"/>
    <col width="14" customWidth="1" min="12" max="12"/>
    <col width="15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5" customHeight="1">
      <c r="A1" s="1" t="inlineStr">
        <is>
          <t>GRUPO FÉNIX — CONTROL SEMANAL DE RENDIMIENTO DE MAQUINARIA (SEMANA 34)</t>
        </is>
      </c>
    </row>
    <row r="2" ht="18" customHeight="1">
      <c r="A2" s="2" t="inlineStr">
        <is>
          <t>OBRA: CARRETERA LIBRE MÉXICO-TOLUCA | PERIODO: 17/Ago/2026 - 22/Ago/2026 | FRENTE: SICT HUIXQUILUCAN</t>
        </is>
      </c>
    </row>
    <row r="4">
      <c r="A4" s="4" t="inlineStr">
        <is>
          <t>1. PARÁMETROS:</t>
        </is>
      </c>
      <c r="B4" s="4" t="inlineStr">
        <is>
          <t>PESO VOLUMÉTRICO ASFALTO (Ton/m³):</t>
        </is>
      </c>
      <c r="E4" s="5" t="n">
        <v>1.742</v>
      </c>
    </row>
    <row r="5">
      <c r="A5" s="4" t="inlineStr">
        <is>
          <t>2. FRESADO SEMANAL:</t>
        </is>
      </c>
      <c r="B5" t="inlineStr">
        <is>
          <t>Viajes de Fresado:</t>
        </is>
      </c>
      <c r="C5" s="19" t="n">
        <v>146</v>
      </c>
      <c r="D5" t="inlineStr">
        <is>
          <t>Volumen Fresado (m³):</t>
        </is>
      </c>
      <c r="E5" s="20" t="n">
        <v>2002</v>
      </c>
    </row>
    <row r="6">
      <c r="A6" s="4" t="inlineStr">
        <is>
          <t>3. CARPETA SEMANAL:</t>
        </is>
      </c>
      <c r="B6" t="inlineStr">
        <is>
          <t>Viajes de Mezcla:</t>
        </is>
      </c>
      <c r="C6" s="19" t="n">
        <v>56</v>
      </c>
      <c r="D6" t="inlineStr">
        <is>
          <t>Volumen Carpeta (m³):</t>
        </is>
      </c>
      <c r="E6" s="20" t="n">
        <v>792</v>
      </c>
      <c r="F6" t="inlineStr">
        <is>
          <t>Toneladas Carpeta (Ton):</t>
        </is>
      </c>
      <c r="G6" s="21">
        <f>E6*$E$4</f>
        <v/>
      </c>
    </row>
    <row r="8" ht="28" customHeight="1">
      <c r="A8" s="6" t="inlineStr">
        <is>
          <t>No.</t>
        </is>
      </c>
      <c r="B8" s="6" t="inlineStr">
        <is>
          <t>Económico</t>
        </is>
      </c>
      <c r="C8" s="6" t="inlineStr">
        <is>
          <t>Equipo / Maquinaria</t>
        </is>
      </c>
      <c r="D8" s="6" t="inlineStr">
        <is>
          <t>Operador Asignado</t>
        </is>
      </c>
      <c r="E8" s="6" t="inlineStr">
        <is>
          <t>Concepto de Trabajo</t>
        </is>
      </c>
      <c r="F8" s="6" t="inlineStr">
        <is>
          <t>Viajes Asignados</t>
        </is>
      </c>
      <c r="G8" s="6" t="inlineStr">
        <is>
          <t>Volumen (m³)</t>
        </is>
      </c>
      <c r="H8" s="6" t="inlineStr">
        <is>
          <t>Toneladas (Ton)</t>
        </is>
      </c>
      <c r="I8" s="6" t="inlineStr">
        <is>
          <t>Diésel Surtido (L)</t>
        </is>
      </c>
      <c r="J8" s="6" t="inlineStr">
        <is>
          <t>Rendimiento Real (L/Ton)</t>
        </is>
      </c>
      <c r="K8" s="6" t="inlineStr">
        <is>
          <t>Rendimiento Real (L/m³)</t>
        </is>
      </c>
      <c r="L8" s="6" t="inlineStr">
        <is>
          <t>Rend. Base (L/h)</t>
        </is>
      </c>
      <c r="M8" s="6" t="inlineStr">
        <is>
          <t>Horas Est. Operación</t>
        </is>
      </c>
      <c r="N8" s="6" t="inlineStr">
        <is>
          <t>Estatus Operativo</t>
        </is>
      </c>
    </row>
    <row r="9" ht="20" customHeight="1">
      <c r="A9" s="7" t="n">
        <v>1</v>
      </c>
      <c r="B9" s="7" t="inlineStr">
        <is>
          <t>PRR-01</t>
        </is>
      </c>
      <c r="C9" s="8" t="inlineStr">
        <is>
          <t>PERFILADORA WIRTGEN W200i</t>
        </is>
      </c>
      <c r="D9" s="8" t="inlineStr">
        <is>
          <t>JAVIER PAREDES CORTE</t>
        </is>
      </c>
      <c r="E9" s="8" t="inlineStr">
        <is>
          <t>Fresado de Pavimento</t>
        </is>
      </c>
      <c r="F9" s="9">
        <f>$C$5</f>
        <v/>
      </c>
      <c r="G9" s="10">
        <f>$E$5</f>
        <v/>
      </c>
      <c r="H9" s="22" t="inlineStr">
        <is>
          <t>-</t>
        </is>
      </c>
      <c r="I9" s="10" t="n">
        <v>1200</v>
      </c>
      <c r="J9" s="23" t="inlineStr">
        <is>
          <t>-</t>
        </is>
      </c>
      <c r="K9" s="12">
        <f>IF(G9&gt;0, I9/G9, 0)</f>
        <v/>
      </c>
      <c r="L9" s="24" t="n">
        <v>67.2</v>
      </c>
      <c r="M9" s="25">
        <f>IF(L9&gt;0, I9/L9, 0)</f>
        <v/>
      </c>
      <c r="N9" s="7">
        <f>IF(I9=0, "SIN CONSUMO (Inactiva)", IF(A9=1, IF(K9&lt;=0.85, "DENTRO DE RENDIMIENTO BASE", "EXCEDE RENDIMIENTO BASE"), IF(A9=2, IF(J9&lt;=0.38, "DENTRO DE RENDIMIENTO BASE", "EXCEDE RENDIMIENTO BASE"), IF(OR(A9=3,A9=4,A9=5,A9=6), IF(J9&lt;=0.08, "DENTRO DE RENDIMIENTO BASE", "EXCEDE RENDIMIENTO BASE"), IF(A9=7, IF(J9&lt;=0.07, "DENTRO DE RENDIMIENTO BASE", "EXCEDE RENDIMIENTO BASE"), IF(A9=8, IF(K9&lt;=0.22, "DENTRO DE RENDIMIENTO BASE", "EXCEDE RENDIMIENTO BASE"), IF(A9=9, IF(J9&lt;=0.075, "DENTRO DE RENDIMIENTO BASE", "EXCEDE RENDIMIENTO BASE"), "APOYO PUNTUAL")))))))</f>
        <v/>
      </c>
    </row>
    <row r="10" ht="20" customHeight="1">
      <c r="A10" s="7" t="n">
        <v>2</v>
      </c>
      <c r="B10" s="7" t="inlineStr">
        <is>
          <t>VG-01</t>
        </is>
      </c>
      <c r="C10" s="8" t="inlineStr">
        <is>
          <t>PAVIMENTADORA VÖGELE SUPER 1800-3i</t>
        </is>
      </c>
      <c r="D10" s="8" t="inlineStr">
        <is>
          <t>ERWIN CUTEÑO HERNANDEZ</t>
        </is>
      </c>
      <c r="E10" s="8" t="inlineStr">
        <is>
          <t>Tendido de Mezcla Asfáltica</t>
        </is>
      </c>
      <c r="F10" s="9">
        <f>$C$6</f>
        <v/>
      </c>
      <c r="G10" s="10">
        <f>$E$6</f>
        <v/>
      </c>
      <c r="H10" s="11">
        <f>G10*$E$4</f>
        <v/>
      </c>
      <c r="I10" s="10" t="n">
        <v>580</v>
      </c>
      <c r="J10" s="12">
        <f>IF(H10&gt;0, I10/H10, 0)</f>
        <v/>
      </c>
      <c r="K10" s="12">
        <f>IF(G10&gt;0, I10/G10, 0)</f>
        <v/>
      </c>
      <c r="L10" s="24" t="n">
        <v>16.24</v>
      </c>
      <c r="M10" s="25">
        <f>IF(L10&gt;0, I10/L10, 0)</f>
        <v/>
      </c>
      <c r="N10" s="7">
        <f>IF(I10=0, "SIN CONSUMO (Inactiva)", IF(A10=1, IF(K10&lt;=0.85, "DENTRO DE RENDIMIENTO BASE", "EXCEDE RENDIMIENTO BASE"), IF(A10=2, IF(J10&lt;=0.38, "DENTRO DE RENDIMIENTO BASE", "EXCEDE RENDIMIENTO BASE"), IF(OR(A10=3,A10=4,A10=5,A10=6), IF(J10&lt;=0.08, "DENTRO DE RENDIMIENTO BASE", "EXCEDE RENDIMIENTO BASE"), IF(A10=7, IF(J10&lt;=0.07, "DENTRO DE RENDIMIENTO BASE", "EXCEDE RENDIMIENTO BASE"), IF(A10=8, IF(K10&lt;=0.22, "DENTRO DE RENDIMIENTO BASE", "EXCEDE RENDIMIENTO BASE"), IF(A10=9, IF(J10&lt;=0.075, "DENTRO DE RENDIMIENTO BASE", "EXCEDE RENDIMIENTO BASE"), "APOYO PUNTUAL")))))))</f>
        <v/>
      </c>
    </row>
    <row r="11" ht="20" customHeight="1">
      <c r="A11" s="7" t="n">
        <v>3</v>
      </c>
      <c r="B11" s="7" t="inlineStr">
        <is>
          <t>DR-01</t>
        </is>
      </c>
      <c r="C11" s="8" t="inlineStr">
        <is>
          <t>COMPACTADOR TÁNDEM HAMM-HD120 VV</t>
        </is>
      </c>
      <c r="D11" s="8" t="inlineStr">
        <is>
          <t>JOEL ALBERTO RIVERA RIVAS</t>
        </is>
      </c>
      <c r="E11" s="8" t="inlineStr">
        <is>
          <t>Compactación Tándem Primaria</t>
        </is>
      </c>
      <c r="F11" s="9">
        <f>$C$6</f>
        <v/>
      </c>
      <c r="G11" s="10">
        <f>$E$6</f>
        <v/>
      </c>
      <c r="H11" s="11">
        <f>G11*$E$4</f>
        <v/>
      </c>
      <c r="I11" s="10" t="n">
        <v>150</v>
      </c>
      <c r="J11" s="12">
        <f>IF(H11&gt;0, I11/H11, 0)</f>
        <v/>
      </c>
      <c r="K11" s="12">
        <f>IF(G11&gt;0, I11/G11, 0)</f>
        <v/>
      </c>
      <c r="L11" s="24" t="n">
        <v>14.3</v>
      </c>
      <c r="M11" s="25">
        <f>IF(L11&gt;0, I11/L11, 0)</f>
        <v/>
      </c>
      <c r="N11" s="7">
        <f>IF(I11=0, "SIN CONSUMO (Inactiva)", IF(A11=1, IF(K11&lt;=0.85, "DENTRO DE RENDIMIENTO BASE", "EXCEDE RENDIMIENTO BASE"), IF(A11=2, IF(J11&lt;=0.38, "DENTRO DE RENDIMIENTO BASE", "EXCEDE RENDIMIENTO BASE"), IF(OR(A11=3,A11=4,A11=5,A11=6), IF(J11&lt;=0.08, "DENTRO DE RENDIMIENTO BASE", "EXCEDE RENDIMIENTO BASE"), IF(A11=7, IF(J11&lt;=0.07, "DENTRO DE RENDIMIENTO BASE", "EXCEDE RENDIMIENTO BASE"), IF(A11=8, IF(K11&lt;=0.22, "DENTRO DE RENDIMIENTO BASE", "EXCEDE RENDIMIENTO BASE"), IF(A11=9, IF(J11&lt;=0.075, "DENTRO DE RENDIMIENTO BASE", "EXCEDE RENDIMIENTO BASE"), "APOYO PUNTUAL")))))))</f>
        <v/>
      </c>
    </row>
    <row r="12" ht="20" customHeight="1">
      <c r="A12" s="7" t="n">
        <v>4</v>
      </c>
      <c r="B12" s="7" t="inlineStr">
        <is>
          <t>DR-02</t>
        </is>
      </c>
      <c r="C12" s="8" t="inlineStr">
        <is>
          <t>COMPACTADOR TÁNDEM HAMM-HD140</t>
        </is>
      </c>
      <c r="D12" s="8" t="inlineStr">
        <is>
          <t>ALEXIS RENDON DOMINGUEZ</t>
        </is>
      </c>
      <c r="E12" s="8" t="inlineStr">
        <is>
          <t>Compactación Tándem Pesada</t>
        </is>
      </c>
      <c r="F12" s="9">
        <f>$C$6</f>
        <v/>
      </c>
      <c r="G12" s="10">
        <f>$E$6</f>
        <v/>
      </c>
      <c r="H12" s="11">
        <f>G12*$E$4</f>
        <v/>
      </c>
      <c r="I12" s="10" t="n">
        <v>150</v>
      </c>
      <c r="J12" s="12">
        <f>IF(H12&gt;0, I12/H12, 0)</f>
        <v/>
      </c>
      <c r="K12" s="12">
        <f>IF(G12&gt;0, I12/G12, 0)</f>
        <v/>
      </c>
      <c r="L12" s="24" t="n">
        <v>14.3</v>
      </c>
      <c r="M12" s="25">
        <f>IF(L12&gt;0, I12/L12, 0)</f>
        <v/>
      </c>
      <c r="N12" s="7">
        <f>IF(I12=0, "SIN CONSUMO (Inactiva)", IF(A12=1, IF(K12&lt;=0.85, "DENTRO DE RENDIMIENTO BASE", "EXCEDE RENDIMIENTO BASE"), IF(A12=2, IF(J12&lt;=0.38, "DENTRO DE RENDIMIENTO BASE", "EXCEDE RENDIMIENTO BASE"), IF(OR(A12=3,A12=4,A12=5,A12=6), IF(J12&lt;=0.08, "DENTRO DE RENDIMIENTO BASE", "EXCEDE RENDIMIENTO BASE"), IF(A12=7, IF(J12&lt;=0.07, "DENTRO DE RENDIMIENTO BASE", "EXCEDE RENDIMIENTO BASE"), IF(A12=8, IF(K12&lt;=0.22, "DENTRO DE RENDIMIENTO BASE", "EXCEDE RENDIMIENTO BASE"), IF(A12=9, IF(J12&lt;=0.075, "DENTRO DE RENDIMIENTO BASE", "EXCEDE RENDIMIENTO BASE"), "APOYO PUNTUAL")))))))</f>
        <v/>
      </c>
    </row>
    <row r="13" ht="20" customHeight="1">
      <c r="A13" s="7" t="n">
        <v>5</v>
      </c>
      <c r="B13" s="7" t="inlineStr">
        <is>
          <t>NM-01</t>
        </is>
      </c>
      <c r="C13" s="8" t="inlineStr">
        <is>
          <t>COMPACTADOR NEUMÁTICO DYNAPAC CP271</t>
        </is>
      </c>
      <c r="D13" s="8" t="inlineStr">
        <is>
          <t>JOSE CARLOS ROMERO TELLEZ</t>
        </is>
      </c>
      <c r="E13" s="8" t="inlineStr">
        <is>
          <t>Compactación Neumática / Sellado</t>
        </is>
      </c>
      <c r="F13" s="9">
        <f>$C$6</f>
        <v/>
      </c>
      <c r="G13" s="10">
        <f>$E$6</f>
        <v/>
      </c>
      <c r="H13" s="11">
        <f>G13*$E$4</f>
        <v/>
      </c>
      <c r="I13" s="10" t="n">
        <v>71</v>
      </c>
      <c r="J13" s="12">
        <f>IF(H13&gt;0, I13/H13, 0)</f>
        <v/>
      </c>
      <c r="K13" s="12">
        <f>IF(G13&gt;0, I13/G13, 0)</f>
        <v/>
      </c>
      <c r="L13" s="24" t="n">
        <v>11.44</v>
      </c>
      <c r="M13" s="25">
        <f>IF(L13&gt;0, I13/L13, 0)</f>
        <v/>
      </c>
      <c r="N13" s="7">
        <f>IF(I13=0, "SIN CONSUMO (Inactiva)", IF(A13=1, IF(K13&lt;=0.85, "DENTRO DE RENDIMIENTO BASE", "EXCEDE RENDIMIENTO BASE"), IF(A13=2, IF(J13&lt;=0.38, "DENTRO DE RENDIMIENTO BASE", "EXCEDE RENDIMIENTO BASE"), IF(OR(A13=3,A13=4,A13=5,A13=6), IF(J13&lt;=0.08, "DENTRO DE RENDIMIENTO BASE", "EXCEDE RENDIMIENTO BASE"), IF(A13=7, IF(J13&lt;=0.07, "DENTRO DE RENDIMIENTO BASE", "EXCEDE RENDIMIENTO BASE"), IF(A13=8, IF(K13&lt;=0.22, "DENTRO DE RENDIMIENTO BASE", "EXCEDE RENDIMIENTO BASE"), IF(A13=9, IF(J13&lt;=0.075, "DENTRO DE RENDIMIENTO BASE", "EXCEDE RENDIMIENTO BASE"), "APOYO PUNTUAL")))))))</f>
        <v/>
      </c>
    </row>
    <row r="14" ht="20" customHeight="1">
      <c r="A14" s="7" t="n">
        <v>6</v>
      </c>
      <c r="B14" s="7" t="inlineStr">
        <is>
          <t>NM-09</t>
        </is>
      </c>
      <c r="C14" s="8" t="inlineStr">
        <is>
          <t>COMPACTADOR NEUMÁTICO HAMM 208</t>
        </is>
      </c>
      <c r="D14" s="8" t="inlineStr">
        <is>
          <t>NOLVIN DE JESUS PEREZ GOMEZ</t>
        </is>
      </c>
      <c r="E14" s="8" t="inlineStr">
        <is>
          <t>Compactación Neumática / Acabado</t>
        </is>
      </c>
      <c r="F14" s="9">
        <f>$C$6</f>
        <v/>
      </c>
      <c r="G14" s="10">
        <f>$E$6</f>
        <v/>
      </c>
      <c r="H14" s="11">
        <f>G14*$E$4</f>
        <v/>
      </c>
      <c r="I14" s="10" t="n">
        <v>150</v>
      </c>
      <c r="J14" s="12">
        <f>IF(H14&gt;0, I14/H14, 0)</f>
        <v/>
      </c>
      <c r="K14" s="12">
        <f>IF(G14&gt;0, I14/G14, 0)</f>
        <v/>
      </c>
      <c r="L14" s="24" t="n">
        <v>10.96</v>
      </c>
      <c r="M14" s="25">
        <f>IF(L14&gt;0, I14/L14, 0)</f>
        <v/>
      </c>
      <c r="N14" s="7">
        <f>IF(I14=0, "SIN CONSUMO (Inactiva)", IF(A14=1, IF(K14&lt;=0.85, "DENTRO DE RENDIMIENTO BASE", "EXCEDE RENDIMIENTO BASE"), IF(A14=2, IF(J14&lt;=0.38, "DENTRO DE RENDIMIENTO BASE", "EXCEDE RENDIMIENTO BASE"), IF(OR(A14=3,A14=4,A14=5,A14=6), IF(J14&lt;=0.08, "DENTRO DE RENDIMIENTO BASE", "EXCEDE RENDIMIENTO BASE"), IF(A14=7, IF(J14&lt;=0.07, "DENTRO DE RENDIMIENTO BASE", "EXCEDE RENDIMIENTO BASE"), IF(A14=8, IF(K14&lt;=0.22, "DENTRO DE RENDIMIENTO BASE", "EXCEDE RENDIMIENTO BASE"), IF(A14=9, IF(J14&lt;=0.075, "DENTRO DE RENDIMIENTO BASE", "EXCEDE RENDIMIENTO BASE"), "APOYO PUNTUAL")))))))</f>
        <v/>
      </c>
    </row>
    <row r="15" ht="20" customHeight="1">
      <c r="A15" s="7" t="n">
        <v>7</v>
      </c>
      <c r="B15" s="7" t="inlineStr">
        <is>
          <t>BR-01</t>
        </is>
      </c>
      <c r="C15" s="8" t="inlineStr">
        <is>
          <t>BARREDORA INDUSTRIAL BROCE BROOM-350</t>
        </is>
      </c>
      <c r="D15" s="8" t="inlineStr">
        <is>
          <t>EDGAR ROSALES MARTINEZ</t>
        </is>
      </c>
      <c r="E15" s="8" t="inlineStr">
        <is>
          <t>Limpieza y Barrido Previo</t>
        </is>
      </c>
      <c r="F15" s="9">
        <f>$C$6</f>
        <v/>
      </c>
      <c r="G15" s="10">
        <f>$E$6</f>
        <v/>
      </c>
      <c r="H15" s="11">
        <f>G15*$E$4</f>
        <v/>
      </c>
      <c r="I15" s="10" t="n">
        <v>120</v>
      </c>
      <c r="J15" s="12">
        <f>IF(H15&gt;0, I15/H15, 0)</f>
        <v/>
      </c>
      <c r="K15" s="12">
        <f>IF(G15&gt;0, I15/G15, 0)</f>
        <v/>
      </c>
      <c r="L15" s="24" t="n">
        <v>8.94</v>
      </c>
      <c r="M15" s="25">
        <f>IF(L15&gt;0, I15/L15, 0)</f>
        <v/>
      </c>
      <c r="N15" s="7">
        <f>IF(I15=0, "SIN CONSUMO (Inactiva)", IF(A15=1, IF(K15&lt;=0.85, "DENTRO DE RENDIMIENTO BASE", "EXCEDE RENDIMIENTO BASE"), IF(A15=2, IF(J15&lt;=0.38, "DENTRO DE RENDIMIENTO BASE", "EXCEDE RENDIMIENTO BASE"), IF(OR(A15=3,A15=4,A15=5,A15=6), IF(J15&lt;=0.08, "DENTRO DE RENDIMIENTO BASE", "EXCEDE RENDIMIENTO BASE"), IF(A15=7, IF(J15&lt;=0.07, "DENTRO DE RENDIMIENTO BASE", "EXCEDE RENDIMIENTO BASE"), IF(A15=8, IF(K15&lt;=0.22, "DENTRO DE RENDIMIENTO BASE", "EXCEDE RENDIMIENTO BASE"), IF(A15=9, IF(J15&lt;=0.075, "DENTRO DE RENDIMIENTO BASE", "EXCEDE RENDIMIENTO BASE"), "APOYO PUNTUAL")))))))</f>
        <v/>
      </c>
    </row>
    <row r="16" ht="20" customHeight="1">
      <c r="A16" s="7" t="n">
        <v>8</v>
      </c>
      <c r="B16" s="7" t="inlineStr">
        <is>
          <t>RT-05</t>
        </is>
      </c>
      <c r="C16" s="8" t="inlineStr">
        <is>
          <t>RETROEXCAVADORA JOHN DEERE 310SK</t>
        </is>
      </c>
      <c r="D16" s="8" t="inlineStr">
        <is>
          <t>ADOLFO NAVA LOPEZ</t>
        </is>
      </c>
      <c r="E16" s="8" t="inlineStr">
        <is>
          <t>Carga Fresado y Derrumbes</t>
        </is>
      </c>
      <c r="F16" s="9">
        <f>$C$5</f>
        <v/>
      </c>
      <c r="G16" s="10">
        <f>$E$5</f>
        <v/>
      </c>
      <c r="H16" s="22" t="inlineStr">
        <is>
          <t>-</t>
        </is>
      </c>
      <c r="I16" s="10" t="n">
        <v>435</v>
      </c>
      <c r="J16" s="23" t="inlineStr">
        <is>
          <t>-</t>
        </is>
      </c>
      <c r="K16" s="12">
        <f>IF(G16&gt;0, I16/G16, 0)</f>
        <v/>
      </c>
      <c r="L16" s="24" t="n">
        <v>7.44</v>
      </c>
      <c r="M16" s="25">
        <f>IF(L16&gt;0, I16/L16, 0)</f>
        <v/>
      </c>
      <c r="N16" s="7">
        <f>IF(I16=0, "SIN CONSUMO (Inactiva)", IF(A16=1, IF(K16&lt;=0.85, "DENTRO DE RENDIMIENTO BASE", "EXCEDE RENDIMIENTO BASE"), IF(A16=2, IF(J16&lt;=0.38, "DENTRO DE RENDIMIENTO BASE", "EXCEDE RENDIMIENTO BASE"), IF(OR(A16=3,A16=4,A16=5,A16=6), IF(J16&lt;=0.08, "DENTRO DE RENDIMIENTO BASE", "EXCEDE RENDIMIENTO BASE"), IF(A16=7, IF(J16&lt;=0.07, "DENTRO DE RENDIMIENTO BASE", "EXCEDE RENDIMIENTO BASE"), IF(A16=8, IF(K16&lt;=0.22, "DENTRO DE RENDIMIENTO BASE", "EXCEDE RENDIMIENTO BASE"), IF(A16=9, IF(J16&lt;=0.075, "DENTRO DE RENDIMIENTO BASE", "EXCEDE RENDIMIENTO BASE"), "APOYO PUNTUAL")))))))</f>
        <v/>
      </c>
    </row>
    <row r="17" ht="20" customHeight="1">
      <c r="A17" s="7" t="n">
        <v>9</v>
      </c>
      <c r="B17" s="7" t="inlineStr">
        <is>
          <t>PT-01</t>
        </is>
      </c>
      <c r="C17" s="8" t="inlineStr">
        <is>
          <t>PETROLIZADORA INTERNATIONAL / FORD F800</t>
        </is>
      </c>
      <c r="D17" s="8" t="inlineStr">
        <is>
          <t>ELTHON EDUARDO MARTINEZ GOMORA</t>
        </is>
      </c>
      <c r="E17" s="8" t="inlineStr">
        <is>
          <t>Riego de Liga / Emulsión</t>
        </is>
      </c>
      <c r="F17" s="9">
        <f>$C$6</f>
        <v/>
      </c>
      <c r="G17" s="10">
        <f>$E$6</f>
        <v/>
      </c>
      <c r="H17" s="11">
        <f>G17*$E$4</f>
        <v/>
      </c>
      <c r="I17" s="10" t="n">
        <v>60</v>
      </c>
      <c r="J17" s="12">
        <f>IF(H17&gt;0, I17/H17, 0)</f>
        <v/>
      </c>
      <c r="K17" s="12">
        <f>IF(G17&gt;0, I17/G17, 0)</f>
        <v/>
      </c>
      <c r="L17" s="24" t="n">
        <v>12.76</v>
      </c>
      <c r="M17" s="25">
        <f>IF(L17&gt;0, I17/L17, 0)</f>
        <v/>
      </c>
      <c r="N17" s="7">
        <f>IF(I17=0, "SIN CONSUMO (Inactiva)", IF(A17=1, IF(K17&lt;=0.85, "DENTRO DE RENDIMIENTO BASE", "EXCEDE RENDIMIENTO BASE"), IF(A17=2, IF(J17&lt;=0.38, "DENTRO DE RENDIMIENTO BASE", "EXCEDE RENDIMIENTO BASE"), IF(OR(A17=3,A17=4,A17=5,A17=6), IF(J17&lt;=0.08, "DENTRO DE RENDIMIENTO BASE", "EXCEDE RENDIMIENTO BASE"), IF(A17=7, IF(J17&lt;=0.07, "DENTRO DE RENDIMIENTO BASE", "EXCEDE RENDIMIENTO BASE"), IF(A17=8, IF(K17&lt;=0.22, "DENTRO DE RENDIMIENTO BASE", "EXCEDE RENDIMIENTO BASE"), IF(A17=9, IF(J17&lt;=0.075, "DENTRO DE RENDIMIENTO BASE", "EXCEDE RENDIMIENTO BASE"), "APOYO PUNTUAL")))))))</f>
        <v/>
      </c>
    </row>
    <row r="18" ht="20" customHeight="1">
      <c r="A18" s="7" t="n">
        <v>10</v>
      </c>
      <c r="B18" s="7" t="inlineStr">
        <is>
          <t>CPR-01</t>
        </is>
      </c>
      <c r="C18" s="8" t="inlineStr">
        <is>
          <t>COMPRESOR DE AIRE INGERSOLL RAND IR185</t>
        </is>
      </c>
      <c r="D18" s="8" t="inlineStr">
        <is>
          <t>CUADRILLA DE LIMPIEZA</t>
        </is>
      </c>
      <c r="E18" s="8" t="inlineStr">
        <is>
          <t>Sopleteado de Juntas</t>
        </is>
      </c>
      <c r="F18" s="9" t="n">
        <v>0</v>
      </c>
      <c r="G18" s="10" t="n">
        <v>0</v>
      </c>
      <c r="H18" s="11" t="n">
        <v>0</v>
      </c>
      <c r="I18" s="10" t="n">
        <v>0</v>
      </c>
      <c r="J18" s="12" t="n">
        <v>0</v>
      </c>
      <c r="K18" s="12" t="n">
        <v>0</v>
      </c>
      <c r="L18" s="24" t="n">
        <v>9.970000000000001</v>
      </c>
      <c r="M18" s="25">
        <f>IF(L18&gt;0, I18/L18, 0)</f>
        <v/>
      </c>
      <c r="N18" s="7">
        <f>IF(I18=0, "SIN CONSUMO (Inactiva)", IF(A18=1, IF(K18&lt;=0.85, "DENTRO DE RENDIMIENTO BASE", "EXCEDE RENDIMIENTO BASE"), IF(A18=2, IF(J18&lt;=0.38, "DENTRO DE RENDIMIENTO BASE", "EXCEDE RENDIMIENTO BASE"), IF(OR(A18=3,A18=4,A18=5,A18=6), IF(J18&lt;=0.08, "DENTRO DE RENDIMIENTO BASE", "EXCEDE RENDIMIENTO BASE"), IF(A18=7, IF(J18&lt;=0.07, "DENTRO DE RENDIMIENTO BASE", "EXCEDE RENDIMIENTO BASE"), IF(A18=8, IF(K18&lt;=0.22, "DENTRO DE RENDIMIENTO BASE", "EXCEDE RENDIMIENTO BASE"), IF(A18=9, IF(J18&lt;=0.075, "DENTRO DE RENDIMIENTO BASE", "EXCEDE RENDIMIENTO BASE"), "APOYO PUNTUAL")))))))</f>
        <v/>
      </c>
    </row>
    <row r="19" ht="20" customHeight="1">
      <c r="A19" s="7" t="n">
        <v>11</v>
      </c>
      <c r="B19" s="7" t="inlineStr">
        <is>
          <t>PP-01</t>
        </is>
      </c>
      <c r="C19" s="8" t="inlineStr">
        <is>
          <t>CAMIÓN IMPACTO / PIPA DE AGUA FORD</t>
        </is>
      </c>
      <c r="D19" s="8" t="inlineStr">
        <is>
          <t>CUADRILLA DE AGUA</t>
        </is>
      </c>
      <c r="E19" s="8" t="inlineStr">
        <is>
          <t>Enfriamiento Rodillos / Riego</t>
        </is>
      </c>
      <c r="F19" s="9" t="n">
        <v>0</v>
      </c>
      <c r="G19" s="10" t="n">
        <v>0</v>
      </c>
      <c r="H19" s="11" t="n">
        <v>0</v>
      </c>
      <c r="I19" s="10" t="n">
        <v>0</v>
      </c>
      <c r="J19" s="12" t="n">
        <v>0</v>
      </c>
      <c r="K19" s="12" t="n">
        <v>0</v>
      </c>
      <c r="L19" s="24" t="n">
        <v>3.03</v>
      </c>
      <c r="M19" s="25">
        <f>IF(L19&gt;0, I19/L19, 0)</f>
        <v/>
      </c>
      <c r="N19" s="7">
        <f>IF(I19=0, "SIN CONSUMO (Inactiva)", IF(A19=1, IF(K19&lt;=0.85, "DENTRO DE RENDIMIENTO BASE", "EXCEDE RENDIMIENTO BASE"), IF(A19=2, IF(J19&lt;=0.38, "DENTRO DE RENDIMIENTO BASE", "EXCEDE RENDIMIENTO BASE"), IF(OR(A19=3,A19=4,A19=5,A19=6), IF(J19&lt;=0.08, "DENTRO DE RENDIMIENTO BASE", "EXCEDE RENDIMIENTO BASE"), IF(A19=7, IF(J19&lt;=0.07, "DENTRO DE RENDIMIENTO BASE", "EXCEDE RENDIMIENTO BASE"), IF(A19=8, IF(K19&lt;=0.22, "DENTRO DE RENDIMIENTO BASE", "EXCEDE RENDIMIENTO BASE"), IF(A19=9, IF(J19&lt;=0.075, "DENTRO DE RENDIMIENTO BASE", "EXCEDE RENDIMIENTO BASE"), "APOYO PUNTUAL")))))))</f>
        <v/>
      </c>
    </row>
    <row r="20" ht="20" customHeight="1">
      <c r="A20" s="7" t="n">
        <v>12</v>
      </c>
      <c r="B20" s="7" t="inlineStr">
        <is>
          <t>TL-01</t>
        </is>
      </c>
      <c r="C20" s="8" t="inlineStr">
        <is>
          <t>TORRE DE LUZ MAXILIGHT 4X1000W</t>
        </is>
      </c>
      <c r="D20" s="8" t="inlineStr">
        <is>
          <t>CUADRILLA NOCTURNA</t>
        </is>
      </c>
      <c r="E20" s="8" t="inlineStr">
        <is>
          <t>Iluminación Nocturna</t>
        </is>
      </c>
      <c r="F20" s="9" t="n">
        <v>0</v>
      </c>
      <c r="G20" s="10" t="n">
        <v>0</v>
      </c>
      <c r="H20" s="11" t="n">
        <v>0</v>
      </c>
      <c r="I20" s="10" t="n">
        <v>0</v>
      </c>
      <c r="J20" s="12" t="n">
        <v>0</v>
      </c>
      <c r="K20" s="12" t="n">
        <v>0</v>
      </c>
      <c r="L20" s="24" t="n">
        <v>2.41</v>
      </c>
      <c r="M20" s="25">
        <f>IF(L20&gt;0, I20/L20, 0)</f>
        <v/>
      </c>
      <c r="N20" s="7">
        <f>IF(I20=0, "SIN CONSUMO (Inactiva)", IF(A20=1, IF(K20&lt;=0.85, "DENTRO DE RENDIMIENTO BASE", "EXCEDE RENDIMIENTO BASE"), IF(A20=2, IF(J20&lt;=0.38, "DENTRO DE RENDIMIENTO BASE", "EXCEDE RENDIMIENTO BASE"), IF(OR(A20=3,A20=4,A20=5,A20=6), IF(J20&lt;=0.08, "DENTRO DE RENDIMIENTO BASE", "EXCEDE RENDIMIENTO BASE"), IF(A20=7, IF(J20&lt;=0.07, "DENTRO DE RENDIMIENTO BASE", "EXCEDE RENDIMIENTO BASE"), IF(A20=8, IF(K20&lt;=0.22, "DENTRO DE RENDIMIENTO BASE", "EXCEDE RENDIMIENTO BASE"), IF(A20=9, IF(J20&lt;=0.075, "DENTRO DE RENDIMIENTO BASE", "EXCEDE RENDIMIENTO BASE"), "APOYO PUNTUAL")))))))</f>
        <v/>
      </c>
    </row>
    <row r="21" ht="22" customHeight="1">
      <c r="A21" s="13" t="inlineStr">
        <is>
          <t>TOTAL SEMANA 34 (OBRA CARRETERA MÉXICO-TOLUCA)</t>
        </is>
      </c>
      <c r="B21" s="14" t="n"/>
      <c r="C21" s="14" t="n"/>
      <c r="D21" s="14" t="n"/>
      <c r="E21" s="14" t="n"/>
      <c r="F21" s="15">
        <f>C5+C6</f>
        <v/>
      </c>
      <c r="G21" s="16">
        <f>E5+E6</f>
        <v/>
      </c>
      <c r="H21" s="17">
        <f>G6</f>
        <v/>
      </c>
      <c r="I21" s="16">
        <f>SUM(I9:I20)</f>
        <v/>
      </c>
      <c r="J21" s="18">
        <f>IF(H21&gt;0, I21/H21, 0)</f>
        <v/>
      </c>
      <c r="K21" s="18">
        <f>IF(G21&gt;0, I21/G21, 0)</f>
        <v/>
      </c>
      <c r="L21" s="13" t="inlineStr">
        <is>
          <t>—</t>
        </is>
      </c>
      <c r="M21" s="26">
        <f>SUM(M9:M20)</f>
        <v/>
      </c>
      <c r="N21" s="13" t="inlineStr">
        <is>
          <t>SEMANA REGISTRADA</t>
        </is>
      </c>
    </row>
    <row r="24" ht="24" customHeight="1">
      <c r="A24" s="27" t="inlineStr">
        <is>
          <t>DESGLOSE DIARIO DE COMBUSTIBLE, VOLUMEN, TONELAJE Y RENDIMIENTO — SEMANA 34</t>
        </is>
      </c>
    </row>
    <row r="25" ht="20" customHeight="1">
      <c r="A25" s="2" t="inlineStr">
        <is>
          <t>DATOS DEL EQUIPO</t>
        </is>
      </c>
      <c r="F25" s="2" t="inlineStr">
        <is>
          <t>LUNES</t>
        </is>
      </c>
      <c r="J25" s="2" t="inlineStr">
        <is>
          <t>MARTES</t>
        </is>
      </c>
      <c r="N25" s="2" t="inlineStr">
        <is>
          <t>MIÉRCOLES</t>
        </is>
      </c>
      <c r="R25" s="2" t="inlineStr">
        <is>
          <t>JUEVES</t>
        </is>
      </c>
      <c r="V25" s="2" t="inlineStr">
        <is>
          <t>VIERNES</t>
        </is>
      </c>
      <c r="Z25" s="2" t="inlineStr">
        <is>
          <t>SÁBADO</t>
        </is>
      </c>
      <c r="AD25" s="28" t="inlineStr">
        <is>
          <t>TOTAL SEMANAL</t>
        </is>
      </c>
    </row>
    <row r="26" ht="26" customHeight="1">
      <c r="A26" s="29" t="inlineStr">
        <is>
          <t>No.</t>
        </is>
      </c>
      <c r="B26" s="29" t="inlineStr">
        <is>
          <t>Económico</t>
        </is>
      </c>
      <c r="C26" s="29" t="inlineStr">
        <is>
          <t>Equipo / Maquinaria</t>
        </is>
      </c>
      <c r="D26" s="29" t="inlineStr">
        <is>
          <t>Operador Asignado</t>
        </is>
      </c>
      <c r="E26" s="29" t="inlineStr">
        <is>
          <t>Concepto de Trabajo</t>
        </is>
      </c>
      <c r="F26" s="29" t="inlineStr">
        <is>
          <t>Diésel (L)</t>
        </is>
      </c>
      <c r="G26" s="29" t="inlineStr">
        <is>
          <t>Volumen (m³)</t>
        </is>
      </c>
      <c r="H26" s="29" t="inlineStr">
        <is>
          <t>Toneladas (Ton)</t>
        </is>
      </c>
      <c r="I26" s="29" t="inlineStr">
        <is>
          <t>Rendimiento Real</t>
        </is>
      </c>
      <c r="J26" s="29" t="inlineStr">
        <is>
          <t>Diésel (L)</t>
        </is>
      </c>
      <c r="K26" s="29" t="inlineStr">
        <is>
          <t>Volumen (m³)</t>
        </is>
      </c>
      <c r="L26" s="29" t="inlineStr">
        <is>
          <t>Toneladas (Ton)</t>
        </is>
      </c>
      <c r="M26" s="29" t="inlineStr">
        <is>
          <t>Rendimiento Real</t>
        </is>
      </c>
      <c r="N26" s="29" t="inlineStr">
        <is>
          <t>Diésel (L)</t>
        </is>
      </c>
      <c r="O26" s="29" t="inlineStr">
        <is>
          <t>Volumen (m³)</t>
        </is>
      </c>
      <c r="P26" s="29" t="inlineStr">
        <is>
          <t>Toneladas (Ton)</t>
        </is>
      </c>
      <c r="Q26" s="29" t="inlineStr">
        <is>
          <t>Rendimiento Real</t>
        </is>
      </c>
      <c r="R26" s="29" t="inlineStr">
        <is>
          <t>Diésel (L)</t>
        </is>
      </c>
      <c r="S26" s="29" t="inlineStr">
        <is>
          <t>Volumen (m³)</t>
        </is>
      </c>
      <c r="T26" s="29" t="inlineStr">
        <is>
          <t>Toneladas (Ton)</t>
        </is>
      </c>
      <c r="U26" s="29" t="inlineStr">
        <is>
          <t>Rendimiento Real</t>
        </is>
      </c>
      <c r="V26" s="29" t="inlineStr">
        <is>
          <t>Diésel (L)</t>
        </is>
      </c>
      <c r="W26" s="29" t="inlineStr">
        <is>
          <t>Volumen (m³)</t>
        </is>
      </c>
      <c r="X26" s="29" t="inlineStr">
        <is>
          <t>Toneladas (Ton)</t>
        </is>
      </c>
      <c r="Y26" s="29" t="inlineStr">
        <is>
          <t>Rendimiento Real</t>
        </is>
      </c>
      <c r="Z26" s="29" t="inlineStr">
        <is>
          <t>Diésel (L)</t>
        </is>
      </c>
      <c r="AA26" s="29" t="inlineStr">
        <is>
          <t>Volumen (m³)</t>
        </is>
      </c>
      <c r="AB26" s="29" t="inlineStr">
        <is>
          <t>Toneladas (Ton)</t>
        </is>
      </c>
      <c r="AC26" s="29" t="inlineStr">
        <is>
          <t>Rendimiento Real</t>
        </is>
      </c>
      <c r="AD26" s="30" t="inlineStr">
        <is>
          <t>Total Diésel (L)</t>
        </is>
      </c>
      <c r="AE26" s="30" t="inlineStr">
        <is>
          <t>Total Vol (m³)</t>
        </is>
      </c>
      <c r="AF26" s="30" t="inlineStr">
        <is>
          <t>Total Ton (Ton)</t>
        </is>
      </c>
      <c r="AG26" s="30" t="inlineStr">
        <is>
          <t>Rend. Promedio</t>
        </is>
      </c>
    </row>
    <row r="27" ht="19" customHeight="1">
      <c r="A27" s="7" t="n">
        <v>1</v>
      </c>
      <c r="B27" s="7" t="inlineStr">
        <is>
          <t>PRR-01</t>
        </is>
      </c>
      <c r="C27" s="8" t="inlineStr">
        <is>
          <t>PERFILADORA WIRTGEN W200i</t>
        </is>
      </c>
      <c r="D27" s="8" t="inlineStr">
        <is>
          <t>JAVIER PAREDES CORTE</t>
        </is>
      </c>
      <c r="E27" s="8" t="inlineStr">
        <is>
          <t>Fresado de Pavimento</t>
        </is>
      </c>
      <c r="F27" s="10" t="n">
        <v>400</v>
      </c>
      <c r="G27" s="10" t="n">
        <v>0</v>
      </c>
      <c r="H27" s="11">
        <f>G27*$E$4</f>
        <v/>
      </c>
      <c r="I27" s="12">
        <f>IF(G27&gt;0, F27/G27, 0)</f>
        <v/>
      </c>
      <c r="J27" s="10" t="n">
        <v>0</v>
      </c>
      <c r="K27" s="10" t="n">
        <v>0</v>
      </c>
      <c r="L27" s="11">
        <f>K27*$E$4</f>
        <v/>
      </c>
      <c r="M27" s="12">
        <f>IF(K27&gt;0, J27/K27, 0)</f>
        <v/>
      </c>
      <c r="N27" s="10" t="n">
        <v>400</v>
      </c>
      <c r="O27" s="10" t="n">
        <v>0</v>
      </c>
      <c r="P27" s="11">
        <f>O27*$E$4</f>
        <v/>
      </c>
      <c r="Q27" s="12">
        <f>IF(O27&gt;0, N27/O27, 0)</f>
        <v/>
      </c>
      <c r="R27" s="10" t="n">
        <v>0</v>
      </c>
      <c r="S27" s="10" t="n">
        <v>0</v>
      </c>
      <c r="T27" s="11">
        <f>S27*$E$4</f>
        <v/>
      </c>
      <c r="U27" s="12">
        <f>IF(S27&gt;0, R27/S27, 0)</f>
        <v/>
      </c>
      <c r="V27" s="10" t="n">
        <v>400</v>
      </c>
      <c r="W27" s="10" t="n">
        <v>0</v>
      </c>
      <c r="X27" s="11">
        <f>W27*$E$4</f>
        <v/>
      </c>
      <c r="Y27" s="12">
        <f>IF(W27&gt;0, V27/W27, 0)</f>
        <v/>
      </c>
      <c r="Z27" s="10" t="n">
        <v>0</v>
      </c>
      <c r="AA27" s="10" t="n">
        <v>0</v>
      </c>
      <c r="AB27" s="11">
        <f>AA27*$E$4</f>
        <v/>
      </c>
      <c r="AC27" s="12">
        <f>IF(AA27&gt;0, Z27/AA27, 0)</f>
        <v/>
      </c>
      <c r="AD27" s="10">
        <f>F27+J27+N27+R27+V27+Z27</f>
        <v/>
      </c>
      <c r="AE27" s="10">
        <f>G27+K27+O27+S27+W27+AA27</f>
        <v/>
      </c>
      <c r="AF27" s="11">
        <f>H27+L27+P27+T27+X27+AB27</f>
        <v/>
      </c>
      <c r="AG27" s="12">
        <f>IF(AE27&gt;0, AD27/AE27, 0)</f>
        <v/>
      </c>
    </row>
    <row r="28" ht="19" customHeight="1">
      <c r="A28" s="7" t="n">
        <v>2</v>
      </c>
      <c r="B28" s="7" t="inlineStr">
        <is>
          <t>VG-01</t>
        </is>
      </c>
      <c r="C28" s="8" t="inlineStr">
        <is>
          <t>PAVIMENTADORA VÖGELE SUPER 1800-3i</t>
        </is>
      </c>
      <c r="D28" s="8" t="inlineStr">
        <is>
          <t>ERWIN CUTEÑO HERNANDEZ</t>
        </is>
      </c>
      <c r="E28" s="8" t="inlineStr">
        <is>
          <t>Tendido de Mezcla Asfáltica</t>
        </is>
      </c>
      <c r="F28" s="10" t="n">
        <v>160</v>
      </c>
      <c r="G28" s="10" t="n">
        <v>0</v>
      </c>
      <c r="H28" s="11">
        <f>G28*$E$4</f>
        <v/>
      </c>
      <c r="I28" s="12">
        <f>IF(H28&gt;0, F28/H28, 0)</f>
        <v/>
      </c>
      <c r="J28" s="10" t="n">
        <v>0</v>
      </c>
      <c r="K28" s="10" t="n">
        <v>0</v>
      </c>
      <c r="L28" s="11">
        <f>K28*$E$4</f>
        <v/>
      </c>
      <c r="M28" s="12">
        <f>IF(L28&gt;0, J28/L28, 0)</f>
        <v/>
      </c>
      <c r="N28" s="10" t="n">
        <v>200</v>
      </c>
      <c r="O28" s="10" t="n">
        <v>0</v>
      </c>
      <c r="P28" s="11">
        <f>O28*$E$4</f>
        <v/>
      </c>
      <c r="Q28" s="12">
        <f>IF(P28&gt;0, N28/P28, 0)</f>
        <v/>
      </c>
      <c r="R28" s="10" t="n">
        <v>0</v>
      </c>
      <c r="S28" s="10" t="n">
        <v>0</v>
      </c>
      <c r="T28" s="11">
        <f>S28*$E$4</f>
        <v/>
      </c>
      <c r="U28" s="12">
        <f>IF(T28&gt;0, R28/T28, 0)</f>
        <v/>
      </c>
      <c r="V28" s="10" t="n">
        <v>220</v>
      </c>
      <c r="W28" s="10" t="n">
        <v>0</v>
      </c>
      <c r="X28" s="11">
        <f>W28*$E$4</f>
        <v/>
      </c>
      <c r="Y28" s="12">
        <f>IF(X28&gt;0, V28/X28, 0)</f>
        <v/>
      </c>
      <c r="Z28" s="10" t="n">
        <v>0</v>
      </c>
      <c r="AA28" s="10" t="n">
        <v>0</v>
      </c>
      <c r="AB28" s="11">
        <f>AA28*$E$4</f>
        <v/>
      </c>
      <c r="AC28" s="12">
        <f>IF(AB28&gt;0, Z28/AB28, 0)</f>
        <v/>
      </c>
      <c r="AD28" s="10">
        <f>F28+J28+N28+R28+V28+Z28</f>
        <v/>
      </c>
      <c r="AE28" s="10">
        <f>G28+K28+O28+S28+W28+AA28</f>
        <v/>
      </c>
      <c r="AF28" s="11">
        <f>H28+L28+P28+T28+X28+AB28</f>
        <v/>
      </c>
      <c r="AG28" s="12">
        <f>IF(AF28&gt;0, AD28/AF28, 0)</f>
        <v/>
      </c>
    </row>
    <row r="29" ht="19" customHeight="1">
      <c r="A29" s="7" t="n">
        <v>3</v>
      </c>
      <c r="B29" s="7" t="inlineStr">
        <is>
          <t>DR-01</t>
        </is>
      </c>
      <c r="C29" s="8" t="inlineStr">
        <is>
          <t>COMPACTADOR TÁNDEM HAMM-HD120 VV</t>
        </is>
      </c>
      <c r="D29" s="8" t="inlineStr">
        <is>
          <t>JOEL ALBERTO RIVERA RIVAS</t>
        </is>
      </c>
      <c r="E29" s="8" t="inlineStr">
        <is>
          <t>Compactación Tándem Primaria</t>
        </is>
      </c>
      <c r="F29" s="10" t="n">
        <v>50</v>
      </c>
      <c r="G29" s="10" t="n">
        <v>0</v>
      </c>
      <c r="H29" s="11">
        <f>G29*$E$4</f>
        <v/>
      </c>
      <c r="I29" s="12">
        <f>IF(H29&gt;0, F29/H29, 0)</f>
        <v/>
      </c>
      <c r="J29" s="10" t="n">
        <v>0</v>
      </c>
      <c r="K29" s="10" t="n">
        <v>0</v>
      </c>
      <c r="L29" s="11">
        <f>K29*$E$4</f>
        <v/>
      </c>
      <c r="M29" s="12">
        <f>IF(L29&gt;0, J29/L29, 0)</f>
        <v/>
      </c>
      <c r="N29" s="10" t="n">
        <v>50</v>
      </c>
      <c r="O29" s="10" t="n">
        <v>0</v>
      </c>
      <c r="P29" s="11">
        <f>O29*$E$4</f>
        <v/>
      </c>
      <c r="Q29" s="12">
        <f>IF(P29&gt;0, N29/P29, 0)</f>
        <v/>
      </c>
      <c r="R29" s="10" t="n">
        <v>0</v>
      </c>
      <c r="S29" s="10" t="n">
        <v>0</v>
      </c>
      <c r="T29" s="11">
        <f>S29*$E$4</f>
        <v/>
      </c>
      <c r="U29" s="12">
        <f>IF(T29&gt;0, R29/T29, 0)</f>
        <v/>
      </c>
      <c r="V29" s="10" t="n">
        <v>0</v>
      </c>
      <c r="W29" s="10" t="n">
        <v>0</v>
      </c>
      <c r="X29" s="11">
        <f>W29*$E$4</f>
        <v/>
      </c>
      <c r="Y29" s="12">
        <f>IF(X29&gt;0, V29/X29, 0)</f>
        <v/>
      </c>
      <c r="Z29" s="10" t="n">
        <v>50</v>
      </c>
      <c r="AA29" s="10" t="n">
        <v>0</v>
      </c>
      <c r="AB29" s="11">
        <f>AA29*$E$4</f>
        <v/>
      </c>
      <c r="AC29" s="12">
        <f>IF(AB29&gt;0, Z29/AB29, 0)</f>
        <v/>
      </c>
      <c r="AD29" s="10">
        <f>F29+J29+N29+R29+V29+Z29</f>
        <v/>
      </c>
      <c r="AE29" s="10">
        <f>G29+K29+O29+S29+W29+AA29</f>
        <v/>
      </c>
      <c r="AF29" s="11">
        <f>H29+L29+P29+T29+X29+AB29</f>
        <v/>
      </c>
      <c r="AG29" s="12">
        <f>IF(AF29&gt;0, AD29/AF29, 0)</f>
        <v/>
      </c>
    </row>
    <row r="30" ht="19" customHeight="1">
      <c r="A30" s="7" t="n">
        <v>4</v>
      </c>
      <c r="B30" s="7" t="inlineStr">
        <is>
          <t>DR-02</t>
        </is>
      </c>
      <c r="C30" s="8" t="inlineStr">
        <is>
          <t>COMPACTADOR TÁNDEM HAMM-HD140</t>
        </is>
      </c>
      <c r="D30" s="8" t="inlineStr">
        <is>
          <t>ALEXIS RENDON DOMINGUEZ</t>
        </is>
      </c>
      <c r="E30" s="8" t="inlineStr">
        <is>
          <t>Compactación Tándem Pesada</t>
        </is>
      </c>
      <c r="F30" s="10" t="n">
        <v>50</v>
      </c>
      <c r="G30" s="10" t="n">
        <v>0</v>
      </c>
      <c r="H30" s="11">
        <f>G30*$E$4</f>
        <v/>
      </c>
      <c r="I30" s="12">
        <f>IF(H30&gt;0, F30/H30, 0)</f>
        <v/>
      </c>
      <c r="J30" s="10" t="n">
        <v>0</v>
      </c>
      <c r="K30" s="10" t="n">
        <v>0</v>
      </c>
      <c r="L30" s="11">
        <f>K30*$E$4</f>
        <v/>
      </c>
      <c r="M30" s="12">
        <f>IF(L30&gt;0, J30/L30, 0)</f>
        <v/>
      </c>
      <c r="N30" s="10" t="n">
        <v>50</v>
      </c>
      <c r="O30" s="10" t="n">
        <v>0</v>
      </c>
      <c r="P30" s="11">
        <f>O30*$E$4</f>
        <v/>
      </c>
      <c r="Q30" s="12">
        <f>IF(P30&gt;0, N30/P30, 0)</f>
        <v/>
      </c>
      <c r="R30" s="10" t="n">
        <v>0</v>
      </c>
      <c r="S30" s="10" t="n">
        <v>0</v>
      </c>
      <c r="T30" s="11">
        <f>S30*$E$4</f>
        <v/>
      </c>
      <c r="U30" s="12">
        <f>IF(T30&gt;0, R30/T30, 0)</f>
        <v/>
      </c>
      <c r="V30" s="10" t="n">
        <v>0</v>
      </c>
      <c r="W30" s="10" t="n">
        <v>0</v>
      </c>
      <c r="X30" s="11">
        <f>W30*$E$4</f>
        <v/>
      </c>
      <c r="Y30" s="12">
        <f>IF(X30&gt;0, V30/X30, 0)</f>
        <v/>
      </c>
      <c r="Z30" s="10" t="n">
        <v>50</v>
      </c>
      <c r="AA30" s="10" t="n">
        <v>0</v>
      </c>
      <c r="AB30" s="11">
        <f>AA30*$E$4</f>
        <v/>
      </c>
      <c r="AC30" s="12">
        <f>IF(AB30&gt;0, Z30/AB30, 0)</f>
        <v/>
      </c>
      <c r="AD30" s="10">
        <f>F30+J30+N30+R30+V30+Z30</f>
        <v/>
      </c>
      <c r="AE30" s="10">
        <f>G30+K30+O30+S30+W30+AA30</f>
        <v/>
      </c>
      <c r="AF30" s="11">
        <f>H30+L30+P30+T30+X30+AB30</f>
        <v/>
      </c>
      <c r="AG30" s="12">
        <f>IF(AF30&gt;0, AD30/AF30, 0)</f>
        <v/>
      </c>
    </row>
    <row r="31" ht="19" customHeight="1">
      <c r="A31" s="7" t="n">
        <v>5</v>
      </c>
      <c r="B31" s="7" t="inlineStr">
        <is>
          <t>NM-01</t>
        </is>
      </c>
      <c r="C31" s="8" t="inlineStr">
        <is>
          <t>COMPACTADOR NEUMÁTICO DYNAPAC CP271</t>
        </is>
      </c>
      <c r="D31" s="8" t="inlineStr">
        <is>
          <t>JOSE CARLOS ROMERO TELLEZ</t>
        </is>
      </c>
      <c r="E31" s="8" t="inlineStr">
        <is>
          <t>Compactación Neumática / Sellado</t>
        </is>
      </c>
      <c r="F31" s="10" t="n">
        <v>21</v>
      </c>
      <c r="G31" s="10" t="n">
        <v>0</v>
      </c>
      <c r="H31" s="11">
        <f>G31*$E$4</f>
        <v/>
      </c>
      <c r="I31" s="12">
        <f>IF(H31&gt;0, F31/H31, 0)</f>
        <v/>
      </c>
      <c r="J31" s="10" t="n">
        <v>0</v>
      </c>
      <c r="K31" s="10" t="n">
        <v>0</v>
      </c>
      <c r="L31" s="11">
        <f>K31*$E$4</f>
        <v/>
      </c>
      <c r="M31" s="12">
        <f>IF(L31&gt;0, J31/L31, 0)</f>
        <v/>
      </c>
      <c r="N31" s="10" t="n">
        <v>0</v>
      </c>
      <c r="O31" s="10" t="n">
        <v>0</v>
      </c>
      <c r="P31" s="11">
        <f>O31*$E$4</f>
        <v/>
      </c>
      <c r="Q31" s="12">
        <f>IF(P31&gt;0, N31/P31, 0)</f>
        <v/>
      </c>
      <c r="R31" s="10" t="n">
        <v>0</v>
      </c>
      <c r="S31" s="10" t="n">
        <v>0</v>
      </c>
      <c r="T31" s="11">
        <f>S31*$E$4</f>
        <v/>
      </c>
      <c r="U31" s="12">
        <f>IF(T31&gt;0, R31/T31, 0)</f>
        <v/>
      </c>
      <c r="V31" s="10" t="n">
        <v>0</v>
      </c>
      <c r="W31" s="10" t="n">
        <v>0</v>
      </c>
      <c r="X31" s="11">
        <f>W31*$E$4</f>
        <v/>
      </c>
      <c r="Y31" s="12">
        <f>IF(X31&gt;0, V31/X31, 0)</f>
        <v/>
      </c>
      <c r="Z31" s="10" t="n">
        <v>50</v>
      </c>
      <c r="AA31" s="10" t="n">
        <v>0</v>
      </c>
      <c r="AB31" s="11">
        <f>AA31*$E$4</f>
        <v/>
      </c>
      <c r="AC31" s="12">
        <f>IF(AB31&gt;0, Z31/AB31, 0)</f>
        <v/>
      </c>
      <c r="AD31" s="10">
        <f>F31+J31+N31+R31+V31+Z31</f>
        <v/>
      </c>
      <c r="AE31" s="10">
        <f>G31+K31+O31+S31+W31+AA31</f>
        <v/>
      </c>
      <c r="AF31" s="11">
        <f>H31+L31+P31+T31+X31+AB31</f>
        <v/>
      </c>
      <c r="AG31" s="12">
        <f>IF(AF31&gt;0, AD31/AF31, 0)</f>
        <v/>
      </c>
    </row>
    <row r="32" ht="19" customHeight="1">
      <c r="A32" s="7" t="n">
        <v>6</v>
      </c>
      <c r="B32" s="7" t="inlineStr">
        <is>
          <t>NM-09</t>
        </is>
      </c>
      <c r="C32" s="8" t="inlineStr">
        <is>
          <t>COMPACTADOR NEUMÁTICO HAMM 208</t>
        </is>
      </c>
      <c r="D32" s="8" t="inlineStr">
        <is>
          <t>NOLVIN DE JESUS PEREZ GOMEZ</t>
        </is>
      </c>
      <c r="E32" s="8" t="inlineStr">
        <is>
          <t>Compactación Neumática / Acabado</t>
        </is>
      </c>
      <c r="F32" s="10" t="n">
        <v>50</v>
      </c>
      <c r="G32" s="10" t="n">
        <v>0</v>
      </c>
      <c r="H32" s="11">
        <f>G32*$E$4</f>
        <v/>
      </c>
      <c r="I32" s="12">
        <f>IF(H32&gt;0, F32/H32, 0)</f>
        <v/>
      </c>
      <c r="J32" s="10" t="n">
        <v>0</v>
      </c>
      <c r="K32" s="10" t="n">
        <v>0</v>
      </c>
      <c r="L32" s="11">
        <f>K32*$E$4</f>
        <v/>
      </c>
      <c r="M32" s="12">
        <f>IF(L32&gt;0, J32/L32, 0)</f>
        <v/>
      </c>
      <c r="N32" s="10" t="n">
        <v>50</v>
      </c>
      <c r="O32" s="10" t="n">
        <v>0</v>
      </c>
      <c r="P32" s="11">
        <f>O32*$E$4</f>
        <v/>
      </c>
      <c r="Q32" s="12">
        <f>IF(P32&gt;0, N32/P32, 0)</f>
        <v/>
      </c>
      <c r="R32" s="10" t="n">
        <v>0</v>
      </c>
      <c r="S32" s="10" t="n">
        <v>0</v>
      </c>
      <c r="T32" s="11">
        <f>S32*$E$4</f>
        <v/>
      </c>
      <c r="U32" s="12">
        <f>IF(T32&gt;0, R32/T32, 0)</f>
        <v/>
      </c>
      <c r="V32" s="10" t="n">
        <v>0</v>
      </c>
      <c r="W32" s="10" t="n">
        <v>0</v>
      </c>
      <c r="X32" s="11">
        <f>W32*$E$4</f>
        <v/>
      </c>
      <c r="Y32" s="12">
        <f>IF(X32&gt;0, V32/X32, 0)</f>
        <v/>
      </c>
      <c r="Z32" s="10" t="n">
        <v>50</v>
      </c>
      <c r="AA32" s="10" t="n">
        <v>0</v>
      </c>
      <c r="AB32" s="11">
        <f>AA32*$E$4</f>
        <v/>
      </c>
      <c r="AC32" s="12">
        <f>IF(AB32&gt;0, Z32/AB32, 0)</f>
        <v/>
      </c>
      <c r="AD32" s="10">
        <f>F32+J32+N32+R32+V32+Z32</f>
        <v/>
      </c>
      <c r="AE32" s="10">
        <f>G32+K32+O32+S32+W32+AA32</f>
        <v/>
      </c>
      <c r="AF32" s="11">
        <f>H32+L32+P32+T32+X32+AB32</f>
        <v/>
      </c>
      <c r="AG32" s="12">
        <f>IF(AF32&gt;0, AD32/AF32, 0)</f>
        <v/>
      </c>
    </row>
    <row r="33" ht="19" customHeight="1">
      <c r="A33" s="7" t="n">
        <v>7</v>
      </c>
      <c r="B33" s="7" t="inlineStr">
        <is>
          <t>BR-01</t>
        </is>
      </c>
      <c r="C33" s="8" t="inlineStr">
        <is>
          <t>BARREDORA INDUSTRIAL BROCE BROOM-350</t>
        </is>
      </c>
      <c r="D33" s="8" t="inlineStr">
        <is>
          <t>EDGAR ROSALES MARTINEZ</t>
        </is>
      </c>
      <c r="E33" s="8" t="inlineStr">
        <is>
          <t>Limpieza y Barrido Previo</t>
        </is>
      </c>
      <c r="F33" s="10" t="n">
        <v>40</v>
      </c>
      <c r="G33" s="10" t="n">
        <v>0</v>
      </c>
      <c r="H33" s="11">
        <f>G33*$E$4</f>
        <v/>
      </c>
      <c r="I33" s="12">
        <f>IF(H33&gt;0, F33/H33, 0)</f>
        <v/>
      </c>
      <c r="J33" s="10" t="n">
        <v>0</v>
      </c>
      <c r="K33" s="10" t="n">
        <v>0</v>
      </c>
      <c r="L33" s="11">
        <f>K33*$E$4</f>
        <v/>
      </c>
      <c r="M33" s="12">
        <f>IF(L33&gt;0, J33/L33, 0)</f>
        <v/>
      </c>
      <c r="N33" s="10" t="n">
        <v>40</v>
      </c>
      <c r="O33" s="10" t="n">
        <v>0</v>
      </c>
      <c r="P33" s="11">
        <f>O33*$E$4</f>
        <v/>
      </c>
      <c r="Q33" s="12">
        <f>IF(P33&gt;0, N33/P33, 0)</f>
        <v/>
      </c>
      <c r="R33" s="10" t="n">
        <v>0</v>
      </c>
      <c r="S33" s="10" t="n">
        <v>0</v>
      </c>
      <c r="T33" s="11">
        <f>S33*$E$4</f>
        <v/>
      </c>
      <c r="U33" s="12">
        <f>IF(T33&gt;0, R33/T33, 0)</f>
        <v/>
      </c>
      <c r="V33" s="10" t="n">
        <v>0</v>
      </c>
      <c r="W33" s="10" t="n">
        <v>0</v>
      </c>
      <c r="X33" s="11">
        <f>W33*$E$4</f>
        <v/>
      </c>
      <c r="Y33" s="12">
        <f>IF(X33&gt;0, V33/X33, 0)</f>
        <v/>
      </c>
      <c r="Z33" s="10" t="n">
        <v>40</v>
      </c>
      <c r="AA33" s="10" t="n">
        <v>0</v>
      </c>
      <c r="AB33" s="11">
        <f>AA33*$E$4</f>
        <v/>
      </c>
      <c r="AC33" s="12">
        <f>IF(AB33&gt;0, Z33/AB33, 0)</f>
        <v/>
      </c>
      <c r="AD33" s="10">
        <f>F33+J33+N33+R33+V33+Z33</f>
        <v/>
      </c>
      <c r="AE33" s="10">
        <f>G33+K33+O33+S33+W33+AA33</f>
        <v/>
      </c>
      <c r="AF33" s="11">
        <f>H33+L33+P33+T33+X33+AB33</f>
        <v/>
      </c>
      <c r="AG33" s="12">
        <f>IF(AF33&gt;0, AD33/AF33, 0)</f>
        <v/>
      </c>
    </row>
    <row r="34" ht="19" customHeight="1">
      <c r="A34" s="7" t="n">
        <v>8</v>
      </c>
      <c r="B34" s="7" t="inlineStr">
        <is>
          <t>RT-05</t>
        </is>
      </c>
      <c r="C34" s="8" t="inlineStr">
        <is>
          <t>RETROEXCAVADORA JOHN DEERE 310SK</t>
        </is>
      </c>
      <c r="D34" s="8" t="inlineStr">
        <is>
          <t>ADOLFO NAVA LOPEZ</t>
        </is>
      </c>
      <c r="E34" s="8" t="inlineStr">
        <is>
          <t>Carga Fresado y Derrumbes</t>
        </is>
      </c>
      <c r="F34" s="10" t="n">
        <v>60</v>
      </c>
      <c r="G34" s="10" t="n">
        <v>0</v>
      </c>
      <c r="H34" s="11">
        <f>G34*$E$4</f>
        <v/>
      </c>
      <c r="I34" s="12">
        <f>IF(G34&gt;0, F34/G34, 0)</f>
        <v/>
      </c>
      <c r="J34" s="10" t="n">
        <v>120</v>
      </c>
      <c r="K34" s="10" t="n">
        <v>0</v>
      </c>
      <c r="L34" s="11">
        <f>K34*$E$4</f>
        <v/>
      </c>
      <c r="M34" s="12">
        <f>IF(K34&gt;0, J34/K34, 0)</f>
        <v/>
      </c>
      <c r="N34" s="10" t="n">
        <v>60</v>
      </c>
      <c r="O34" s="10" t="n">
        <v>0</v>
      </c>
      <c r="P34" s="11">
        <f>O34*$E$4</f>
        <v/>
      </c>
      <c r="Q34" s="12">
        <f>IF(O34&gt;0, N34/O34, 0)</f>
        <v/>
      </c>
      <c r="R34" s="10" t="n">
        <v>0</v>
      </c>
      <c r="S34" s="10" t="n">
        <v>0</v>
      </c>
      <c r="T34" s="11">
        <f>S34*$E$4</f>
        <v/>
      </c>
      <c r="U34" s="12">
        <f>IF(S34&gt;0, R34/S34, 0)</f>
        <v/>
      </c>
      <c r="V34" s="10" t="n">
        <v>195</v>
      </c>
      <c r="W34" s="10" t="n">
        <v>0</v>
      </c>
      <c r="X34" s="11">
        <f>W34*$E$4</f>
        <v/>
      </c>
      <c r="Y34" s="12">
        <f>IF(W34&gt;0, V34/W34, 0)</f>
        <v/>
      </c>
      <c r="Z34" s="10" t="n">
        <v>0</v>
      </c>
      <c r="AA34" s="10" t="n">
        <v>0</v>
      </c>
      <c r="AB34" s="11">
        <f>AA34*$E$4</f>
        <v/>
      </c>
      <c r="AC34" s="12">
        <f>IF(AA34&gt;0, Z34/AA34, 0)</f>
        <v/>
      </c>
      <c r="AD34" s="10">
        <f>F34+J34+N34+R34+V34+Z34</f>
        <v/>
      </c>
      <c r="AE34" s="10">
        <f>G34+K34+O34+S34+W34+AA34</f>
        <v/>
      </c>
      <c r="AF34" s="11">
        <f>H34+L34+P34+T34+X34+AB34</f>
        <v/>
      </c>
      <c r="AG34" s="12">
        <f>IF(AE34&gt;0, AD34/AE34, 0)</f>
        <v/>
      </c>
    </row>
    <row r="35" ht="19" customHeight="1">
      <c r="A35" s="7" t="n">
        <v>9</v>
      </c>
      <c r="B35" s="7" t="inlineStr">
        <is>
          <t>PT-01</t>
        </is>
      </c>
      <c r="C35" s="8" t="inlineStr">
        <is>
          <t>PETROLIZADORA INTERNATIONAL / FORD F800</t>
        </is>
      </c>
      <c r="D35" s="8" t="inlineStr">
        <is>
          <t>ELTHON EDUARDO MARTINEZ GOMORA</t>
        </is>
      </c>
      <c r="E35" s="8" t="inlineStr">
        <is>
          <t>Riego de Liga / Emulsión</t>
        </is>
      </c>
      <c r="F35" s="10" t="n">
        <v>60</v>
      </c>
      <c r="G35" s="10" t="n">
        <v>0</v>
      </c>
      <c r="H35" s="11">
        <f>G35*$E$4</f>
        <v/>
      </c>
      <c r="I35" s="12">
        <f>IF(H35&gt;0, F35/H35, 0)</f>
        <v/>
      </c>
      <c r="J35" s="10" t="n">
        <v>0</v>
      </c>
      <c r="K35" s="10" t="n">
        <v>0</v>
      </c>
      <c r="L35" s="11">
        <f>K35*$E$4</f>
        <v/>
      </c>
      <c r="M35" s="12">
        <f>IF(L35&gt;0, J35/L35, 0)</f>
        <v/>
      </c>
      <c r="N35" s="10" t="n">
        <v>0</v>
      </c>
      <c r="O35" s="10" t="n">
        <v>0</v>
      </c>
      <c r="P35" s="11">
        <f>O35*$E$4</f>
        <v/>
      </c>
      <c r="Q35" s="12">
        <f>IF(P35&gt;0, N35/P35, 0)</f>
        <v/>
      </c>
      <c r="R35" s="10" t="n">
        <v>0</v>
      </c>
      <c r="S35" s="10" t="n">
        <v>0</v>
      </c>
      <c r="T35" s="11">
        <f>S35*$E$4</f>
        <v/>
      </c>
      <c r="U35" s="12">
        <f>IF(T35&gt;0, R35/T35, 0)</f>
        <v/>
      </c>
      <c r="V35" s="10" t="n">
        <v>0</v>
      </c>
      <c r="W35" s="10" t="n">
        <v>0</v>
      </c>
      <c r="X35" s="11">
        <f>W35*$E$4</f>
        <v/>
      </c>
      <c r="Y35" s="12">
        <f>IF(X35&gt;0, V35/X35, 0)</f>
        <v/>
      </c>
      <c r="Z35" s="10" t="n">
        <v>0</v>
      </c>
      <c r="AA35" s="10" t="n">
        <v>0</v>
      </c>
      <c r="AB35" s="11">
        <f>AA35*$E$4</f>
        <v/>
      </c>
      <c r="AC35" s="12">
        <f>IF(AB35&gt;0, Z35/AB35, 0)</f>
        <v/>
      </c>
      <c r="AD35" s="10">
        <f>F35+J35+N35+R35+V35+Z35</f>
        <v/>
      </c>
      <c r="AE35" s="10">
        <f>G35+K35+O35+S35+W35+AA35</f>
        <v/>
      </c>
      <c r="AF35" s="11">
        <f>H35+L35+P35+T35+X35+AB35</f>
        <v/>
      </c>
      <c r="AG35" s="12">
        <f>IF(AF35&gt;0, AD35/AF35, 0)</f>
        <v/>
      </c>
    </row>
    <row r="36" ht="19" customHeight="1">
      <c r="A36" s="7" t="n">
        <v>10</v>
      </c>
      <c r="B36" s="7" t="inlineStr">
        <is>
          <t>CPR-01</t>
        </is>
      </c>
      <c r="C36" s="8" t="inlineStr">
        <is>
          <t>COMPRESOR DE AIRE INGERSOLL RAND IR185</t>
        </is>
      </c>
      <c r="D36" s="8" t="inlineStr">
        <is>
          <t>CUADRILLA DE LIMPIEZA</t>
        </is>
      </c>
      <c r="E36" s="8" t="inlineStr">
        <is>
          <t>Sopleteado de Juntas</t>
        </is>
      </c>
      <c r="F36" s="10" t="n">
        <v>0</v>
      </c>
      <c r="G36" s="10" t="n">
        <v>0</v>
      </c>
      <c r="H36" s="11">
        <f>G36*$E$4</f>
        <v/>
      </c>
      <c r="I36" s="12" t="n">
        <v>0</v>
      </c>
      <c r="J36" s="10" t="n">
        <v>0</v>
      </c>
      <c r="K36" s="10" t="n">
        <v>0</v>
      </c>
      <c r="L36" s="11">
        <f>K36*$E$4</f>
        <v/>
      </c>
      <c r="M36" s="12" t="n">
        <v>0</v>
      </c>
      <c r="N36" s="10" t="n">
        <v>0</v>
      </c>
      <c r="O36" s="10" t="n">
        <v>0</v>
      </c>
      <c r="P36" s="11">
        <f>O36*$E$4</f>
        <v/>
      </c>
      <c r="Q36" s="12" t="n">
        <v>0</v>
      </c>
      <c r="R36" s="10" t="n">
        <v>0</v>
      </c>
      <c r="S36" s="10" t="n">
        <v>0</v>
      </c>
      <c r="T36" s="11">
        <f>S36*$E$4</f>
        <v/>
      </c>
      <c r="U36" s="12" t="n">
        <v>0</v>
      </c>
      <c r="V36" s="10" t="n">
        <v>0</v>
      </c>
      <c r="W36" s="10" t="n">
        <v>0</v>
      </c>
      <c r="X36" s="11">
        <f>W36*$E$4</f>
        <v/>
      </c>
      <c r="Y36" s="12" t="n">
        <v>0</v>
      </c>
      <c r="Z36" s="10" t="n">
        <v>0</v>
      </c>
      <c r="AA36" s="10" t="n">
        <v>0</v>
      </c>
      <c r="AB36" s="11">
        <f>AA36*$E$4</f>
        <v/>
      </c>
      <c r="AC36" s="12" t="n">
        <v>0</v>
      </c>
      <c r="AD36" s="10">
        <f>F36+J36+N36+R36+V36+Z36</f>
        <v/>
      </c>
      <c r="AE36" s="10">
        <f>G36+K36+O36+S36+W36+AA36</f>
        <v/>
      </c>
      <c r="AF36" s="11">
        <f>H36+L36+P36+T36+X36+AB36</f>
        <v/>
      </c>
      <c r="AG36" s="12" t="n">
        <v>0</v>
      </c>
    </row>
    <row r="37" ht="19" customHeight="1">
      <c r="A37" s="7" t="n">
        <v>11</v>
      </c>
      <c r="B37" s="7" t="inlineStr">
        <is>
          <t>PP-01</t>
        </is>
      </c>
      <c r="C37" s="8" t="inlineStr">
        <is>
          <t>CAMIÓN IMPACTO / PIPA DE AGUA FORD</t>
        </is>
      </c>
      <c r="D37" s="8" t="inlineStr">
        <is>
          <t>CUADRILLA DE AGUA</t>
        </is>
      </c>
      <c r="E37" s="8" t="inlineStr">
        <is>
          <t>Enfriamiento Rodillos / Riego</t>
        </is>
      </c>
      <c r="F37" s="10" t="n">
        <v>0</v>
      </c>
      <c r="G37" s="10" t="n">
        <v>0</v>
      </c>
      <c r="H37" s="11">
        <f>G37*$E$4</f>
        <v/>
      </c>
      <c r="I37" s="12" t="n">
        <v>0</v>
      </c>
      <c r="J37" s="10" t="n">
        <v>0</v>
      </c>
      <c r="K37" s="10" t="n">
        <v>0</v>
      </c>
      <c r="L37" s="11">
        <f>K37*$E$4</f>
        <v/>
      </c>
      <c r="M37" s="12" t="n">
        <v>0</v>
      </c>
      <c r="N37" s="10" t="n">
        <v>0</v>
      </c>
      <c r="O37" s="10" t="n">
        <v>0</v>
      </c>
      <c r="P37" s="11">
        <f>O37*$E$4</f>
        <v/>
      </c>
      <c r="Q37" s="12" t="n">
        <v>0</v>
      </c>
      <c r="R37" s="10" t="n">
        <v>0</v>
      </c>
      <c r="S37" s="10" t="n">
        <v>0</v>
      </c>
      <c r="T37" s="11">
        <f>S37*$E$4</f>
        <v/>
      </c>
      <c r="U37" s="12" t="n">
        <v>0</v>
      </c>
      <c r="V37" s="10" t="n">
        <v>0</v>
      </c>
      <c r="W37" s="10" t="n">
        <v>0</v>
      </c>
      <c r="X37" s="11">
        <f>W37*$E$4</f>
        <v/>
      </c>
      <c r="Y37" s="12" t="n">
        <v>0</v>
      </c>
      <c r="Z37" s="10" t="n">
        <v>0</v>
      </c>
      <c r="AA37" s="10" t="n">
        <v>0</v>
      </c>
      <c r="AB37" s="11">
        <f>AA37*$E$4</f>
        <v/>
      </c>
      <c r="AC37" s="12" t="n">
        <v>0</v>
      </c>
      <c r="AD37" s="10">
        <f>F37+J37+N37+R37+V37+Z37</f>
        <v/>
      </c>
      <c r="AE37" s="10">
        <f>G37+K37+O37+S37+W37+AA37</f>
        <v/>
      </c>
      <c r="AF37" s="11">
        <f>H37+L37+P37+T37+X37+AB37</f>
        <v/>
      </c>
      <c r="AG37" s="12" t="n">
        <v>0</v>
      </c>
    </row>
    <row r="38" ht="19" customHeight="1">
      <c r="A38" s="7" t="n">
        <v>12</v>
      </c>
      <c r="B38" s="7" t="inlineStr">
        <is>
          <t>TL-01</t>
        </is>
      </c>
      <c r="C38" s="8" t="inlineStr">
        <is>
          <t>TORRE DE LUZ MAXILIGHT 4X1000W</t>
        </is>
      </c>
      <c r="D38" s="8" t="inlineStr">
        <is>
          <t>CUADRILLA NOCTURNA</t>
        </is>
      </c>
      <c r="E38" s="8" t="inlineStr">
        <is>
          <t>Iluminación Nocturna</t>
        </is>
      </c>
      <c r="F38" s="10" t="n">
        <v>0</v>
      </c>
      <c r="G38" s="10" t="n">
        <v>0</v>
      </c>
      <c r="H38" s="11">
        <f>G38*$E$4</f>
        <v/>
      </c>
      <c r="I38" s="12" t="n">
        <v>0</v>
      </c>
      <c r="J38" s="10" t="n">
        <v>0</v>
      </c>
      <c r="K38" s="10" t="n">
        <v>0</v>
      </c>
      <c r="L38" s="11">
        <f>K38*$E$4</f>
        <v/>
      </c>
      <c r="M38" s="12" t="n">
        <v>0</v>
      </c>
      <c r="N38" s="10" t="n">
        <v>0</v>
      </c>
      <c r="O38" s="10" t="n">
        <v>0</v>
      </c>
      <c r="P38" s="11">
        <f>O38*$E$4</f>
        <v/>
      </c>
      <c r="Q38" s="12" t="n">
        <v>0</v>
      </c>
      <c r="R38" s="10" t="n">
        <v>0</v>
      </c>
      <c r="S38" s="10" t="n">
        <v>0</v>
      </c>
      <c r="T38" s="11">
        <f>S38*$E$4</f>
        <v/>
      </c>
      <c r="U38" s="12" t="n">
        <v>0</v>
      </c>
      <c r="V38" s="10" t="n">
        <v>0</v>
      </c>
      <c r="W38" s="10" t="n">
        <v>0</v>
      </c>
      <c r="X38" s="11">
        <f>W38*$E$4</f>
        <v/>
      </c>
      <c r="Y38" s="12" t="n">
        <v>0</v>
      </c>
      <c r="Z38" s="10" t="n">
        <v>0</v>
      </c>
      <c r="AA38" s="10" t="n">
        <v>0</v>
      </c>
      <c r="AB38" s="11">
        <f>AA38*$E$4</f>
        <v/>
      </c>
      <c r="AC38" s="12" t="n">
        <v>0</v>
      </c>
      <c r="AD38" s="10">
        <f>F38+J38+N38+R38+V38+Z38</f>
        <v/>
      </c>
      <c r="AE38" s="10">
        <f>G38+K38+O38+S38+W38+AA38</f>
        <v/>
      </c>
      <c r="AF38" s="11">
        <f>H38+L38+P38+T38+X38+AB38</f>
        <v/>
      </c>
      <c r="AG38" s="12" t="n">
        <v>0</v>
      </c>
    </row>
    <row r="39" ht="22" customHeight="1">
      <c r="A39" s="13" t="inlineStr">
        <is>
          <t>TOTAL DIARIO CONSOLIDADO (OBRA MÉXICO-TOLUCA)</t>
        </is>
      </c>
      <c r="B39" s="14" t="n"/>
      <c r="C39" s="14" t="n"/>
      <c r="D39" s="14" t="n"/>
      <c r="E39" s="14" t="n"/>
      <c r="F39" s="16">
        <f>SUM(F27:F38)</f>
        <v/>
      </c>
      <c r="G39" s="16">
        <f>MAX(G27:G38)</f>
        <v/>
      </c>
      <c r="H39" s="17">
        <f>G39*$E$4</f>
        <v/>
      </c>
      <c r="I39" s="18">
        <f>IF(H39&gt;0, F39/H39, 0)</f>
        <v/>
      </c>
      <c r="J39" s="16">
        <f>SUM(J27:J38)</f>
        <v/>
      </c>
      <c r="K39" s="16">
        <f>MAX(K27:K38)</f>
        <v/>
      </c>
      <c r="L39" s="17">
        <f>K39*$E$4</f>
        <v/>
      </c>
      <c r="M39" s="18">
        <f>IF(L39&gt;0, J39/L39, 0)</f>
        <v/>
      </c>
      <c r="N39" s="16">
        <f>SUM(N27:N38)</f>
        <v/>
      </c>
      <c r="O39" s="16">
        <f>MAX(O27:O38)</f>
        <v/>
      </c>
      <c r="P39" s="17">
        <f>O39*$E$4</f>
        <v/>
      </c>
      <c r="Q39" s="18">
        <f>IF(P39&gt;0, N39/P39, 0)</f>
        <v/>
      </c>
      <c r="R39" s="16">
        <f>SUM(R27:R38)</f>
        <v/>
      </c>
      <c r="S39" s="16">
        <f>MAX(S27:S38)</f>
        <v/>
      </c>
      <c r="T39" s="17">
        <f>S39*$E$4</f>
        <v/>
      </c>
      <c r="U39" s="18">
        <f>IF(T39&gt;0, R39/T39, 0)</f>
        <v/>
      </c>
      <c r="V39" s="16">
        <f>SUM(V27:V38)</f>
        <v/>
      </c>
      <c r="W39" s="16">
        <f>MAX(W27:W38)</f>
        <v/>
      </c>
      <c r="X39" s="17">
        <f>W39*$E$4</f>
        <v/>
      </c>
      <c r="Y39" s="18">
        <f>IF(X39&gt;0, V39/X39, 0)</f>
        <v/>
      </c>
      <c r="Z39" s="16">
        <f>SUM(Z27:Z38)</f>
        <v/>
      </c>
      <c r="AA39" s="16">
        <f>MAX(AA27:AA38)</f>
        <v/>
      </c>
      <c r="AB39" s="17">
        <f>AA39*$E$4</f>
        <v/>
      </c>
      <c r="AC39" s="18">
        <f>IF(AB39&gt;0, Z39/AB39, 0)</f>
        <v/>
      </c>
      <c r="AD39" s="16">
        <f>SUM(AD27:AD38)</f>
        <v/>
      </c>
      <c r="AE39" s="16">
        <f>SUM(AE27:AE38)</f>
        <v/>
      </c>
      <c r="AF39" s="17">
        <f>SUM(AF27:AF38)</f>
        <v/>
      </c>
      <c r="AG39" s="18">
        <f>IF(AF39&gt;0, AD39/AF39, 0)</f>
        <v/>
      </c>
    </row>
    <row r="41">
      <c r="A41" s="31" t="inlineStr">
        <is>
          <t>NOTA TÉCNICA Y CRITERIOS DE CONTROL DE RENDIMIENTO — OBRA MÉXICO-TOLUCA:
1. Peso Volumétrico Oficial del Asfalto: 1.742 Ton/m³ (Toneladas = m³ Carpeta × 1.742).
2. Rendimiento Base (L/h): Consumo nominal de fabricante ajustado con 1.2% anual de desgaste por antigüedad al 2026.
3. Rendimiento Real: Diésel Surtido / Toneladas Tendidas (L/Ton) o Diésel Surtido / Volumen Fresado (L/m³).
4. Estatus Operativo: DENTRO DE RENDIMIENTO BASE (Verde) / EXCEDE RENDIMIENTO BASE (Rojo) / SIN CONSUMO (Gris).</t>
        </is>
      </c>
    </row>
    <row r="42"/>
    <row r="43"/>
    <row r="44"/>
    <row r="45"/>
  </sheetData>
  <mergeCells count="14">
    <mergeCell ref="A21:E21"/>
    <mergeCell ref="A39:E39"/>
    <mergeCell ref="A25:E25"/>
    <mergeCell ref="A2:N2"/>
    <mergeCell ref="A24:AG24"/>
    <mergeCell ref="A41:N45"/>
    <mergeCell ref="R25:U25"/>
    <mergeCell ref="AD25:AG25"/>
    <mergeCell ref="V25:Y25"/>
    <mergeCell ref="Z25:AC25"/>
    <mergeCell ref="F25:I25"/>
    <mergeCell ref="J25:M25"/>
    <mergeCell ref="N25:Q25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</cols>
  <sheetData>
    <row r="1">
      <c r="A1" s="1" t="inlineStr">
        <is>
          <t>GRUPO FÉNIX — RESUMEN EJECUTIVO Y MATRIZ COMPARATIVA DE RENDIMIENTOS</t>
        </is>
      </c>
    </row>
    <row r="2">
      <c r="A2" s="2" t="inlineStr">
        <is>
          <t>EVOLUCIÓN SEMANAL DE CONSUMO DE COMBUSTIBLE Y PRODUCCIÓN EN CARRETERA MÉXICO-TOLUCA (SEM 24 A 34)</t>
        </is>
      </c>
    </row>
    <row r="4">
      <c r="A4" s="32" t="inlineStr">
        <is>
          <t>MATRIZ 1: CONSUMO DE DIÉSEL POR EQUIPO SEMANA A SEMANA (LITROS)</t>
        </is>
      </c>
    </row>
    <row r="5" ht="24" customHeight="1">
      <c r="A5" s="6" t="inlineStr">
        <is>
          <t>No.</t>
        </is>
      </c>
      <c r="B5" s="6" t="inlineStr">
        <is>
          <t>Económico</t>
        </is>
      </c>
      <c r="C5" s="6" t="inlineStr">
        <is>
          <t>Equipo / Maquinaria</t>
        </is>
      </c>
      <c r="D5" s="6" t="inlineStr">
        <is>
          <t>Sem 24</t>
        </is>
      </c>
      <c r="E5" s="6" t="inlineStr">
        <is>
          <t>Sem 25</t>
        </is>
      </c>
      <c r="F5" s="6" t="inlineStr">
        <is>
          <t>Sem 26</t>
        </is>
      </c>
      <c r="G5" s="6" t="inlineStr">
        <is>
          <t>Sem 27</t>
        </is>
      </c>
      <c r="H5" s="6" t="inlineStr">
        <is>
          <t>Sem 28</t>
        </is>
      </c>
      <c r="I5" s="6" t="inlineStr">
        <is>
          <t>Sem 29</t>
        </is>
      </c>
      <c r="J5" s="6" t="inlineStr">
        <is>
          <t>Sem 30</t>
        </is>
      </c>
      <c r="K5" s="6" t="inlineStr">
        <is>
          <t>Sem 31</t>
        </is>
      </c>
      <c r="L5" s="6" t="inlineStr">
        <is>
          <t>Sem 32</t>
        </is>
      </c>
      <c r="M5" s="6" t="inlineStr">
        <is>
          <t>Sem 33</t>
        </is>
      </c>
      <c r="N5" s="6" t="inlineStr">
        <is>
          <t>Sem 34</t>
        </is>
      </c>
      <c r="O5" s="6" t="inlineStr">
        <is>
          <t>Total (L)</t>
        </is>
      </c>
    </row>
    <row r="6" ht="19" customHeight="1">
      <c r="A6" s="7" t="n">
        <v>1</v>
      </c>
      <c r="B6" s="7" t="inlineStr">
        <is>
          <t>PRR-01</t>
        </is>
      </c>
      <c r="C6" s="8" t="inlineStr">
        <is>
          <t>PERFILADORA WIRTGEN W200i</t>
        </is>
      </c>
      <c r="D6" s="10">
        <f>'Semana 24'!I9</f>
        <v/>
      </c>
      <c r="E6" s="10">
        <f>'Semana 25'!I9</f>
        <v/>
      </c>
      <c r="F6" s="10">
        <f>'Semana 26'!I9</f>
        <v/>
      </c>
      <c r="G6" s="10">
        <f>'Semana 27'!I9</f>
        <v/>
      </c>
      <c r="H6" s="10">
        <f>'Semana 28'!I9</f>
        <v/>
      </c>
      <c r="I6" s="10">
        <f>'Semana 29'!I9</f>
        <v/>
      </c>
      <c r="J6" s="10">
        <f>'Semana 30'!I9</f>
        <v/>
      </c>
      <c r="K6" s="10">
        <f>'Semana 31'!I9</f>
        <v/>
      </c>
      <c r="L6" s="10">
        <f>'Semana 32'!I9</f>
        <v/>
      </c>
      <c r="M6" s="10">
        <f>'Semana 33'!I9</f>
        <v/>
      </c>
      <c r="N6" s="10">
        <f>'Semana 34'!I9</f>
        <v/>
      </c>
      <c r="O6" s="10">
        <f>SUM(D6:N6)</f>
        <v/>
      </c>
    </row>
    <row r="7" ht="19" customHeight="1">
      <c r="A7" s="7" t="n">
        <v>2</v>
      </c>
      <c r="B7" s="7" t="inlineStr">
        <is>
          <t>VG-01</t>
        </is>
      </c>
      <c r="C7" s="8" t="inlineStr">
        <is>
          <t>PAVIMENTADORA VÖGELE SUPER 1800-3i</t>
        </is>
      </c>
      <c r="D7" s="10">
        <f>'Semana 24'!I10</f>
        <v/>
      </c>
      <c r="E7" s="10">
        <f>'Semana 25'!I10</f>
        <v/>
      </c>
      <c r="F7" s="10">
        <f>'Semana 26'!I10</f>
        <v/>
      </c>
      <c r="G7" s="10">
        <f>'Semana 27'!I10</f>
        <v/>
      </c>
      <c r="H7" s="10">
        <f>'Semana 28'!I10</f>
        <v/>
      </c>
      <c r="I7" s="10">
        <f>'Semana 29'!I10</f>
        <v/>
      </c>
      <c r="J7" s="10">
        <f>'Semana 30'!I10</f>
        <v/>
      </c>
      <c r="K7" s="10">
        <f>'Semana 31'!I10</f>
        <v/>
      </c>
      <c r="L7" s="10">
        <f>'Semana 32'!I10</f>
        <v/>
      </c>
      <c r="M7" s="10">
        <f>'Semana 33'!I10</f>
        <v/>
      </c>
      <c r="N7" s="10">
        <f>'Semana 34'!I10</f>
        <v/>
      </c>
      <c r="O7" s="10">
        <f>SUM(D7:N7)</f>
        <v/>
      </c>
    </row>
    <row r="8" ht="19" customHeight="1">
      <c r="A8" s="7" t="n">
        <v>3</v>
      </c>
      <c r="B8" s="7" t="inlineStr">
        <is>
          <t>DR-01</t>
        </is>
      </c>
      <c r="C8" s="8" t="inlineStr">
        <is>
          <t>COMPACTADOR TÁNDEM HAMM-HD120 VV</t>
        </is>
      </c>
      <c r="D8" s="10">
        <f>'Semana 24'!I11</f>
        <v/>
      </c>
      <c r="E8" s="10">
        <f>'Semana 25'!I11</f>
        <v/>
      </c>
      <c r="F8" s="10">
        <f>'Semana 26'!I11</f>
        <v/>
      </c>
      <c r="G8" s="10">
        <f>'Semana 27'!I11</f>
        <v/>
      </c>
      <c r="H8" s="10">
        <f>'Semana 28'!I11</f>
        <v/>
      </c>
      <c r="I8" s="10">
        <f>'Semana 29'!I11</f>
        <v/>
      </c>
      <c r="J8" s="10">
        <f>'Semana 30'!I11</f>
        <v/>
      </c>
      <c r="K8" s="10">
        <f>'Semana 31'!I11</f>
        <v/>
      </c>
      <c r="L8" s="10">
        <f>'Semana 32'!I11</f>
        <v/>
      </c>
      <c r="M8" s="10">
        <f>'Semana 33'!I11</f>
        <v/>
      </c>
      <c r="N8" s="10">
        <f>'Semana 34'!I11</f>
        <v/>
      </c>
      <c r="O8" s="10">
        <f>SUM(D8:N8)</f>
        <v/>
      </c>
    </row>
    <row r="9" ht="19" customHeight="1">
      <c r="A9" s="7" t="n">
        <v>4</v>
      </c>
      <c r="B9" s="7" t="inlineStr">
        <is>
          <t>DR-02</t>
        </is>
      </c>
      <c r="C9" s="8" t="inlineStr">
        <is>
          <t>COMPACTADOR TÁNDEM HAMM-HD140</t>
        </is>
      </c>
      <c r="D9" s="10">
        <f>'Semana 24'!I12</f>
        <v/>
      </c>
      <c r="E9" s="10">
        <f>'Semana 25'!I12</f>
        <v/>
      </c>
      <c r="F9" s="10">
        <f>'Semana 26'!I12</f>
        <v/>
      </c>
      <c r="G9" s="10">
        <f>'Semana 27'!I12</f>
        <v/>
      </c>
      <c r="H9" s="10">
        <f>'Semana 28'!I12</f>
        <v/>
      </c>
      <c r="I9" s="10">
        <f>'Semana 29'!I12</f>
        <v/>
      </c>
      <c r="J9" s="10">
        <f>'Semana 30'!I12</f>
        <v/>
      </c>
      <c r="K9" s="10">
        <f>'Semana 31'!I12</f>
        <v/>
      </c>
      <c r="L9" s="10">
        <f>'Semana 32'!I12</f>
        <v/>
      </c>
      <c r="M9" s="10">
        <f>'Semana 33'!I12</f>
        <v/>
      </c>
      <c r="N9" s="10">
        <f>'Semana 34'!I12</f>
        <v/>
      </c>
      <c r="O9" s="10">
        <f>SUM(D9:N9)</f>
        <v/>
      </c>
    </row>
    <row r="10" ht="19" customHeight="1">
      <c r="A10" s="7" t="n">
        <v>5</v>
      </c>
      <c r="B10" s="7" t="inlineStr">
        <is>
          <t>NM-01</t>
        </is>
      </c>
      <c r="C10" s="8" t="inlineStr">
        <is>
          <t>COMPACTADOR NEUMÁTICO DYNAPAC CP271</t>
        </is>
      </c>
      <c r="D10" s="10">
        <f>'Semana 24'!I13</f>
        <v/>
      </c>
      <c r="E10" s="10">
        <f>'Semana 25'!I13</f>
        <v/>
      </c>
      <c r="F10" s="10">
        <f>'Semana 26'!I13</f>
        <v/>
      </c>
      <c r="G10" s="10">
        <f>'Semana 27'!I13</f>
        <v/>
      </c>
      <c r="H10" s="10">
        <f>'Semana 28'!I13</f>
        <v/>
      </c>
      <c r="I10" s="10">
        <f>'Semana 29'!I13</f>
        <v/>
      </c>
      <c r="J10" s="10">
        <f>'Semana 30'!I13</f>
        <v/>
      </c>
      <c r="K10" s="10">
        <f>'Semana 31'!I13</f>
        <v/>
      </c>
      <c r="L10" s="10">
        <f>'Semana 32'!I13</f>
        <v/>
      </c>
      <c r="M10" s="10">
        <f>'Semana 33'!I13</f>
        <v/>
      </c>
      <c r="N10" s="10">
        <f>'Semana 34'!I13</f>
        <v/>
      </c>
      <c r="O10" s="10">
        <f>SUM(D10:N10)</f>
        <v/>
      </c>
    </row>
    <row r="11" ht="19" customHeight="1">
      <c r="A11" s="7" t="n">
        <v>6</v>
      </c>
      <c r="B11" s="7" t="inlineStr">
        <is>
          <t>NM-09</t>
        </is>
      </c>
      <c r="C11" s="8" t="inlineStr">
        <is>
          <t>COMPACTADOR NEUMÁTICO HAMM 208</t>
        </is>
      </c>
      <c r="D11" s="10">
        <f>'Semana 24'!I14</f>
        <v/>
      </c>
      <c r="E11" s="10">
        <f>'Semana 25'!I14</f>
        <v/>
      </c>
      <c r="F11" s="10">
        <f>'Semana 26'!I14</f>
        <v/>
      </c>
      <c r="G11" s="10">
        <f>'Semana 27'!I14</f>
        <v/>
      </c>
      <c r="H11" s="10">
        <f>'Semana 28'!I14</f>
        <v/>
      </c>
      <c r="I11" s="10">
        <f>'Semana 29'!I14</f>
        <v/>
      </c>
      <c r="J11" s="10">
        <f>'Semana 30'!I14</f>
        <v/>
      </c>
      <c r="K11" s="10">
        <f>'Semana 31'!I14</f>
        <v/>
      </c>
      <c r="L11" s="10">
        <f>'Semana 32'!I14</f>
        <v/>
      </c>
      <c r="M11" s="10">
        <f>'Semana 33'!I14</f>
        <v/>
      </c>
      <c r="N11" s="10">
        <f>'Semana 34'!I14</f>
        <v/>
      </c>
      <c r="O11" s="10">
        <f>SUM(D11:N11)</f>
        <v/>
      </c>
    </row>
    <row r="12" ht="19" customHeight="1">
      <c r="A12" s="7" t="n">
        <v>7</v>
      </c>
      <c r="B12" s="7" t="inlineStr">
        <is>
          <t>BR-01</t>
        </is>
      </c>
      <c r="C12" s="8" t="inlineStr">
        <is>
          <t>BARREDORA INDUSTRIAL BROCE BROOM-350</t>
        </is>
      </c>
      <c r="D12" s="10">
        <f>'Semana 24'!I15</f>
        <v/>
      </c>
      <c r="E12" s="10">
        <f>'Semana 25'!I15</f>
        <v/>
      </c>
      <c r="F12" s="10">
        <f>'Semana 26'!I15</f>
        <v/>
      </c>
      <c r="G12" s="10">
        <f>'Semana 27'!I15</f>
        <v/>
      </c>
      <c r="H12" s="10">
        <f>'Semana 28'!I15</f>
        <v/>
      </c>
      <c r="I12" s="10">
        <f>'Semana 29'!I15</f>
        <v/>
      </c>
      <c r="J12" s="10">
        <f>'Semana 30'!I15</f>
        <v/>
      </c>
      <c r="K12" s="10">
        <f>'Semana 31'!I15</f>
        <v/>
      </c>
      <c r="L12" s="10">
        <f>'Semana 32'!I15</f>
        <v/>
      </c>
      <c r="M12" s="10">
        <f>'Semana 33'!I15</f>
        <v/>
      </c>
      <c r="N12" s="10">
        <f>'Semana 34'!I15</f>
        <v/>
      </c>
      <c r="O12" s="10">
        <f>SUM(D12:N12)</f>
        <v/>
      </c>
    </row>
    <row r="13" ht="19" customHeight="1">
      <c r="A13" s="7" t="n">
        <v>8</v>
      </c>
      <c r="B13" s="7" t="inlineStr">
        <is>
          <t>RT-05</t>
        </is>
      </c>
      <c r="C13" s="8" t="inlineStr">
        <is>
          <t>RETROEXCAVADORA JOHN DEERE 310SK</t>
        </is>
      </c>
      <c r="D13" s="10">
        <f>'Semana 24'!I16</f>
        <v/>
      </c>
      <c r="E13" s="10">
        <f>'Semana 25'!I16</f>
        <v/>
      </c>
      <c r="F13" s="10">
        <f>'Semana 26'!I16</f>
        <v/>
      </c>
      <c r="G13" s="10">
        <f>'Semana 27'!I16</f>
        <v/>
      </c>
      <c r="H13" s="10">
        <f>'Semana 28'!I16</f>
        <v/>
      </c>
      <c r="I13" s="10">
        <f>'Semana 29'!I16</f>
        <v/>
      </c>
      <c r="J13" s="10">
        <f>'Semana 30'!I16</f>
        <v/>
      </c>
      <c r="K13" s="10">
        <f>'Semana 31'!I16</f>
        <v/>
      </c>
      <c r="L13" s="10">
        <f>'Semana 32'!I16</f>
        <v/>
      </c>
      <c r="M13" s="10">
        <f>'Semana 33'!I16</f>
        <v/>
      </c>
      <c r="N13" s="10">
        <f>'Semana 34'!I16</f>
        <v/>
      </c>
      <c r="O13" s="10">
        <f>SUM(D13:N13)</f>
        <v/>
      </c>
    </row>
    <row r="14" ht="19" customHeight="1">
      <c r="A14" s="7" t="n">
        <v>9</v>
      </c>
      <c r="B14" s="7" t="inlineStr">
        <is>
          <t>PT-01</t>
        </is>
      </c>
      <c r="C14" s="8" t="inlineStr">
        <is>
          <t>PETROLIZADORA INTERNATIONAL / FORD F800</t>
        </is>
      </c>
      <c r="D14" s="10">
        <f>'Semana 24'!I17</f>
        <v/>
      </c>
      <c r="E14" s="10">
        <f>'Semana 25'!I17</f>
        <v/>
      </c>
      <c r="F14" s="10">
        <f>'Semana 26'!I17</f>
        <v/>
      </c>
      <c r="G14" s="10">
        <f>'Semana 27'!I17</f>
        <v/>
      </c>
      <c r="H14" s="10">
        <f>'Semana 28'!I17</f>
        <v/>
      </c>
      <c r="I14" s="10">
        <f>'Semana 29'!I17</f>
        <v/>
      </c>
      <c r="J14" s="10">
        <f>'Semana 30'!I17</f>
        <v/>
      </c>
      <c r="K14" s="10">
        <f>'Semana 31'!I17</f>
        <v/>
      </c>
      <c r="L14" s="10">
        <f>'Semana 32'!I17</f>
        <v/>
      </c>
      <c r="M14" s="10">
        <f>'Semana 33'!I17</f>
        <v/>
      </c>
      <c r="N14" s="10">
        <f>'Semana 34'!I17</f>
        <v/>
      </c>
      <c r="O14" s="10">
        <f>SUM(D14:N14)</f>
        <v/>
      </c>
    </row>
    <row r="15" ht="19" customHeight="1">
      <c r="A15" s="7" t="n">
        <v>10</v>
      </c>
      <c r="B15" s="7" t="inlineStr">
        <is>
          <t>CPR-01</t>
        </is>
      </c>
      <c r="C15" s="8" t="inlineStr">
        <is>
          <t>COMPRESOR DE AIRE INGERSOLL RAND IR185</t>
        </is>
      </c>
      <c r="D15" s="10">
        <f>'Semana 24'!I18</f>
        <v/>
      </c>
      <c r="E15" s="10">
        <f>'Semana 25'!I18</f>
        <v/>
      </c>
      <c r="F15" s="10">
        <f>'Semana 26'!I18</f>
        <v/>
      </c>
      <c r="G15" s="10">
        <f>'Semana 27'!I18</f>
        <v/>
      </c>
      <c r="H15" s="10">
        <f>'Semana 28'!I18</f>
        <v/>
      </c>
      <c r="I15" s="10">
        <f>'Semana 29'!I18</f>
        <v/>
      </c>
      <c r="J15" s="10">
        <f>'Semana 30'!I18</f>
        <v/>
      </c>
      <c r="K15" s="10">
        <f>'Semana 31'!I18</f>
        <v/>
      </c>
      <c r="L15" s="10">
        <f>'Semana 32'!I18</f>
        <v/>
      </c>
      <c r="M15" s="10">
        <f>'Semana 33'!I18</f>
        <v/>
      </c>
      <c r="N15" s="10">
        <f>'Semana 34'!I18</f>
        <v/>
      </c>
      <c r="O15" s="10">
        <f>SUM(D15:N15)</f>
        <v/>
      </c>
    </row>
    <row r="16" ht="19" customHeight="1">
      <c r="A16" s="7" t="n">
        <v>11</v>
      </c>
      <c r="B16" s="7" t="inlineStr">
        <is>
          <t>PP-01</t>
        </is>
      </c>
      <c r="C16" s="8" t="inlineStr">
        <is>
          <t>CAMIÓN IMPACTO / PIPA DE AGUA FORD</t>
        </is>
      </c>
      <c r="D16" s="10">
        <f>'Semana 24'!I19</f>
        <v/>
      </c>
      <c r="E16" s="10">
        <f>'Semana 25'!I19</f>
        <v/>
      </c>
      <c r="F16" s="10">
        <f>'Semana 26'!I19</f>
        <v/>
      </c>
      <c r="G16" s="10">
        <f>'Semana 27'!I19</f>
        <v/>
      </c>
      <c r="H16" s="10">
        <f>'Semana 28'!I19</f>
        <v/>
      </c>
      <c r="I16" s="10">
        <f>'Semana 29'!I19</f>
        <v/>
      </c>
      <c r="J16" s="10">
        <f>'Semana 30'!I19</f>
        <v/>
      </c>
      <c r="K16" s="10">
        <f>'Semana 31'!I19</f>
        <v/>
      </c>
      <c r="L16" s="10">
        <f>'Semana 32'!I19</f>
        <v/>
      </c>
      <c r="M16" s="10">
        <f>'Semana 33'!I19</f>
        <v/>
      </c>
      <c r="N16" s="10">
        <f>'Semana 34'!I19</f>
        <v/>
      </c>
      <c r="O16" s="10">
        <f>SUM(D16:N16)</f>
        <v/>
      </c>
    </row>
    <row r="17" ht="19" customHeight="1">
      <c r="A17" s="7" t="n">
        <v>12</v>
      </c>
      <c r="B17" s="7" t="inlineStr">
        <is>
          <t>TL-01</t>
        </is>
      </c>
      <c r="C17" s="8" t="inlineStr">
        <is>
          <t>TORRE DE LUZ MAXILIGHT 4X1000W</t>
        </is>
      </c>
      <c r="D17" s="10">
        <f>'Semana 24'!I20</f>
        <v/>
      </c>
      <c r="E17" s="10">
        <f>'Semana 25'!I20</f>
        <v/>
      </c>
      <c r="F17" s="10">
        <f>'Semana 26'!I20</f>
        <v/>
      </c>
      <c r="G17" s="10">
        <f>'Semana 27'!I20</f>
        <v/>
      </c>
      <c r="H17" s="10">
        <f>'Semana 28'!I20</f>
        <v/>
      </c>
      <c r="I17" s="10">
        <f>'Semana 29'!I20</f>
        <v/>
      </c>
      <c r="J17" s="10">
        <f>'Semana 30'!I20</f>
        <v/>
      </c>
      <c r="K17" s="10">
        <f>'Semana 31'!I20</f>
        <v/>
      </c>
      <c r="L17" s="10">
        <f>'Semana 32'!I20</f>
        <v/>
      </c>
      <c r="M17" s="10">
        <f>'Semana 33'!I20</f>
        <v/>
      </c>
      <c r="N17" s="10">
        <f>'Semana 34'!I20</f>
        <v/>
      </c>
      <c r="O17" s="10">
        <f>SUM(D17:N17)</f>
        <v/>
      </c>
    </row>
    <row r="18" ht="19" customHeight="1">
      <c r="A18" s="7" t="n">
        <v>13</v>
      </c>
      <c r="B18" s="7" t="inlineStr">
        <is>
          <t>APOYO</t>
        </is>
      </c>
      <c r="C18" s="8" t="inlineStr">
        <is>
          <t>Equipos de Apoyo / Bidones / Ajustes</t>
        </is>
      </c>
      <c r="D18" s="10" t="n">
        <v>392</v>
      </c>
      <c r="E18" s="10" t="n">
        <v>80</v>
      </c>
      <c r="F18" s="10" t="n">
        <v>-287</v>
      </c>
      <c r="G18" s="10" t="n">
        <v>1149</v>
      </c>
      <c r="H18" s="10" t="n">
        <v>1828</v>
      </c>
      <c r="I18" s="10" t="n">
        <v>325.77</v>
      </c>
      <c r="J18" s="10" t="n">
        <v>989.1799999999999</v>
      </c>
      <c r="K18" s="10" t="n">
        <v>3.71</v>
      </c>
      <c r="L18" s="10" t="n">
        <v>338</v>
      </c>
      <c r="M18" s="10" t="n">
        <v>0</v>
      </c>
      <c r="N18" s="10" t="n">
        <v>-141</v>
      </c>
      <c r="O18" s="10">
        <f>SUM(D18:N18)</f>
        <v/>
      </c>
    </row>
    <row r="19" ht="22" customHeight="1">
      <c r="A19" s="13" t="inlineStr">
        <is>
          <t>TOTAL CONSUMO DIÉSEL OBRA (L)</t>
        </is>
      </c>
      <c r="B19" s="14" t="n"/>
      <c r="C19" s="14" t="n"/>
      <c r="D19" s="16">
        <f>SUM(D6:D18)</f>
        <v/>
      </c>
      <c r="E19" s="16">
        <f>SUM(E6:E18)</f>
        <v/>
      </c>
      <c r="F19" s="16">
        <f>SUM(F6:F18)</f>
        <v/>
      </c>
      <c r="G19" s="16">
        <f>SUM(G6:G18)</f>
        <v/>
      </c>
      <c r="H19" s="16">
        <f>SUM(H6:H18)</f>
        <v/>
      </c>
      <c r="I19" s="16">
        <f>SUM(I6:I18)</f>
        <v/>
      </c>
      <c r="J19" s="16">
        <f>SUM(J6:J18)</f>
        <v/>
      </c>
      <c r="K19" s="16">
        <f>SUM(K6:K18)</f>
        <v/>
      </c>
      <c r="L19" s="16">
        <f>SUM(L6:L18)</f>
        <v/>
      </c>
      <c r="M19" s="16">
        <f>SUM(M6:M18)</f>
        <v/>
      </c>
      <c r="N19" s="16">
        <f>SUM(N6:N18)</f>
        <v/>
      </c>
      <c r="O19" s="16">
        <f>SUM(O6:O18)</f>
        <v/>
      </c>
    </row>
    <row r="22">
      <c r="A22" s="32" t="inlineStr">
        <is>
          <t>MATRIZ 2: EVOLUCIÓN SEMANAL DE PRODUCCIÓN EN CAMPO (SEM 24 A 34)</t>
        </is>
      </c>
    </row>
    <row r="23" ht="24" customHeight="1">
      <c r="A23" s="6" t="inlineStr"/>
      <c r="B23" s="6" t="inlineStr">
        <is>
          <t>Concepto de Producción</t>
        </is>
      </c>
      <c r="C23" s="6" t="inlineStr">
        <is>
          <t>Unidad</t>
        </is>
      </c>
      <c r="D23" s="6" t="inlineStr">
        <is>
          <t>Sem 24</t>
        </is>
      </c>
      <c r="E23" s="6" t="inlineStr">
        <is>
          <t>Sem 25</t>
        </is>
      </c>
      <c r="F23" s="6" t="inlineStr">
        <is>
          <t>Sem 26</t>
        </is>
      </c>
      <c r="G23" s="6" t="inlineStr">
        <is>
          <t>Sem 27</t>
        </is>
      </c>
      <c r="H23" s="6" t="inlineStr">
        <is>
          <t>Sem 28</t>
        </is>
      </c>
      <c r="I23" s="6" t="inlineStr">
        <is>
          <t>Sem 29</t>
        </is>
      </c>
      <c r="J23" s="6" t="inlineStr">
        <is>
          <t>Sem 30</t>
        </is>
      </c>
      <c r="K23" s="6" t="inlineStr">
        <is>
          <t>Sem 31</t>
        </is>
      </c>
      <c r="L23" s="6" t="inlineStr">
        <is>
          <t>Sem 32</t>
        </is>
      </c>
      <c r="M23" s="6" t="inlineStr">
        <is>
          <t>Sem 33</t>
        </is>
      </c>
      <c r="N23" s="6" t="inlineStr">
        <is>
          <t>Sem 34</t>
        </is>
      </c>
      <c r="O23" s="6" t="inlineStr">
        <is>
          <t>Total Acumulado</t>
        </is>
      </c>
    </row>
    <row r="24" ht="19" customHeight="1">
      <c r="A24" s="33" t="n"/>
      <c r="B24" s="8" t="inlineStr">
        <is>
          <t>Fresado de Pavimento (Volumen)</t>
        </is>
      </c>
      <c r="C24" s="7" t="inlineStr">
        <is>
          <t>m³</t>
        </is>
      </c>
      <c r="D24" s="10">
        <f>'Semana 24'!E5</f>
        <v/>
      </c>
      <c r="E24" s="10">
        <f>'Semana 25'!E5</f>
        <v/>
      </c>
      <c r="F24" s="10">
        <f>'Semana 26'!E5</f>
        <v/>
      </c>
      <c r="G24" s="10">
        <f>'Semana 27'!E5</f>
        <v/>
      </c>
      <c r="H24" s="10">
        <f>'Semana 28'!E5</f>
        <v/>
      </c>
      <c r="I24" s="10">
        <f>'Semana 29'!E5</f>
        <v/>
      </c>
      <c r="J24" s="10">
        <f>'Semana 30'!E5</f>
        <v/>
      </c>
      <c r="K24" s="10">
        <f>'Semana 31'!E5</f>
        <v/>
      </c>
      <c r="L24" s="10">
        <f>'Semana 32'!E5</f>
        <v/>
      </c>
      <c r="M24" s="10">
        <f>'Semana 33'!E5</f>
        <v/>
      </c>
      <c r="N24" s="10">
        <f>'Semana 34'!E5</f>
        <v/>
      </c>
      <c r="O24" s="10">
        <f>SUM(D24:N24)</f>
        <v/>
      </c>
    </row>
    <row r="25" ht="19" customHeight="1">
      <c r="A25" s="33" t="n"/>
      <c r="B25" s="8" t="inlineStr">
        <is>
          <t>Fresado de Pavimento (Peso)</t>
        </is>
      </c>
      <c r="C25" s="7" t="inlineStr">
        <is>
          <t>Ton</t>
        </is>
      </c>
      <c r="D25" s="11">
        <f>'Semana 24'!E5*'Semana 24'!$E$4</f>
        <v/>
      </c>
      <c r="E25" s="11">
        <f>'Semana 25'!E5*'Semana 25'!$E$4</f>
        <v/>
      </c>
      <c r="F25" s="11">
        <f>'Semana 26'!E5*'Semana 26'!$E$4</f>
        <v/>
      </c>
      <c r="G25" s="11">
        <f>'Semana 27'!E5*'Semana 27'!$E$4</f>
        <v/>
      </c>
      <c r="H25" s="11">
        <f>'Semana 28'!E5*'Semana 28'!$E$4</f>
        <v/>
      </c>
      <c r="I25" s="11">
        <f>'Semana 29'!E5*'Semana 29'!$E$4</f>
        <v/>
      </c>
      <c r="J25" s="11">
        <f>'Semana 30'!E5*'Semana 30'!$E$4</f>
        <v/>
      </c>
      <c r="K25" s="11">
        <f>'Semana 31'!E5*'Semana 31'!$E$4</f>
        <v/>
      </c>
      <c r="L25" s="11">
        <f>'Semana 32'!E5*'Semana 32'!$E$4</f>
        <v/>
      </c>
      <c r="M25" s="11">
        <f>'Semana 33'!E5*'Semana 33'!$E$4</f>
        <v/>
      </c>
      <c r="N25" s="11">
        <f>'Semana 34'!E5*'Semana 34'!$E$4</f>
        <v/>
      </c>
      <c r="O25" s="11">
        <f>SUM(D25:N25)</f>
        <v/>
      </c>
    </row>
    <row r="26" ht="19" customHeight="1">
      <c r="A26" s="33" t="n"/>
      <c r="B26" s="8" t="inlineStr">
        <is>
          <t>Fresado de Pavimento (Viajes)</t>
        </is>
      </c>
      <c r="C26" s="7" t="inlineStr">
        <is>
          <t>Viajes</t>
        </is>
      </c>
      <c r="D26" s="9">
        <f>'Semana 24'!C5</f>
        <v/>
      </c>
      <c r="E26" s="9">
        <f>'Semana 25'!C5</f>
        <v/>
      </c>
      <c r="F26" s="9">
        <f>'Semana 26'!C5</f>
        <v/>
      </c>
      <c r="G26" s="9">
        <f>'Semana 27'!C5</f>
        <v/>
      </c>
      <c r="H26" s="9">
        <f>'Semana 28'!C5</f>
        <v/>
      </c>
      <c r="I26" s="9">
        <f>'Semana 29'!C5</f>
        <v/>
      </c>
      <c r="J26" s="9">
        <f>'Semana 30'!C5</f>
        <v/>
      </c>
      <c r="K26" s="9">
        <f>'Semana 31'!C5</f>
        <v/>
      </c>
      <c r="L26" s="9">
        <f>'Semana 32'!C5</f>
        <v/>
      </c>
      <c r="M26" s="9">
        <f>'Semana 33'!C5</f>
        <v/>
      </c>
      <c r="N26" s="9">
        <f>'Semana 34'!C5</f>
        <v/>
      </c>
      <c r="O26" s="9">
        <f>SUM(D26:N26)</f>
        <v/>
      </c>
    </row>
    <row r="27" ht="19" customHeight="1">
      <c r="A27" s="33" t="n"/>
      <c r="B27" s="8" t="inlineStr">
        <is>
          <t>Carpeta Asfáltica (Volumen)</t>
        </is>
      </c>
      <c r="C27" s="7" t="inlineStr">
        <is>
          <t>m³</t>
        </is>
      </c>
      <c r="D27" s="10">
        <f>'Semana 24'!E6</f>
        <v/>
      </c>
      <c r="E27" s="10">
        <f>'Semana 25'!E6</f>
        <v/>
      </c>
      <c r="F27" s="10">
        <f>'Semana 26'!E6</f>
        <v/>
      </c>
      <c r="G27" s="10">
        <f>'Semana 27'!E6</f>
        <v/>
      </c>
      <c r="H27" s="10">
        <f>'Semana 28'!E6</f>
        <v/>
      </c>
      <c r="I27" s="10">
        <f>'Semana 29'!E6</f>
        <v/>
      </c>
      <c r="J27" s="10">
        <f>'Semana 30'!E6</f>
        <v/>
      </c>
      <c r="K27" s="10">
        <f>'Semana 31'!E6</f>
        <v/>
      </c>
      <c r="L27" s="10">
        <f>'Semana 32'!E6</f>
        <v/>
      </c>
      <c r="M27" s="10">
        <f>'Semana 33'!E6</f>
        <v/>
      </c>
      <c r="N27" s="10">
        <f>'Semana 34'!E6</f>
        <v/>
      </c>
      <c r="O27" s="10">
        <f>SUM(D27:N27)</f>
        <v/>
      </c>
    </row>
    <row r="28" ht="19" customHeight="1">
      <c r="A28" s="33" t="n"/>
      <c r="B28" s="8" t="inlineStr">
        <is>
          <t>Carpeta Asfáltica (Peso)</t>
        </is>
      </c>
      <c r="C28" s="7" t="inlineStr">
        <is>
          <t>Ton</t>
        </is>
      </c>
      <c r="D28" s="11">
        <f>'Semana 24'!G6</f>
        <v/>
      </c>
      <c r="E28" s="11">
        <f>'Semana 25'!G6</f>
        <v/>
      </c>
      <c r="F28" s="11">
        <f>'Semana 26'!G6</f>
        <v/>
      </c>
      <c r="G28" s="11">
        <f>'Semana 27'!G6</f>
        <v/>
      </c>
      <c r="H28" s="11">
        <f>'Semana 28'!G6</f>
        <v/>
      </c>
      <c r="I28" s="11">
        <f>'Semana 29'!G6</f>
        <v/>
      </c>
      <c r="J28" s="11">
        <f>'Semana 30'!G6</f>
        <v/>
      </c>
      <c r="K28" s="11">
        <f>'Semana 31'!G6</f>
        <v/>
      </c>
      <c r="L28" s="11">
        <f>'Semana 32'!G6</f>
        <v/>
      </c>
      <c r="M28" s="11">
        <f>'Semana 33'!G6</f>
        <v/>
      </c>
      <c r="N28" s="11">
        <f>'Semana 34'!G6</f>
        <v/>
      </c>
      <c r="O28" s="11">
        <f>SUM(D28:N28)</f>
        <v/>
      </c>
    </row>
    <row r="29" ht="19" customHeight="1">
      <c r="A29" s="33" t="n"/>
      <c r="B29" s="8" t="inlineStr">
        <is>
          <t>Carpeta Asfáltica (Viajes Mezcla)</t>
        </is>
      </c>
      <c r="C29" s="7" t="inlineStr">
        <is>
          <t>Viajes</t>
        </is>
      </c>
      <c r="D29" s="9">
        <f>'Semana 24'!C6</f>
        <v/>
      </c>
      <c r="E29" s="9">
        <f>'Semana 25'!C6</f>
        <v/>
      </c>
      <c r="F29" s="9">
        <f>'Semana 26'!C6</f>
        <v/>
      </c>
      <c r="G29" s="9">
        <f>'Semana 27'!C6</f>
        <v/>
      </c>
      <c r="H29" s="9">
        <f>'Semana 28'!C6</f>
        <v/>
      </c>
      <c r="I29" s="9">
        <f>'Semana 29'!C6</f>
        <v/>
      </c>
      <c r="J29" s="9">
        <f>'Semana 30'!C6</f>
        <v/>
      </c>
      <c r="K29" s="9">
        <f>'Semana 31'!C6</f>
        <v/>
      </c>
      <c r="L29" s="9">
        <f>'Semana 32'!C6</f>
        <v/>
      </c>
      <c r="M29" s="9">
        <f>'Semana 33'!C6</f>
        <v/>
      </c>
      <c r="N29" s="9">
        <f>'Semana 34'!C6</f>
        <v/>
      </c>
      <c r="O29" s="9">
        <f>SUM(D29:N29)</f>
        <v/>
      </c>
    </row>
  </sheetData>
  <mergeCells count="5">
    <mergeCell ref="A19:C19"/>
    <mergeCell ref="A2:O2"/>
    <mergeCell ref="A1:O1"/>
    <mergeCell ref="A22:O22"/>
    <mergeCell ref="A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2026-08-28T21:25:10Z</dcterms:created>
  <dcterms:modified xsi:type="dcterms:W3CDTF">2026-08-28T21:25:10Z</dcterms:modified>
</cp:coreProperties>
</file>