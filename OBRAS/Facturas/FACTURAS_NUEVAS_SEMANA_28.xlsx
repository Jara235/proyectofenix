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FOLIO_CONCILIACION</t>
        </is>
      </c>
      <c r="B1" t="inlineStr">
        <is>
          <t>FOLIO_FACTURA</t>
        </is>
      </c>
      <c r="C1" t="inlineStr">
        <is>
          <t>FECHA_FACTURA</t>
        </is>
      </c>
      <c r="D1" t="inlineStr">
        <is>
          <t>SEMANA</t>
        </is>
      </c>
      <c r="E1" t="inlineStr">
        <is>
          <t>PROVEEDOR</t>
        </is>
      </c>
      <c r="F1" t="inlineStr">
        <is>
          <t>PUNTO_DE_CARGA</t>
        </is>
      </c>
      <c r="G1" t="inlineStr">
        <is>
          <t>LITROS_FACTURADOS</t>
        </is>
      </c>
      <c r="H1" t="inlineStr">
        <is>
          <t>PRECIO_UNITARIO</t>
        </is>
      </c>
      <c r="I1" t="inlineStr">
        <is>
          <t>IMPORTE</t>
        </is>
      </c>
      <c r="J1" t="inlineStr">
        <is>
          <t>I.V.A</t>
        </is>
      </c>
      <c r="K1" t="inlineStr">
        <is>
          <t>IMPORTE_TOTAL</t>
        </is>
      </c>
      <c r="L1" t="inlineStr">
        <is>
          <t>TIPO_COMBUSTIBLE</t>
        </is>
      </c>
      <c r="M1" t="inlineStr">
        <is>
          <t>ESTATUS_CONCILIACION</t>
        </is>
      </c>
      <c r="N1" t="inlineStr">
        <is>
          <t>Columna1</t>
        </is>
      </c>
    </row>
    <row r="2">
      <c r="A2">
        <f>IF(C2="","", "FA" &amp; "-" &amp; IFERROR(VLOOKUP(F2,CATALOGOS!$A$2:$B$50,2,0),"XX") &amp; "-" &amp; WEEKNUM(C2,2) &amp; "-" &amp; TEXT(ROW()-1,"000"))</f>
        <v/>
      </c>
      <c r="B2" t="inlineStr">
        <is>
          <t>10335</t>
        </is>
      </c>
      <c r="C2" t="inlineStr">
        <is>
          <t>2026-07-03</t>
        </is>
      </c>
      <c r="D2">
        <f>IF(C2="","", "Semana "&amp;WEEKNUM(C2,2))</f>
        <v/>
      </c>
      <c r="E2" t="inlineStr">
        <is>
          <t>DERIVADOS DE PETROLEO CASTILLA</t>
        </is>
      </c>
      <c r="F2" t="inlineStr">
        <is>
          <t>México-Toluca</t>
        </is>
      </c>
      <c r="G2" t="n">
        <v>1545.007</v>
      </c>
      <c r="H2" t="n">
        <v>23.343561</v>
      </c>
      <c r="I2" t="n">
        <v>36065.96</v>
      </c>
      <c r="J2" t="n">
        <v>5649.230000000003</v>
      </c>
      <c r="K2" t="n">
        <v>41715.19</v>
      </c>
      <c r="L2" t="inlineStr">
        <is>
          <t>Diésel</t>
        </is>
      </c>
    </row>
    <row r="3">
      <c r="A3">
        <f>IF(C3="","", "FA" &amp; "-" &amp; IFERROR(VLOOKUP(F3,CATALOGOS!$A$2:$B$50,2,0),"XX") &amp; "-" &amp; WEEKNUM(C3,2) &amp; "-" &amp; TEXT(ROW()-1,"000"))</f>
        <v/>
      </c>
      <c r="B3" t="inlineStr">
        <is>
          <t>10336</t>
        </is>
      </c>
      <c r="C3" t="inlineStr">
        <is>
          <t>2026-07-03</t>
        </is>
      </c>
      <c r="D3">
        <f>IF(C3="","", "Semana "&amp;WEEKNUM(C3,2))</f>
        <v/>
      </c>
      <c r="E3" t="inlineStr">
        <is>
          <t>DERIVADOS DE PETROLEO CASTILLA</t>
        </is>
      </c>
      <c r="F3" t="inlineStr">
        <is>
          <t>Planta Asflato Huixquilucan</t>
        </is>
      </c>
      <c r="G3" t="n">
        <v>341.843</v>
      </c>
      <c r="H3" t="n">
        <v>20.685019</v>
      </c>
      <c r="I3" t="n">
        <v>7868.59</v>
      </c>
      <c r="J3" t="n">
        <v>1231.459999999999</v>
      </c>
      <c r="K3" t="n">
        <v>9100.049999999999</v>
      </c>
      <c r="L3" t="inlineStr">
        <is>
          <t>Diésel</t>
        </is>
      </c>
    </row>
    <row r="4">
      <c r="A4">
        <f>IF(C4="","", "FA" &amp; "-" &amp; IFERROR(VLOOKUP(F4,CATALOGOS!$A$2:$B$50,2,0),"XX") &amp; "-" &amp; WEEKNUM(C4,2) &amp; "-" &amp; TEXT(ROW()-1,"000"))</f>
        <v/>
      </c>
      <c r="B4" t="inlineStr">
        <is>
          <t>10337</t>
        </is>
      </c>
      <c r="C4" t="inlineStr">
        <is>
          <t>2026-07-03</t>
        </is>
      </c>
      <c r="D4">
        <f>IF(C4="","", "Semana "&amp;WEEKNUM(C4,2))</f>
        <v/>
      </c>
      <c r="E4" t="inlineStr">
        <is>
          <t>DERIVADOS DE PETROLEO CASTILLA</t>
        </is>
      </c>
      <c r="F4" t="inlineStr">
        <is>
          <t>Planta Asflato Huixquilucan</t>
        </is>
      </c>
      <c r="G4" t="n">
        <v>96.245</v>
      </c>
      <c r="H4" t="n">
        <v>20.685019</v>
      </c>
      <c r="I4" t="n">
        <v>1990.83</v>
      </c>
      <c r="J4" t="n">
        <v>309.4300000000003</v>
      </c>
      <c r="K4" t="n">
        <v>2300.26</v>
      </c>
      <c r="L4" t="inlineStr">
        <is>
          <t>Diésel</t>
        </is>
      </c>
    </row>
    <row r="5">
      <c r="A5">
        <f>IF(C5="","", "FA" &amp; "-" &amp; IFERROR(VLOOKUP(F5,CATALOGOS!$A$2:$B$50,2,0),"XX") &amp; "-" &amp; WEEKNUM(C5,2) &amp; "-" &amp; TEXT(ROW()-1,"000"))</f>
        <v/>
      </c>
      <c r="B5" t="inlineStr">
        <is>
          <t>10338</t>
        </is>
      </c>
      <c r="C5" t="inlineStr">
        <is>
          <t>2026-07-03</t>
        </is>
      </c>
      <c r="D5">
        <f>IF(C5="","", "Semana "&amp;WEEKNUM(C5,2))</f>
        <v/>
      </c>
      <c r="E5" t="inlineStr">
        <is>
          <t>DERIVADOS DE PETROLEO CASTILLA</t>
        </is>
      </c>
      <c r="F5" t="inlineStr">
        <is>
          <t>Planta Asflato Huixquilucan</t>
        </is>
      </c>
      <c r="G5" t="n">
        <v>360.001</v>
      </c>
      <c r="H5" t="n">
        <v>23.343561</v>
      </c>
      <c r="I5" t="n">
        <v>8403.709999999999</v>
      </c>
      <c r="J5" t="n">
        <v>1316.320000000002</v>
      </c>
      <c r="K5" t="n">
        <v>9720.030000000001</v>
      </c>
      <c r="L5" t="inlineStr">
        <is>
          <t>Diésel</t>
        </is>
      </c>
    </row>
    <row r="6">
      <c r="A6">
        <f>IF(C6="","", "FA" &amp; "-" &amp; IFERROR(VLOOKUP(F6,CATALOGOS!$A$2:$B$50,2,0),"XX") &amp; "-" &amp; WEEKNUM(C6,2) &amp; "-" &amp; TEXT(ROW()-1,"000"))</f>
        <v/>
      </c>
      <c r="B6" t="inlineStr">
        <is>
          <t>10339</t>
        </is>
      </c>
      <c r="C6" t="inlineStr">
        <is>
          <t>2026-07-03</t>
        </is>
      </c>
      <c r="D6">
        <f>IF(C6="","", "Semana "&amp;WEEKNUM(C6,2))</f>
        <v/>
      </c>
      <c r="E6" t="inlineStr">
        <is>
          <t>DERIVADOS DE PETROLEO CASTILLA</t>
        </is>
      </c>
      <c r="F6" t="inlineStr">
        <is>
          <t>Planta Asflato Huixquilucan</t>
        </is>
      </c>
      <c r="G6" t="n">
        <v>638.941</v>
      </c>
      <c r="H6" t="n">
        <v>23.343561</v>
      </c>
      <c r="I6" t="n">
        <v>14915.16</v>
      </c>
      <c r="J6" t="n">
        <v>2336.25</v>
      </c>
      <c r="K6" t="n">
        <v>17251.41</v>
      </c>
      <c r="L6" t="inlineStr">
        <is>
          <t>Diésel</t>
        </is>
      </c>
    </row>
    <row r="7">
      <c r="A7">
        <f>IF(C7="","", "FA" &amp; "-" &amp; IFERROR(VLOOKUP(F7,CATALOGOS!$A$2:$B$50,2,0),"XX") &amp; "-" &amp; WEEKNUM(C7,2) &amp; "-" &amp; TEXT(ROW()-1,"000"))</f>
        <v/>
      </c>
      <c r="B7" t="inlineStr">
        <is>
          <t>10343</t>
        </is>
      </c>
      <c r="C7" t="inlineStr">
        <is>
          <t>2026-07-03</t>
        </is>
      </c>
      <c r="D7">
        <f>IF(C7="","", "Semana "&amp;WEEKNUM(C7,2))</f>
        <v/>
      </c>
      <c r="E7" t="inlineStr">
        <is>
          <t>DERIVADOS DE PETROLEO CASTILLA</t>
        </is>
      </c>
      <c r="F7" t="inlineStr">
        <is>
          <t>México-Toluca</t>
        </is>
      </c>
      <c r="G7" t="n">
        <v>25.105</v>
      </c>
      <c r="H7" t="n">
        <v>20.685019</v>
      </c>
      <c r="I7" t="n">
        <v>519.29</v>
      </c>
      <c r="J7" t="n">
        <v>80.71000000000004</v>
      </c>
      <c r="K7" t="n">
        <v>600</v>
      </c>
      <c r="L7" t="inlineStr">
        <is>
          <t>Diésel</t>
        </is>
      </c>
    </row>
    <row r="8">
      <c r="A8">
        <f>IF(C8="","", "FA" &amp; "-" &amp; IFERROR(VLOOKUP(F8,CATALOGOS!$A$2:$B$50,2,0),"XX") &amp; "-" &amp; WEEKNUM(C8,2) &amp; "-" &amp; TEXT(ROW()-1,"000"))</f>
        <v/>
      </c>
      <c r="B8" t="inlineStr">
        <is>
          <t>10344</t>
        </is>
      </c>
      <c r="C8" t="inlineStr">
        <is>
          <t>2026-07-03</t>
        </is>
      </c>
      <c r="D8">
        <f>IF(C8="","", "Semana "&amp;WEEKNUM(C8,2))</f>
        <v/>
      </c>
      <c r="E8" t="inlineStr">
        <is>
          <t>DERIVADOS DE PETROLEO CASTILLA</t>
        </is>
      </c>
      <c r="F8" t="inlineStr">
        <is>
          <t>México-Toluca</t>
        </is>
      </c>
      <c r="G8" t="n">
        <v>25.105</v>
      </c>
      <c r="H8" t="n">
        <v>20.685019</v>
      </c>
      <c r="I8" t="n">
        <v>519.29</v>
      </c>
      <c r="J8" t="n">
        <v>80.71000000000004</v>
      </c>
      <c r="K8" t="n">
        <v>600</v>
      </c>
      <c r="L8" t="inlineStr">
        <is>
          <t>Diésel</t>
        </is>
      </c>
    </row>
    <row r="9">
      <c r="A9">
        <f>IF(C9="","", "FA" &amp; "-" &amp; IFERROR(VLOOKUP(F9,CATALOGOS!$A$2:$B$50,2,0),"XX") &amp; "-" &amp; WEEKNUM(C9,2) &amp; "-" &amp; TEXT(ROW()-1,"000"))</f>
        <v/>
      </c>
      <c r="B9" t="inlineStr">
        <is>
          <t>10345</t>
        </is>
      </c>
      <c r="C9" t="inlineStr">
        <is>
          <t>2026-07-03</t>
        </is>
      </c>
      <c r="D9">
        <f>IF(C9="","", "Semana "&amp;WEEKNUM(C9,2))</f>
        <v/>
      </c>
      <c r="E9" t="inlineStr">
        <is>
          <t>DERIVADOS DE PETROLEO CASTILLA</t>
        </is>
      </c>
      <c r="F9" t="inlineStr">
        <is>
          <t>Planta Asflato Huixquilucan</t>
        </is>
      </c>
      <c r="G9" t="n">
        <v>34.014</v>
      </c>
      <c r="H9" t="n">
        <v>25.444359</v>
      </c>
      <c r="I9" t="n">
        <v>865.46</v>
      </c>
      <c r="J9" t="n">
        <v>134.54</v>
      </c>
      <c r="K9" t="n">
        <v>1000</v>
      </c>
      <c r="L9" t="inlineStr">
        <is>
          <t>Diésel</t>
        </is>
      </c>
    </row>
    <row r="10">
      <c r="A10">
        <f>IF(C10="","", "FA" &amp; "-" &amp; IFERROR(VLOOKUP(F10,CATALOGOS!$A$2:$B$50,2,0),"XX") &amp; "-" &amp; WEEKNUM(C10,2) &amp; "-" &amp; TEXT(ROW()-1,"000"))</f>
        <v/>
      </c>
      <c r="B10" t="inlineStr">
        <is>
          <t>10346</t>
        </is>
      </c>
      <c r="C10" t="inlineStr">
        <is>
          <t>2026-07-03</t>
        </is>
      </c>
      <c r="D10">
        <f>IF(C10="","", "Semana "&amp;WEEKNUM(C10,2))</f>
        <v/>
      </c>
      <c r="E10" t="inlineStr">
        <is>
          <t>DERIVADOS DE PETROLEO CASTILLA</t>
        </is>
      </c>
      <c r="F10" t="inlineStr">
        <is>
          <t>Planta Asflato Huixquilucan</t>
        </is>
      </c>
      <c r="G10" t="n">
        <v>4000.012</v>
      </c>
      <c r="H10" t="n">
        <v>23.343561</v>
      </c>
      <c r="I10" t="n">
        <v>93374.50999999999</v>
      </c>
      <c r="J10" t="n">
        <v>14625.84000000001</v>
      </c>
      <c r="K10" t="n">
        <v>108000.35</v>
      </c>
      <c r="L10" t="inlineStr">
        <is>
          <t>Diésel</t>
        </is>
      </c>
    </row>
    <row r="11">
      <c r="A11">
        <f>IF(C11="","", "FA" &amp; "-" &amp; IFERROR(VLOOKUP(F11,CATALOGOS!$A$2:$B$50,2,0),"XX") &amp; "-" &amp; WEEKNUM(C11,2) &amp; "-" &amp; TEXT(ROW()-1,"000"))</f>
        <v/>
      </c>
      <c r="B11" t="inlineStr">
        <is>
          <t>10347</t>
        </is>
      </c>
      <c r="C11" t="inlineStr">
        <is>
          <t>2026-07-03</t>
        </is>
      </c>
      <c r="D11">
        <f>IF(C11="","", "Semana "&amp;WEEKNUM(C11,2))</f>
        <v/>
      </c>
      <c r="E11" t="inlineStr">
        <is>
          <t>DERIVADOS DE PETROLEO CASTILLA</t>
        </is>
      </c>
      <c r="F11" t="inlineStr">
        <is>
          <t>Planta Asflato Huixquilucan</t>
        </is>
      </c>
      <c r="G11" t="n">
        <v>3900.085</v>
      </c>
      <c r="H11" t="n">
        <v>23.343561</v>
      </c>
      <c r="I11" t="n">
        <v>91041.86</v>
      </c>
      <c r="J11" t="n">
        <v>14260.45</v>
      </c>
      <c r="K11" t="n">
        <v>105302.31</v>
      </c>
      <c r="L11" t="inlineStr">
        <is>
          <t>Diésel</t>
        </is>
      </c>
    </row>
    <row r="12">
      <c r="A12">
        <f>IF(C12="","", "FA" &amp; "-" &amp; IFERROR(VLOOKUP(F12,CATALOGOS!$A$2:$B$50,2,0),"XX") &amp; "-" &amp; WEEKNUM(C12,2) &amp; "-" &amp; TEXT(ROW()-1,"000"))</f>
        <v/>
      </c>
      <c r="B12" t="inlineStr">
        <is>
          <t>10349</t>
        </is>
      </c>
      <c r="C12" t="inlineStr">
        <is>
          <t>2026-07-04</t>
        </is>
      </c>
      <c r="D12">
        <f>IF(C12="","", "Semana "&amp;WEEKNUM(C12,2))</f>
        <v/>
      </c>
      <c r="E12" t="inlineStr">
        <is>
          <t>DERIVADOS DE PETROLEO CASTILLA</t>
        </is>
      </c>
      <c r="F12" t="inlineStr">
        <is>
          <t>Planta Asflato Huixquilucan</t>
        </is>
      </c>
      <c r="G12" t="n">
        <v>400.004</v>
      </c>
      <c r="H12" t="n">
        <v>23.343561</v>
      </c>
      <c r="I12" t="n">
        <v>9337.5</v>
      </c>
      <c r="J12" t="n">
        <v>1462.6</v>
      </c>
      <c r="K12" t="n">
        <v>10800.1</v>
      </c>
      <c r="L12" t="inlineStr">
        <is>
          <t>Diésel</t>
        </is>
      </c>
    </row>
    <row r="13">
      <c r="A13">
        <f>IF(C13="","", "FA" &amp; "-" &amp; IFERROR(VLOOKUP(F13,CATALOGOS!$A$2:$B$50,2,0),"XX") &amp; "-" &amp; WEEKNUM(C13,2) &amp; "-" &amp; TEXT(ROW()-1,"000"))</f>
        <v/>
      </c>
      <c r="B13" t="inlineStr">
        <is>
          <t>10350</t>
        </is>
      </c>
      <c r="C13" t="inlineStr">
        <is>
          <t>2026-07-04</t>
        </is>
      </c>
      <c r="D13">
        <f>IF(C13="","", "Semana "&amp;WEEKNUM(C13,2))</f>
        <v/>
      </c>
      <c r="E13" t="inlineStr">
        <is>
          <t>DERIVADOS DE PETROLEO CASTILLA</t>
        </is>
      </c>
      <c r="F13" t="inlineStr">
        <is>
          <t>Planta Asflato Huixquilucan</t>
        </is>
      </c>
      <c r="G13" t="n">
        <v>610.002</v>
      </c>
      <c r="H13" t="n">
        <v>23.343561</v>
      </c>
      <c r="I13" t="n">
        <v>14239.61</v>
      </c>
      <c r="J13" t="n">
        <v>2230.439999999999</v>
      </c>
      <c r="K13" t="n">
        <v>16470.05</v>
      </c>
      <c r="L13" t="inlineStr">
        <is>
          <t>Diésel</t>
        </is>
      </c>
    </row>
    <row r="14">
      <c r="A14">
        <f>IF(C14="","", "FA" &amp; "-" &amp; IFERROR(VLOOKUP(F14,CATALOGOS!$A$2:$B$50,2,0),"XX") &amp; "-" &amp; WEEKNUM(C14,2) &amp; "-" &amp; TEXT(ROW()-1,"000"))</f>
        <v/>
      </c>
      <c r="B14" t="inlineStr">
        <is>
          <t>10351</t>
        </is>
      </c>
      <c r="C14" t="inlineStr">
        <is>
          <t>2026-07-04</t>
        </is>
      </c>
      <c r="D14">
        <f>IF(C14="","", "Semana "&amp;WEEKNUM(C14,2))</f>
        <v/>
      </c>
      <c r="E14" t="inlineStr">
        <is>
          <t>DERIVADOS DE PETROLEO CASTILLA</t>
        </is>
      </c>
      <c r="F14" t="inlineStr">
        <is>
          <t>México-Toluca</t>
        </is>
      </c>
      <c r="G14" t="n">
        <v>150.001</v>
      </c>
      <c r="H14" t="n">
        <v>23.343561</v>
      </c>
      <c r="I14" t="n">
        <v>3501.56</v>
      </c>
      <c r="J14" t="n">
        <v>548.4700000000003</v>
      </c>
      <c r="K14" t="n">
        <v>4050.03</v>
      </c>
      <c r="L14" t="inlineStr">
        <is>
          <t>Diésel</t>
        </is>
      </c>
    </row>
    <row r="15">
      <c r="A15">
        <f>IF(C15="","", "FA" &amp; "-" &amp; IFERROR(VLOOKUP(F15,CATALOGOS!$A$2:$B$50,2,0),"XX") &amp; "-" &amp; WEEKNUM(C15,2) &amp; "-" &amp; TEXT(ROW()-1,"000"))</f>
        <v/>
      </c>
      <c r="B15" t="inlineStr">
        <is>
          <t>10352</t>
        </is>
      </c>
      <c r="C15" t="inlineStr">
        <is>
          <t>2026-07-04</t>
        </is>
      </c>
      <c r="D15">
        <f>IF(C15="","", "Semana "&amp;WEEKNUM(C15,2))</f>
        <v/>
      </c>
      <c r="E15" t="inlineStr">
        <is>
          <t>DERIVADOS DE PETROLEO CASTILLA</t>
        </is>
      </c>
      <c r="F15" t="inlineStr">
        <is>
          <t>Planta Asflato Huixquilucan</t>
        </is>
      </c>
      <c r="G15" t="n">
        <v>240.001</v>
      </c>
      <c r="H15" t="n">
        <v>23.343561</v>
      </c>
      <c r="I15" t="n">
        <v>5602.48</v>
      </c>
      <c r="J15" t="n">
        <v>877.5500000000002</v>
      </c>
      <c r="K15" t="n">
        <v>6480.03</v>
      </c>
      <c r="L15" t="inlineStr">
        <is>
          <t>Diésel</t>
        </is>
      </c>
    </row>
    <row r="16">
      <c r="A16">
        <f>IF(C16="","", "FA" &amp; "-" &amp; IFERROR(VLOOKUP(F16,CATALOGOS!$A$2:$B$50,2,0),"XX") &amp; "-" &amp; WEEKNUM(C16,2) &amp; "-" &amp; TEXT(ROW()-1,"000"))</f>
        <v/>
      </c>
      <c r="B16" t="inlineStr">
        <is>
          <t>10356</t>
        </is>
      </c>
      <c r="C16" t="inlineStr">
        <is>
          <t>2026-07-04</t>
        </is>
      </c>
      <c r="D16">
        <f>IF(C16="","", "Semana "&amp;WEEKNUM(C16,2))</f>
        <v/>
      </c>
      <c r="E16" t="inlineStr">
        <is>
          <t>DERIVADOS DE PETROLEO CASTILLA</t>
        </is>
      </c>
      <c r="F16" t="inlineStr">
        <is>
          <t>México-Toluca</t>
        </is>
      </c>
      <c r="G16" t="n">
        <v>23.054</v>
      </c>
      <c r="H16" t="n">
        <v>20.685019</v>
      </c>
      <c r="I16" t="n">
        <v>476.88</v>
      </c>
      <c r="J16" t="n">
        <v>74.12</v>
      </c>
      <c r="K16" t="n">
        <v>551</v>
      </c>
      <c r="L16" t="inlineStr">
        <is>
          <t>Diésel</t>
        </is>
      </c>
    </row>
    <row r="17">
      <c r="A17">
        <f>IF(C17="","", "FA" &amp; "-" &amp; IFERROR(VLOOKUP(F17,CATALOGOS!$A$2:$B$50,2,0),"XX") &amp; "-" &amp; WEEKNUM(C17,2) &amp; "-" &amp; TEXT(ROW()-1,"000"))</f>
        <v/>
      </c>
      <c r="B17" t="inlineStr">
        <is>
          <t>10360</t>
        </is>
      </c>
      <c r="C17" t="inlineStr">
        <is>
          <t>2026-07-06</t>
        </is>
      </c>
      <c r="D17">
        <f>IF(C17="","", "Semana "&amp;WEEKNUM(C17,2))</f>
        <v/>
      </c>
      <c r="E17" t="inlineStr">
        <is>
          <t>DERIVADOS DE PETROLEO CASTILLA</t>
        </is>
      </c>
      <c r="F17" t="inlineStr">
        <is>
          <t>Planta Asflato Huixquilucan</t>
        </is>
      </c>
      <c r="G17" t="n">
        <v>4000.011</v>
      </c>
      <c r="H17" t="n">
        <v>23.343561</v>
      </c>
      <c r="I17" t="n">
        <v>93374.50999999999</v>
      </c>
      <c r="J17" t="n">
        <v>14625.82000000001</v>
      </c>
      <c r="K17" t="n">
        <v>108000.33</v>
      </c>
      <c r="L17" t="inlineStr">
        <is>
          <t>Diésel</t>
        </is>
      </c>
    </row>
    <row r="18">
      <c r="A18">
        <f>IF(C18="","", "FA" &amp; "-" &amp; IFERROR(VLOOKUP(F18,CATALOGOS!$A$2:$B$50,2,0),"XX") &amp; "-" &amp; WEEKNUM(C18,2) &amp; "-" &amp; TEXT(ROW()-1,"000"))</f>
        <v/>
      </c>
      <c r="B18" t="inlineStr">
        <is>
          <t>10361</t>
        </is>
      </c>
      <c r="C18" t="inlineStr">
        <is>
          <t>2026-07-06</t>
        </is>
      </c>
      <c r="D18">
        <f>IF(C18="","", "Semana "&amp;WEEKNUM(C18,2))</f>
        <v/>
      </c>
      <c r="E18" t="inlineStr">
        <is>
          <t>DERIVADOS DE PETROLEO CASTILLA</t>
        </is>
      </c>
      <c r="F18" t="inlineStr">
        <is>
          <t>Planta Asflato Huixquilucan</t>
        </is>
      </c>
      <c r="G18" t="n">
        <v>300.002</v>
      </c>
      <c r="H18" t="n">
        <v>23.343561</v>
      </c>
      <c r="I18" t="n">
        <v>7003.11</v>
      </c>
      <c r="J18" t="n">
        <v>1096.940000000001</v>
      </c>
      <c r="K18" t="n">
        <v>8100.05</v>
      </c>
      <c r="L18" t="inlineStr">
        <is>
          <t>Diésel</t>
        </is>
      </c>
    </row>
    <row r="19">
      <c r="A19">
        <f>IF(C19="","", "FA" &amp; "-" &amp; IFERROR(VLOOKUP(F19,CATALOGOS!$A$2:$B$50,2,0),"XX") &amp; "-" &amp; WEEKNUM(C19,2) &amp; "-" &amp; TEXT(ROW()-1,"000"))</f>
        <v/>
      </c>
      <c r="B19" t="inlineStr">
        <is>
          <t>10362</t>
        </is>
      </c>
      <c r="C19" t="inlineStr">
        <is>
          <t>2026-07-06</t>
        </is>
      </c>
      <c r="D19">
        <f>IF(C19="","", "Semana "&amp;WEEKNUM(C19,2))</f>
        <v/>
      </c>
      <c r="E19" t="inlineStr">
        <is>
          <t>DERIVADOS DE PETROLEO CASTILLA</t>
        </is>
      </c>
      <c r="F19" t="inlineStr">
        <is>
          <t>Planta Asflato Huixquilucan</t>
        </is>
      </c>
      <c r="G19" t="n">
        <v>233</v>
      </c>
      <c r="H19" t="n">
        <v>23.343561</v>
      </c>
      <c r="I19" t="n">
        <v>5439.05</v>
      </c>
      <c r="J19" t="n">
        <v>851.9499999999998</v>
      </c>
      <c r="K19" t="n">
        <v>6291</v>
      </c>
      <c r="L19" t="inlineStr">
        <is>
          <t>Diésel</t>
        </is>
      </c>
    </row>
    <row r="20">
      <c r="A20">
        <f>IF(C20="","", "FA" &amp; "-" &amp; IFERROR(VLOOKUP(F20,CATALOGOS!$A$2:$B$50,2,0),"XX") &amp; "-" &amp; WEEKNUM(C20,2) &amp; "-" &amp; TEXT(ROW()-1,"000"))</f>
        <v/>
      </c>
      <c r="B20" t="inlineStr">
        <is>
          <t>10365</t>
        </is>
      </c>
      <c r="C20" t="inlineStr">
        <is>
          <t>2026-07-06</t>
        </is>
      </c>
      <c r="D20">
        <f>IF(C20="","", "Semana "&amp;WEEKNUM(C20,2))</f>
        <v/>
      </c>
      <c r="E20" t="inlineStr">
        <is>
          <t>DERIVADOS DE PETROLEO CASTILLA</t>
        </is>
      </c>
      <c r="F20" t="inlineStr">
        <is>
          <t>Planta Asflato Huixquilucan</t>
        </is>
      </c>
      <c r="G20" t="n">
        <v>400.004</v>
      </c>
      <c r="H20" t="n">
        <v>23.343561</v>
      </c>
      <c r="I20" t="n">
        <v>9337.5</v>
      </c>
      <c r="J20" t="n">
        <v>1462.6</v>
      </c>
      <c r="K20" t="n">
        <v>10800.1</v>
      </c>
      <c r="L20" t="inlineStr">
        <is>
          <t>Diésel</t>
        </is>
      </c>
    </row>
    <row r="21">
      <c r="A21">
        <f>IF(C21="","", "FA" &amp; "-" &amp; IFERROR(VLOOKUP(F21,CATALOGOS!$A$2:$B$50,2,0),"XX") &amp; "-" &amp; WEEKNUM(C21,2) &amp; "-" &amp; TEXT(ROW()-1,"000"))</f>
        <v/>
      </c>
      <c r="B21" t="inlineStr">
        <is>
          <t>10366</t>
        </is>
      </c>
      <c r="C21" t="inlineStr">
        <is>
          <t>2026-07-06</t>
        </is>
      </c>
      <c r="D21">
        <f>IF(C21="","", "Semana "&amp;WEEKNUM(C21,2))</f>
        <v/>
      </c>
      <c r="E21" t="inlineStr">
        <is>
          <t>DERIVADOS DE PETROLEO CASTILLA</t>
        </is>
      </c>
      <c r="F21" t="inlineStr">
        <is>
          <t>Bacheo Toluca</t>
        </is>
      </c>
      <c r="G21" t="n">
        <v>285.002</v>
      </c>
      <c r="H21" t="n">
        <v>23.343561</v>
      </c>
      <c r="I21" t="n">
        <v>6652.96</v>
      </c>
      <c r="J21" t="n">
        <v>1042.09</v>
      </c>
      <c r="K21" t="n">
        <v>7695.05</v>
      </c>
      <c r="L21" t="inlineStr">
        <is>
          <t>Diésel</t>
        </is>
      </c>
    </row>
    <row r="22">
      <c r="A22">
        <f>IF(C22="","", "FA" &amp; "-" &amp; IFERROR(VLOOKUP(F22,CATALOGOS!$A$2:$B$50,2,0),"XX") &amp; "-" &amp; WEEKNUM(C22,2) &amp; "-" &amp; TEXT(ROW()-1,"000"))</f>
        <v/>
      </c>
      <c r="B22" t="inlineStr">
        <is>
          <t>10367</t>
        </is>
      </c>
      <c r="C22" t="inlineStr">
        <is>
          <t>2026-07-06</t>
        </is>
      </c>
      <c r="D22">
        <f>IF(C22="","", "Semana "&amp;WEEKNUM(C22,2))</f>
        <v/>
      </c>
      <c r="E22" t="inlineStr">
        <is>
          <t>DERIVADOS DE PETROLEO CASTILLA</t>
        </is>
      </c>
      <c r="F22" t="inlineStr">
        <is>
          <t>México-Toluca</t>
        </is>
      </c>
      <c r="G22" t="n">
        <v>715.004</v>
      </c>
      <c r="H22" t="n">
        <v>23.343561</v>
      </c>
      <c r="I22" t="n">
        <v>16690.73</v>
      </c>
      <c r="J22" t="n">
        <v>2614.369999999999</v>
      </c>
      <c r="K22" t="n">
        <v>19305.1</v>
      </c>
      <c r="L22" t="inlineStr">
        <is>
          <t>Diésel</t>
        </is>
      </c>
    </row>
    <row r="23">
      <c r="A23">
        <f>IF(C23="","", "FA" &amp; "-" &amp; IFERROR(VLOOKUP(F23,CATALOGOS!$A$2:$B$50,2,0),"XX") &amp; "-" &amp; WEEKNUM(C23,2) &amp; "-" &amp; TEXT(ROW()-1,"000"))</f>
        <v/>
      </c>
      <c r="B23" t="inlineStr">
        <is>
          <t>10368</t>
        </is>
      </c>
      <c r="C23" t="inlineStr">
        <is>
          <t>2026-07-06</t>
        </is>
      </c>
      <c r="D23">
        <f>IF(C23="","", "Semana "&amp;WEEKNUM(C23,2))</f>
        <v/>
      </c>
      <c r="E23" t="inlineStr">
        <is>
          <t>DERIVADOS DE PETROLEO CASTILLA</t>
        </is>
      </c>
      <c r="F23" t="inlineStr">
        <is>
          <t>Planta Asflato Huixquilucan</t>
        </is>
      </c>
      <c r="G23" t="n">
        <v>600.004</v>
      </c>
      <c r="H23" t="n">
        <v>23.343561</v>
      </c>
      <c r="I23" t="n">
        <v>14006.22</v>
      </c>
      <c r="J23" t="n">
        <v>2193.880000000001</v>
      </c>
      <c r="K23" t="n">
        <v>16200.1</v>
      </c>
      <c r="L23" t="inlineStr">
        <is>
          <t>Diésel</t>
        </is>
      </c>
    </row>
    <row r="24">
      <c r="A24">
        <f>IF(C24="","", "FA" &amp; "-" &amp; IFERROR(VLOOKUP(F24,CATALOGOS!$A$2:$B$50,2,0),"XX") &amp; "-" &amp; WEEKNUM(C24,2) &amp; "-" &amp; TEXT(ROW()-1,"000"))</f>
        <v/>
      </c>
      <c r="B24" t="inlineStr">
        <is>
          <t>10369</t>
        </is>
      </c>
      <c r="C24" t="inlineStr">
        <is>
          <t>2026-07-06</t>
        </is>
      </c>
      <c r="D24">
        <f>IF(C24="","", "Semana "&amp;WEEKNUM(C24,2))</f>
        <v/>
      </c>
      <c r="E24" t="inlineStr">
        <is>
          <t>DERIVADOS DE PETROLEO CASTILLA</t>
        </is>
      </c>
      <c r="F24" t="inlineStr">
        <is>
          <t>Planta Asflato Huixquilucan</t>
        </is>
      </c>
      <c r="G24" t="n">
        <v>50.209</v>
      </c>
      <c r="H24" t="n">
        <v>20.685019</v>
      </c>
      <c r="I24" t="n">
        <v>1038.58</v>
      </c>
      <c r="J24" t="n">
        <v>161.4200000000001</v>
      </c>
      <c r="K24" t="n">
        <v>1200</v>
      </c>
      <c r="L24" t="inlineStr">
        <is>
          <t>Diésel</t>
        </is>
      </c>
    </row>
    <row r="25">
      <c r="A25">
        <f>IF(C25="","", "FA" &amp; "-" &amp; IFERROR(VLOOKUP(F25,CATALOGOS!$A$2:$B$50,2,0),"XX") &amp; "-" &amp; WEEKNUM(C25,2) &amp; "-" &amp; TEXT(ROW()-1,"000"))</f>
        <v/>
      </c>
      <c r="B25" t="inlineStr">
        <is>
          <t>10372</t>
        </is>
      </c>
      <c r="C25" t="inlineStr">
        <is>
          <t>2026-07-06</t>
        </is>
      </c>
      <c r="D25">
        <f>IF(C25="","", "Semana "&amp;WEEKNUM(C25,2))</f>
        <v/>
      </c>
      <c r="E25" t="inlineStr">
        <is>
          <t>DERIVADOS DE PETROLEO CASTILLA</t>
        </is>
      </c>
      <c r="F25" t="inlineStr">
        <is>
          <t>Planta Asflato Huixquilucan</t>
        </is>
      </c>
      <c r="G25" t="n">
        <v>88.36800000000001</v>
      </c>
      <c r="H25" t="n">
        <v>20.685019</v>
      </c>
      <c r="I25" t="n">
        <v>1827.89</v>
      </c>
      <c r="J25" t="n">
        <v>284.1099999999999</v>
      </c>
      <c r="K25" t="n">
        <v>2112</v>
      </c>
      <c r="L25" t="inlineStr">
        <is>
          <t>Diésel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2026-07-06T21:57:49Z</dcterms:created>
  <dcterms:modified xsi:type="dcterms:W3CDTF">2026-07-06T21:57:49Z</dcterms:modified>
</cp:coreProperties>
</file>