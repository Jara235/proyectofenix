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OSE\Desktop\Proyecto fenix\"/>
    </mc:Choice>
  </mc:AlternateContent>
  <xr:revisionPtr revIDLastSave="0" documentId="13_ncr:1_{DAB8A3EA-530C-48F7-8FC4-802F64A0CF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2" i="1"/>
  <c r="J9" i="1"/>
  <c r="J10" i="1"/>
  <c r="J23" i="1"/>
  <c r="J24" i="1"/>
  <c r="J31" i="1"/>
  <c r="J32" i="1"/>
  <c r="J34" i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I10" i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I24" i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I32" i="1"/>
  <c r="I33" i="1"/>
  <c r="J33" i="1" s="1"/>
  <c r="I34" i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2" i="1"/>
  <c r="J2" i="1" s="1"/>
</calcChain>
</file>

<file path=xl/sharedStrings.xml><?xml version="1.0" encoding="utf-8"?>
<sst xmlns="http://schemas.openxmlformats.org/spreadsheetml/2006/main" count="517" uniqueCount="165">
  <si>
    <t>ARCHIVO_ORIGEN</t>
  </si>
  <si>
    <t>FOLIO_FACTURA</t>
  </si>
  <si>
    <t>FECHA_FACTURA</t>
  </si>
  <si>
    <t>PROVEEDOR</t>
  </si>
  <si>
    <t>DESCRIPCION_SAT</t>
  </si>
  <si>
    <t>TIPO_COMBUSTIBLE</t>
  </si>
  <si>
    <t>LITROS_FACTURADOS</t>
  </si>
  <si>
    <t>PRECIO_UNITARIO</t>
  </si>
  <si>
    <t>IMPORTE_TOTAL</t>
  </si>
  <si>
    <t>DESTINO_REPORTADO_PDF</t>
  </si>
  <si>
    <t>PUNTO_DE_CARGA_NORMALIZADO</t>
  </si>
  <si>
    <t>d8be4568-0fc9-4090-82fd-fc783b6df248.xml</t>
  </si>
  <si>
    <t>2026-06-15</t>
  </si>
  <si>
    <t>DERIVADOS DE PETROLEO CASTILLA</t>
  </si>
  <si>
    <t>DIESEL (DESPACHO 1217135-0)</t>
  </si>
  <si>
    <t>Diésel</t>
  </si>
  <si>
    <t>SUMINISTRO ME- TOLUCA 500 LTS 15/06/2026</t>
  </si>
  <si>
    <t>México-Toluca</t>
  </si>
  <si>
    <t>DIESEL (DESPACHO 1217134-0)</t>
  </si>
  <si>
    <t>31eeb69a-00d9-46ec-87da-1f7d3c5d708a.xml</t>
  </si>
  <si>
    <t>DIESEL (DESPACHO 1217227-0)</t>
  </si>
  <si>
    <t>suministro 15/06/26 800lts planta Huixquilucan</t>
  </si>
  <si>
    <t>Planta de Asfalto Huixquilucan</t>
  </si>
  <si>
    <t>DIESEL (DESPACHO 1217228-0)</t>
  </si>
  <si>
    <t>DIESEL (DESPACHO 1217222-0)</t>
  </si>
  <si>
    <t>3439a617-8e30-4dce-8044-8288d4b1fdb0.xml</t>
  </si>
  <si>
    <t>2026-06-16</t>
  </si>
  <si>
    <t>DIESEL (DESPACHO 1218110-0)</t>
  </si>
  <si>
    <t>mexico-toluca (500 LITROS)</t>
  </si>
  <si>
    <t>DIESEL (DESPACHO 1218103-0)</t>
  </si>
  <si>
    <t>2d2df406-93fd-4c35-8923-d4e47d88d4e5.xml</t>
  </si>
  <si>
    <t>2026-06-17</t>
  </si>
  <si>
    <t>DIESEL (DESPACHO 1219325-0)</t>
  </si>
  <si>
    <t>PLANTA DE ASFALTO HUIXQUILUCAN 600 LITROS</t>
  </si>
  <si>
    <t>DIESEL (DESPACHO 1219330-0)</t>
  </si>
  <si>
    <t>901d8884-50af-4b86-845e-8a523839c11d.xml</t>
  </si>
  <si>
    <t>DIESEL (DESPACHO 1219477-0)</t>
  </si>
  <si>
    <t>MEXICO-TOLUCA 520 LITROS</t>
  </si>
  <si>
    <t>DIESEL (DESPACHO 1219481-0)</t>
  </si>
  <si>
    <t>6828fc25-bee8-4af7-86d0-bd5ad46d209f.xml</t>
  </si>
  <si>
    <t>2026-06-18</t>
  </si>
  <si>
    <t>DIESEL (DESPACHO 1220513-0)</t>
  </si>
  <si>
    <t>MEXICO TOLUCA 490 LITROS</t>
  </si>
  <si>
    <t>DIESEL (DESPACHO 1220509-0)</t>
  </si>
  <si>
    <t>b9832824-ed4b-4c11-8ade-234a39df719c.xml</t>
  </si>
  <si>
    <t>DIESEL (DESPACHO 1220658-0)</t>
  </si>
  <si>
    <t>MAQUINARIA PEGASO 4000 LITROS</t>
  </si>
  <si>
    <t>Maquinaria Pegaso</t>
  </si>
  <si>
    <t>DIESEL (DESPACHO 1220679-0)</t>
  </si>
  <si>
    <t>DIESEL (DESPACHO 1220660-0)</t>
  </si>
  <si>
    <t>DIESEL (DESPACHO 1220661-0)</t>
  </si>
  <si>
    <t>DIESEL (DESPACHO 1220665-0)</t>
  </si>
  <si>
    <t>DIESEL (DESPACHO 1220667-0)</t>
  </si>
  <si>
    <t>DIESEL (DESPACHO 1220672-0)</t>
  </si>
  <si>
    <t>DIESEL (DESPACHO 1220673-0)</t>
  </si>
  <si>
    <t>DIESEL (DESPACHO 1220680-0)</t>
  </si>
  <si>
    <t>DIESEL (DESPACHO 1220685-0)</t>
  </si>
  <si>
    <t>DIESEL (DESPACHO 1220659-0)</t>
  </si>
  <si>
    <t>DIESEL (DESPACHO 1220684-0)</t>
  </si>
  <si>
    <t>3fa267ec-3347-4000-8bd7-2b9aa45421d8.xml</t>
  </si>
  <si>
    <t>DIESEL (DESPACHO 1220792-0)</t>
  </si>
  <si>
    <t>PLANTA DE ASFALTO HUIXQUILUCAN 500 LTS 18/06/2026</t>
  </si>
  <si>
    <t>DIESEL (DESPACHO 1220796-0)</t>
  </si>
  <si>
    <t>93662101-6d0b-4e15-8117-60b3fc32bd02.xml</t>
  </si>
  <si>
    <t>2026-06-19</t>
  </si>
  <si>
    <t>DIESEL (DESPACHO 1221603-0)</t>
  </si>
  <si>
    <t>SUMINISTRO 400 LTS MEX-TOL</t>
  </si>
  <si>
    <t>DIESEL (DESPACHO 1221604-0)</t>
  </si>
  <si>
    <t>58d0ee81-a5f5-4602-8461-5fc4e3f0980c.xml</t>
  </si>
  <si>
    <t>2026-06-22</t>
  </si>
  <si>
    <t>DIESEL (DESPACHO 1225632-0)</t>
  </si>
  <si>
    <t>SUMINISTRO DE 660 LTS MEXICO TOLUCA MARIMBA 22/06/2026</t>
  </si>
  <si>
    <t>DIESEL (DESPACHO 1225629-0)</t>
  </si>
  <si>
    <t>Verificar PDF manualmente</t>
  </si>
  <si>
    <t>Diésel (PDF)</t>
  </si>
  <si>
    <t>DPC180725R47_CFDI_A10198_20260624.xml</t>
  </si>
  <si>
    <t>2026-06-24</t>
  </si>
  <si>
    <t>DIESEL (DESPACHO 1227720-0)</t>
  </si>
  <si>
    <t>SUMINISTRO DE 550 LTS MEXICO TOLUCA 24/06/2026</t>
  </si>
  <si>
    <t>DIESEL (DESPACHO 1227721-0)</t>
  </si>
  <si>
    <t>DPC180725R47_CFDI_A10211_20260625.xml</t>
  </si>
  <si>
    <t>2026-06-25</t>
  </si>
  <si>
    <t>DIESEL (DESPACHO 1228882-0)</t>
  </si>
  <si>
    <t>SUMINISTRO DE 550 LTS MEXICO TOLUCA 25/06/2026</t>
  </si>
  <si>
    <t>DIESEL (DESPACHO 1228883-0)</t>
  </si>
  <si>
    <t>DPC180725R47_CFDI_A10216_20260625.pdf</t>
  </si>
  <si>
    <t>SUMINISTRO DE 400 LTS DE DIESEL PLANTA DE ASFALTO HUIXQUILUCAN UNIDAD PCU7482 25/06/2026</t>
  </si>
  <si>
    <t>DPC180725R47_CFDI_A10226_20260626.pdf</t>
  </si>
  <si>
    <t>2026-06-26</t>
  </si>
  <si>
    <t>SUMINISTRO DE 480 LTS MEXICO TOLUCA 26/06/2026 MARIMBA</t>
  </si>
  <si>
    <t>DPC180725R47_CFDI_A10254_20260629.xml</t>
  </si>
  <si>
    <t>2026-06-29</t>
  </si>
  <si>
    <t>DIESEL (DESPACHO 1234033-0)</t>
  </si>
  <si>
    <t>SUMINISTRO DE 700 LTS PLANTA DE ASFALTO HUIXQUILUCAN 29/06/2026</t>
  </si>
  <si>
    <t>DIESEL (DESPACHO 1234043-0)</t>
  </si>
  <si>
    <t>DPC180725R47_CFDI_A10270_20260629.xml</t>
  </si>
  <si>
    <t>DIESEL (DESPACHO 1231292-0)</t>
  </si>
  <si>
    <t>SUMINISTRO 27/06/2026 MEX-TOLUCA 290 LTS MARIMBA</t>
  </si>
  <si>
    <t>DPC180725R47_CFDI_A10271_20260629.xml</t>
  </si>
  <si>
    <t>DIESEL (DESPACHO 1231433-0)</t>
  </si>
  <si>
    <t>SUMINISTRO 27/06/2026 PLANTA ASFALTO HUIXQUILUCAN 600 LTS</t>
  </si>
  <si>
    <t>DIESEL (DESPACHO 1231434-0)</t>
  </si>
  <si>
    <t>DPC180725R47_CFDI_A10286_20260630.xml</t>
  </si>
  <si>
    <t>2026-06-30</t>
  </si>
  <si>
    <t>DIESEL (DESPACHO 1235088-0)</t>
  </si>
  <si>
    <t>SUMINISTRO DE 430 LTS OBRA LERMA-TRES MARIAS MARIMBA 30/06/2026</t>
  </si>
  <si>
    <t>Lerma-Tres Marias</t>
  </si>
  <si>
    <t>DIESEL (DESPACHO 1235090-0)</t>
  </si>
  <si>
    <t>DPC180725R47_CFDI_A10290_20260630.xml</t>
  </si>
  <si>
    <t>DIESEL (DESPACHO 1235298-0)</t>
  </si>
  <si>
    <t>SUMINISTRO DE 1000 LTS TANQUE PEGASO MARIMBA 30/06/2026</t>
  </si>
  <si>
    <t>DIESEL (DESPACHO 1235295-0)</t>
  </si>
  <si>
    <t>DIESEL (DESPACHO 1235308-0)</t>
  </si>
  <si>
    <t>DPC180725R47_CFDI_A10293_20260630.xml</t>
  </si>
  <si>
    <t>DIESEL (DESPACHO 1234460-0)</t>
  </si>
  <si>
    <t>SUMINISTRO TANQUE PEGASO CON MARIMBA 2000 LTS 29/06/2026</t>
  </si>
  <si>
    <t>DIESEL (DESPACHO 1234459-0)</t>
  </si>
  <si>
    <t>DIESEL (DESPACHO 1234745-0)</t>
  </si>
  <si>
    <t>DIESEL (DESPACHO 1234746-0)</t>
  </si>
  <si>
    <t>DIESEL (DESPACHO 1234757-0)</t>
  </si>
  <si>
    <t>DIESEL (DESPACHO 1234466-0)</t>
  </si>
  <si>
    <t>DPC180725R47_CFDI_A10298_20260630.xml</t>
  </si>
  <si>
    <t>DIESEL (DESPACHO 1235492-0)</t>
  </si>
  <si>
    <t>SUMINISTRO DE 580 LTS OBRA MEXICO TOLUCA MARIMBA 30/06/2026</t>
  </si>
  <si>
    <t>DIESEL (DESPACHO 1235484-0)</t>
  </si>
  <si>
    <t>DPC180725R47_CFDI_A10319_20260701.xml</t>
  </si>
  <si>
    <t>2026-07-01</t>
  </si>
  <si>
    <t>DIESEL (DESPACHO 1236624-0)</t>
  </si>
  <si>
    <t>MEXICO TOLUCA 660 LTS 01/07/2026 CON MARIMBA</t>
  </si>
  <si>
    <t>DIESEL (DESPACHO 1236619-0)</t>
  </si>
  <si>
    <t>DPC180725R47_CFDI_A10320_20260701.xml</t>
  </si>
  <si>
    <t>DIESEL (DESPACHO 1236628-0)</t>
  </si>
  <si>
    <t>LERMA TRES MARIAS 200 LTS 01/07/26 CON MARIMBA</t>
  </si>
  <si>
    <t>DPC180725R47_CFDI_A10323_20260701.xml</t>
  </si>
  <si>
    <t>DIESEL (DESPACHO 1236965-0)</t>
  </si>
  <si>
    <t>BACHEO (400 LITROS)</t>
  </si>
  <si>
    <t>Bacheo Toluca</t>
  </si>
  <si>
    <t>DIESEL (DESPACHO 1236958-0)</t>
  </si>
  <si>
    <t>DPC180725R47_CFDI_A10324_20260701.xml</t>
  </si>
  <si>
    <t>DIESEL (DESPACHO 1236951-0)</t>
  </si>
  <si>
    <t>PLANTA DE ASFALTO 600 LITROS</t>
  </si>
  <si>
    <t>DIESEL (DESPACHO 1236955-0)</t>
  </si>
  <si>
    <t>DPC180725R47_CFDI_A10331_20260702.xml</t>
  </si>
  <si>
    <t>2026-07-02</t>
  </si>
  <si>
    <t>DIESEL (DESPACHO 1237614-0)</t>
  </si>
  <si>
    <t>SUMINISTRO DE 760 LTS LERMA TENANGO MARIMBA 02/07/2026</t>
  </si>
  <si>
    <t>DIESEL (DESPACHO 1237613-0)</t>
  </si>
  <si>
    <t>DIESEL (DESPACHO 1237596-0)</t>
  </si>
  <si>
    <t>DPC180725R47_CFDI_A10332_20260702.xml</t>
  </si>
  <si>
    <t>DIESEL (DESPACHO 1237591-0)</t>
  </si>
  <si>
    <t>SUMINISTRO DE 240 LTS BACHEO TOLUCA MARIMBA 02/07/2026</t>
  </si>
  <si>
    <t>DPC180725R47_CFDI_A10333_20260702.xml</t>
  </si>
  <si>
    <t>DIESEL (DESPACHO 1237673-0)</t>
  </si>
  <si>
    <t>SUMINISTRO DE 400 LTS PLANTA DE ASFALTO HUIXQUILUCAN PLACAS PCU7482 02/07/2026</t>
  </si>
  <si>
    <t>DIESEL (DESPACHO 1237674-0)</t>
  </si>
  <si>
    <t>9c13fb31-bf5c-4e4f-8dfc-9e9181432824.xml</t>
  </si>
  <si>
    <t>2026-06-20</t>
  </si>
  <si>
    <t>DIESEL (DESPACHO 1222756-0)</t>
  </si>
  <si>
    <t>DIESEL (DESPACHO 1222746-0)</t>
  </si>
  <si>
    <t>DPC180725R47_CFDI_A10246_20260628.xml</t>
  </si>
  <si>
    <t>2026-06-28</t>
  </si>
  <si>
    <t>DIESEL (DESPACHO 1233148-0)</t>
  </si>
  <si>
    <t>SUMINISTRO DE 200 LTS PLANTA DE ASFALTO HUIXQUILUCAN 28/06/2026</t>
  </si>
  <si>
    <t>I.V.A</t>
  </si>
  <si>
    <t>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</si>
</sst>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3"/>
  <sheetViews>
    <sheetView tabSelected="1" topLeftCell="B47" workbookViewId="0">
      <selection activeCell="F2" sqref="F2:F73"/>
    </sheetView>
  </sheetViews>
  <sheetFormatPr baseColWidth="10" defaultColWidth="8.88671875" defaultRowHeight="14.4" x14ac:dyDescent="0.3"/>
  <cols>
    <col min="1" max="1" width="39.21875" bestFit="1" customWidth="1"/>
    <col min="2" max="2" width="14.6640625" bestFit="1" customWidth="1"/>
    <col min="3" max="3" width="15" bestFit="1" customWidth="1"/>
    <col min="4" max="4" width="30.6640625" bestFit="1" customWidth="1"/>
    <col min="5" max="5" width="26.44140625" bestFit="1" customWidth="1"/>
    <col min="6" max="6" width="18" bestFit="1" customWidth="1"/>
    <col min="7" max="7" width="19" bestFit="1" customWidth="1"/>
    <col min="8" max="8" width="16.5546875" bestFit="1" customWidth="1"/>
    <col min="9" max="9" width="15" style="1" bestFit="1" customWidth="1"/>
    <col min="10" max="11" width="15" style="1" customWidth="1"/>
    <col min="12" max="12" width="87.109375" bestFit="1" customWidth="1"/>
    <col min="13" max="13" width="30.7773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164</v>
      </c>
      <c r="J1" t="s">
        <v>163</v>
      </c>
      <c r="K1" t="s">
        <v>8</v>
      </c>
      <c r="L1" t="s">
        <v>9</v>
      </c>
      <c r="M1" t="s">
        <v>10</v>
      </c>
    </row>
    <row r="2" spans="1:13" x14ac:dyDescent="0.3">
      <c r="A2" t="s">
        <v>11</v>
      </c>
      <c r="B2">
        <v>10052</v>
      </c>
      <c r="C2" t="s">
        <v>12</v>
      </c>
      <c r="D2" t="s">
        <v>13</v>
      </c>
      <c r="E2" t="s">
        <v>14</v>
      </c>
      <c r="F2" t="s">
        <v>15</v>
      </c>
      <c r="G2">
        <v>250.001</v>
      </c>
      <c r="H2">
        <v>23.343561000000001</v>
      </c>
      <c r="I2" s="1">
        <f>G2*H2</f>
        <v>5835.9135935610002</v>
      </c>
      <c r="J2" s="1">
        <f>I2*0.16</f>
        <v>933.74617496976009</v>
      </c>
      <c r="K2" s="1">
        <f>I2+J2</f>
        <v>6769.6597685307606</v>
      </c>
      <c r="L2" t="s">
        <v>16</v>
      </c>
      <c r="M2" t="s">
        <v>17</v>
      </c>
    </row>
    <row r="3" spans="1:13" x14ac:dyDescent="0.3">
      <c r="A3" t="s">
        <v>11</v>
      </c>
      <c r="B3">
        <v>10052</v>
      </c>
      <c r="C3" t="s">
        <v>12</v>
      </c>
      <c r="D3" t="s">
        <v>13</v>
      </c>
      <c r="E3" t="s">
        <v>18</v>
      </c>
      <c r="F3" t="s">
        <v>15</v>
      </c>
      <c r="G3">
        <v>250.001</v>
      </c>
      <c r="H3">
        <v>23.343561000000001</v>
      </c>
      <c r="I3" s="1">
        <f t="shared" ref="I3:I66" si="0">G3*H3</f>
        <v>5835.9135935610002</v>
      </c>
      <c r="J3" s="1">
        <f t="shared" ref="J3:J66" si="1">I3*0.16</f>
        <v>933.74617496976009</v>
      </c>
      <c r="K3" s="1">
        <f t="shared" ref="K3:K66" si="2">I3+J3</f>
        <v>6769.6597685307606</v>
      </c>
      <c r="L3" t="s">
        <v>16</v>
      </c>
      <c r="M3" t="s">
        <v>17</v>
      </c>
    </row>
    <row r="4" spans="1:13" x14ac:dyDescent="0.3">
      <c r="A4" t="s">
        <v>19</v>
      </c>
      <c r="B4">
        <v>10053</v>
      </c>
      <c r="C4" t="s">
        <v>12</v>
      </c>
      <c r="D4" t="s">
        <v>13</v>
      </c>
      <c r="E4" t="s">
        <v>20</v>
      </c>
      <c r="F4" t="s">
        <v>15</v>
      </c>
      <c r="G4">
        <v>200.00200000000001</v>
      </c>
      <c r="H4">
        <v>23.343561000000001</v>
      </c>
      <c r="I4" s="1">
        <f t="shared" si="0"/>
        <v>4668.7588871220005</v>
      </c>
      <c r="J4" s="1">
        <f t="shared" si="1"/>
        <v>747.00142193952013</v>
      </c>
      <c r="K4" s="1">
        <f t="shared" si="2"/>
        <v>5415.7603090615203</v>
      </c>
      <c r="L4" t="s">
        <v>21</v>
      </c>
      <c r="M4" t="s">
        <v>22</v>
      </c>
    </row>
    <row r="5" spans="1:13" x14ac:dyDescent="0.3">
      <c r="A5" t="s">
        <v>19</v>
      </c>
      <c r="B5">
        <v>10053</v>
      </c>
      <c r="C5" t="s">
        <v>12</v>
      </c>
      <c r="D5" t="s">
        <v>13</v>
      </c>
      <c r="E5" t="s">
        <v>23</v>
      </c>
      <c r="F5" t="s">
        <v>15</v>
      </c>
      <c r="G5">
        <v>300.00200000000001</v>
      </c>
      <c r="H5">
        <v>23.343561000000001</v>
      </c>
      <c r="I5" s="1">
        <f t="shared" si="0"/>
        <v>7003.1149871220005</v>
      </c>
      <c r="J5" s="1">
        <f t="shared" si="1"/>
        <v>1120.4983979395201</v>
      </c>
      <c r="K5" s="1">
        <f t="shared" si="2"/>
        <v>8123.6133850615206</v>
      </c>
      <c r="L5" t="s">
        <v>21</v>
      </c>
      <c r="M5" t="s">
        <v>22</v>
      </c>
    </row>
    <row r="6" spans="1:13" x14ac:dyDescent="0.3">
      <c r="A6" t="s">
        <v>19</v>
      </c>
      <c r="B6">
        <v>10053</v>
      </c>
      <c r="C6" t="s">
        <v>12</v>
      </c>
      <c r="D6" t="s">
        <v>13</v>
      </c>
      <c r="E6" t="s">
        <v>24</v>
      </c>
      <c r="F6" t="s">
        <v>15</v>
      </c>
      <c r="G6">
        <v>300.00200000000001</v>
      </c>
      <c r="H6">
        <v>23.343561000000001</v>
      </c>
      <c r="I6" s="1">
        <f t="shared" si="0"/>
        <v>7003.1149871220005</v>
      </c>
      <c r="J6" s="1">
        <f t="shared" si="1"/>
        <v>1120.4983979395201</v>
      </c>
      <c r="K6" s="1">
        <f t="shared" si="2"/>
        <v>8123.6133850615206</v>
      </c>
      <c r="L6" t="s">
        <v>21</v>
      </c>
      <c r="M6" t="s">
        <v>22</v>
      </c>
    </row>
    <row r="7" spans="1:13" x14ac:dyDescent="0.3">
      <c r="A7" t="s">
        <v>25</v>
      </c>
      <c r="B7">
        <v>10058</v>
      </c>
      <c r="C7" t="s">
        <v>26</v>
      </c>
      <c r="D7" t="s">
        <v>13</v>
      </c>
      <c r="E7" t="s">
        <v>27</v>
      </c>
      <c r="F7" t="s">
        <v>15</v>
      </c>
      <c r="G7">
        <v>250.001</v>
      </c>
      <c r="H7">
        <v>23.343561000000001</v>
      </c>
      <c r="I7" s="1">
        <f t="shared" si="0"/>
        <v>5835.9135935610002</v>
      </c>
      <c r="J7" s="1">
        <f t="shared" si="1"/>
        <v>933.74617496976009</v>
      </c>
      <c r="K7" s="1">
        <f t="shared" si="2"/>
        <v>6769.6597685307606</v>
      </c>
      <c r="L7" t="s">
        <v>28</v>
      </c>
      <c r="M7" t="s">
        <v>17</v>
      </c>
    </row>
    <row r="8" spans="1:13" x14ac:dyDescent="0.3">
      <c r="A8" t="s">
        <v>25</v>
      </c>
      <c r="B8">
        <v>10058</v>
      </c>
      <c r="C8" t="s">
        <v>26</v>
      </c>
      <c r="D8" t="s">
        <v>13</v>
      </c>
      <c r="E8" t="s">
        <v>29</v>
      </c>
      <c r="F8" t="s">
        <v>15</v>
      </c>
      <c r="G8">
        <v>250.001</v>
      </c>
      <c r="H8">
        <v>23.343561000000001</v>
      </c>
      <c r="I8" s="1">
        <f t="shared" si="0"/>
        <v>5835.9135935610002</v>
      </c>
      <c r="J8" s="1">
        <f t="shared" si="1"/>
        <v>933.74617496976009</v>
      </c>
      <c r="K8" s="1">
        <f t="shared" si="2"/>
        <v>6769.6597685307606</v>
      </c>
      <c r="L8" t="s">
        <v>28</v>
      </c>
      <c r="M8" t="s">
        <v>17</v>
      </c>
    </row>
    <row r="9" spans="1:13" x14ac:dyDescent="0.3">
      <c r="A9" t="s">
        <v>30</v>
      </c>
      <c r="B9">
        <v>10072</v>
      </c>
      <c r="C9" t="s">
        <v>31</v>
      </c>
      <c r="D9" t="s">
        <v>13</v>
      </c>
      <c r="E9" t="s">
        <v>32</v>
      </c>
      <c r="F9" t="s">
        <v>15</v>
      </c>
      <c r="G9">
        <v>300.00200000000001</v>
      </c>
      <c r="H9">
        <v>23.343561000000001</v>
      </c>
      <c r="I9" s="1">
        <f t="shared" si="0"/>
        <v>7003.1149871220005</v>
      </c>
      <c r="J9" s="1">
        <f t="shared" si="1"/>
        <v>1120.4983979395201</v>
      </c>
      <c r="K9" s="1">
        <f t="shared" si="2"/>
        <v>8123.6133850615206</v>
      </c>
      <c r="L9" t="s">
        <v>33</v>
      </c>
      <c r="M9" t="s">
        <v>22</v>
      </c>
    </row>
    <row r="10" spans="1:13" x14ac:dyDescent="0.3">
      <c r="A10" t="s">
        <v>30</v>
      </c>
      <c r="B10">
        <v>10072</v>
      </c>
      <c r="C10" t="s">
        <v>31</v>
      </c>
      <c r="D10" t="s">
        <v>13</v>
      </c>
      <c r="E10" t="s">
        <v>34</v>
      </c>
      <c r="F10" t="s">
        <v>15</v>
      </c>
      <c r="G10">
        <v>300.00200000000001</v>
      </c>
      <c r="H10">
        <v>23.343561000000001</v>
      </c>
      <c r="I10" s="1">
        <f t="shared" si="0"/>
        <v>7003.1149871220005</v>
      </c>
      <c r="J10" s="1">
        <f t="shared" si="1"/>
        <v>1120.4983979395201</v>
      </c>
      <c r="K10" s="1">
        <f t="shared" si="2"/>
        <v>8123.6133850615206</v>
      </c>
      <c r="L10" t="s">
        <v>33</v>
      </c>
      <c r="M10" t="s">
        <v>22</v>
      </c>
    </row>
    <row r="11" spans="1:13" x14ac:dyDescent="0.3">
      <c r="A11" t="s">
        <v>35</v>
      </c>
      <c r="B11">
        <v>10078</v>
      </c>
      <c r="C11" t="s">
        <v>31</v>
      </c>
      <c r="D11" t="s">
        <v>13</v>
      </c>
      <c r="E11" t="s">
        <v>36</v>
      </c>
      <c r="F11" t="s">
        <v>15</v>
      </c>
      <c r="G11">
        <v>300.00200000000001</v>
      </c>
      <c r="H11">
        <v>23.343561000000001</v>
      </c>
      <c r="I11" s="1">
        <f t="shared" si="0"/>
        <v>7003.1149871220005</v>
      </c>
      <c r="J11" s="1">
        <f t="shared" si="1"/>
        <v>1120.4983979395201</v>
      </c>
      <c r="K11" s="1">
        <f t="shared" si="2"/>
        <v>8123.6133850615206</v>
      </c>
      <c r="L11" t="s">
        <v>37</v>
      </c>
      <c r="M11" t="s">
        <v>17</v>
      </c>
    </row>
    <row r="12" spans="1:13" x14ac:dyDescent="0.3">
      <c r="A12" t="s">
        <v>35</v>
      </c>
      <c r="B12">
        <v>10078</v>
      </c>
      <c r="C12" t="s">
        <v>31</v>
      </c>
      <c r="D12" t="s">
        <v>13</v>
      </c>
      <c r="E12" t="s">
        <v>38</v>
      </c>
      <c r="F12" t="s">
        <v>15</v>
      </c>
      <c r="G12">
        <v>220</v>
      </c>
      <c r="H12">
        <v>23.343561000000001</v>
      </c>
      <c r="I12" s="1">
        <f t="shared" si="0"/>
        <v>5135.5834199999999</v>
      </c>
      <c r="J12" s="1">
        <f t="shared" si="1"/>
        <v>821.69334720000006</v>
      </c>
      <c r="K12" s="1">
        <f t="shared" si="2"/>
        <v>5957.2767672</v>
      </c>
      <c r="L12" t="s">
        <v>37</v>
      </c>
      <c r="M12" t="s">
        <v>17</v>
      </c>
    </row>
    <row r="13" spans="1:13" x14ac:dyDescent="0.3">
      <c r="A13" t="s">
        <v>39</v>
      </c>
      <c r="B13">
        <v>10087</v>
      </c>
      <c r="C13" t="s">
        <v>40</v>
      </c>
      <c r="D13" t="s">
        <v>13</v>
      </c>
      <c r="E13" t="s">
        <v>41</v>
      </c>
      <c r="F13" t="s">
        <v>15</v>
      </c>
      <c r="G13">
        <v>300.00200000000001</v>
      </c>
      <c r="H13">
        <v>23.343561000000001</v>
      </c>
      <c r="I13" s="1">
        <f t="shared" si="0"/>
        <v>7003.1149871220005</v>
      </c>
      <c r="J13" s="1">
        <f t="shared" si="1"/>
        <v>1120.4983979395201</v>
      </c>
      <c r="K13" s="1">
        <f t="shared" si="2"/>
        <v>8123.6133850615206</v>
      </c>
      <c r="L13" t="s">
        <v>42</v>
      </c>
      <c r="M13" t="s">
        <v>17</v>
      </c>
    </row>
    <row r="14" spans="1:13" x14ac:dyDescent="0.3">
      <c r="A14" t="s">
        <v>39</v>
      </c>
      <c r="B14">
        <v>10087</v>
      </c>
      <c r="C14" t="s">
        <v>40</v>
      </c>
      <c r="D14" t="s">
        <v>13</v>
      </c>
      <c r="E14" t="s">
        <v>43</v>
      </c>
      <c r="F14" t="s">
        <v>15</v>
      </c>
      <c r="G14">
        <v>190.00200000000001</v>
      </c>
      <c r="H14">
        <v>23.343561000000001</v>
      </c>
      <c r="I14" s="1">
        <f t="shared" si="0"/>
        <v>4435.323277122</v>
      </c>
      <c r="J14" s="1">
        <f t="shared" si="1"/>
        <v>709.65172433952</v>
      </c>
      <c r="K14" s="1">
        <f t="shared" si="2"/>
        <v>5144.9750014615202</v>
      </c>
      <c r="L14" t="s">
        <v>42</v>
      </c>
      <c r="M14" t="s">
        <v>17</v>
      </c>
    </row>
    <row r="15" spans="1:13" x14ac:dyDescent="0.3">
      <c r="A15" t="s">
        <v>44</v>
      </c>
      <c r="B15">
        <v>10088</v>
      </c>
      <c r="C15" t="s">
        <v>40</v>
      </c>
      <c r="D15" t="s">
        <v>13</v>
      </c>
      <c r="E15" t="s">
        <v>45</v>
      </c>
      <c r="F15" t="s">
        <v>15</v>
      </c>
      <c r="G15">
        <v>370.00099999999998</v>
      </c>
      <c r="H15">
        <v>23.343561000000001</v>
      </c>
      <c r="I15" s="1">
        <f t="shared" si="0"/>
        <v>8637.1409135609993</v>
      </c>
      <c r="J15" s="1">
        <f t="shared" si="1"/>
        <v>1381.9425461697599</v>
      </c>
      <c r="K15" s="1">
        <f t="shared" si="2"/>
        <v>10019.083459730758</v>
      </c>
      <c r="L15" t="s">
        <v>46</v>
      </c>
      <c r="M15" t="s">
        <v>47</v>
      </c>
    </row>
    <row r="16" spans="1:13" x14ac:dyDescent="0.3">
      <c r="A16" t="s">
        <v>44</v>
      </c>
      <c r="B16">
        <v>10088</v>
      </c>
      <c r="C16" t="s">
        <v>40</v>
      </c>
      <c r="D16" t="s">
        <v>13</v>
      </c>
      <c r="E16" t="s">
        <v>48</v>
      </c>
      <c r="F16" t="s">
        <v>15</v>
      </c>
      <c r="G16">
        <v>370.00099999999998</v>
      </c>
      <c r="H16">
        <v>23.343561000000001</v>
      </c>
      <c r="I16" s="1">
        <f t="shared" si="0"/>
        <v>8637.1409135609993</v>
      </c>
      <c r="J16" s="1">
        <f t="shared" si="1"/>
        <v>1381.9425461697599</v>
      </c>
      <c r="K16" s="1">
        <f t="shared" si="2"/>
        <v>10019.083459730758</v>
      </c>
      <c r="L16" t="s">
        <v>46</v>
      </c>
      <c r="M16" t="s">
        <v>47</v>
      </c>
    </row>
    <row r="17" spans="1:13" x14ac:dyDescent="0.3">
      <c r="A17" t="s">
        <v>44</v>
      </c>
      <c r="B17">
        <v>10088</v>
      </c>
      <c r="C17" t="s">
        <v>40</v>
      </c>
      <c r="D17" t="s">
        <v>13</v>
      </c>
      <c r="E17" t="s">
        <v>49</v>
      </c>
      <c r="F17" t="s">
        <v>15</v>
      </c>
      <c r="G17">
        <v>370.00099999999998</v>
      </c>
      <c r="H17">
        <v>23.343561000000001</v>
      </c>
      <c r="I17" s="1">
        <f t="shared" si="0"/>
        <v>8637.1409135609993</v>
      </c>
      <c r="J17" s="1">
        <f t="shared" si="1"/>
        <v>1381.9425461697599</v>
      </c>
      <c r="K17" s="1">
        <f t="shared" si="2"/>
        <v>10019.083459730758</v>
      </c>
      <c r="L17" t="s">
        <v>46</v>
      </c>
      <c r="M17" t="s">
        <v>47</v>
      </c>
    </row>
    <row r="18" spans="1:13" x14ac:dyDescent="0.3">
      <c r="A18" t="s">
        <v>44</v>
      </c>
      <c r="B18">
        <v>10088</v>
      </c>
      <c r="C18" t="s">
        <v>40</v>
      </c>
      <c r="D18" t="s">
        <v>13</v>
      </c>
      <c r="E18" t="s">
        <v>50</v>
      </c>
      <c r="F18" t="s">
        <v>15</v>
      </c>
      <c r="G18">
        <v>370.00099999999998</v>
      </c>
      <c r="H18">
        <v>23.343561000000001</v>
      </c>
      <c r="I18" s="1">
        <f t="shared" si="0"/>
        <v>8637.1409135609993</v>
      </c>
      <c r="J18" s="1">
        <f t="shared" si="1"/>
        <v>1381.9425461697599</v>
      </c>
      <c r="K18" s="1">
        <f t="shared" si="2"/>
        <v>10019.083459730758</v>
      </c>
      <c r="L18" t="s">
        <v>46</v>
      </c>
      <c r="M18" t="s">
        <v>47</v>
      </c>
    </row>
    <row r="19" spans="1:13" x14ac:dyDescent="0.3">
      <c r="A19" t="s">
        <v>44</v>
      </c>
      <c r="B19">
        <v>10088</v>
      </c>
      <c r="C19" t="s">
        <v>40</v>
      </c>
      <c r="D19" t="s">
        <v>13</v>
      </c>
      <c r="E19" t="s">
        <v>51</v>
      </c>
      <c r="F19" t="s">
        <v>15</v>
      </c>
      <c r="G19">
        <v>370.00099999999998</v>
      </c>
      <c r="H19">
        <v>23.343561000000001</v>
      </c>
      <c r="I19" s="1">
        <f t="shared" si="0"/>
        <v>8637.1409135609993</v>
      </c>
      <c r="J19" s="1">
        <f t="shared" si="1"/>
        <v>1381.9425461697599</v>
      </c>
      <c r="K19" s="1">
        <f t="shared" si="2"/>
        <v>10019.083459730758</v>
      </c>
      <c r="L19" t="s">
        <v>46</v>
      </c>
      <c r="M19" t="s">
        <v>47</v>
      </c>
    </row>
    <row r="20" spans="1:13" x14ac:dyDescent="0.3">
      <c r="A20" t="s">
        <v>44</v>
      </c>
      <c r="B20">
        <v>10088</v>
      </c>
      <c r="C20" t="s">
        <v>40</v>
      </c>
      <c r="D20" t="s">
        <v>13</v>
      </c>
      <c r="E20" t="s">
        <v>52</v>
      </c>
      <c r="F20" t="s">
        <v>15</v>
      </c>
      <c r="G20">
        <v>370.00099999999998</v>
      </c>
      <c r="H20">
        <v>23.343561000000001</v>
      </c>
      <c r="I20" s="1">
        <f t="shared" si="0"/>
        <v>8637.1409135609993</v>
      </c>
      <c r="J20" s="1">
        <f t="shared" si="1"/>
        <v>1381.9425461697599</v>
      </c>
      <c r="K20" s="1">
        <f t="shared" si="2"/>
        <v>10019.083459730758</v>
      </c>
      <c r="L20" t="s">
        <v>46</v>
      </c>
      <c r="M20" t="s">
        <v>47</v>
      </c>
    </row>
    <row r="21" spans="1:13" x14ac:dyDescent="0.3">
      <c r="A21" t="s">
        <v>44</v>
      </c>
      <c r="B21">
        <v>10088</v>
      </c>
      <c r="C21" t="s">
        <v>40</v>
      </c>
      <c r="D21" t="s">
        <v>13</v>
      </c>
      <c r="E21" t="s">
        <v>53</v>
      </c>
      <c r="F21" t="s">
        <v>15</v>
      </c>
      <c r="G21">
        <v>370.00099999999998</v>
      </c>
      <c r="H21">
        <v>23.343561000000001</v>
      </c>
      <c r="I21" s="1">
        <f t="shared" si="0"/>
        <v>8637.1409135609993</v>
      </c>
      <c r="J21" s="1">
        <f t="shared" si="1"/>
        <v>1381.9425461697599</v>
      </c>
      <c r="K21" s="1">
        <f t="shared" si="2"/>
        <v>10019.083459730758</v>
      </c>
      <c r="L21" t="s">
        <v>46</v>
      </c>
      <c r="M21" t="s">
        <v>47</v>
      </c>
    </row>
    <row r="22" spans="1:13" x14ac:dyDescent="0.3">
      <c r="A22" t="s">
        <v>44</v>
      </c>
      <c r="B22">
        <v>10088</v>
      </c>
      <c r="C22" t="s">
        <v>40</v>
      </c>
      <c r="D22" t="s">
        <v>13</v>
      </c>
      <c r="E22" t="s">
        <v>54</v>
      </c>
      <c r="F22" t="s">
        <v>15</v>
      </c>
      <c r="G22">
        <v>370.00099999999998</v>
      </c>
      <c r="H22">
        <v>23.343561000000001</v>
      </c>
      <c r="I22" s="1">
        <f t="shared" si="0"/>
        <v>8637.1409135609993</v>
      </c>
      <c r="J22" s="1">
        <f t="shared" si="1"/>
        <v>1381.9425461697599</v>
      </c>
      <c r="K22" s="1">
        <f t="shared" si="2"/>
        <v>10019.083459730758</v>
      </c>
      <c r="L22" t="s">
        <v>46</v>
      </c>
      <c r="M22" t="s">
        <v>47</v>
      </c>
    </row>
    <row r="23" spans="1:13" x14ac:dyDescent="0.3">
      <c r="A23" t="s">
        <v>44</v>
      </c>
      <c r="B23">
        <v>10088</v>
      </c>
      <c r="C23" t="s">
        <v>40</v>
      </c>
      <c r="D23" t="s">
        <v>13</v>
      </c>
      <c r="E23" t="s">
        <v>55</v>
      </c>
      <c r="F23" t="s">
        <v>15</v>
      </c>
      <c r="G23">
        <v>370.00099999999998</v>
      </c>
      <c r="H23">
        <v>23.343561000000001</v>
      </c>
      <c r="I23" s="1">
        <f t="shared" si="0"/>
        <v>8637.1409135609993</v>
      </c>
      <c r="J23" s="1">
        <f t="shared" si="1"/>
        <v>1381.9425461697599</v>
      </c>
      <c r="K23" s="1">
        <f t="shared" si="2"/>
        <v>10019.083459730758</v>
      </c>
      <c r="L23" t="s">
        <v>46</v>
      </c>
      <c r="M23" t="s">
        <v>47</v>
      </c>
    </row>
    <row r="24" spans="1:13" x14ac:dyDescent="0.3">
      <c r="A24" t="s">
        <v>44</v>
      </c>
      <c r="B24">
        <v>10088</v>
      </c>
      <c r="C24" t="s">
        <v>40</v>
      </c>
      <c r="D24" t="s">
        <v>13</v>
      </c>
      <c r="E24" t="s">
        <v>56</v>
      </c>
      <c r="F24" t="s">
        <v>15</v>
      </c>
      <c r="G24">
        <v>150.001</v>
      </c>
      <c r="H24">
        <v>23.343561000000001</v>
      </c>
      <c r="I24" s="1">
        <f t="shared" si="0"/>
        <v>3501.5574935610002</v>
      </c>
      <c r="J24" s="1">
        <f t="shared" si="1"/>
        <v>560.24919896976007</v>
      </c>
      <c r="K24" s="1">
        <f t="shared" si="2"/>
        <v>4061.8066925307603</v>
      </c>
      <c r="L24" t="s">
        <v>46</v>
      </c>
      <c r="M24" t="s">
        <v>47</v>
      </c>
    </row>
    <row r="25" spans="1:13" x14ac:dyDescent="0.3">
      <c r="A25" t="s">
        <v>44</v>
      </c>
      <c r="B25">
        <v>10088</v>
      </c>
      <c r="C25" t="s">
        <v>40</v>
      </c>
      <c r="D25" t="s">
        <v>13</v>
      </c>
      <c r="E25" t="s">
        <v>57</v>
      </c>
      <c r="F25" t="s">
        <v>15</v>
      </c>
      <c r="G25">
        <v>370.00099999999998</v>
      </c>
      <c r="H25">
        <v>23.343561000000001</v>
      </c>
      <c r="I25" s="1">
        <f t="shared" si="0"/>
        <v>8637.1409135609993</v>
      </c>
      <c r="J25" s="1">
        <f t="shared" si="1"/>
        <v>1381.9425461697599</v>
      </c>
      <c r="K25" s="1">
        <f t="shared" si="2"/>
        <v>10019.083459730758</v>
      </c>
      <c r="L25" t="s">
        <v>46</v>
      </c>
      <c r="M25" t="s">
        <v>47</v>
      </c>
    </row>
    <row r="26" spans="1:13" x14ac:dyDescent="0.3">
      <c r="A26" t="s">
        <v>44</v>
      </c>
      <c r="B26">
        <v>10088</v>
      </c>
      <c r="C26" t="s">
        <v>40</v>
      </c>
      <c r="D26" t="s">
        <v>13</v>
      </c>
      <c r="E26" t="s">
        <v>58</v>
      </c>
      <c r="F26" t="s">
        <v>15</v>
      </c>
      <c r="G26">
        <v>150.001</v>
      </c>
      <c r="H26">
        <v>23.343561000000001</v>
      </c>
      <c r="I26" s="1">
        <f t="shared" si="0"/>
        <v>3501.5574935610002</v>
      </c>
      <c r="J26" s="1">
        <f t="shared" si="1"/>
        <v>560.24919896976007</v>
      </c>
      <c r="K26" s="1">
        <f t="shared" si="2"/>
        <v>4061.8066925307603</v>
      </c>
      <c r="L26" t="s">
        <v>46</v>
      </c>
      <c r="M26" t="s">
        <v>47</v>
      </c>
    </row>
    <row r="27" spans="1:13" x14ac:dyDescent="0.3">
      <c r="A27" t="s">
        <v>59</v>
      </c>
      <c r="B27">
        <v>10091</v>
      </c>
      <c r="C27" t="s">
        <v>40</v>
      </c>
      <c r="D27" t="s">
        <v>13</v>
      </c>
      <c r="E27" t="s">
        <v>60</v>
      </c>
      <c r="F27" t="s">
        <v>15</v>
      </c>
      <c r="G27">
        <v>350.00099999999998</v>
      </c>
      <c r="H27">
        <v>23.343561000000001</v>
      </c>
      <c r="I27" s="1">
        <f t="shared" si="0"/>
        <v>8170.2696935610002</v>
      </c>
      <c r="J27" s="1">
        <f t="shared" si="1"/>
        <v>1307.2431509697601</v>
      </c>
      <c r="K27" s="1">
        <f t="shared" si="2"/>
        <v>9477.51284453076</v>
      </c>
      <c r="L27" t="s">
        <v>61</v>
      </c>
      <c r="M27" t="s">
        <v>22</v>
      </c>
    </row>
    <row r="28" spans="1:13" x14ac:dyDescent="0.3">
      <c r="A28" t="s">
        <v>59</v>
      </c>
      <c r="B28">
        <v>10091</v>
      </c>
      <c r="C28" t="s">
        <v>40</v>
      </c>
      <c r="D28" t="s">
        <v>13</v>
      </c>
      <c r="E28" t="s">
        <v>62</v>
      </c>
      <c r="F28" t="s">
        <v>15</v>
      </c>
      <c r="G28">
        <v>150.001</v>
      </c>
      <c r="H28">
        <v>23.343561000000001</v>
      </c>
      <c r="I28" s="1">
        <f t="shared" si="0"/>
        <v>3501.5574935610002</v>
      </c>
      <c r="J28" s="1">
        <f t="shared" si="1"/>
        <v>560.24919896976007</v>
      </c>
      <c r="K28" s="1">
        <f t="shared" si="2"/>
        <v>4061.8066925307603</v>
      </c>
      <c r="L28" t="s">
        <v>61</v>
      </c>
      <c r="M28" t="s">
        <v>22</v>
      </c>
    </row>
    <row r="29" spans="1:13" x14ac:dyDescent="0.3">
      <c r="A29" t="s">
        <v>63</v>
      </c>
      <c r="B29">
        <v>10108</v>
      </c>
      <c r="C29" t="s">
        <v>64</v>
      </c>
      <c r="D29" t="s">
        <v>13</v>
      </c>
      <c r="E29" t="s">
        <v>65</v>
      </c>
      <c r="F29" t="s">
        <v>15</v>
      </c>
      <c r="G29">
        <v>200.00200000000001</v>
      </c>
      <c r="H29">
        <v>23.343561000000001</v>
      </c>
      <c r="I29" s="1">
        <f t="shared" si="0"/>
        <v>4668.7588871220005</v>
      </c>
      <c r="J29" s="1">
        <f t="shared" si="1"/>
        <v>747.00142193952013</v>
      </c>
      <c r="K29" s="1">
        <f t="shared" si="2"/>
        <v>5415.7603090615203</v>
      </c>
      <c r="L29" t="s">
        <v>66</v>
      </c>
      <c r="M29" t="s">
        <v>17</v>
      </c>
    </row>
    <row r="30" spans="1:13" x14ac:dyDescent="0.3">
      <c r="A30" t="s">
        <v>63</v>
      </c>
      <c r="B30">
        <v>10108</v>
      </c>
      <c r="C30" t="s">
        <v>64</v>
      </c>
      <c r="D30" t="s">
        <v>13</v>
      </c>
      <c r="E30" t="s">
        <v>67</v>
      </c>
      <c r="F30" t="s">
        <v>15</v>
      </c>
      <c r="G30">
        <v>200.00200000000001</v>
      </c>
      <c r="H30">
        <v>23.343561000000001</v>
      </c>
      <c r="I30" s="1">
        <f t="shared" si="0"/>
        <v>4668.7588871220005</v>
      </c>
      <c r="J30" s="1">
        <f t="shared" si="1"/>
        <v>747.00142193952013</v>
      </c>
      <c r="K30" s="1">
        <f t="shared" si="2"/>
        <v>5415.7603090615203</v>
      </c>
      <c r="L30" t="s">
        <v>66</v>
      </c>
      <c r="M30" t="s">
        <v>17</v>
      </c>
    </row>
    <row r="31" spans="1:13" x14ac:dyDescent="0.3">
      <c r="A31" t="s">
        <v>68</v>
      </c>
      <c r="B31">
        <v>10148</v>
      </c>
      <c r="C31" t="s">
        <v>69</v>
      </c>
      <c r="D31" t="s">
        <v>13</v>
      </c>
      <c r="E31" t="s">
        <v>70</v>
      </c>
      <c r="F31" t="s">
        <v>15</v>
      </c>
      <c r="G31">
        <v>330</v>
      </c>
      <c r="H31">
        <v>23.343561000000001</v>
      </c>
      <c r="I31" s="1">
        <f t="shared" si="0"/>
        <v>7703.3751300000004</v>
      </c>
      <c r="J31" s="1">
        <f t="shared" si="1"/>
        <v>1232.5400208000001</v>
      </c>
      <c r="K31" s="1">
        <f t="shared" si="2"/>
        <v>8935.9151507999995</v>
      </c>
      <c r="L31" t="s">
        <v>71</v>
      </c>
      <c r="M31" t="s">
        <v>17</v>
      </c>
    </row>
    <row r="32" spans="1:13" x14ac:dyDescent="0.3">
      <c r="A32" t="s">
        <v>68</v>
      </c>
      <c r="B32">
        <v>10148</v>
      </c>
      <c r="C32" t="s">
        <v>69</v>
      </c>
      <c r="D32" t="s">
        <v>13</v>
      </c>
      <c r="E32" t="s">
        <v>72</v>
      </c>
      <c r="F32" t="s">
        <v>15</v>
      </c>
      <c r="G32">
        <v>330</v>
      </c>
      <c r="H32">
        <v>23.343561000000001</v>
      </c>
      <c r="I32" s="1">
        <f t="shared" si="0"/>
        <v>7703.3751300000004</v>
      </c>
      <c r="J32" s="1">
        <f t="shared" si="1"/>
        <v>1232.5400208000001</v>
      </c>
      <c r="K32" s="1">
        <f t="shared" si="2"/>
        <v>8935.9151507999995</v>
      </c>
      <c r="L32" t="s">
        <v>71</v>
      </c>
      <c r="M32" t="s">
        <v>17</v>
      </c>
    </row>
    <row r="33" spans="1:13" x14ac:dyDescent="0.3">
      <c r="A33" t="s">
        <v>75</v>
      </c>
      <c r="B33">
        <v>10198</v>
      </c>
      <c r="C33" t="s">
        <v>76</v>
      </c>
      <c r="D33" t="s">
        <v>13</v>
      </c>
      <c r="E33" t="s">
        <v>77</v>
      </c>
      <c r="F33" t="s">
        <v>15</v>
      </c>
      <c r="G33">
        <v>250.001</v>
      </c>
      <c r="H33">
        <v>23.343561000000001</v>
      </c>
      <c r="I33" s="1">
        <f t="shared" si="0"/>
        <v>5835.9135935610002</v>
      </c>
      <c r="J33" s="1">
        <f t="shared" si="1"/>
        <v>933.74617496976009</v>
      </c>
      <c r="K33" s="1">
        <f t="shared" si="2"/>
        <v>6769.6597685307606</v>
      </c>
      <c r="L33" t="s">
        <v>78</v>
      </c>
      <c r="M33" t="s">
        <v>17</v>
      </c>
    </row>
    <row r="34" spans="1:13" x14ac:dyDescent="0.3">
      <c r="A34" t="s">
        <v>75</v>
      </c>
      <c r="B34">
        <v>10198</v>
      </c>
      <c r="C34" t="s">
        <v>76</v>
      </c>
      <c r="D34" t="s">
        <v>13</v>
      </c>
      <c r="E34" t="s">
        <v>79</v>
      </c>
      <c r="F34" t="s">
        <v>15</v>
      </c>
      <c r="G34">
        <v>300.00200000000001</v>
      </c>
      <c r="H34">
        <v>23.343561000000001</v>
      </c>
      <c r="I34" s="1">
        <f t="shared" si="0"/>
        <v>7003.1149871220005</v>
      </c>
      <c r="J34" s="1">
        <f t="shared" si="1"/>
        <v>1120.4983979395201</v>
      </c>
      <c r="K34" s="1">
        <f t="shared" si="2"/>
        <v>8123.6133850615206</v>
      </c>
      <c r="L34" t="s">
        <v>78</v>
      </c>
      <c r="M34" t="s">
        <v>17</v>
      </c>
    </row>
    <row r="35" spans="1:13" x14ac:dyDescent="0.3">
      <c r="A35" t="s">
        <v>80</v>
      </c>
      <c r="B35">
        <v>10211</v>
      </c>
      <c r="C35" t="s">
        <v>81</v>
      </c>
      <c r="D35" t="s">
        <v>13</v>
      </c>
      <c r="E35" t="s">
        <v>82</v>
      </c>
      <c r="F35" t="s">
        <v>15</v>
      </c>
      <c r="G35">
        <v>250.001</v>
      </c>
      <c r="H35">
        <v>23.343561000000001</v>
      </c>
      <c r="I35" s="1">
        <f t="shared" si="0"/>
        <v>5835.9135935610002</v>
      </c>
      <c r="J35" s="1">
        <f t="shared" si="1"/>
        <v>933.74617496976009</v>
      </c>
      <c r="K35" s="1">
        <f t="shared" si="2"/>
        <v>6769.6597685307606</v>
      </c>
      <c r="L35" t="s">
        <v>83</v>
      </c>
      <c r="M35" t="s">
        <v>17</v>
      </c>
    </row>
    <row r="36" spans="1:13" x14ac:dyDescent="0.3">
      <c r="A36" t="s">
        <v>80</v>
      </c>
      <c r="B36">
        <v>10211</v>
      </c>
      <c r="C36" t="s">
        <v>81</v>
      </c>
      <c r="D36" t="s">
        <v>13</v>
      </c>
      <c r="E36" t="s">
        <v>84</v>
      </c>
      <c r="F36" t="s">
        <v>15</v>
      </c>
      <c r="G36">
        <v>300.00200000000001</v>
      </c>
      <c r="H36">
        <v>23.343561000000001</v>
      </c>
      <c r="I36" s="1">
        <f t="shared" si="0"/>
        <v>7003.1149871220005</v>
      </c>
      <c r="J36" s="1">
        <f t="shared" si="1"/>
        <v>1120.4983979395201</v>
      </c>
      <c r="K36" s="1">
        <f t="shared" si="2"/>
        <v>8123.6133850615206</v>
      </c>
      <c r="L36" t="s">
        <v>83</v>
      </c>
      <c r="M36" t="s">
        <v>17</v>
      </c>
    </row>
    <row r="37" spans="1:13" x14ac:dyDescent="0.3">
      <c r="A37" t="s">
        <v>85</v>
      </c>
      <c r="B37">
        <v>10216</v>
      </c>
      <c r="C37" t="s">
        <v>81</v>
      </c>
      <c r="D37" t="s">
        <v>13</v>
      </c>
      <c r="E37" t="s">
        <v>73</v>
      </c>
      <c r="F37" t="s">
        <v>15</v>
      </c>
      <c r="G37">
        <v>200.00200000000001</v>
      </c>
      <c r="H37">
        <v>23.343561000000001</v>
      </c>
      <c r="I37" s="1">
        <f t="shared" si="0"/>
        <v>4668.7588871220005</v>
      </c>
      <c r="J37" s="1">
        <f t="shared" si="1"/>
        <v>747.00142193952013</v>
      </c>
      <c r="K37" s="1">
        <f t="shared" si="2"/>
        <v>5415.7603090615203</v>
      </c>
      <c r="L37" t="s">
        <v>86</v>
      </c>
      <c r="M37" t="s">
        <v>22</v>
      </c>
    </row>
    <row r="38" spans="1:13" x14ac:dyDescent="0.3">
      <c r="A38" t="s">
        <v>85</v>
      </c>
      <c r="B38">
        <v>10216</v>
      </c>
      <c r="C38" t="s">
        <v>81</v>
      </c>
      <c r="D38" t="s">
        <v>13</v>
      </c>
      <c r="E38" t="s">
        <v>73</v>
      </c>
      <c r="F38" t="s">
        <v>15</v>
      </c>
      <c r="G38">
        <v>200.00200000000001</v>
      </c>
      <c r="H38">
        <v>23.343561000000001</v>
      </c>
      <c r="I38" s="1">
        <f t="shared" si="0"/>
        <v>4668.7588871220005</v>
      </c>
      <c r="J38" s="1">
        <f t="shared" si="1"/>
        <v>747.00142193952013</v>
      </c>
      <c r="K38" s="1">
        <f t="shared" si="2"/>
        <v>5415.7603090615203</v>
      </c>
      <c r="L38" t="s">
        <v>86</v>
      </c>
      <c r="M38" t="s">
        <v>22</v>
      </c>
    </row>
    <row r="39" spans="1:13" x14ac:dyDescent="0.3">
      <c r="A39" t="s">
        <v>87</v>
      </c>
      <c r="B39">
        <v>10226</v>
      </c>
      <c r="C39" t="s">
        <v>88</v>
      </c>
      <c r="D39" t="s">
        <v>13</v>
      </c>
      <c r="E39" t="s">
        <v>73</v>
      </c>
      <c r="F39" t="s">
        <v>74</v>
      </c>
      <c r="G39">
        <v>300.00200000000001</v>
      </c>
      <c r="H39">
        <v>23.343561000000001</v>
      </c>
      <c r="I39" s="1">
        <f t="shared" si="0"/>
        <v>7003.1149871220005</v>
      </c>
      <c r="J39" s="1">
        <f t="shared" si="1"/>
        <v>1120.4983979395201</v>
      </c>
      <c r="K39" s="1">
        <f t="shared" si="2"/>
        <v>8123.6133850615206</v>
      </c>
      <c r="L39" t="s">
        <v>89</v>
      </c>
      <c r="M39" t="s">
        <v>17</v>
      </c>
    </row>
    <row r="40" spans="1:13" x14ac:dyDescent="0.3">
      <c r="A40" t="s">
        <v>159</v>
      </c>
      <c r="B40">
        <v>10246</v>
      </c>
      <c r="C40" t="s">
        <v>160</v>
      </c>
      <c r="D40" t="s">
        <v>13</v>
      </c>
      <c r="E40" t="s">
        <v>161</v>
      </c>
      <c r="F40" t="s">
        <v>15</v>
      </c>
      <c r="G40">
        <v>200.00200000000001</v>
      </c>
      <c r="H40">
        <v>23.343561000000001</v>
      </c>
      <c r="I40" s="1">
        <f t="shared" si="0"/>
        <v>4668.7588871220005</v>
      </c>
      <c r="J40" s="1">
        <f t="shared" si="1"/>
        <v>747.00142193952013</v>
      </c>
      <c r="K40" s="1">
        <f t="shared" si="2"/>
        <v>5415.7603090615203</v>
      </c>
      <c r="L40" t="s">
        <v>162</v>
      </c>
      <c r="M40" t="s">
        <v>22</v>
      </c>
    </row>
    <row r="41" spans="1:13" x14ac:dyDescent="0.3">
      <c r="A41" t="s">
        <v>90</v>
      </c>
      <c r="B41">
        <v>10254</v>
      </c>
      <c r="C41" t="s">
        <v>91</v>
      </c>
      <c r="D41" t="s">
        <v>13</v>
      </c>
      <c r="E41" t="s">
        <v>92</v>
      </c>
      <c r="F41" t="s">
        <v>15</v>
      </c>
      <c r="G41">
        <v>350.00099999999998</v>
      </c>
      <c r="H41">
        <v>23.343561000000001</v>
      </c>
      <c r="I41" s="1">
        <f t="shared" si="0"/>
        <v>8170.2696935610002</v>
      </c>
      <c r="J41" s="1">
        <f t="shared" si="1"/>
        <v>1307.2431509697601</v>
      </c>
      <c r="K41" s="1">
        <f t="shared" si="2"/>
        <v>9477.51284453076</v>
      </c>
      <c r="L41" t="s">
        <v>93</v>
      </c>
      <c r="M41" t="s">
        <v>22</v>
      </c>
    </row>
    <row r="42" spans="1:13" x14ac:dyDescent="0.3">
      <c r="A42" t="s">
        <v>90</v>
      </c>
      <c r="B42">
        <v>10254</v>
      </c>
      <c r="C42" t="s">
        <v>91</v>
      </c>
      <c r="D42" t="s">
        <v>13</v>
      </c>
      <c r="E42" t="s">
        <v>94</v>
      </c>
      <c r="F42" t="s">
        <v>15</v>
      </c>
      <c r="G42">
        <v>350.00099999999998</v>
      </c>
      <c r="H42">
        <v>23.343561000000001</v>
      </c>
      <c r="I42" s="1">
        <f t="shared" si="0"/>
        <v>8170.2696935610002</v>
      </c>
      <c r="J42" s="1">
        <f t="shared" si="1"/>
        <v>1307.2431509697601</v>
      </c>
      <c r="K42" s="1">
        <f t="shared" si="2"/>
        <v>9477.51284453076</v>
      </c>
      <c r="L42" t="s">
        <v>93</v>
      </c>
      <c r="M42" t="s">
        <v>22</v>
      </c>
    </row>
    <row r="43" spans="1:13" x14ac:dyDescent="0.3">
      <c r="A43" t="s">
        <v>95</v>
      </c>
      <c r="B43">
        <v>10270</v>
      </c>
      <c r="C43" t="s">
        <v>91</v>
      </c>
      <c r="D43" t="s">
        <v>13</v>
      </c>
      <c r="E43" t="s">
        <v>96</v>
      </c>
      <c r="F43" t="s">
        <v>15</v>
      </c>
      <c r="G43">
        <v>290.00200000000001</v>
      </c>
      <c r="H43">
        <v>23.343561000000001</v>
      </c>
      <c r="I43" s="1">
        <f t="shared" si="0"/>
        <v>6769.6793771220009</v>
      </c>
      <c r="J43" s="1">
        <f t="shared" si="1"/>
        <v>1083.1487003395202</v>
      </c>
      <c r="K43" s="1">
        <f t="shared" si="2"/>
        <v>7852.8280774615214</v>
      </c>
      <c r="L43" t="s">
        <v>97</v>
      </c>
      <c r="M43" t="s">
        <v>17</v>
      </c>
    </row>
    <row r="44" spans="1:13" x14ac:dyDescent="0.3">
      <c r="A44" t="s">
        <v>98</v>
      </c>
      <c r="B44">
        <v>10271</v>
      </c>
      <c r="C44" t="s">
        <v>91</v>
      </c>
      <c r="D44" t="s">
        <v>13</v>
      </c>
      <c r="E44" t="s">
        <v>99</v>
      </c>
      <c r="F44" t="s">
        <v>15</v>
      </c>
      <c r="G44">
        <v>300.00200000000001</v>
      </c>
      <c r="H44">
        <v>23.343561000000001</v>
      </c>
      <c r="I44" s="1">
        <f t="shared" si="0"/>
        <v>7003.1149871220005</v>
      </c>
      <c r="J44" s="1">
        <f t="shared" si="1"/>
        <v>1120.4983979395201</v>
      </c>
      <c r="K44" s="1">
        <f t="shared" si="2"/>
        <v>8123.6133850615206</v>
      </c>
      <c r="L44" t="s">
        <v>100</v>
      </c>
      <c r="M44" t="s">
        <v>22</v>
      </c>
    </row>
    <row r="45" spans="1:13" x14ac:dyDescent="0.3">
      <c r="A45" t="s">
        <v>98</v>
      </c>
      <c r="B45">
        <v>10271</v>
      </c>
      <c r="C45" t="s">
        <v>91</v>
      </c>
      <c r="D45" t="s">
        <v>13</v>
      </c>
      <c r="E45" t="s">
        <v>101</v>
      </c>
      <c r="F45" t="s">
        <v>15</v>
      </c>
      <c r="G45">
        <v>300.00200000000001</v>
      </c>
      <c r="H45">
        <v>23.343561000000001</v>
      </c>
      <c r="I45" s="1">
        <f t="shared" si="0"/>
        <v>7003.1149871220005</v>
      </c>
      <c r="J45" s="1">
        <f t="shared" si="1"/>
        <v>1120.4983979395201</v>
      </c>
      <c r="K45" s="1">
        <f t="shared" si="2"/>
        <v>8123.6133850615206</v>
      </c>
      <c r="L45" t="s">
        <v>100</v>
      </c>
      <c r="M45" t="s">
        <v>22</v>
      </c>
    </row>
    <row r="46" spans="1:13" x14ac:dyDescent="0.3">
      <c r="A46" t="s">
        <v>102</v>
      </c>
      <c r="B46">
        <v>10286</v>
      </c>
      <c r="C46" t="s">
        <v>103</v>
      </c>
      <c r="D46" t="s">
        <v>13</v>
      </c>
      <c r="E46" t="s">
        <v>104</v>
      </c>
      <c r="F46" t="s">
        <v>15</v>
      </c>
      <c r="G46">
        <v>130</v>
      </c>
      <c r="H46">
        <v>23.343561000000001</v>
      </c>
      <c r="I46" s="1">
        <f t="shared" si="0"/>
        <v>3034.66293</v>
      </c>
      <c r="J46" s="1">
        <f t="shared" si="1"/>
        <v>485.5460688</v>
      </c>
      <c r="K46" s="1">
        <f t="shared" si="2"/>
        <v>3520.2089987999998</v>
      </c>
      <c r="L46" t="s">
        <v>105</v>
      </c>
      <c r="M46" t="s">
        <v>106</v>
      </c>
    </row>
    <row r="47" spans="1:13" x14ac:dyDescent="0.3">
      <c r="A47" t="s">
        <v>102</v>
      </c>
      <c r="B47">
        <v>10286</v>
      </c>
      <c r="C47" t="s">
        <v>103</v>
      </c>
      <c r="D47" t="s">
        <v>13</v>
      </c>
      <c r="E47" t="s">
        <v>107</v>
      </c>
      <c r="F47" t="s">
        <v>15</v>
      </c>
      <c r="G47">
        <v>300.00200000000001</v>
      </c>
      <c r="H47">
        <v>23.343561000000001</v>
      </c>
      <c r="I47" s="1">
        <f t="shared" si="0"/>
        <v>7003.1149871220005</v>
      </c>
      <c r="J47" s="1">
        <f t="shared" si="1"/>
        <v>1120.4983979395201</v>
      </c>
      <c r="K47" s="1">
        <f t="shared" si="2"/>
        <v>8123.6133850615206</v>
      </c>
      <c r="L47" t="s">
        <v>105</v>
      </c>
      <c r="M47" t="s">
        <v>106</v>
      </c>
    </row>
    <row r="48" spans="1:13" x14ac:dyDescent="0.3">
      <c r="A48" t="s">
        <v>108</v>
      </c>
      <c r="B48">
        <v>10290</v>
      </c>
      <c r="C48" t="s">
        <v>103</v>
      </c>
      <c r="D48" t="s">
        <v>13</v>
      </c>
      <c r="E48" t="s">
        <v>109</v>
      </c>
      <c r="F48" t="s">
        <v>15</v>
      </c>
      <c r="G48">
        <v>350.00099999999998</v>
      </c>
      <c r="H48">
        <v>23.343561000000001</v>
      </c>
      <c r="I48" s="1">
        <f t="shared" si="0"/>
        <v>8170.2696935610002</v>
      </c>
      <c r="J48" s="1">
        <f t="shared" si="1"/>
        <v>1307.2431509697601</v>
      </c>
      <c r="K48" s="1">
        <f t="shared" si="2"/>
        <v>9477.51284453076</v>
      </c>
      <c r="L48" t="s">
        <v>110</v>
      </c>
      <c r="M48" t="s">
        <v>47</v>
      </c>
    </row>
    <row r="49" spans="1:13" x14ac:dyDescent="0.3">
      <c r="A49" t="s">
        <v>108</v>
      </c>
      <c r="B49">
        <v>10290</v>
      </c>
      <c r="C49" t="s">
        <v>103</v>
      </c>
      <c r="D49" t="s">
        <v>13</v>
      </c>
      <c r="E49" t="s">
        <v>111</v>
      </c>
      <c r="F49" t="s">
        <v>15</v>
      </c>
      <c r="G49">
        <v>350.00099999999998</v>
      </c>
      <c r="H49">
        <v>23.343561000000001</v>
      </c>
      <c r="I49" s="1">
        <f t="shared" si="0"/>
        <v>8170.2696935610002</v>
      </c>
      <c r="J49" s="1">
        <f t="shared" si="1"/>
        <v>1307.2431509697601</v>
      </c>
      <c r="K49" s="1">
        <f t="shared" si="2"/>
        <v>9477.51284453076</v>
      </c>
      <c r="L49" t="s">
        <v>110</v>
      </c>
      <c r="M49" t="s">
        <v>47</v>
      </c>
    </row>
    <row r="50" spans="1:13" x14ac:dyDescent="0.3">
      <c r="A50" t="s">
        <v>108</v>
      </c>
      <c r="B50">
        <v>10290</v>
      </c>
      <c r="C50" t="s">
        <v>103</v>
      </c>
      <c r="D50" t="s">
        <v>13</v>
      </c>
      <c r="E50" t="s">
        <v>112</v>
      </c>
      <c r="F50" t="s">
        <v>15</v>
      </c>
      <c r="G50">
        <v>300.00200000000001</v>
      </c>
      <c r="H50">
        <v>23.343561000000001</v>
      </c>
      <c r="I50" s="1">
        <f t="shared" si="0"/>
        <v>7003.1149871220005</v>
      </c>
      <c r="J50" s="1">
        <f t="shared" si="1"/>
        <v>1120.4983979395201</v>
      </c>
      <c r="K50" s="1">
        <f t="shared" si="2"/>
        <v>8123.6133850615206</v>
      </c>
      <c r="L50" t="s">
        <v>110</v>
      </c>
      <c r="M50" t="s">
        <v>47</v>
      </c>
    </row>
    <row r="51" spans="1:13" x14ac:dyDescent="0.3">
      <c r="A51" t="s">
        <v>113</v>
      </c>
      <c r="B51">
        <v>10293</v>
      </c>
      <c r="C51" t="s">
        <v>103</v>
      </c>
      <c r="D51" t="s">
        <v>13</v>
      </c>
      <c r="E51" t="s">
        <v>114</v>
      </c>
      <c r="F51" t="s">
        <v>15</v>
      </c>
      <c r="G51">
        <v>350.00099999999998</v>
      </c>
      <c r="H51">
        <v>23.343561000000001</v>
      </c>
      <c r="I51" s="1">
        <f t="shared" si="0"/>
        <v>8170.2696935610002</v>
      </c>
      <c r="J51" s="1">
        <f t="shared" si="1"/>
        <v>1307.2431509697601</v>
      </c>
      <c r="K51" s="1">
        <f t="shared" si="2"/>
        <v>9477.51284453076</v>
      </c>
      <c r="L51" t="s">
        <v>115</v>
      </c>
      <c r="M51" t="s">
        <v>47</v>
      </c>
    </row>
    <row r="52" spans="1:13" x14ac:dyDescent="0.3">
      <c r="A52" t="s">
        <v>113</v>
      </c>
      <c r="B52">
        <v>10293</v>
      </c>
      <c r="C52" t="s">
        <v>103</v>
      </c>
      <c r="D52" t="s">
        <v>13</v>
      </c>
      <c r="E52" t="s">
        <v>116</v>
      </c>
      <c r="F52" t="s">
        <v>15</v>
      </c>
      <c r="G52">
        <v>350.00099999999998</v>
      </c>
      <c r="H52">
        <v>23.343561000000001</v>
      </c>
      <c r="I52" s="1">
        <f t="shared" si="0"/>
        <v>8170.2696935610002</v>
      </c>
      <c r="J52" s="1">
        <f t="shared" si="1"/>
        <v>1307.2431509697601</v>
      </c>
      <c r="K52" s="1">
        <f t="shared" si="2"/>
        <v>9477.51284453076</v>
      </c>
      <c r="L52" t="s">
        <v>115</v>
      </c>
      <c r="M52" t="s">
        <v>47</v>
      </c>
    </row>
    <row r="53" spans="1:13" x14ac:dyDescent="0.3">
      <c r="A53" t="s">
        <v>113</v>
      </c>
      <c r="B53">
        <v>10293</v>
      </c>
      <c r="C53" t="s">
        <v>103</v>
      </c>
      <c r="D53" t="s">
        <v>13</v>
      </c>
      <c r="E53" t="s">
        <v>117</v>
      </c>
      <c r="F53" t="s">
        <v>15</v>
      </c>
      <c r="G53">
        <v>350.00099999999998</v>
      </c>
      <c r="H53">
        <v>23.343561000000001</v>
      </c>
      <c r="I53" s="1">
        <f t="shared" si="0"/>
        <v>8170.2696935610002</v>
      </c>
      <c r="J53" s="1">
        <f t="shared" si="1"/>
        <v>1307.2431509697601</v>
      </c>
      <c r="K53" s="1">
        <f t="shared" si="2"/>
        <v>9477.51284453076</v>
      </c>
      <c r="L53" t="s">
        <v>115</v>
      </c>
      <c r="M53" t="s">
        <v>47</v>
      </c>
    </row>
    <row r="54" spans="1:13" x14ac:dyDescent="0.3">
      <c r="A54" t="s">
        <v>113</v>
      </c>
      <c r="B54">
        <v>10293</v>
      </c>
      <c r="C54" t="s">
        <v>103</v>
      </c>
      <c r="D54" t="s">
        <v>13</v>
      </c>
      <c r="E54" t="s">
        <v>118</v>
      </c>
      <c r="F54" t="s">
        <v>15</v>
      </c>
      <c r="G54">
        <v>350.00099999999998</v>
      </c>
      <c r="H54">
        <v>23.343561000000001</v>
      </c>
      <c r="I54" s="1">
        <f t="shared" si="0"/>
        <v>8170.2696935610002</v>
      </c>
      <c r="J54" s="1">
        <f t="shared" si="1"/>
        <v>1307.2431509697601</v>
      </c>
      <c r="K54" s="1">
        <f t="shared" si="2"/>
        <v>9477.51284453076</v>
      </c>
      <c r="L54" t="s">
        <v>115</v>
      </c>
      <c r="M54" t="s">
        <v>47</v>
      </c>
    </row>
    <row r="55" spans="1:13" x14ac:dyDescent="0.3">
      <c r="A55" t="s">
        <v>113</v>
      </c>
      <c r="B55">
        <v>10293</v>
      </c>
      <c r="C55" t="s">
        <v>103</v>
      </c>
      <c r="D55" t="s">
        <v>13</v>
      </c>
      <c r="E55" t="s">
        <v>119</v>
      </c>
      <c r="F55" t="s">
        <v>15</v>
      </c>
      <c r="G55">
        <v>300.00200000000001</v>
      </c>
      <c r="H55">
        <v>23.343561000000001</v>
      </c>
      <c r="I55" s="1">
        <f t="shared" si="0"/>
        <v>7003.1149871220005</v>
      </c>
      <c r="J55" s="1">
        <f t="shared" si="1"/>
        <v>1120.4983979395201</v>
      </c>
      <c r="K55" s="1">
        <f t="shared" si="2"/>
        <v>8123.6133850615206</v>
      </c>
      <c r="L55" t="s">
        <v>115</v>
      </c>
      <c r="M55" t="s">
        <v>47</v>
      </c>
    </row>
    <row r="56" spans="1:13" x14ac:dyDescent="0.3">
      <c r="A56" t="s">
        <v>113</v>
      </c>
      <c r="B56">
        <v>10293</v>
      </c>
      <c r="C56" t="s">
        <v>103</v>
      </c>
      <c r="D56" t="s">
        <v>13</v>
      </c>
      <c r="E56" t="s">
        <v>120</v>
      </c>
      <c r="F56" t="s">
        <v>15</v>
      </c>
      <c r="G56">
        <v>300.00200000000001</v>
      </c>
      <c r="H56">
        <v>23.343561000000001</v>
      </c>
      <c r="I56" s="1">
        <f t="shared" si="0"/>
        <v>7003.1149871220005</v>
      </c>
      <c r="J56" s="1">
        <f t="shared" si="1"/>
        <v>1120.4983979395201</v>
      </c>
      <c r="K56" s="1">
        <f t="shared" si="2"/>
        <v>8123.6133850615206</v>
      </c>
      <c r="L56" t="s">
        <v>115</v>
      </c>
      <c r="M56" t="s">
        <v>47</v>
      </c>
    </row>
    <row r="57" spans="1:13" x14ac:dyDescent="0.3">
      <c r="A57" t="s">
        <v>121</v>
      </c>
      <c r="B57">
        <v>10298</v>
      </c>
      <c r="C57" t="s">
        <v>103</v>
      </c>
      <c r="D57" t="s">
        <v>13</v>
      </c>
      <c r="E57" t="s">
        <v>122</v>
      </c>
      <c r="F57" t="s">
        <v>15</v>
      </c>
      <c r="G57">
        <v>280.00200000000001</v>
      </c>
      <c r="H57">
        <v>23.343561000000001</v>
      </c>
      <c r="I57" s="1">
        <f t="shared" si="0"/>
        <v>6536.2437671220005</v>
      </c>
      <c r="J57" s="1">
        <f t="shared" si="1"/>
        <v>1045.7990027395201</v>
      </c>
      <c r="K57" s="1">
        <f t="shared" si="2"/>
        <v>7582.0427698615204</v>
      </c>
      <c r="L57" t="s">
        <v>123</v>
      </c>
      <c r="M57" t="s">
        <v>17</v>
      </c>
    </row>
    <row r="58" spans="1:13" x14ac:dyDescent="0.3">
      <c r="A58" t="s">
        <v>121</v>
      </c>
      <c r="B58">
        <v>10298</v>
      </c>
      <c r="C58" t="s">
        <v>103</v>
      </c>
      <c r="D58" t="s">
        <v>13</v>
      </c>
      <c r="E58" t="s">
        <v>124</v>
      </c>
      <c r="F58" t="s">
        <v>15</v>
      </c>
      <c r="G58">
        <v>300.00200000000001</v>
      </c>
      <c r="H58">
        <v>23.343561000000001</v>
      </c>
      <c r="I58" s="1">
        <f t="shared" si="0"/>
        <v>7003.1149871220005</v>
      </c>
      <c r="J58" s="1">
        <f t="shared" si="1"/>
        <v>1120.4983979395201</v>
      </c>
      <c r="K58" s="1">
        <f t="shared" si="2"/>
        <v>8123.6133850615206</v>
      </c>
      <c r="L58" t="s">
        <v>123</v>
      </c>
      <c r="M58" t="s">
        <v>17</v>
      </c>
    </row>
    <row r="59" spans="1:13" x14ac:dyDescent="0.3">
      <c r="A59" t="s">
        <v>125</v>
      </c>
      <c r="B59">
        <v>10319</v>
      </c>
      <c r="C59" t="s">
        <v>126</v>
      </c>
      <c r="D59" t="s">
        <v>13</v>
      </c>
      <c r="E59" t="s">
        <v>127</v>
      </c>
      <c r="F59" t="s">
        <v>15</v>
      </c>
      <c r="G59">
        <v>300.00200000000001</v>
      </c>
      <c r="H59">
        <v>23.343561000000001</v>
      </c>
      <c r="I59" s="1">
        <f t="shared" si="0"/>
        <v>7003.1149871220005</v>
      </c>
      <c r="J59" s="1">
        <f t="shared" si="1"/>
        <v>1120.4983979395201</v>
      </c>
      <c r="K59" s="1">
        <f t="shared" si="2"/>
        <v>8123.6133850615206</v>
      </c>
      <c r="L59" t="s">
        <v>128</v>
      </c>
      <c r="M59" t="s">
        <v>17</v>
      </c>
    </row>
    <row r="60" spans="1:13" x14ac:dyDescent="0.3">
      <c r="A60" t="s">
        <v>125</v>
      </c>
      <c r="B60">
        <v>10319</v>
      </c>
      <c r="C60" t="s">
        <v>126</v>
      </c>
      <c r="D60" t="s">
        <v>13</v>
      </c>
      <c r="E60" t="s">
        <v>129</v>
      </c>
      <c r="F60" t="s">
        <v>15</v>
      </c>
      <c r="G60">
        <v>360.00099999999998</v>
      </c>
      <c r="H60">
        <v>23.343561000000001</v>
      </c>
      <c r="I60" s="1">
        <f t="shared" si="0"/>
        <v>8403.7053035610006</v>
      </c>
      <c r="J60" s="1">
        <f t="shared" si="1"/>
        <v>1344.5928485697602</v>
      </c>
      <c r="K60" s="1">
        <f t="shared" si="2"/>
        <v>9748.2981521307611</v>
      </c>
      <c r="L60" t="s">
        <v>128</v>
      </c>
      <c r="M60" t="s">
        <v>17</v>
      </c>
    </row>
    <row r="61" spans="1:13" x14ac:dyDescent="0.3">
      <c r="A61" t="s">
        <v>130</v>
      </c>
      <c r="B61">
        <v>10320</v>
      </c>
      <c r="C61" t="s">
        <v>126</v>
      </c>
      <c r="D61" t="s">
        <v>13</v>
      </c>
      <c r="E61" t="s">
        <v>131</v>
      </c>
      <c r="F61" t="s">
        <v>15</v>
      </c>
      <c r="G61">
        <v>200.00200000000001</v>
      </c>
      <c r="H61">
        <v>23.343561000000001</v>
      </c>
      <c r="I61" s="1">
        <f t="shared" si="0"/>
        <v>4668.7588871220005</v>
      </c>
      <c r="J61" s="1">
        <f t="shared" si="1"/>
        <v>747.00142193952013</v>
      </c>
      <c r="K61" s="1">
        <f t="shared" si="2"/>
        <v>5415.7603090615203</v>
      </c>
      <c r="L61" t="s">
        <v>132</v>
      </c>
      <c r="M61" t="s">
        <v>106</v>
      </c>
    </row>
    <row r="62" spans="1:13" x14ac:dyDescent="0.3">
      <c r="A62" t="s">
        <v>133</v>
      </c>
      <c r="B62">
        <v>10323</v>
      </c>
      <c r="C62" t="s">
        <v>126</v>
      </c>
      <c r="D62" t="s">
        <v>13</v>
      </c>
      <c r="E62" t="s">
        <v>134</v>
      </c>
      <c r="F62" t="s">
        <v>15</v>
      </c>
      <c r="G62">
        <v>200.00200000000001</v>
      </c>
      <c r="H62">
        <v>23.343561000000001</v>
      </c>
      <c r="I62" s="1">
        <f t="shared" si="0"/>
        <v>4668.7588871220005</v>
      </c>
      <c r="J62" s="1">
        <f t="shared" si="1"/>
        <v>747.00142193952013</v>
      </c>
      <c r="K62" s="1">
        <f t="shared" si="2"/>
        <v>5415.7603090615203</v>
      </c>
      <c r="L62" t="s">
        <v>135</v>
      </c>
      <c r="M62" t="s">
        <v>136</v>
      </c>
    </row>
    <row r="63" spans="1:13" x14ac:dyDescent="0.3">
      <c r="A63" t="s">
        <v>133</v>
      </c>
      <c r="B63">
        <v>10323</v>
      </c>
      <c r="C63" t="s">
        <v>126</v>
      </c>
      <c r="D63" t="s">
        <v>13</v>
      </c>
      <c r="E63" t="s">
        <v>137</v>
      </c>
      <c r="F63" t="s">
        <v>15</v>
      </c>
      <c r="G63">
        <v>200.00200000000001</v>
      </c>
      <c r="H63">
        <v>23.343561000000001</v>
      </c>
      <c r="I63" s="1">
        <f t="shared" si="0"/>
        <v>4668.7588871220005</v>
      </c>
      <c r="J63" s="1">
        <f t="shared" si="1"/>
        <v>747.00142193952013</v>
      </c>
      <c r="K63" s="1">
        <f t="shared" si="2"/>
        <v>5415.7603090615203</v>
      </c>
      <c r="L63" t="s">
        <v>135</v>
      </c>
      <c r="M63" t="s">
        <v>136</v>
      </c>
    </row>
    <row r="64" spans="1:13" x14ac:dyDescent="0.3">
      <c r="A64" t="s">
        <v>138</v>
      </c>
      <c r="B64">
        <v>10324</v>
      </c>
      <c r="C64" t="s">
        <v>126</v>
      </c>
      <c r="D64" t="s">
        <v>13</v>
      </c>
      <c r="E64" t="s">
        <v>139</v>
      </c>
      <c r="F64" t="s">
        <v>15</v>
      </c>
      <c r="G64">
        <v>300.00200000000001</v>
      </c>
      <c r="H64">
        <v>23.343561000000001</v>
      </c>
      <c r="I64" s="1">
        <f t="shared" si="0"/>
        <v>7003.1149871220005</v>
      </c>
      <c r="J64" s="1">
        <f t="shared" si="1"/>
        <v>1120.4983979395201</v>
      </c>
      <c r="K64" s="1">
        <f t="shared" si="2"/>
        <v>8123.6133850615206</v>
      </c>
      <c r="L64" t="s">
        <v>140</v>
      </c>
      <c r="M64" t="s">
        <v>22</v>
      </c>
    </row>
    <row r="65" spans="1:13" x14ac:dyDescent="0.3">
      <c r="A65" t="s">
        <v>138</v>
      </c>
      <c r="B65">
        <v>10324</v>
      </c>
      <c r="C65" t="s">
        <v>126</v>
      </c>
      <c r="D65" t="s">
        <v>13</v>
      </c>
      <c r="E65" t="s">
        <v>141</v>
      </c>
      <c r="F65" t="s">
        <v>15</v>
      </c>
      <c r="G65">
        <v>300.00200000000001</v>
      </c>
      <c r="H65">
        <v>23.343561000000001</v>
      </c>
      <c r="I65" s="1">
        <f t="shared" si="0"/>
        <v>7003.1149871220005</v>
      </c>
      <c r="J65" s="1">
        <f t="shared" si="1"/>
        <v>1120.4983979395201</v>
      </c>
      <c r="K65" s="1">
        <f t="shared" si="2"/>
        <v>8123.6133850615206</v>
      </c>
      <c r="L65" t="s">
        <v>140</v>
      </c>
      <c r="M65" t="s">
        <v>22</v>
      </c>
    </row>
    <row r="66" spans="1:13" x14ac:dyDescent="0.3">
      <c r="A66" t="s">
        <v>142</v>
      </c>
      <c r="B66">
        <v>10331</v>
      </c>
      <c r="C66" t="s">
        <v>143</v>
      </c>
      <c r="D66" t="s">
        <v>13</v>
      </c>
      <c r="E66" t="s">
        <v>144</v>
      </c>
      <c r="F66" t="s">
        <v>15</v>
      </c>
      <c r="G66">
        <v>60.000999999999998</v>
      </c>
      <c r="H66">
        <v>23.343561000000001</v>
      </c>
      <c r="I66" s="1">
        <f t="shared" si="0"/>
        <v>1400.637003561</v>
      </c>
      <c r="J66" s="1">
        <f t="shared" si="1"/>
        <v>224.10192056976001</v>
      </c>
      <c r="K66" s="1">
        <f t="shared" si="2"/>
        <v>1624.7389241307601</v>
      </c>
      <c r="L66" t="s">
        <v>145</v>
      </c>
      <c r="M66" t="s">
        <v>106</v>
      </c>
    </row>
    <row r="67" spans="1:13" x14ac:dyDescent="0.3">
      <c r="A67" t="s">
        <v>142</v>
      </c>
      <c r="B67">
        <v>10331</v>
      </c>
      <c r="C67" t="s">
        <v>143</v>
      </c>
      <c r="D67" t="s">
        <v>13</v>
      </c>
      <c r="E67" t="s">
        <v>146</v>
      </c>
      <c r="F67" t="s">
        <v>15</v>
      </c>
      <c r="G67">
        <v>350.00099999999998</v>
      </c>
      <c r="H67">
        <v>23.343561000000001</v>
      </c>
      <c r="I67" s="1">
        <f t="shared" ref="I67:I73" si="3">G67*H67</f>
        <v>8170.2696935610002</v>
      </c>
      <c r="J67" s="1">
        <f t="shared" ref="J67:J73" si="4">I67*0.16</f>
        <v>1307.2431509697601</v>
      </c>
      <c r="K67" s="1">
        <f t="shared" ref="K67:K73" si="5">I67+J67</f>
        <v>9477.51284453076</v>
      </c>
      <c r="L67" t="s">
        <v>145</v>
      </c>
      <c r="M67" t="s">
        <v>106</v>
      </c>
    </row>
    <row r="68" spans="1:13" x14ac:dyDescent="0.3">
      <c r="A68" t="s">
        <v>142</v>
      </c>
      <c r="B68">
        <v>10331</v>
      </c>
      <c r="C68" t="s">
        <v>143</v>
      </c>
      <c r="D68" t="s">
        <v>13</v>
      </c>
      <c r="E68" t="s">
        <v>147</v>
      </c>
      <c r="F68" t="s">
        <v>15</v>
      </c>
      <c r="G68">
        <v>350.00099999999998</v>
      </c>
      <c r="H68">
        <v>23.343561000000001</v>
      </c>
      <c r="I68" s="1">
        <f t="shared" si="3"/>
        <v>8170.2696935610002</v>
      </c>
      <c r="J68" s="1">
        <f t="shared" si="4"/>
        <v>1307.2431509697601</v>
      </c>
      <c r="K68" s="1">
        <f t="shared" si="5"/>
        <v>9477.51284453076</v>
      </c>
      <c r="L68" t="s">
        <v>145</v>
      </c>
      <c r="M68" t="s">
        <v>106</v>
      </c>
    </row>
    <row r="69" spans="1:13" x14ac:dyDescent="0.3">
      <c r="A69" t="s">
        <v>148</v>
      </c>
      <c r="B69">
        <v>10332</v>
      </c>
      <c r="C69" t="s">
        <v>143</v>
      </c>
      <c r="D69" t="s">
        <v>13</v>
      </c>
      <c r="E69" t="s">
        <v>149</v>
      </c>
      <c r="F69" t="s">
        <v>15</v>
      </c>
      <c r="G69">
        <v>240.001</v>
      </c>
      <c r="H69">
        <v>23.343561000000001</v>
      </c>
      <c r="I69" s="1">
        <f t="shared" si="3"/>
        <v>5602.4779835610007</v>
      </c>
      <c r="J69" s="1">
        <f t="shared" si="4"/>
        <v>896.39647736976008</v>
      </c>
      <c r="K69" s="1">
        <f t="shared" si="5"/>
        <v>6498.8744609307605</v>
      </c>
      <c r="L69" t="s">
        <v>150</v>
      </c>
      <c r="M69" t="s">
        <v>136</v>
      </c>
    </row>
    <row r="70" spans="1:13" x14ac:dyDescent="0.3">
      <c r="A70" t="s">
        <v>151</v>
      </c>
      <c r="B70">
        <v>10333</v>
      </c>
      <c r="C70" t="s">
        <v>143</v>
      </c>
      <c r="D70" t="s">
        <v>13</v>
      </c>
      <c r="E70" t="s">
        <v>152</v>
      </c>
      <c r="F70" t="s">
        <v>15</v>
      </c>
      <c r="G70">
        <v>100.003</v>
      </c>
      <c r="H70">
        <v>23.343561000000001</v>
      </c>
      <c r="I70" s="1">
        <f t="shared" si="3"/>
        <v>2334.4261306830003</v>
      </c>
      <c r="J70" s="1">
        <f t="shared" si="4"/>
        <v>373.50818090928004</v>
      </c>
      <c r="K70" s="1">
        <f t="shared" si="5"/>
        <v>2707.9343115922802</v>
      </c>
      <c r="L70" t="s">
        <v>153</v>
      </c>
      <c r="M70" t="s">
        <v>22</v>
      </c>
    </row>
    <row r="71" spans="1:13" x14ac:dyDescent="0.3">
      <c r="A71" t="s">
        <v>151</v>
      </c>
      <c r="B71">
        <v>10333</v>
      </c>
      <c r="C71" t="s">
        <v>143</v>
      </c>
      <c r="D71" t="s">
        <v>13</v>
      </c>
      <c r="E71" t="s">
        <v>154</v>
      </c>
      <c r="F71" t="s">
        <v>15</v>
      </c>
      <c r="G71">
        <v>300.00200000000001</v>
      </c>
      <c r="H71">
        <v>23.343561000000001</v>
      </c>
      <c r="I71" s="1">
        <f t="shared" si="3"/>
        <v>7003.1149871220005</v>
      </c>
      <c r="J71" s="1">
        <f t="shared" si="4"/>
        <v>1120.4983979395201</v>
      </c>
      <c r="K71" s="1">
        <f t="shared" si="5"/>
        <v>8123.6133850615206</v>
      </c>
      <c r="L71" t="s">
        <v>153</v>
      </c>
      <c r="M71" t="s">
        <v>22</v>
      </c>
    </row>
    <row r="72" spans="1:13" x14ac:dyDescent="0.3">
      <c r="A72" t="s">
        <v>155</v>
      </c>
      <c r="B72">
        <v>23783082</v>
      </c>
      <c r="C72" t="s">
        <v>156</v>
      </c>
      <c r="D72" t="s">
        <v>13</v>
      </c>
      <c r="E72" t="s">
        <v>157</v>
      </c>
      <c r="F72" t="s">
        <v>15</v>
      </c>
      <c r="G72">
        <v>300.00200000000001</v>
      </c>
      <c r="H72">
        <v>23.343561000000001</v>
      </c>
      <c r="I72" s="1">
        <f t="shared" si="3"/>
        <v>7003.1149871220005</v>
      </c>
      <c r="J72" s="1">
        <f t="shared" si="4"/>
        <v>1120.4983979395201</v>
      </c>
      <c r="K72" s="1">
        <f t="shared" si="5"/>
        <v>8123.6133850615206</v>
      </c>
      <c r="L72" t="s">
        <v>33</v>
      </c>
      <c r="M72" t="s">
        <v>22</v>
      </c>
    </row>
    <row r="73" spans="1:13" x14ac:dyDescent="0.3">
      <c r="A73" t="s">
        <v>155</v>
      </c>
      <c r="B73">
        <v>23783082</v>
      </c>
      <c r="C73" t="s">
        <v>156</v>
      </c>
      <c r="D73" t="s">
        <v>13</v>
      </c>
      <c r="E73" t="s">
        <v>158</v>
      </c>
      <c r="F73" t="s">
        <v>15</v>
      </c>
      <c r="G73">
        <v>300.00200000000001</v>
      </c>
      <c r="H73">
        <v>23.343561000000001</v>
      </c>
      <c r="I73" s="1">
        <f t="shared" si="3"/>
        <v>7003.1149871220005</v>
      </c>
      <c r="J73" s="1">
        <f t="shared" si="4"/>
        <v>1120.4983979395201</v>
      </c>
      <c r="K73" s="1">
        <f t="shared" si="5"/>
        <v>8123.6133850615206</v>
      </c>
      <c r="L73" t="s">
        <v>33</v>
      </c>
      <c r="M73" t="s">
        <v>22</v>
      </c>
    </row>
  </sheetData>
  <sortState xmlns:xlrd2="http://schemas.microsoft.com/office/spreadsheetml/2017/richdata2" ref="A2:M73">
    <sortCondition ref="B1:B7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GRUPO TRUJANO 03</cp:lastModifiedBy>
  <dcterms:created xsi:type="dcterms:W3CDTF">2026-07-06T17:15:36Z</dcterms:created>
  <dcterms:modified xsi:type="dcterms:W3CDTF">2026-07-06T17:35:00Z</dcterms:modified>
</cp:coreProperties>
</file>