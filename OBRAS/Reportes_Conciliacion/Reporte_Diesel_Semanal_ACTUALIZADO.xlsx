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istórico" sheetId="1" state="visible" r:id="rId1"/>
    <sheet name="Estadística y Rendimiento" sheetId="2" state="visible" r:id="rId2"/>
    <sheet name="Semana 24" sheetId="3" state="visible" r:id="rId3"/>
    <sheet name="Semana 25" sheetId="4" state="visible" r:id="rId4"/>
    <sheet name="Semana 26" sheetId="5" state="visible" r:id="rId5"/>
    <sheet name="Semana 27" sheetId="6" state="visible" r:id="rId6"/>
    <sheet name="Semana 28" sheetId="7" state="visible" r:id="rId7"/>
    <sheet name="Semana 29" sheetId="8" state="visible" r:id="rId8"/>
    <sheet name="Semana 30" sheetId="9" state="visible" r:id="rId9"/>
    <sheet name="Semana 31" sheetId="10" state="visible" r:id="rId10"/>
    <sheet name="Semana 32" sheetId="11" state="visible" r:id="rId11"/>
    <sheet name="Semana 33" sheetId="12" state="visible" r:id="rId12"/>
    <sheet name="Semana 3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0"/>
    <numFmt numFmtId="165" formatCode="&quot;$&quot;#,##0.0000"/>
    <numFmt numFmtId="166" formatCode="&quot;$&quot;#,##0.00"/>
    <numFmt numFmtId="167" formatCode="#,##0.0"/>
    <numFmt numFmtId="168" formatCode="+#,##0.00;-#,##0.00;0.00"/>
    <numFmt numFmtId="169" formatCode="+0.0%;-0.0%;0.0%"/>
    <numFmt numFmtId="170" formatCode="&quot;$&quot;#,##0.00;(&quot;$&quot;#,##0.00);&quot;-&quot;"/>
    <numFmt numFmtId="171" formatCode="$#,##0.0000"/>
    <numFmt numFmtId="172" formatCode="$#,##0.00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i val="1"/>
      <color rgb="0094A3B8"/>
      <sz val="9"/>
    </font>
    <font>
      <name val="Calibri"/>
      <b val="1"/>
      <color rgb="00FFFFFF"/>
      <sz val="8"/>
    </font>
    <font>
      <name val="Calibri"/>
      <b val="1"/>
      <color rgb="00047857"/>
      <sz val="9"/>
    </font>
    <font>
      <name val="Calibri"/>
      <color rgb="00475569"/>
      <sz val="8"/>
    </font>
    <font>
      <name val="Calibri"/>
      <b val="1"/>
      <color rgb="00991B1B"/>
      <sz val="8"/>
    </font>
    <font>
      <name val="Calibri"/>
      <b val="1"/>
      <color rgb="0092400E"/>
      <sz val="8"/>
    </font>
    <font>
      <name val="Calibri"/>
      <b val="1"/>
      <color rgb="00065F46"/>
      <sz val="8"/>
    </font>
    <font>
      <name val="Calibri"/>
      <color rgb="00000000"/>
      <sz val="8"/>
    </font>
    <font>
      <name val="Calibri"/>
      <b val="1"/>
      <color rgb="00DC2626"/>
      <sz val="8"/>
    </font>
    <font>
      <name val="Calibri"/>
      <i val="1"/>
      <color rgb="00334155"/>
      <sz val="8"/>
    </font>
    <font>
      <name val="Calibri"/>
      <b val="1"/>
      <color rgb="00059669"/>
      <sz val="8"/>
    </font>
    <font>
      <name val="Calibri"/>
      <b val="1"/>
      <color rgb="00166534"/>
      <sz val="9"/>
    </font>
    <font>
      <name val="Calibri"/>
      <b val="1"/>
      <color rgb="001E3A5F"/>
      <sz val="8"/>
    </font>
    <font>
      <name val="Calibri"/>
      <color rgb="001E3A5F"/>
      <sz val="7"/>
    </font>
    <font>
      <name val="Calibri"/>
      <b val="1"/>
      <color rgb="00000000"/>
      <sz val="8"/>
    </font>
    <font>
      <name val="Calibri"/>
      <b val="1"/>
      <color rgb="0014532D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DC2626"/>
      <sz val="9"/>
    </font>
    <font>
      <name val="Calibri"/>
      <b val="1"/>
      <color rgb="000369A1"/>
      <sz val="9"/>
    </font>
    <font>
      <name val="Calibri"/>
      <b val="1"/>
      <color rgb="000F172A"/>
      <sz val="9"/>
    </font>
    <font>
      <name val="Segoe UI"/>
      <b val="1"/>
      <sz val="9"/>
    </font>
    <font>
      <name val="Segoe UI"/>
      <sz val="9"/>
    </font>
    <font>
      <name val="Segoe UI"/>
      <b val="1"/>
      <color rgb="00FFFFFF"/>
      <sz val="9"/>
    </font>
  </fonts>
  <fills count="2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374151"/>
      </patternFill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312E81"/>
      </patternFill>
    </fill>
    <fill>
      <patternFill patternType="solid">
        <fgColor rgb="00E6F4EA"/>
      </patternFill>
    </fill>
    <fill>
      <patternFill patternType="solid">
        <fgColor rgb="00E0E7FF"/>
      </patternFill>
    </fill>
    <fill>
      <patternFill patternType="solid">
        <fgColor rgb="00BBF7D0"/>
      </patternFill>
    </fill>
    <fill>
      <patternFill patternType="solid">
        <fgColor rgb="00FECACA"/>
      </patternFill>
    </fill>
    <fill>
      <patternFill patternType="solid">
        <fgColor rgb="002D1B69"/>
      </patternFill>
    </fill>
    <fill>
      <patternFill patternType="solid">
        <fgColor rgb="00FCE4E4"/>
      </patternFill>
    </fill>
    <fill>
      <patternFill patternType="solid">
        <f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1E3A5F"/>
        <bgColor rgb="001E3A5F"/>
      </patternFill>
    </fill>
  </fills>
  <borders count="1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6" fontId="4" fillId="4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right" vertical="center"/>
    </xf>
    <xf numFmtId="3" fontId="6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167" fontId="11" fillId="5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6" fillId="13" borderId="1" applyAlignment="1" pivotButton="0" quotePrefix="0" xfId="0">
      <alignment horizontal="center" vertical="center"/>
    </xf>
    <xf numFmtId="4" fontId="5" fillId="13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4" fontId="6" fillId="13" borderId="1" applyAlignment="1" pivotButton="0" quotePrefix="0" xfId="0">
      <alignment horizontal="right" vertical="center"/>
    </xf>
    <xf numFmtId="166" fontId="6" fillId="13" borderId="1" applyAlignment="1" pivotButton="0" quotePrefix="0" xfId="0">
      <alignment horizontal="right" vertical="center"/>
    </xf>
    <xf numFmtId="4" fontId="11" fillId="13" borderId="1" applyAlignment="1" pivotButton="0" quotePrefix="0" xfId="0">
      <alignment horizontal="right" vertical="center"/>
    </xf>
    <xf numFmtId="167" fontId="11" fillId="13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3" fontId="4" fillId="2" borderId="3" applyAlignment="1" pivotButton="0" quotePrefix="0" xfId="0">
      <alignment horizontal="center" vertical="center"/>
    </xf>
    <xf numFmtId="4" fontId="4" fillId="2" borderId="3" applyAlignment="1" pivotButton="0" quotePrefix="0" xfId="0">
      <alignment horizontal="right" vertical="center"/>
    </xf>
    <xf numFmtId="166" fontId="4" fillId="2" borderId="3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8" fontId="16" fillId="5" borderId="1" applyAlignment="1" pivotButton="0" quotePrefix="0" xfId="0">
      <alignment horizontal="right" vertical="center"/>
    </xf>
    <xf numFmtId="169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166" fontId="15" fillId="13" borderId="1" applyAlignment="1" pivotButton="0" quotePrefix="0" xfId="0">
      <alignment horizontal="right" vertical="center"/>
    </xf>
    <xf numFmtId="168" fontId="16" fillId="13" borderId="1" applyAlignment="1" pivotButton="0" quotePrefix="0" xfId="0">
      <alignment horizontal="right" vertical="center"/>
    </xf>
    <xf numFmtId="169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/>
    </xf>
    <xf numFmtId="168" fontId="18" fillId="5" borderId="1" applyAlignment="1" pivotButton="0" quotePrefix="0" xfId="0">
      <alignment horizontal="right" vertical="center"/>
    </xf>
    <xf numFmtId="169" fontId="18" fillId="5" borderId="1" applyAlignment="1" pivotButton="0" quotePrefix="0" xfId="0">
      <alignment horizontal="right" vertical="center"/>
    </xf>
    <xf numFmtId="168" fontId="18" fillId="13" borderId="1" applyAlignment="1" pivotButton="0" quotePrefix="0" xfId="0">
      <alignment horizontal="right" vertical="center"/>
    </xf>
    <xf numFmtId="169" fontId="18" fillId="13" borderId="1" applyAlignment="1" pivotButton="0" quotePrefix="0" xfId="0">
      <alignment horizontal="right" vertical="center"/>
    </xf>
    <xf numFmtId="0" fontId="3" fillId="16" borderId="2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" fillId="16" borderId="1" applyAlignment="1" pivotButton="0" quotePrefix="0" xfId="0">
      <alignment horizontal="left" vertical="center"/>
    </xf>
    <xf numFmtId="0" fontId="0" fillId="18" borderId="1" pivotButton="0" quotePrefix="0" xfId="0"/>
    <xf numFmtId="0" fontId="20" fillId="18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4" fontId="22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166" fontId="22" fillId="5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6" fontId="22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3" fillId="19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right" vertical="center"/>
    </xf>
    <xf numFmtId="0" fontId="0" fillId="21" borderId="1" pivotButton="0" quotePrefix="0" xfId="0"/>
    <xf numFmtId="166" fontId="25" fillId="15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70" fontId="4" fillId="4" borderId="1" applyAlignment="1" pivotButton="0" quotePrefix="0" xfId="0">
      <alignment horizontal="right" vertical="center"/>
    </xf>
    <xf numFmtId="0" fontId="26" fillId="22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27" fillId="23" borderId="1" applyAlignment="1" pivotButton="0" quotePrefix="0" xfId="0">
      <alignment horizontal="center" vertical="center" wrapText="1"/>
    </xf>
    <xf numFmtId="166" fontId="28" fillId="23" borderId="1" applyAlignment="1" pivotButton="0" quotePrefix="0" xfId="0">
      <alignment horizontal="right" vertical="center"/>
    </xf>
    <xf numFmtId="4" fontId="28" fillId="2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166" fontId="28" fillId="5" borderId="1" applyAlignment="1" pivotButton="0" quotePrefix="0" xfId="0">
      <alignment horizontal="right" vertical="center"/>
    </xf>
    <xf numFmtId="4" fontId="28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166" fontId="28" fillId="6" borderId="1" applyAlignment="1" pivotButton="0" quotePrefix="0" xfId="0">
      <alignment horizontal="right" vertical="center"/>
    </xf>
    <xf numFmtId="4" fontId="28" fillId="6" borderId="1" applyAlignment="1" pivotButton="0" quotePrefix="0" xfId="0">
      <alignment horizontal="right" vertical="center"/>
    </xf>
    <xf numFmtId="0" fontId="0" fillId="6" borderId="1" pivotButton="0" quotePrefix="0" xfId="0"/>
    <xf numFmtId="166" fontId="24" fillId="12" borderId="1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5" pivotButton="0" quotePrefix="0" xfId="0"/>
    <xf numFmtId="0" fontId="29" fillId="24" borderId="15" applyAlignment="1" pivotButton="0" quotePrefix="0" xfId="0">
      <alignment horizontal="left" vertical="center"/>
    </xf>
    <xf numFmtId="164" fontId="30" fillId="24" borderId="15" applyAlignment="1" pivotButton="0" quotePrefix="0" xfId="0">
      <alignment horizontal="right" vertical="center"/>
    </xf>
    <xf numFmtId="171" fontId="30" fillId="24" borderId="15" applyAlignment="1" pivotButton="0" quotePrefix="0" xfId="0">
      <alignment horizontal="right" vertical="center"/>
    </xf>
    <xf numFmtId="172" fontId="29" fillId="24" borderId="15" applyAlignment="1" pivotButton="0" quotePrefix="0" xfId="0">
      <alignment horizontal="right" vertical="center"/>
    </xf>
    <xf numFmtId="0" fontId="29" fillId="25" borderId="15" applyAlignment="1" pivotButton="0" quotePrefix="0" xfId="0">
      <alignment horizontal="left" vertical="center"/>
    </xf>
    <xf numFmtId="164" fontId="30" fillId="25" borderId="15" applyAlignment="1" pivotButton="0" quotePrefix="0" xfId="0">
      <alignment horizontal="right" vertical="center"/>
    </xf>
    <xf numFmtId="171" fontId="30" fillId="25" borderId="15" applyAlignment="1" pivotButton="0" quotePrefix="0" xfId="0">
      <alignment horizontal="right" vertical="center"/>
    </xf>
    <xf numFmtId="172" fontId="29" fillId="25" borderId="15" applyAlignment="1" pivotButton="0" quotePrefix="0" xfId="0">
      <alignment horizontal="right" vertical="center"/>
    </xf>
    <xf numFmtId="0" fontId="31" fillId="26" borderId="15" applyAlignment="1" pivotButton="0" quotePrefix="0" xfId="0">
      <alignment horizontal="left" vertical="center"/>
    </xf>
    <xf numFmtId="164" fontId="31" fillId="26" borderId="15" applyAlignment="1" pivotButton="0" quotePrefix="0" xfId="0">
      <alignment horizontal="right" vertical="center"/>
    </xf>
    <xf numFmtId="0" fontId="31" fillId="26" borderId="15" pivotButton="0" quotePrefix="0" xfId="0"/>
    <xf numFmtId="172" fontId="31" fillId="26" borderId="1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5" customHeight="1">
      <c r="A1" s="1" t="inlineStr">
        <is>
          <t>REPORTE HISTÓRICO CONSOLIDADO POR SEMANA (DIÉSEL)</t>
        </is>
      </c>
    </row>
    <row r="2" ht="18" customHeight="1">
      <c r="A2" s="2" t="inlineStr">
        <is>
          <t>Generado el: 2026-08-25 12:58</t>
        </is>
      </c>
    </row>
    <row r="3"/>
    <row r="4" ht="20" customHeight="1">
      <c r="A4" s="3" t="inlineStr">
        <is>
          <t>▶  Alfredo del Mazo</t>
        </is>
      </c>
      <c r="B4" s="131" t="n"/>
      <c r="C4" s="131" t="n"/>
      <c r="D4" s="132" t="n"/>
      <c r="F4" s="3" t="inlineStr">
        <is>
          <t>▶  Aurelio Venegas</t>
        </is>
      </c>
      <c r="G4" s="131" t="n"/>
      <c r="H4" s="131" t="n"/>
      <c r="I4" s="132" t="n"/>
    </row>
    <row r="5" ht="20" customHeight="1">
      <c r="A5" s="4" t="inlineStr">
        <is>
          <t>SEMANA</t>
        </is>
      </c>
      <c r="B5" s="4" t="inlineStr">
        <is>
          <t>LITROS CONSUMIDOS</t>
        </is>
      </c>
      <c r="C5" s="4" t="inlineStr">
        <is>
          <t>PRECIO PROM. ($/L)</t>
        </is>
      </c>
      <c r="D5" s="4" t="inlineStr">
        <is>
          <t>IMPORTE TOTAL</t>
        </is>
      </c>
      <c r="F5" s="4" t="inlineStr">
        <is>
          <t>SEMANA</t>
        </is>
      </c>
      <c r="G5" s="4" t="inlineStr">
        <is>
          <t>LITROS CONSUMIDOS</t>
        </is>
      </c>
      <c r="H5" s="4" t="inlineStr">
        <is>
          <t>PRECIO PROM. ($/L)</t>
        </is>
      </c>
      <c r="I5" s="4" t="inlineStr">
        <is>
          <t>IMPORTE TOTAL</t>
        </is>
      </c>
    </row>
    <row r="6" ht="18" customHeight="1">
      <c r="A6" s="5" t="inlineStr">
        <is>
          <t>Semana 28</t>
        </is>
      </c>
      <c r="B6" s="6" t="n">
        <v>213</v>
      </c>
      <c r="C6" s="7" t="n">
        <v>27</v>
      </c>
      <c r="D6" s="8" t="n">
        <v>5751</v>
      </c>
      <c r="F6" s="5" t="inlineStr">
        <is>
          <t>Semana 32</t>
        </is>
      </c>
      <c r="G6" s="6" t="n">
        <v>360</v>
      </c>
      <c r="H6" s="7" t="n">
        <v>27</v>
      </c>
      <c r="I6" s="8" t="n">
        <v>9720</v>
      </c>
    </row>
    <row r="7" ht="18" customHeight="1">
      <c r="A7" s="9" t="inlineStr">
        <is>
          <t>Semana 29</t>
        </is>
      </c>
      <c r="B7" s="10" t="n">
        <v>3310</v>
      </c>
      <c r="C7" s="11" t="n">
        <v>27</v>
      </c>
      <c r="D7" s="12" t="n">
        <v>89370</v>
      </c>
      <c r="F7" s="9" t="inlineStr">
        <is>
          <t>Semana 33</t>
        </is>
      </c>
      <c r="G7" s="10" t="n">
        <v>120</v>
      </c>
      <c r="H7" s="11" t="n">
        <v>27</v>
      </c>
      <c r="I7" s="12" t="n">
        <v>3240</v>
      </c>
    </row>
    <row r="8" ht="20" customHeight="1">
      <c r="A8" s="5" t="inlineStr">
        <is>
          <t>Semana 30</t>
        </is>
      </c>
      <c r="B8" s="6" t="n">
        <v>3263.04</v>
      </c>
      <c r="C8" s="7" t="n">
        <v>27</v>
      </c>
      <c r="D8" s="8" t="n">
        <v>88102.08</v>
      </c>
      <c r="F8" s="13" t="inlineStr">
        <is>
          <t>TOTAL — Aurelio Venegas</t>
        </is>
      </c>
      <c r="G8" s="14" t="n">
        <v>480</v>
      </c>
      <c r="H8" s="15" t="inlineStr"/>
      <c r="I8" s="16" t="n">
        <v>12960</v>
      </c>
    </row>
    <row r="9" ht="18" customHeight="1">
      <c r="A9" s="9" t="inlineStr">
        <is>
          <t>Semana 31</t>
        </is>
      </c>
      <c r="B9" s="10" t="n">
        <v>1388.62</v>
      </c>
      <c r="C9" s="11" t="n">
        <v>27</v>
      </c>
      <c r="D9" s="12" t="n">
        <v>37492.74</v>
      </c>
    </row>
    <row r="10" ht="18" customHeight="1">
      <c r="A10" s="5" t="inlineStr">
        <is>
          <t>Semana 32</t>
        </is>
      </c>
      <c r="B10" s="6" t="n">
        <v>1812</v>
      </c>
      <c r="C10" s="7" t="n">
        <v>27</v>
      </c>
      <c r="D10" s="8" t="n">
        <v>47466</v>
      </c>
    </row>
    <row r="11" ht="18" customHeight="1">
      <c r="A11" s="9" t="inlineStr">
        <is>
          <t>Semana 33</t>
        </is>
      </c>
      <c r="B11" s="10" t="n">
        <v>1185</v>
      </c>
      <c r="C11" s="11" t="n">
        <v>27</v>
      </c>
      <c r="D11" s="12" t="n">
        <v>31995</v>
      </c>
    </row>
    <row r="12" ht="18" customHeight="1">
      <c r="A12" s="5" t="inlineStr">
        <is>
          <t>Semana 34</t>
        </is>
      </c>
      <c r="B12" s="6" t="n">
        <v>865</v>
      </c>
      <c r="C12" s="7" t="n">
        <v>27</v>
      </c>
      <c r="D12" s="8" t="n">
        <v>23355</v>
      </c>
    </row>
    <row r="13" ht="20" customHeight="1">
      <c r="A13" s="13" t="inlineStr">
        <is>
          <t>TOTAL — Alfredo del Mazo</t>
        </is>
      </c>
      <c r="B13" s="14" t="n">
        <v>12036.66</v>
      </c>
      <c r="C13" s="15" t="inlineStr"/>
      <c r="D13" s="16" t="n">
        <v>323531.82</v>
      </c>
    </row>
    <row r="14"/>
    <row r="15"/>
    <row r="16" ht="20" customHeight="1">
      <c r="A16" s="3" t="inlineStr">
        <is>
          <t>▶  Bacheo Toluca</t>
        </is>
      </c>
      <c r="B16" s="131" t="n"/>
      <c r="C16" s="131" t="n"/>
      <c r="D16" s="132" t="n"/>
      <c r="F16" s="3" t="inlineStr">
        <is>
          <t>▶  Colegio Militar</t>
        </is>
      </c>
      <c r="G16" s="131" t="n"/>
      <c r="H16" s="131" t="n"/>
      <c r="I16" s="132" t="n"/>
    </row>
    <row r="17" ht="20" customHeight="1">
      <c r="A17" s="4" t="inlineStr">
        <is>
          <t>SEMANA</t>
        </is>
      </c>
      <c r="B17" s="4" t="inlineStr">
        <is>
          <t>LITROS CONSUMIDOS</t>
        </is>
      </c>
      <c r="C17" s="4" t="inlineStr">
        <is>
          <t>PRECIO PROM. ($/L)</t>
        </is>
      </c>
      <c r="D17" s="4" t="inlineStr">
        <is>
          <t>IMPORTE TOTAL</t>
        </is>
      </c>
      <c r="F17" s="4" t="inlineStr">
        <is>
          <t>SEMANA</t>
        </is>
      </c>
      <c r="G17" s="4" t="inlineStr">
        <is>
          <t>LITROS CONSUMIDOS</t>
        </is>
      </c>
      <c r="H17" s="4" t="inlineStr">
        <is>
          <t>PRECIO PROM. ($/L)</t>
        </is>
      </c>
      <c r="I17" s="4" t="inlineStr">
        <is>
          <t>IMPORTE TOTAL</t>
        </is>
      </c>
    </row>
    <row r="18" ht="18" customHeight="1">
      <c r="A18" s="5" t="inlineStr">
        <is>
          <t>Semana 24</t>
        </is>
      </c>
      <c r="B18" s="6" t="n">
        <v>200</v>
      </c>
      <c r="C18" s="7" t="n">
        <v>27</v>
      </c>
      <c r="D18" s="8" t="n">
        <v>5400</v>
      </c>
      <c r="F18" s="5" t="inlineStr">
        <is>
          <t>Semana 28</t>
        </is>
      </c>
      <c r="G18" s="6" t="n"/>
      <c r="H18" s="7" t="n">
        <v>27</v>
      </c>
      <c r="I18" s="8" t="n"/>
    </row>
    <row r="19" ht="18" customHeight="1">
      <c r="A19" s="9" t="inlineStr">
        <is>
          <t>Semana 25</t>
        </is>
      </c>
      <c r="B19" s="10" t="n">
        <v>643</v>
      </c>
      <c r="C19" s="11" t="n">
        <v>27</v>
      </c>
      <c r="D19" s="12" t="n">
        <v>17361</v>
      </c>
      <c r="F19" s="9" t="inlineStr">
        <is>
          <t>Semana 29</t>
        </is>
      </c>
      <c r="G19" s="10" t="n">
        <v>995</v>
      </c>
      <c r="H19" s="11" t="n">
        <v>27</v>
      </c>
      <c r="I19" s="12" t="n">
        <v>26865</v>
      </c>
    </row>
    <row r="20" ht="20" customHeight="1">
      <c r="A20" s="5" t="inlineStr">
        <is>
          <t>Semana 26</t>
        </is>
      </c>
      <c r="B20" s="6" t="n"/>
      <c r="C20" s="7" t="n">
        <v>27</v>
      </c>
      <c r="D20" s="8" t="n"/>
      <c r="F20" s="13" t="inlineStr">
        <is>
          <t>TOTAL — Colegio Militar</t>
        </is>
      </c>
      <c r="G20" s="14" t="n">
        <v>995</v>
      </c>
      <c r="H20" s="15" t="inlineStr"/>
      <c r="I20" s="16" t="n">
        <v>26865</v>
      </c>
    </row>
    <row r="21" ht="18" customHeight="1">
      <c r="A21" s="9" t="inlineStr">
        <is>
          <t>Semana 27</t>
        </is>
      </c>
      <c r="B21" s="10" t="n">
        <v>1239</v>
      </c>
      <c r="C21" s="11" t="n">
        <v>27</v>
      </c>
      <c r="D21" s="12" t="n">
        <v>33453</v>
      </c>
    </row>
    <row r="22" ht="18" customHeight="1">
      <c r="A22" s="5" t="inlineStr">
        <is>
          <t>Semana 28</t>
        </is>
      </c>
      <c r="B22" s="6" t="n">
        <v>1095</v>
      </c>
      <c r="C22" s="7" t="n">
        <v>27</v>
      </c>
      <c r="D22" s="8" t="n">
        <v>29565</v>
      </c>
    </row>
    <row r="23" ht="18" customHeight="1">
      <c r="A23" s="9" t="inlineStr">
        <is>
          <t>Semana 29</t>
        </is>
      </c>
      <c r="B23" s="10" t="n">
        <v>1000</v>
      </c>
      <c r="C23" s="11" t="n">
        <v>27</v>
      </c>
      <c r="D23" s="12" t="n">
        <v>27000</v>
      </c>
    </row>
    <row r="24" ht="18" customHeight="1">
      <c r="A24" s="5" t="inlineStr">
        <is>
          <t>Semana 30</t>
        </is>
      </c>
      <c r="B24" s="6" t="n">
        <v>776</v>
      </c>
      <c r="C24" s="7" t="n">
        <v>27</v>
      </c>
      <c r="D24" s="8" t="n">
        <v>20952</v>
      </c>
    </row>
    <row r="25" ht="18" customHeight="1">
      <c r="A25" s="9" t="inlineStr">
        <is>
          <t>Semana 31</t>
        </is>
      </c>
      <c r="B25" s="10" t="n">
        <v>106</v>
      </c>
      <c r="C25" s="11" t="n">
        <v>27</v>
      </c>
      <c r="D25" s="12" t="n">
        <v>2862</v>
      </c>
    </row>
    <row r="26" ht="18" customHeight="1">
      <c r="A26" s="5" t="inlineStr">
        <is>
          <t>Semana 32</t>
        </is>
      </c>
      <c r="B26" s="6" t="n">
        <v>175</v>
      </c>
      <c r="C26" s="7" t="n">
        <v>27</v>
      </c>
      <c r="D26" s="8" t="n">
        <v>4725</v>
      </c>
    </row>
    <row r="27" ht="18" customHeight="1">
      <c r="A27" s="9" t="inlineStr">
        <is>
          <t>Semana 33</t>
        </is>
      </c>
      <c r="B27" s="10" t="n">
        <v>140</v>
      </c>
      <c r="C27" s="11" t="n">
        <v>27</v>
      </c>
      <c r="D27" s="12" t="n">
        <v>3780</v>
      </c>
    </row>
    <row r="28" ht="20" customHeight="1">
      <c r="A28" s="13" t="inlineStr">
        <is>
          <t>TOTAL — Bacheo Toluca</t>
        </is>
      </c>
      <c r="B28" s="14" t="n">
        <v>5374</v>
      </c>
      <c r="C28" s="15" t="inlineStr"/>
      <c r="D28" s="16" t="n">
        <v>145098</v>
      </c>
    </row>
    <row r="29"/>
    <row r="30"/>
    <row r="31" ht="20" customHeight="1">
      <c r="A31" s="3" t="inlineStr">
        <is>
          <t>▶  Constitución</t>
        </is>
      </c>
      <c r="B31" s="131" t="n"/>
      <c r="C31" s="131" t="n"/>
      <c r="D31" s="132" t="n"/>
      <c r="F31" s="3" t="inlineStr">
        <is>
          <t>▶  Desasolve</t>
        </is>
      </c>
      <c r="G31" s="131" t="n"/>
      <c r="H31" s="131" t="n"/>
      <c r="I31" s="132" t="n"/>
    </row>
    <row r="32" ht="20" customHeight="1">
      <c r="A32" s="4" t="inlineStr">
        <is>
          <t>SEMANA</t>
        </is>
      </c>
      <c r="B32" s="4" t="inlineStr">
        <is>
          <t>LITROS CONSUMIDOS</t>
        </is>
      </c>
      <c r="C32" s="4" t="inlineStr">
        <is>
          <t>PRECIO PROM. ($/L)</t>
        </is>
      </c>
      <c r="D32" s="4" t="inlineStr">
        <is>
          <t>IMPORTE TOTAL</t>
        </is>
      </c>
      <c r="F32" s="4" t="inlineStr">
        <is>
          <t>SEMANA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</row>
    <row r="33" ht="18" customHeight="1">
      <c r="A33" s="5" t="inlineStr">
        <is>
          <t>Semana 32</t>
        </is>
      </c>
      <c r="B33" s="6" t="n">
        <v>680</v>
      </c>
      <c r="C33" s="7" t="n">
        <v>27</v>
      </c>
      <c r="D33" s="8" t="n">
        <v>18360</v>
      </c>
      <c r="F33" s="5" t="inlineStr">
        <is>
          <t>Semana 28</t>
        </is>
      </c>
      <c r="G33" s="6" t="n">
        <v>1787.49</v>
      </c>
      <c r="H33" s="7" t="n">
        <v>13.5</v>
      </c>
      <c r="I33" s="8" t="n">
        <v>351</v>
      </c>
    </row>
    <row r="34" ht="18" customHeight="1">
      <c r="A34" s="13" t="inlineStr">
        <is>
          <t>TOTAL — Constitución</t>
        </is>
      </c>
      <c r="B34" s="14" t="n">
        <v>680</v>
      </c>
      <c r="C34" s="15" t="inlineStr"/>
      <c r="D34" s="16" t="n">
        <v>18360</v>
      </c>
      <c r="F34" s="9" t="inlineStr">
        <is>
          <t>Semana 29</t>
        </is>
      </c>
      <c r="G34" s="10" t="n">
        <v>1376</v>
      </c>
      <c r="H34" s="11" t="n">
        <v>27</v>
      </c>
      <c r="I34" s="12" t="n">
        <v>37152</v>
      </c>
    </row>
    <row r="35" ht="18" customHeight="1">
      <c r="F35" s="5" t="inlineStr">
        <is>
          <t>Semana 30</t>
        </is>
      </c>
      <c r="G35" s="6" t="n">
        <v>2920</v>
      </c>
      <c r="H35" s="7" t="n">
        <v>27</v>
      </c>
      <c r="I35" s="8" t="n">
        <v>78840</v>
      </c>
    </row>
    <row r="36" ht="18" customHeight="1">
      <c r="F36" s="9" t="inlineStr">
        <is>
          <t>Semana 31</t>
        </is>
      </c>
      <c r="G36" s="10" t="n">
        <v>3493.45</v>
      </c>
      <c r="H36" s="11" t="n">
        <v>27</v>
      </c>
      <c r="I36" s="12" t="n">
        <v>94323.14999999999</v>
      </c>
    </row>
    <row r="37" ht="18" customHeight="1">
      <c r="F37" s="5" t="inlineStr">
        <is>
          <t>Semana 32</t>
        </is>
      </c>
      <c r="G37" s="6" t="n">
        <v>1440</v>
      </c>
      <c r="H37" s="7" t="n">
        <v>27</v>
      </c>
      <c r="I37" s="8" t="n">
        <v>38880</v>
      </c>
    </row>
    <row r="38" ht="20" customHeight="1">
      <c r="F38" s="13" t="inlineStr">
        <is>
          <t>TOTAL — Desasolve</t>
        </is>
      </c>
      <c r="G38" s="14" t="n">
        <v>11016.94</v>
      </c>
      <c r="H38" s="15" t="inlineStr"/>
      <c r="I38" s="16" t="n">
        <v>249546.15</v>
      </c>
    </row>
    <row r="39"/>
    <row r="40"/>
    <row r="41" ht="20" customHeight="1">
      <c r="A41" s="3" t="inlineStr">
        <is>
          <t>▶  Lerma - Tres Marías</t>
        </is>
      </c>
      <c r="B41" s="131" t="n"/>
      <c r="C41" s="131" t="n"/>
      <c r="D41" s="132" t="n"/>
      <c r="F41" s="3" t="inlineStr">
        <is>
          <t>▶  Maquinaria</t>
        </is>
      </c>
      <c r="G41" s="131" t="n"/>
      <c r="H41" s="131" t="n"/>
      <c r="I41" s="132" t="n"/>
    </row>
    <row r="42" ht="20" customHeight="1">
      <c r="A42" s="4" t="inlineStr">
        <is>
          <t>SEMANA</t>
        </is>
      </c>
      <c r="B42" s="4" t="inlineStr">
        <is>
          <t>LITROS CONSUMIDOS</t>
        </is>
      </c>
      <c r="C42" s="4" t="inlineStr">
        <is>
          <t>PRECIO PROM. ($/L)</t>
        </is>
      </c>
      <c r="D42" s="4" t="inlineStr">
        <is>
          <t>IMPORTE TOTAL</t>
        </is>
      </c>
      <c r="F42" s="4" t="inlineStr">
        <is>
          <t>SEMANA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</row>
    <row r="43" ht="18" customHeight="1">
      <c r="A43" s="137" t="inlineStr">
        <is>
          <t>Semana 24</t>
        </is>
      </c>
      <c r="B43" s="138" t="n">
        <v>872</v>
      </c>
      <c r="C43" s="139" t="n">
        <v>27</v>
      </c>
      <c r="D43" s="140" t="n">
        <v>23544</v>
      </c>
      <c r="F43" s="5" t="inlineStr">
        <is>
          <t>Semana 24</t>
        </is>
      </c>
      <c r="G43" s="6" t="n">
        <v>1693</v>
      </c>
      <c r="H43" s="7" t="n">
        <v>27</v>
      </c>
      <c r="I43" s="8" t="n">
        <v>45711</v>
      </c>
    </row>
    <row r="44" ht="18" customHeight="1">
      <c r="A44" s="141" t="inlineStr">
        <is>
          <t>Semana 25</t>
        </is>
      </c>
      <c r="B44" s="142" t="n">
        <v>1437</v>
      </c>
      <c r="C44" s="143" t="n">
        <v>27</v>
      </c>
      <c r="D44" s="144" t="n">
        <v>38799</v>
      </c>
      <c r="F44" s="9" t="inlineStr">
        <is>
          <t>Semana 32</t>
        </is>
      </c>
      <c r="G44" s="10" t="n">
        <v>161</v>
      </c>
      <c r="H44" s="11" t="n">
        <v>27</v>
      </c>
      <c r="I44" s="12" t="n">
        <v>4347</v>
      </c>
    </row>
    <row r="45" ht="20" customHeight="1">
      <c r="A45" s="137" t="inlineStr">
        <is>
          <t>Semana 26</t>
        </is>
      </c>
      <c r="B45" s="138" t="n">
        <v>1279</v>
      </c>
      <c r="C45" s="139" t="n">
        <v>27</v>
      </c>
      <c r="D45" s="140" t="n">
        <v>34533</v>
      </c>
      <c r="F45" s="13" t="inlineStr">
        <is>
          <t>TOTAL — Maquinaria</t>
        </is>
      </c>
      <c r="G45" s="14" t="n">
        <v>1854</v>
      </c>
      <c r="H45" s="15" t="inlineStr"/>
      <c r="I45" s="16" t="n">
        <v>50058</v>
      </c>
    </row>
    <row r="46" ht="18" customHeight="1">
      <c r="A46" s="141" t="inlineStr">
        <is>
          <t>Semana 27</t>
        </is>
      </c>
      <c r="B46" s="142" t="n">
        <v>1384</v>
      </c>
      <c r="C46" s="143" t="n">
        <v>27</v>
      </c>
      <c r="D46" s="144" t="n">
        <v>37368</v>
      </c>
    </row>
    <row r="47" ht="18" customHeight="1">
      <c r="A47" s="137" t="inlineStr">
        <is>
          <t>Semana 28</t>
        </is>
      </c>
      <c r="B47" s="138" t="n">
        <v>1479.266</v>
      </c>
      <c r="C47" s="139" t="n">
        <v>27</v>
      </c>
      <c r="D47" s="140" t="n">
        <v>39940.18</v>
      </c>
    </row>
    <row r="48" ht="18" customHeight="1">
      <c r="A48" s="141" t="inlineStr">
        <is>
          <t>Semana 29</t>
        </is>
      </c>
      <c r="B48" s="142" t="n">
        <v>656.42</v>
      </c>
      <c r="C48" s="143" t="n">
        <v>27</v>
      </c>
      <c r="D48" s="144" t="n">
        <v>17723.34</v>
      </c>
    </row>
    <row r="49" ht="18" customHeight="1">
      <c r="A49" s="137" t="inlineStr">
        <is>
          <t>Semana 30</t>
        </is>
      </c>
      <c r="B49" s="138" t="n">
        <v>554</v>
      </c>
      <c r="C49" s="139" t="n">
        <v>27</v>
      </c>
      <c r="D49" s="140" t="n">
        <v>14958</v>
      </c>
    </row>
    <row r="50" ht="18" customHeight="1">
      <c r="A50" s="141" t="inlineStr">
        <is>
          <t>Semana 31</t>
        </is>
      </c>
      <c r="B50" s="142" t="n">
        <v>1514.78</v>
      </c>
      <c r="C50" s="143" t="n">
        <v>27</v>
      </c>
      <c r="D50" s="144" t="n">
        <v>40899.06</v>
      </c>
    </row>
    <row r="51" ht="20" customHeight="1">
      <c r="A51" s="137" t="inlineStr">
        <is>
          <t>Semana 32</t>
        </is>
      </c>
      <c r="B51" s="138" t="n">
        <v>1347</v>
      </c>
      <c r="C51" s="139" t="n">
        <v>27</v>
      </c>
      <c r="D51" s="140" t="n">
        <v>34911</v>
      </c>
    </row>
    <row r="52">
      <c r="A52" s="145" t="inlineStr">
        <is>
          <t>TOTAL — Lerma - Tres Marías</t>
        </is>
      </c>
      <c r="B52" s="146" t="n">
        <v>10523.466</v>
      </c>
      <c r="C52" s="147" t="inlineStr"/>
      <c r="D52" s="148" t="n">
        <v>282675.58</v>
      </c>
    </row>
    <row r="53"/>
    <row r="54" ht="20" customHeight="1">
      <c r="A54" s="3" t="inlineStr">
        <is>
          <t>▶  METEPEC</t>
        </is>
      </c>
      <c r="B54" s="131" t="n"/>
      <c r="C54" s="131" t="n"/>
      <c r="D54" s="132" t="n"/>
      <c r="F54" s="3" t="inlineStr">
        <is>
          <t>▶  METEPEC ARBOL DE LA VIDA</t>
        </is>
      </c>
      <c r="G54" s="131" t="n"/>
      <c r="H54" s="131" t="n"/>
      <c r="I54" s="132" t="n"/>
    </row>
    <row r="55" ht="20" customHeight="1">
      <c r="A55" s="4" t="inlineStr">
        <is>
          <t>SEMANA</t>
        </is>
      </c>
      <c r="B55" s="4" t="inlineStr">
        <is>
          <t>LITROS CONSUMIDOS</t>
        </is>
      </c>
      <c r="C55" s="4" t="inlineStr">
        <is>
          <t>PRECIO PROM. ($/L)</t>
        </is>
      </c>
      <c r="D55" s="4" t="inlineStr">
        <is>
          <t>IMPORTE TOTAL</t>
        </is>
      </c>
      <c r="F55" s="4" t="inlineStr">
        <is>
          <t>SEMANA</t>
        </is>
      </c>
      <c r="G55" s="4" t="inlineStr">
        <is>
          <t>LITROS CONSUMIDOS</t>
        </is>
      </c>
      <c r="H55" s="4" t="inlineStr">
        <is>
          <t>PRECIO PROM. ($/L)</t>
        </is>
      </c>
      <c r="I55" s="4" t="inlineStr">
        <is>
          <t>IMPORTE TOTAL</t>
        </is>
      </c>
    </row>
    <row r="56" ht="18" customHeight="1">
      <c r="A56" s="5" t="inlineStr">
        <is>
          <t>Semana 32</t>
        </is>
      </c>
      <c r="B56" s="6" t="n">
        <v>169</v>
      </c>
      <c r="C56" s="7" t="n">
        <v>27</v>
      </c>
      <c r="D56" s="8" t="n">
        <v>4563</v>
      </c>
      <c r="F56" s="5" t="inlineStr">
        <is>
          <t>Semana 32</t>
        </is>
      </c>
      <c r="G56" s="6" t="n">
        <v>129</v>
      </c>
      <c r="H56" s="7" t="n">
        <v>27</v>
      </c>
      <c r="I56" s="8" t="n">
        <v>3483</v>
      </c>
    </row>
    <row r="57" ht="18" customHeight="1">
      <c r="A57" s="13" t="inlineStr">
        <is>
          <t>TOTAL — METEPEC</t>
        </is>
      </c>
      <c r="B57" s="14" t="n">
        <v>169</v>
      </c>
      <c r="C57" s="15" t="inlineStr"/>
      <c r="D57" s="16" t="n">
        <v>4563</v>
      </c>
      <c r="F57" s="9" t="inlineStr">
        <is>
          <t>Semana 34</t>
        </is>
      </c>
      <c r="G57" s="10" t="n">
        <v>513</v>
      </c>
      <c r="H57" s="11" t="n">
        <v>27</v>
      </c>
      <c r="I57" s="12" t="n">
        <v>13851</v>
      </c>
    </row>
    <row r="58" ht="20" customHeight="1">
      <c r="F58" s="13" t="inlineStr">
        <is>
          <t>TOTAL — METEPEC ARBOL DE LA VIDA</t>
        </is>
      </c>
      <c r="G58" s="14" t="n">
        <v>642</v>
      </c>
      <c r="H58" s="15" t="inlineStr"/>
      <c r="I58" s="16" t="n">
        <v>17334</v>
      </c>
    </row>
    <row r="59"/>
    <row r="60"/>
    <row r="61" ht="20" customHeight="1">
      <c r="A61" s="3" t="inlineStr">
        <is>
          <t>▶  México - Toluca</t>
        </is>
      </c>
      <c r="B61" s="131" t="n"/>
      <c r="C61" s="131" t="n"/>
      <c r="D61" s="132" t="n"/>
      <c r="F61" s="3" t="inlineStr">
        <is>
          <t>▶  Planta Huixquilucan</t>
        </is>
      </c>
      <c r="G61" s="131" t="n"/>
      <c r="H61" s="131" t="n"/>
      <c r="I61" s="132" t="n"/>
    </row>
    <row r="62" ht="20" customHeight="1">
      <c r="A62" s="4" t="inlineStr">
        <is>
          <t>SEMANA</t>
        </is>
      </c>
      <c r="B62" s="4" t="inlineStr">
        <is>
          <t>LITROS CONSUMIDOS</t>
        </is>
      </c>
      <c r="C62" s="4" t="inlineStr">
        <is>
          <t>PRECIO PROM. ($/L)</t>
        </is>
      </c>
      <c r="D62" s="4" t="inlineStr">
        <is>
          <t>IMPORTE TOTAL</t>
        </is>
      </c>
      <c r="F62" s="4" t="inlineStr">
        <is>
          <t>SEMANA</t>
        </is>
      </c>
      <c r="G62" s="4" t="inlineStr">
        <is>
          <t>LITROS CONSUMIDOS</t>
        </is>
      </c>
      <c r="H62" s="4" t="inlineStr">
        <is>
          <t>PRECIO PROM. ($/L)</t>
        </is>
      </c>
      <c r="I62" s="4" t="inlineStr">
        <is>
          <t>IMPORTE TOTAL</t>
        </is>
      </c>
    </row>
    <row r="63" ht="18" customHeight="1">
      <c r="A63" s="5" t="inlineStr">
        <is>
          <t>Semana 24</t>
        </is>
      </c>
      <c r="B63" s="6" t="n">
        <v>1285</v>
      </c>
      <c r="C63" s="7" t="n">
        <v>27</v>
      </c>
      <c r="D63" s="8" t="n">
        <v>34695</v>
      </c>
      <c r="F63" s="5" t="inlineStr">
        <is>
          <t>Semana 25</t>
        </is>
      </c>
      <c r="G63" s="6" t="n">
        <v>1600</v>
      </c>
      <c r="H63" s="7" t="n">
        <v>27</v>
      </c>
      <c r="I63" s="8" t="n">
        <v>43200</v>
      </c>
    </row>
    <row r="64" ht="18" customHeight="1">
      <c r="A64" s="9" t="inlineStr">
        <is>
          <t>Semana 25</t>
        </is>
      </c>
      <c r="B64" s="10" t="n">
        <v>2185</v>
      </c>
      <c r="C64" s="11" t="n">
        <v>27</v>
      </c>
      <c r="D64" s="12" t="n">
        <v>58995</v>
      </c>
      <c r="F64" s="9" t="inlineStr">
        <is>
          <t>Semana 26</t>
        </is>
      </c>
      <c r="G64" s="10" t="n">
        <v>1191</v>
      </c>
      <c r="H64" s="11" t="n">
        <v>27</v>
      </c>
      <c r="I64" s="12" t="n">
        <v>32157</v>
      </c>
    </row>
    <row r="65" ht="18" customHeight="1">
      <c r="A65" s="5" t="inlineStr">
        <is>
          <t>Semana 26</t>
        </is>
      </c>
      <c r="B65" s="6" t="n">
        <v>2517</v>
      </c>
      <c r="C65" s="7" t="n">
        <v>27</v>
      </c>
      <c r="D65" s="8" t="n">
        <v>67608</v>
      </c>
      <c r="F65" s="5" t="inlineStr">
        <is>
          <t>Semana 27</t>
        </is>
      </c>
      <c r="G65" s="6" t="n">
        <v>2396</v>
      </c>
      <c r="H65" s="7" t="n">
        <v>27</v>
      </c>
      <c r="I65" s="8" t="n">
        <v>64692</v>
      </c>
    </row>
    <row r="66" ht="18" customHeight="1">
      <c r="A66" s="9" t="inlineStr">
        <is>
          <t>Semana 27</t>
        </is>
      </c>
      <c r="B66" s="10" t="n">
        <v>3637</v>
      </c>
      <c r="C66" s="11" t="n">
        <v>27</v>
      </c>
      <c r="D66" s="12" t="n">
        <v>98199</v>
      </c>
      <c r="F66" s="9" t="inlineStr">
        <is>
          <t>Semana 28</t>
        </is>
      </c>
      <c r="G66" s="10" t="n">
        <v>1710</v>
      </c>
      <c r="H66" s="11" t="n">
        <v>27</v>
      </c>
      <c r="I66" s="12" t="n">
        <v>46170</v>
      </c>
    </row>
    <row r="67" ht="18" customHeight="1">
      <c r="A67" s="5" t="inlineStr">
        <is>
          <t>Semana 28</t>
        </is>
      </c>
      <c r="B67" s="6" t="n">
        <v>1426</v>
      </c>
      <c r="C67" s="7" t="n">
        <v>27</v>
      </c>
      <c r="D67" s="8" t="n">
        <v>38475</v>
      </c>
      <c r="F67" s="5" t="inlineStr">
        <is>
          <t>Semana 29</t>
        </is>
      </c>
      <c r="G67" s="6" t="n">
        <v>1392.02</v>
      </c>
      <c r="H67" s="7" t="n">
        <v>27</v>
      </c>
      <c r="I67" s="8" t="n">
        <v>37584.54</v>
      </c>
    </row>
    <row r="68" ht="18" customHeight="1">
      <c r="A68" s="9" t="inlineStr">
        <is>
          <t>Semana 29</t>
        </is>
      </c>
      <c r="B68" s="10" t="n">
        <v>3330</v>
      </c>
      <c r="C68" s="11" t="n">
        <v>27</v>
      </c>
      <c r="D68" s="12" t="n">
        <v>89910</v>
      </c>
      <c r="F68" s="9" t="inlineStr">
        <is>
          <t>Semana 30</t>
        </is>
      </c>
      <c r="G68" s="10" t="n">
        <v>2358</v>
      </c>
      <c r="H68" s="11" t="n">
        <v>27</v>
      </c>
      <c r="I68" s="12" t="n">
        <v>63666</v>
      </c>
    </row>
    <row r="69" ht="18" customHeight="1">
      <c r="A69" s="5" t="inlineStr">
        <is>
          <t>Semana 30</t>
        </is>
      </c>
      <c r="B69" s="6" t="n">
        <v>2876.18</v>
      </c>
      <c r="C69" s="7" t="n">
        <v>27</v>
      </c>
      <c r="D69" s="8" t="n">
        <v>77656.86</v>
      </c>
      <c r="F69" s="5" t="inlineStr">
        <is>
          <t>Semana 31</t>
        </is>
      </c>
      <c r="G69" s="6" t="n">
        <v>2640.02</v>
      </c>
      <c r="H69" s="7" t="n">
        <v>27</v>
      </c>
      <c r="I69" s="8" t="n">
        <v>76680.53999999999</v>
      </c>
    </row>
    <row r="70" ht="18" customHeight="1">
      <c r="A70" s="9" t="inlineStr">
        <is>
          <t>Semana 31</t>
        </is>
      </c>
      <c r="B70" s="10" t="n">
        <v>2997.71</v>
      </c>
      <c r="C70" s="11" t="n">
        <v>27</v>
      </c>
      <c r="D70" s="12" t="n">
        <v>83638.17</v>
      </c>
      <c r="F70" s="9" t="inlineStr">
        <is>
          <t>Semana 32</t>
        </is>
      </c>
      <c r="G70" s="10" t="n">
        <v>2461</v>
      </c>
      <c r="H70" s="11" t="n">
        <v>27</v>
      </c>
      <c r="I70" s="12" t="n">
        <v>66447</v>
      </c>
    </row>
    <row r="71" ht="18" customHeight="1">
      <c r="A71" s="5" t="inlineStr">
        <is>
          <t>Semana 32</t>
        </is>
      </c>
      <c r="B71" s="6" t="n">
        <v>2756</v>
      </c>
      <c r="C71" s="7" t="n">
        <v>27</v>
      </c>
      <c r="D71" s="8" t="n">
        <v>70443</v>
      </c>
      <c r="F71" s="5" t="inlineStr">
        <is>
          <t>Semana 33</t>
        </is>
      </c>
      <c r="G71" s="6" t="n">
        <v>2800</v>
      </c>
      <c r="H71" s="7" t="n">
        <v>27</v>
      </c>
      <c r="I71" s="8" t="n">
        <v>75600</v>
      </c>
    </row>
    <row r="72" ht="18" customHeight="1">
      <c r="A72" s="9" t="inlineStr">
        <is>
          <t>Semana 33</t>
        </is>
      </c>
      <c r="B72" s="10" t="n">
        <v>3040</v>
      </c>
      <c r="C72" s="11" t="n">
        <v>27</v>
      </c>
      <c r="D72" s="12" t="n">
        <v>82080</v>
      </c>
      <c r="F72" s="9" t="inlineStr">
        <is>
          <t>Semana 34</t>
        </is>
      </c>
      <c r="G72" s="10" t="n">
        <v>1594</v>
      </c>
      <c r="H72" s="11" t="n">
        <v>27</v>
      </c>
      <c r="I72" s="12" t="n">
        <v>43038</v>
      </c>
    </row>
    <row r="73" ht="20" customHeight="1">
      <c r="A73" s="5" t="inlineStr">
        <is>
          <t>Semana 34</t>
        </is>
      </c>
      <c r="B73" s="6" t="n">
        <v>2775</v>
      </c>
      <c r="C73" s="7" t="n">
        <v>27</v>
      </c>
      <c r="D73" s="8" t="n">
        <v>74925</v>
      </c>
      <c r="F73" s="13" t="inlineStr">
        <is>
          <t>TOTAL — Planta Huixquilucan</t>
        </is>
      </c>
      <c r="G73" s="14" t="n">
        <v>20142.04</v>
      </c>
      <c r="H73" s="15" t="inlineStr"/>
      <c r="I73" s="16" t="n">
        <v>549235.08</v>
      </c>
    </row>
    <row r="74" ht="20" customHeight="1">
      <c r="A74" s="13" t="inlineStr">
        <is>
          <t>TOTAL — México - Toluca</t>
        </is>
      </c>
      <c r="B74" s="14" t="n">
        <v>28824.89</v>
      </c>
      <c r="C74" s="15" t="inlineStr"/>
      <c r="D74" s="16" t="n">
        <v>776625.03</v>
      </c>
    </row>
    <row r="75"/>
    <row r="76"/>
    <row r="77" ht="20" customHeight="1">
      <c r="A77" s="3" t="inlineStr">
        <is>
          <t>▶  Planta Pegaso</t>
        </is>
      </c>
      <c r="B77" s="131" t="n"/>
      <c r="C77" s="131" t="n"/>
      <c r="D77" s="132" t="n"/>
      <c r="F77" s="3" t="inlineStr">
        <is>
          <t>▶  Providencia</t>
        </is>
      </c>
      <c r="G77" s="131" t="n"/>
      <c r="H77" s="131" t="n"/>
      <c r="I77" s="132" t="n"/>
    </row>
    <row r="78" ht="20" customHeight="1">
      <c r="A78" s="4" t="inlineStr">
        <is>
          <t>SEMANA</t>
        </is>
      </c>
      <c r="B78" s="4" t="inlineStr">
        <is>
          <t>LITROS CONSUMIDOS</t>
        </is>
      </c>
      <c r="C78" s="4" t="inlineStr">
        <is>
          <t>PRECIO PROM. ($/L)</t>
        </is>
      </c>
      <c r="D78" s="4" t="inlineStr">
        <is>
          <t>IMPORTE TOTAL</t>
        </is>
      </c>
      <c r="F78" s="4" t="inlineStr">
        <is>
          <t>SEMANA</t>
        </is>
      </c>
      <c r="G78" s="4" t="inlineStr">
        <is>
          <t>LITROS CONSUMIDOS</t>
        </is>
      </c>
      <c r="H78" s="4" t="inlineStr">
        <is>
          <t>PRECIO PROM. ($/L)</t>
        </is>
      </c>
      <c r="I78" s="4" t="inlineStr">
        <is>
          <t>IMPORTE TOTAL</t>
        </is>
      </c>
    </row>
    <row r="79" ht="18" customHeight="1">
      <c r="A79" s="5" t="inlineStr">
        <is>
          <t>Semana 24</t>
        </is>
      </c>
      <c r="B79" s="6" t="n">
        <v>647</v>
      </c>
      <c r="C79" s="7" t="n">
        <v>27</v>
      </c>
      <c r="D79" s="8" t="n">
        <v>17469</v>
      </c>
      <c r="F79" s="5" t="inlineStr">
        <is>
          <t>Semana 25</t>
        </is>
      </c>
      <c r="G79" s="6" t="n">
        <v>40</v>
      </c>
      <c r="H79" s="7" t="n">
        <v>27</v>
      </c>
      <c r="I79" s="8" t="n">
        <v>1080</v>
      </c>
    </row>
    <row r="80" ht="18" customHeight="1">
      <c r="A80" s="9" t="inlineStr">
        <is>
          <t>Semana 25</t>
        </is>
      </c>
      <c r="B80" s="10" t="n">
        <v>1316</v>
      </c>
      <c r="C80" s="11" t="n">
        <v>27</v>
      </c>
      <c r="D80" s="12" t="n">
        <v>35532</v>
      </c>
      <c r="F80" s="9" t="inlineStr">
        <is>
          <t>Semana 26</t>
        </is>
      </c>
      <c r="G80" s="10" t="n"/>
      <c r="H80" s="11" t="n">
        <v>27</v>
      </c>
      <c r="I80" s="12" t="n"/>
    </row>
    <row r="81" ht="18" customHeight="1">
      <c r="A81" s="5" t="inlineStr">
        <is>
          <t>Semana 26</t>
        </is>
      </c>
      <c r="B81" s="6" t="n"/>
      <c r="C81" s="7" t="n">
        <v>27</v>
      </c>
      <c r="D81" s="8" t="n"/>
      <c r="F81" s="5" t="inlineStr">
        <is>
          <t>Semana 27</t>
        </is>
      </c>
      <c r="G81" s="6" t="n">
        <v>349</v>
      </c>
      <c r="H81" s="7" t="n">
        <v>27</v>
      </c>
      <c r="I81" s="8" t="n">
        <v>9423</v>
      </c>
    </row>
    <row r="82" ht="18" customHeight="1">
      <c r="A82" s="9" t="inlineStr">
        <is>
          <t>Semana 27</t>
        </is>
      </c>
      <c r="B82" s="10" t="n">
        <v>1268.94</v>
      </c>
      <c r="C82" s="11" t="n">
        <v>27</v>
      </c>
      <c r="D82" s="12" t="n">
        <v>34261.38</v>
      </c>
      <c r="F82" s="9" t="inlineStr">
        <is>
          <t>Semana 28</t>
        </is>
      </c>
      <c r="G82" s="10" t="n">
        <v>637</v>
      </c>
      <c r="H82" s="11" t="n">
        <v>27</v>
      </c>
      <c r="I82" s="12" t="n">
        <v>17199</v>
      </c>
    </row>
    <row r="83" ht="18" customHeight="1">
      <c r="A83" s="5" t="inlineStr">
        <is>
          <t>Semana 28</t>
        </is>
      </c>
      <c r="B83" s="6" t="n">
        <v>4007.07</v>
      </c>
      <c r="C83" s="7" t="n">
        <v>25.5</v>
      </c>
      <c r="D83" s="8" t="n">
        <v>105517.89</v>
      </c>
      <c r="F83" s="5" t="inlineStr">
        <is>
          <t>Semana 29</t>
        </is>
      </c>
      <c r="G83" s="6" t="n">
        <v>594</v>
      </c>
      <c r="H83" s="7" t="n">
        <v>27</v>
      </c>
      <c r="I83" s="8" t="n">
        <v>16038</v>
      </c>
    </row>
    <row r="84" ht="18" customHeight="1">
      <c r="A84" s="9" t="inlineStr">
        <is>
          <t>Semana 29</t>
        </is>
      </c>
      <c r="B84" s="10" t="n">
        <v>1589</v>
      </c>
      <c r="C84" s="11" t="n">
        <v>27</v>
      </c>
      <c r="D84" s="12" t="n">
        <v>42903</v>
      </c>
      <c r="F84" s="9" t="inlineStr">
        <is>
          <t>Semana 30</t>
        </is>
      </c>
      <c r="G84" s="10" t="n">
        <v>460</v>
      </c>
      <c r="H84" s="11" t="n">
        <v>27</v>
      </c>
      <c r="I84" s="12" t="n">
        <v>12420</v>
      </c>
    </row>
    <row r="85" ht="18" customHeight="1">
      <c r="A85" s="5" t="inlineStr">
        <is>
          <t>Semana 30</t>
        </is>
      </c>
      <c r="B85" s="6" t="n">
        <v>1608</v>
      </c>
      <c r="C85" s="7" t="n">
        <v>27</v>
      </c>
      <c r="D85" s="8" t="n">
        <v>43416</v>
      </c>
      <c r="F85" s="5" t="inlineStr">
        <is>
          <t>Semana 31</t>
        </is>
      </c>
      <c r="G85" s="6" t="n">
        <v>302</v>
      </c>
      <c r="H85" s="7" t="n">
        <v>27</v>
      </c>
      <c r="I85" s="8" t="n">
        <v>8154</v>
      </c>
    </row>
    <row r="86" ht="18" customHeight="1">
      <c r="A86" s="9" t="inlineStr">
        <is>
          <t>Semana 31</t>
        </is>
      </c>
      <c r="B86" s="10" t="n">
        <v>1588.51</v>
      </c>
      <c r="C86" s="11" t="n">
        <v>27</v>
      </c>
      <c r="D86" s="12" t="n">
        <v>42889.77</v>
      </c>
      <c r="F86" s="9" t="inlineStr">
        <is>
          <t>Semana 32</t>
        </is>
      </c>
      <c r="G86" s="10" t="n">
        <v>177</v>
      </c>
      <c r="H86" s="11" t="n">
        <v>27</v>
      </c>
      <c r="I86" s="12" t="n">
        <v>4779</v>
      </c>
    </row>
    <row r="87" ht="18" customHeight="1">
      <c r="A87" s="5" t="inlineStr">
        <is>
          <t>Semana 32</t>
        </is>
      </c>
      <c r="B87" s="6" t="n">
        <v>1610</v>
      </c>
      <c r="C87" s="7" t="n">
        <v>27</v>
      </c>
      <c r="D87" s="8" t="n">
        <v>43470</v>
      </c>
      <c r="F87" s="5" t="inlineStr">
        <is>
          <t>Semana 33</t>
        </is>
      </c>
      <c r="G87" s="6" t="n">
        <v>100</v>
      </c>
      <c r="H87" s="7" t="n">
        <v>27</v>
      </c>
      <c r="I87" s="8" t="n">
        <v>2700</v>
      </c>
    </row>
    <row r="88" ht="18" customHeight="1">
      <c r="A88" s="9" t="inlineStr">
        <is>
          <t>Semana 33</t>
        </is>
      </c>
      <c r="B88" s="10" t="n">
        <v>5000</v>
      </c>
      <c r="C88" s="11" t="n">
        <v>27</v>
      </c>
      <c r="D88" s="12" t="n">
        <v>189000</v>
      </c>
      <c r="F88" s="9" t="inlineStr">
        <is>
          <t>Semana 34</t>
        </is>
      </c>
      <c r="G88" s="10" t="n">
        <v>412</v>
      </c>
      <c r="H88" s="11" t="n">
        <v>27</v>
      </c>
      <c r="I88" s="12" t="n">
        <v>11124</v>
      </c>
    </row>
    <row r="89" ht="20" customHeight="1">
      <c r="A89" s="5" t="inlineStr">
        <is>
          <t>Semana 34</t>
        </is>
      </c>
      <c r="B89" s="6" t="n">
        <v>995</v>
      </c>
      <c r="C89" s="7" t="n">
        <v>27</v>
      </c>
      <c r="D89" s="8" t="n">
        <v>26865</v>
      </c>
      <c r="F89" s="13" t="inlineStr">
        <is>
          <t>TOTAL — Providencia</t>
        </is>
      </c>
      <c r="G89" s="14" t="n">
        <v>3071</v>
      </c>
      <c r="H89" s="15" t="inlineStr"/>
      <c r="I89" s="16" t="n">
        <v>82917</v>
      </c>
    </row>
    <row r="90" ht="20" customHeight="1">
      <c r="A90" s="13" t="inlineStr">
        <is>
          <t>TOTAL — Planta Pegaso</t>
        </is>
      </c>
      <c r="B90" s="14" t="n">
        <v>19629.52</v>
      </c>
      <c r="C90" s="15" t="inlineStr"/>
      <c r="D90" s="16" t="n">
        <v>581324.04</v>
      </c>
    </row>
    <row r="91"/>
    <row r="92"/>
    <row r="93" ht="20" customHeight="1">
      <c r="A93" s="3" t="inlineStr">
        <is>
          <t>▶  San Felipe Tlalminilolpan</t>
        </is>
      </c>
      <c r="B93" s="131" t="n"/>
      <c r="C93" s="131" t="n"/>
      <c r="D93" s="132" t="n"/>
      <c r="F93" s="3" t="inlineStr">
        <is>
          <t>▶  Vicente Lombardo</t>
        </is>
      </c>
      <c r="G93" s="131" t="n"/>
      <c r="H93" s="131" t="n"/>
      <c r="I93" s="132" t="n"/>
    </row>
    <row r="94" ht="20" customHeight="1">
      <c r="A94" s="4" t="inlineStr">
        <is>
          <t>SEMANA</t>
        </is>
      </c>
      <c r="B94" s="4" t="inlineStr">
        <is>
          <t>LITROS CONSUMIDOS</t>
        </is>
      </c>
      <c r="C94" s="4" t="inlineStr">
        <is>
          <t>PRECIO PROM. ($/L)</t>
        </is>
      </c>
      <c r="D94" s="4" t="inlineStr">
        <is>
          <t>IMPORTE TOTAL</t>
        </is>
      </c>
      <c r="F94" s="4" t="inlineStr">
        <is>
          <t>SEMANA</t>
        </is>
      </c>
      <c r="G94" s="4" t="inlineStr">
        <is>
          <t>LITROS CONSUMIDOS</t>
        </is>
      </c>
      <c r="H94" s="4" t="inlineStr">
        <is>
          <t>PRECIO PROM. ($/L)</t>
        </is>
      </c>
      <c r="I94" s="4" t="inlineStr">
        <is>
          <t>IMPORTE TOTAL</t>
        </is>
      </c>
    </row>
    <row r="95" ht="18" customHeight="1">
      <c r="A95" s="5" t="inlineStr">
        <is>
          <t>Semana 32</t>
        </is>
      </c>
      <c r="B95" s="6" t="n">
        <v>407</v>
      </c>
      <c r="C95" s="7" t="n">
        <v>27</v>
      </c>
      <c r="D95" s="8" t="n">
        <v>10989</v>
      </c>
      <c r="F95" s="5" t="inlineStr">
        <is>
          <t>Semana 28</t>
        </is>
      </c>
      <c r="G95" s="6" t="n"/>
      <c r="H95" s="7" t="n">
        <v>27</v>
      </c>
      <c r="I95" s="8" t="n"/>
    </row>
    <row r="96" ht="18" customHeight="1">
      <c r="A96" s="9" t="inlineStr">
        <is>
          <t>Semana 33</t>
        </is>
      </c>
      <c r="B96" s="10" t="n">
        <v>260</v>
      </c>
      <c r="C96" s="11" t="n">
        <v>27</v>
      </c>
      <c r="D96" s="12" t="n">
        <v>7020</v>
      </c>
      <c r="F96" s="9" t="inlineStr">
        <is>
          <t>Semana 29</t>
        </is>
      </c>
      <c r="G96" s="10" t="n"/>
      <c r="H96" s="11" t="n">
        <v>27</v>
      </c>
      <c r="I96" s="12" t="n">
        <v>0</v>
      </c>
    </row>
    <row r="97" ht="20" customHeight="1">
      <c r="A97" s="5" t="inlineStr">
        <is>
          <t>Semana 34</t>
        </is>
      </c>
      <c r="B97" s="6" t="n">
        <v>608</v>
      </c>
      <c r="C97" s="7" t="n">
        <v>27</v>
      </c>
      <c r="D97" s="8" t="n">
        <v>16416</v>
      </c>
      <c r="F97" s="13" t="inlineStr">
        <is>
          <t>TOTAL — Vicente Lombardo</t>
        </is>
      </c>
      <c r="G97" s="14" t="n">
        <v>0</v>
      </c>
      <c r="H97" s="15" t="inlineStr"/>
      <c r="I97" s="16" t="n">
        <v>0</v>
      </c>
    </row>
    <row r="98" ht="20" customHeight="1">
      <c r="A98" s="13" t="inlineStr">
        <is>
          <t>TOTAL — San Felipe Tlalminilolpan</t>
        </is>
      </c>
      <c r="B98" s="14" t="n">
        <v>1275</v>
      </c>
      <c r="C98" s="15" t="inlineStr"/>
      <c r="D98" s="16" t="n">
        <v>34425</v>
      </c>
    </row>
  </sheetData>
  <mergeCells count="18">
    <mergeCell ref="F93:I93"/>
    <mergeCell ref="F31:I31"/>
    <mergeCell ref="A2:I2"/>
    <mergeCell ref="A31:D31"/>
    <mergeCell ref="F41:I41"/>
    <mergeCell ref="A61:D61"/>
    <mergeCell ref="A77:D77"/>
    <mergeCell ref="A4:D4"/>
    <mergeCell ref="F4:I4"/>
    <mergeCell ref="F61:I61"/>
    <mergeCell ref="F77:I77"/>
    <mergeCell ref="A54:D54"/>
    <mergeCell ref="A1:I1"/>
    <mergeCell ref="F16:I16"/>
    <mergeCell ref="A41:D41"/>
    <mergeCell ref="A16:D16"/>
    <mergeCell ref="F54:I54"/>
    <mergeCell ref="A93:D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</cols>
  <sheetData>
    <row r="1" ht="26" customHeight="1">
      <c r="A1" s="17" t="inlineStr">
        <is>
          <t>GRUPO TRUJANO — REPORTE ESTADÍSTICO, RENDIMIENTO Y CONTROL DE COMBUSTIBLE (DIÉSEL)</t>
        </is>
      </c>
    </row>
    <row r="2" ht="18" customHeight="1">
      <c r="A2" s="18" t="inlineStr">
        <is>
          <t>Sistema Fénix 2.0 | Periodo: Histórico Consolidado (Todas las Semanas) | Fecha de Emisión: 2026-08-25 12:58</t>
        </is>
      </c>
    </row>
    <row r="3" ht="8" customHeight="1"/>
    <row r="4" ht="26" customHeight="1">
      <c r="A4" s="19" t="inlineStr">
        <is>
          <t>TOTAL LITROS HISTÓRICOS:  132,117.74 L</t>
        </is>
      </c>
      <c r="B4" s="132" t="n"/>
      <c r="C4" s="20" t="inlineStr">
        <is>
          <t>GASTO TOTAL HISTÓRICO:  $3,409,647.64</t>
        </is>
      </c>
      <c r="D4" s="132" t="n"/>
      <c r="E4" s="21" t="inlineStr">
        <is>
          <t>TOTAL CARGAS / VALES:  1,004 cargas</t>
        </is>
      </c>
      <c r="F4" s="132" t="n"/>
      <c r="G4" s="22" t="inlineStr">
        <is>
          <t>PROMEDIO POR CARGA:  131.59 L</t>
        </is>
      </c>
      <c r="H4" s="132" t="n"/>
      <c r="I4" s="23" t="inlineStr">
        <is>
          <t>OBRAS HISTÓRICAS:  16 Frentes Activos</t>
        </is>
      </c>
      <c r="J4" s="131" t="n"/>
      <c r="K4" s="132" t="n"/>
      <c r="L4" s="24" t="inlineStr">
        <is>
          <t>CONTROL Y AUDITORÍA:  100% Verificado</t>
        </is>
      </c>
      <c r="M4" s="132" t="n"/>
    </row>
    <row r="5" ht="8" customHeight="1"/>
    <row r="6" ht="22" customHeight="1">
      <c r="A6" s="25" t="inlineStr">
        <is>
          <t>1. RESUMEN ESTADÍSTICO HISTÓRICO CONSOLIDADO POR OBRA (TODAS LAS SEMANAS)</t>
        </is>
      </c>
      <c r="B6" s="133" t="n"/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4" t="n"/>
    </row>
    <row r="7" ht="22" customHeight="1">
      <c r="A7" s="26" t="inlineStr">
        <is>
          <t>OBRA / FRENTE DE TRABAJO</t>
        </is>
      </c>
      <c r="B7" s="27" t="inlineStr">
        <is>
          <t>SEMANAS ACTIVAS</t>
        </is>
      </c>
      <c r="C7" s="27" t="inlineStr">
        <is>
          <t>TOTAL CARGAS</t>
        </is>
      </c>
      <c r="D7" s="28" t="inlineStr">
        <is>
          <t>TOTAL LITROS (L)</t>
        </is>
      </c>
      <c r="E7" s="28" t="inlineStr">
        <is>
          <t>GASTO TOTAL ($ MXN)</t>
        </is>
      </c>
      <c r="F7" s="28" t="inlineStr">
        <is>
          <t>PROM. ESPERADO (L)</t>
        </is>
      </c>
      <c r="G7" s="28" t="inlineStr">
        <is>
          <t>GASTO ESPERADO ($)</t>
        </is>
      </c>
      <c r="H7" s="28" t="inlineStr">
        <is>
          <t>PROM. / CARGA (L)</t>
        </is>
      </c>
      <c r="I7" s="28" t="inlineStr">
        <is>
          <t>MÍN. SEMANAL (L)</t>
        </is>
      </c>
      <c r="J7" s="28" t="inlineStr">
        <is>
          <t>MÁX. SEMANAL (L)</t>
        </is>
      </c>
      <c r="K7" s="28" t="inlineStr">
        <is>
          <t>DESV. ESTÁNDAR (σ L)</t>
        </is>
      </c>
      <c r="L7" s="28" t="inlineStr">
        <is>
          <t>VARIANZA (L²)</t>
        </is>
      </c>
      <c r="M7" s="27" t="inlineStr">
        <is>
          <t>ESTATUS HISTÓRICO</t>
        </is>
      </c>
    </row>
    <row r="8" ht="19" customHeight="1">
      <c r="A8" s="5" t="inlineStr">
        <is>
          <t>México - Toluca</t>
        </is>
      </c>
      <c r="B8" s="29" t="n">
        <v>11</v>
      </c>
      <c r="C8" s="29" t="n">
        <v>276</v>
      </c>
      <c r="D8" s="30" t="n">
        <v>29217.89</v>
      </c>
      <c r="E8" s="31" t="n">
        <v>727026.03</v>
      </c>
      <c r="F8" s="32" t="n">
        <v>2656.171818181818</v>
      </c>
      <c r="G8" s="33" t="n">
        <v>66093.27545454545</v>
      </c>
      <c r="H8" s="32" t="n">
        <v>105.8619202898551</v>
      </c>
      <c r="I8" s="34" t="n">
        <v>1285</v>
      </c>
      <c r="J8" s="34" t="n">
        <v>3637</v>
      </c>
      <c r="K8" s="34" t="n">
        <v>750.678668390386</v>
      </c>
      <c r="L8" s="35" t="n">
        <v>563518.4631763636</v>
      </c>
      <c r="M8" s="36" t="inlineStr">
        <is>
          <t>ALTO CONSUMO HISTÓRICO</t>
        </is>
      </c>
    </row>
    <row r="9" ht="19" customHeight="1">
      <c r="A9" s="37" t="inlineStr">
        <is>
          <t>Planta Pegaso</t>
        </is>
      </c>
      <c r="B9" s="38" t="n">
        <v>11</v>
      </c>
      <c r="C9" s="38" t="n">
        <v>66</v>
      </c>
      <c r="D9" s="39" t="n">
        <v>22919.58</v>
      </c>
      <c r="E9" s="40" t="n">
        <v>670155.66</v>
      </c>
      <c r="F9" s="41" t="n">
        <v>2083.598181818182</v>
      </c>
      <c r="G9" s="42" t="n">
        <v>60923.24181818182</v>
      </c>
      <c r="H9" s="41" t="n">
        <v>347.2663636363637</v>
      </c>
      <c r="I9" s="43" t="n">
        <v>647</v>
      </c>
      <c r="J9" s="43" t="n">
        <v>5000</v>
      </c>
      <c r="K9" s="43" t="n">
        <v>1302.322340627068</v>
      </c>
      <c r="L9" s="44" t="n">
        <v>1696043.478896364</v>
      </c>
      <c r="M9" s="36" t="inlineStr">
        <is>
          <t>ALTO CONSUMO HISTÓRICO</t>
        </is>
      </c>
    </row>
    <row r="10" ht="19" customHeight="1">
      <c r="A10" s="5" t="inlineStr">
        <is>
          <t>Planta Huixquilucan</t>
        </is>
      </c>
      <c r="B10" s="29" t="n">
        <v>10</v>
      </c>
      <c r="C10" s="29" t="n">
        <v>109</v>
      </c>
      <c r="D10" s="30" t="n">
        <v>21589.02</v>
      </c>
      <c r="E10" s="31" t="n">
        <v>588303.54</v>
      </c>
      <c r="F10" s="32" t="n">
        <v>2158.902</v>
      </c>
      <c r="G10" s="33" t="n">
        <v>58830.354</v>
      </c>
      <c r="H10" s="32" t="n">
        <v>198.0644036697248</v>
      </c>
      <c r="I10" s="34" t="n">
        <v>1191</v>
      </c>
      <c r="J10" s="34" t="n">
        <v>2800</v>
      </c>
      <c r="K10" s="34" t="n">
        <v>491.952814399466</v>
      </c>
      <c r="L10" s="35" t="n">
        <v>242017.5715955555</v>
      </c>
      <c r="M10" s="36" t="inlineStr">
        <is>
          <t>ALTO CONSUMO HISTÓRICO</t>
        </is>
      </c>
    </row>
    <row r="11" ht="19" customHeight="1">
      <c r="A11" s="37" t="inlineStr">
        <is>
          <t>Lerma - Tres Marías</t>
        </is>
      </c>
      <c r="B11" s="38" t="n">
        <v>8</v>
      </c>
      <c r="C11" s="38" t="n">
        <v>159</v>
      </c>
      <c r="D11" s="39" t="n">
        <v>13515.266</v>
      </c>
      <c r="E11" s="40" t="n">
        <v>288880.182</v>
      </c>
      <c r="F11" s="41" t="n">
        <v>1689.40825</v>
      </c>
      <c r="G11" s="42" t="n">
        <v>36110.02275</v>
      </c>
      <c r="H11" s="41" t="n">
        <v>85.00167295597484</v>
      </c>
      <c r="I11" s="43" t="n">
        <v>554</v>
      </c>
      <c r="J11" s="43" t="n">
        <v>4460</v>
      </c>
      <c r="K11" s="43" t="n">
        <v>1191.503493035555</v>
      </c>
      <c r="L11" s="44" t="n">
        <v>1419680.573915929</v>
      </c>
      <c r="M11" s="45" t="inlineStr">
        <is>
          <t>CONSUMO MODERADO</t>
        </is>
      </c>
    </row>
    <row r="12" ht="19" customHeight="1">
      <c r="A12" s="5" t="inlineStr">
        <is>
          <t>Desasolve</t>
        </is>
      </c>
      <c r="B12" s="29" t="n">
        <v>5</v>
      </c>
      <c r="C12" s="29" t="n">
        <v>89</v>
      </c>
      <c r="D12" s="30" t="n">
        <v>13249.94</v>
      </c>
      <c r="E12" s="31" t="n">
        <v>309837.15</v>
      </c>
      <c r="F12" s="32" t="n">
        <v>2649.988</v>
      </c>
      <c r="G12" s="33" t="n">
        <v>61967.43</v>
      </c>
      <c r="H12" s="32" t="n">
        <v>148.8757303370787</v>
      </c>
      <c r="I12" s="34" t="n">
        <v>1787.49</v>
      </c>
      <c r="J12" s="34" t="n">
        <v>3942</v>
      </c>
      <c r="K12" s="34" t="n">
        <v>993.579941660458</v>
      </c>
      <c r="L12" s="35" t="n">
        <v>987201.1004699999</v>
      </c>
      <c r="M12" s="45" t="inlineStr">
        <is>
          <t>CONSUMO MODERADO</t>
        </is>
      </c>
    </row>
    <row r="13" ht="19" customHeight="1">
      <c r="A13" s="37" t="inlineStr">
        <is>
          <t>Alfredo del Mazo</t>
        </is>
      </c>
      <c r="B13" s="38" t="n">
        <v>7</v>
      </c>
      <c r="C13" s="38" t="n">
        <v>125</v>
      </c>
      <c r="D13" s="39" t="n">
        <v>11945.04</v>
      </c>
      <c r="E13" s="40" t="n">
        <v>294058.08</v>
      </c>
      <c r="F13" s="41" t="n">
        <v>1706.434285714286</v>
      </c>
      <c r="G13" s="42" t="n">
        <v>42008.29714285714</v>
      </c>
      <c r="H13" s="41" t="n">
        <v>95.56032</v>
      </c>
      <c r="I13" s="43" t="n">
        <v>213</v>
      </c>
      <c r="J13" s="43" t="n">
        <v>3263.04</v>
      </c>
      <c r="K13" s="43" t="n">
        <v>1050.295533121625</v>
      </c>
      <c r="L13" s="44" t="n">
        <v>1103120.706895238</v>
      </c>
      <c r="M13" s="45" t="inlineStr">
        <is>
          <t>CONSUMO MODERADO</t>
        </is>
      </c>
    </row>
    <row r="14" ht="19" customHeight="1">
      <c r="A14" s="5" t="inlineStr">
        <is>
          <t>Bacheo Toluca</t>
        </is>
      </c>
      <c r="B14" s="29" t="n">
        <v>10</v>
      </c>
      <c r="C14" s="29" t="n">
        <v>53</v>
      </c>
      <c r="D14" s="30" t="n">
        <v>7037</v>
      </c>
      <c r="E14" s="31" t="n">
        <v>189999</v>
      </c>
      <c r="F14" s="32" t="n">
        <v>703.7</v>
      </c>
      <c r="G14" s="33" t="n">
        <v>18999.9</v>
      </c>
      <c r="H14" s="32" t="n">
        <v>132.7735849056604</v>
      </c>
      <c r="I14" s="34" t="n">
        <v>140</v>
      </c>
      <c r="J14" s="34" t="n">
        <v>1554</v>
      </c>
      <c r="K14" s="34" t="n">
        <v>510.903350285877</v>
      </c>
      <c r="L14" s="35" t="n">
        <v>261022.2333333333</v>
      </c>
      <c r="M14" s="45" t="inlineStr">
        <is>
          <t>CONSUMO MODERADO</t>
        </is>
      </c>
    </row>
    <row r="15" ht="19" customHeight="1">
      <c r="A15" s="37" t="inlineStr">
        <is>
          <t>Providencia</t>
        </is>
      </c>
      <c r="B15" s="38" t="n">
        <v>10</v>
      </c>
      <c r="C15" s="38" t="n">
        <v>52</v>
      </c>
      <c r="D15" s="39" t="n">
        <v>3576</v>
      </c>
      <c r="E15" s="40" t="n">
        <v>96552</v>
      </c>
      <c r="F15" s="41" t="n">
        <v>357.6</v>
      </c>
      <c r="G15" s="42" t="n">
        <v>9655.200000000001</v>
      </c>
      <c r="H15" s="41" t="n">
        <v>68.76923076923077</v>
      </c>
      <c r="I15" s="43" t="n">
        <v>40</v>
      </c>
      <c r="J15" s="43" t="n">
        <v>733</v>
      </c>
      <c r="K15" s="43" t="n">
        <v>250.761152405143</v>
      </c>
      <c r="L15" s="44" t="n">
        <v>62881.15555555555</v>
      </c>
      <c r="M15" s="46" t="inlineStr">
        <is>
          <t>NORMAL</t>
        </is>
      </c>
    </row>
    <row r="16" ht="19" customHeight="1">
      <c r="A16" s="5" t="inlineStr">
        <is>
          <t>Vicente Lombardo</t>
        </is>
      </c>
      <c r="B16" s="29" t="n">
        <v>2</v>
      </c>
      <c r="C16" s="29" t="n">
        <v>16</v>
      </c>
      <c r="D16" s="30" t="n">
        <v>2305</v>
      </c>
      <c r="E16" s="31" t="n">
        <v>62235</v>
      </c>
      <c r="F16" s="32" t="n">
        <v>1152.5</v>
      </c>
      <c r="G16" s="33" t="n">
        <v>31117.5</v>
      </c>
      <c r="H16" s="32" t="n">
        <v>144.0625</v>
      </c>
      <c r="I16" s="34" t="n">
        <v>150</v>
      </c>
      <c r="J16" s="34" t="n">
        <v>2155</v>
      </c>
      <c r="K16" s="34" t="n">
        <v>1417.749096279028</v>
      </c>
      <c r="L16" s="35" t="n">
        <v>2010012.5</v>
      </c>
      <c r="M16" s="46" t="inlineStr">
        <is>
          <t>NORMAL</t>
        </is>
      </c>
    </row>
    <row r="17" ht="19" customHeight="1">
      <c r="A17" s="37" t="inlineStr">
        <is>
          <t>Maquinaria</t>
        </is>
      </c>
      <c r="B17" s="38" t="n">
        <v>2</v>
      </c>
      <c r="C17" s="38" t="n">
        <v>26</v>
      </c>
      <c r="D17" s="39" t="n">
        <v>1854</v>
      </c>
      <c r="E17" s="40" t="n">
        <v>50058</v>
      </c>
      <c r="F17" s="41" t="n">
        <v>927</v>
      </c>
      <c r="G17" s="42" t="n">
        <v>25029</v>
      </c>
      <c r="H17" s="41" t="n">
        <v>71.30769230769231</v>
      </c>
      <c r="I17" s="43" t="n">
        <v>161</v>
      </c>
      <c r="J17" s="43" t="n">
        <v>1693</v>
      </c>
      <c r="K17" s="43" t="n">
        <v>1083.287588777791</v>
      </c>
      <c r="L17" s="44" t="n">
        <v>1173512</v>
      </c>
      <c r="M17" s="46" t="inlineStr">
        <is>
          <t>NORMAL</t>
        </is>
      </c>
    </row>
    <row r="18" ht="19" customHeight="1">
      <c r="A18" s="5" t="inlineStr">
        <is>
          <t>Colegio Militar</t>
        </is>
      </c>
      <c r="B18" s="29" t="n">
        <v>2</v>
      </c>
      <c r="C18" s="29" t="n">
        <v>10</v>
      </c>
      <c r="D18" s="30" t="n">
        <v>1663</v>
      </c>
      <c r="E18" s="31" t="n">
        <v>44901</v>
      </c>
      <c r="F18" s="32" t="n">
        <v>831.5</v>
      </c>
      <c r="G18" s="33" t="n">
        <v>22450.5</v>
      </c>
      <c r="H18" s="32" t="n">
        <v>166.3</v>
      </c>
      <c r="I18" s="34" t="n">
        <v>668</v>
      </c>
      <c r="J18" s="34" t="n">
        <v>995</v>
      </c>
      <c r="K18" s="34" t="n">
        <v>231.223917448001</v>
      </c>
      <c r="L18" s="35" t="n">
        <v>53464.5</v>
      </c>
      <c r="M18" s="46" t="inlineStr">
        <is>
          <t>NORMAL</t>
        </is>
      </c>
    </row>
    <row r="19" ht="19" customHeight="1">
      <c r="A19" s="37" t="inlineStr">
        <is>
          <t>San Felipe Tlalminilolpan</t>
        </is>
      </c>
      <c r="B19" s="38" t="n">
        <v>3</v>
      </c>
      <c r="C19" s="38" t="n">
        <v>14</v>
      </c>
      <c r="D19" s="39" t="n">
        <v>1275</v>
      </c>
      <c r="E19" s="40" t="n">
        <v>34425</v>
      </c>
      <c r="F19" s="41" t="n">
        <v>425</v>
      </c>
      <c r="G19" s="42" t="n">
        <v>11475</v>
      </c>
      <c r="H19" s="41" t="n">
        <v>91.07142857142857</v>
      </c>
      <c r="I19" s="43" t="n">
        <v>260</v>
      </c>
      <c r="J19" s="43" t="n">
        <v>608</v>
      </c>
      <c r="K19" s="43" t="n">
        <v>174.696880338488</v>
      </c>
      <c r="L19" s="44" t="n">
        <v>30519</v>
      </c>
      <c r="M19" s="46" t="inlineStr">
        <is>
          <t>NORMAL</t>
        </is>
      </c>
    </row>
    <row r="20" ht="19" customHeight="1">
      <c r="A20" s="5" t="inlineStr">
        <is>
          <t>Constitución</t>
        </is>
      </c>
      <c r="B20" s="29" t="n">
        <v>1</v>
      </c>
      <c r="C20" s="29" t="n">
        <v>1</v>
      </c>
      <c r="D20" s="30" t="n">
        <v>680</v>
      </c>
      <c r="E20" s="31" t="n">
        <v>18360</v>
      </c>
      <c r="F20" s="32" t="n">
        <v>680</v>
      </c>
      <c r="G20" s="33" t="n">
        <v>18360</v>
      </c>
      <c r="H20" s="32" t="n">
        <v>680</v>
      </c>
      <c r="I20" s="34" t="n">
        <v>680</v>
      </c>
      <c r="J20" s="34" t="n">
        <v>680</v>
      </c>
      <c r="K20" s="34" t="n">
        <v>0</v>
      </c>
      <c r="L20" s="35" t="n">
        <v>0</v>
      </c>
      <c r="M20" s="46" t="inlineStr">
        <is>
          <t>NORMAL</t>
        </is>
      </c>
    </row>
    <row r="21" ht="19" customHeight="1">
      <c r="A21" s="37" t="inlineStr">
        <is>
          <t>METEPEC ARBOL DE LA VIDA</t>
        </is>
      </c>
      <c r="B21" s="38" t="n">
        <v>2</v>
      </c>
      <c r="C21" s="38" t="n">
        <v>2</v>
      </c>
      <c r="D21" s="39" t="n">
        <v>642</v>
      </c>
      <c r="E21" s="40" t="n">
        <v>17334</v>
      </c>
      <c r="F21" s="41" t="n">
        <v>321</v>
      </c>
      <c r="G21" s="42" t="n">
        <v>8667</v>
      </c>
      <c r="H21" s="41" t="n">
        <v>321</v>
      </c>
      <c r="I21" s="43" t="n">
        <v>129</v>
      </c>
      <c r="J21" s="43" t="n">
        <v>513</v>
      </c>
      <c r="K21" s="43" t="n">
        <v>271.529003975634</v>
      </c>
      <c r="L21" s="44" t="n">
        <v>73728</v>
      </c>
      <c r="M21" s="46" t="inlineStr">
        <is>
          <t>NORMAL</t>
        </is>
      </c>
    </row>
    <row r="22" ht="19" customHeight="1">
      <c r="A22" s="5" t="inlineStr">
        <is>
          <t>Aurelio Venegas</t>
        </is>
      </c>
      <c r="B22" s="29" t="n">
        <v>2</v>
      </c>
      <c r="C22" s="29" t="n">
        <v>5</v>
      </c>
      <c r="D22" s="30" t="n">
        <v>480</v>
      </c>
      <c r="E22" s="31" t="n">
        <v>12960</v>
      </c>
      <c r="F22" s="32" t="n">
        <v>240</v>
      </c>
      <c r="G22" s="33" t="n">
        <v>6480</v>
      </c>
      <c r="H22" s="32" t="n">
        <v>96</v>
      </c>
      <c r="I22" s="34" t="n">
        <v>120</v>
      </c>
      <c r="J22" s="34" t="n">
        <v>360</v>
      </c>
      <c r="K22" s="34" t="n">
        <v>169.705627484771</v>
      </c>
      <c r="L22" s="35" t="n">
        <v>28800</v>
      </c>
      <c r="M22" s="46" t="inlineStr">
        <is>
          <t>NORMAL</t>
        </is>
      </c>
    </row>
    <row r="23" ht="19" customHeight="1">
      <c r="A23" s="37" t="inlineStr">
        <is>
          <t>METEPEC</t>
        </is>
      </c>
      <c r="B23" s="38" t="n">
        <v>1</v>
      </c>
      <c r="C23" s="38" t="n">
        <v>1</v>
      </c>
      <c r="D23" s="39" t="n">
        <v>169</v>
      </c>
      <c r="E23" s="40" t="n">
        <v>4563</v>
      </c>
      <c r="F23" s="41" t="n">
        <v>169</v>
      </c>
      <c r="G23" s="42" t="n">
        <v>4563</v>
      </c>
      <c r="H23" s="41" t="n">
        <v>169</v>
      </c>
      <c r="I23" s="43" t="n">
        <v>169</v>
      </c>
      <c r="J23" s="43" t="n">
        <v>169</v>
      </c>
      <c r="K23" s="43" t="n">
        <v>0</v>
      </c>
      <c r="L23" s="44" t="n">
        <v>0</v>
      </c>
      <c r="M23" s="46" t="inlineStr">
        <is>
          <t>NORMAL</t>
        </is>
      </c>
    </row>
    <row r="24" ht="22" customHeight="1">
      <c r="A24" s="47" t="inlineStr">
        <is>
          <t>TOTALES HISTÓRICOS CONSOLIDADOS</t>
        </is>
      </c>
      <c r="B24" s="48" t="inlineStr">
        <is>
          <t>16 Obras</t>
        </is>
      </c>
      <c r="C24" s="49" t="n">
        <v>1004</v>
      </c>
      <c r="D24" s="50" t="n">
        <v>132117.736</v>
      </c>
      <c r="E24" s="51" t="n">
        <v>3409647.642</v>
      </c>
      <c r="F24" s="50" t="n">
        <v>18751.80253571429</v>
      </c>
      <c r="G24" s="51" t="n">
        <v>482729.7211655844</v>
      </c>
      <c r="H24" s="50" t="n">
        <v>131.5913705179283</v>
      </c>
      <c r="I24" s="48" t="inlineStr">
        <is>
          <t>-</t>
        </is>
      </c>
      <c r="J24" s="48" t="inlineStr">
        <is>
          <t>-</t>
        </is>
      </c>
      <c r="K24" s="48" t="inlineStr">
        <is>
          <t>-</t>
        </is>
      </c>
      <c r="L24" s="48" t="inlineStr">
        <is>
          <t>-</t>
        </is>
      </c>
      <c r="M24" s="48" t="inlineStr">
        <is>
          <t>100% AUDITADO</t>
        </is>
      </c>
    </row>
    <row r="26" ht="22" customHeight="1">
      <c r="A26" s="25" t="inlineStr">
        <is>
          <t>2. DESGLOSE SEMANAL INDIVIDUAL Y ANÁLISIS DE RENDIMIENTO (SEMANA A SEMANA)</t>
        </is>
      </c>
      <c r="B26" s="133" t="n"/>
      <c r="C26" s="133" t="n"/>
      <c r="D26" s="133" t="n"/>
      <c r="E26" s="133" t="n"/>
      <c r="F26" s="133" t="n"/>
      <c r="G26" s="133" t="n"/>
      <c r="H26" s="133" t="n"/>
      <c r="I26" s="133" t="n"/>
      <c r="J26" s="133" t="n"/>
      <c r="K26" s="133" t="n"/>
      <c r="L26" s="133" t="n"/>
      <c r="M26" s="134" t="n"/>
    </row>
    <row r="27" ht="20" customHeight="1">
      <c r="A27" s="13" t="inlineStr">
        <is>
          <t>▶  SEMANA 34 — DESGLOSE OPERATIVO POR OBRA</t>
        </is>
      </c>
      <c r="B27" s="131" t="n"/>
      <c r="C27" s="131" t="n"/>
      <c r="D27" s="131" t="n"/>
      <c r="E27" s="131" t="n"/>
      <c r="F27" s="131" t="n"/>
      <c r="G27" s="131" t="n"/>
      <c r="H27" s="131" t="n"/>
      <c r="I27" s="131" t="n"/>
      <c r="J27" s="131" t="n"/>
      <c r="K27" s="131" t="n"/>
      <c r="L27" s="131" t="n"/>
      <c r="M27" s="132" t="n"/>
    </row>
    <row r="28" ht="20" customHeight="1">
      <c r="A28" s="52" t="inlineStr">
        <is>
          <t>OBRA / FRENTE</t>
        </is>
      </c>
      <c r="B28" s="53" t="inlineStr">
        <is>
          <t>CARGAS</t>
        </is>
      </c>
      <c r="C28" s="54" t="inlineStr">
        <is>
          <t>LITROS CONSUMIDOS (L)</t>
        </is>
      </c>
      <c r="D28" s="54" t="inlineStr">
        <is>
          <t>GASTO TOTAL ($ MXN)</t>
        </is>
      </c>
      <c r="E28" s="54" t="inlineStr">
        <is>
          <t>PROM. ESPERADO (L)</t>
        </is>
      </c>
      <c r="F28" s="54" t="inlineStr">
        <is>
          <t>GASTO ESPERADO ($)</t>
        </is>
      </c>
      <c r="G28" s="54" t="inlineStr">
        <is>
          <t>PROM. / CARGA (L)</t>
        </is>
      </c>
      <c r="H28" s="54" t="inlineStr">
        <is>
          <t>PRECIO PROM. ($/L)</t>
        </is>
      </c>
      <c r="I28" s="54" t="inlineStr">
        <is>
          <t>VARIACIÓN (Δ LITROS)</t>
        </is>
      </c>
      <c r="J28" s="54" t="inlineStr">
        <is>
          <t>VARIACIÓN (Δ %)</t>
        </is>
      </c>
      <c r="K28" s="54" t="inlineStr">
        <is>
          <t>VARIANZA SEMANAL</t>
        </is>
      </c>
      <c r="L28" s="53" t="inlineStr">
        <is>
          <t>ESTATUS DE RENDIMIENTO</t>
        </is>
      </c>
      <c r="M28" s="53" t="inlineStr">
        <is>
          <t>ACCIÓN / SUPERVISIÓN</t>
        </is>
      </c>
    </row>
    <row r="29" ht="19" customHeight="1">
      <c r="A29" s="5" t="inlineStr">
        <is>
          <t>México - Toluca</t>
        </is>
      </c>
      <c r="B29" s="29" t="n">
        <v>27</v>
      </c>
      <c r="C29" s="30" t="n">
        <v>3168</v>
      </c>
      <c r="D29" s="31" t="n">
        <v>85536</v>
      </c>
      <c r="E29" s="32" t="n">
        <v>2656.171818181818</v>
      </c>
      <c r="F29" s="33" t="n">
        <v>66093.27545454545</v>
      </c>
      <c r="G29" s="32" t="n">
        <v>117.3333333333333</v>
      </c>
      <c r="H29" s="55" t="n">
        <v>27</v>
      </c>
      <c r="I29" s="56" t="n">
        <v>511.8281818181817</v>
      </c>
      <c r="J29" s="57" t="n">
        <v>0.1926939282747659</v>
      </c>
      <c r="K29" s="35" t="n">
        <v>261968.0877033057</v>
      </c>
      <c r="L29" s="46" t="inlineStr">
        <is>
          <t>NORMAL</t>
        </is>
      </c>
      <c r="M29" s="58" t="inlineStr">
        <is>
          <t>Operación en rango esperado</t>
        </is>
      </c>
    </row>
    <row r="30" ht="19" customHeight="1">
      <c r="A30" s="37" t="inlineStr">
        <is>
          <t>Planta Huixquilucan</t>
        </is>
      </c>
      <c r="B30" s="38" t="n">
        <v>10</v>
      </c>
      <c r="C30" s="39" t="n">
        <v>2243</v>
      </c>
      <c r="D30" s="40" t="n">
        <v>60561</v>
      </c>
      <c r="E30" s="41" t="n">
        <v>2158.902</v>
      </c>
      <c r="F30" s="42" t="n">
        <v>58830.354</v>
      </c>
      <c r="G30" s="41" t="n">
        <v>224.3</v>
      </c>
      <c r="H30" s="59" t="n">
        <v>27</v>
      </c>
      <c r="I30" s="60" t="n">
        <v>84.09799999999996</v>
      </c>
      <c r="J30" s="61" t="n">
        <v>0.0389540609068869</v>
      </c>
      <c r="K30" s="44" t="n">
        <v>7072.473603999993</v>
      </c>
      <c r="L30" s="46" t="inlineStr">
        <is>
          <t>NORMAL</t>
        </is>
      </c>
      <c r="M30" s="62" t="inlineStr">
        <is>
          <t>Operación en rango esperado</t>
        </is>
      </c>
    </row>
    <row r="31" ht="19" customHeight="1">
      <c r="A31" s="5" t="inlineStr">
        <is>
          <t>Planta Pegaso</t>
        </is>
      </c>
      <c r="B31" s="29" t="n">
        <v>1</v>
      </c>
      <c r="C31" s="30" t="n">
        <v>995</v>
      </c>
      <c r="D31" s="31" t="n">
        <v>26865</v>
      </c>
      <c r="E31" s="32" t="n">
        <v>2083.598181818182</v>
      </c>
      <c r="F31" s="33" t="n">
        <v>60923.24181818182</v>
      </c>
      <c r="G31" s="32" t="n">
        <v>995</v>
      </c>
      <c r="H31" s="55" t="n">
        <v>27</v>
      </c>
      <c r="I31" s="63" t="n">
        <v>-1088.598181818182</v>
      </c>
      <c r="J31" s="64" t="n">
        <v>-0.522460708267778</v>
      </c>
      <c r="K31" s="35" t="n">
        <v>1185046.001457851</v>
      </c>
      <c r="L31" s="45" t="inlineStr">
        <is>
          <t>BAJO CONSUMO</t>
        </is>
      </c>
      <c r="M31" s="58" t="inlineStr">
        <is>
          <t>Actividad reducida / paro</t>
        </is>
      </c>
    </row>
    <row r="32" ht="19" customHeight="1">
      <c r="A32" s="37" t="inlineStr">
        <is>
          <t>Alfredo del Mazo</t>
        </is>
      </c>
      <c r="B32" s="38" t="n">
        <v>11</v>
      </c>
      <c r="C32" s="39" t="n">
        <v>865</v>
      </c>
      <c r="D32" s="40" t="n">
        <v>23355</v>
      </c>
      <c r="E32" s="41" t="n">
        <v>1706.434285714286</v>
      </c>
      <c r="F32" s="42" t="n">
        <v>42008.29714285714</v>
      </c>
      <c r="G32" s="41" t="n">
        <v>78.63636363636364</v>
      </c>
      <c r="H32" s="59" t="n">
        <v>27</v>
      </c>
      <c r="I32" s="65" t="n">
        <v>-841.4342857142858</v>
      </c>
      <c r="J32" s="66" t="n">
        <v>-0.4930950419588382</v>
      </c>
      <c r="K32" s="44" t="n">
        <v>708011.6571755103</v>
      </c>
      <c r="L32" s="45" t="inlineStr">
        <is>
          <t>BAJO CONSUMO</t>
        </is>
      </c>
      <c r="M32" s="62" t="inlineStr">
        <is>
          <t>Actividad reducida / paro</t>
        </is>
      </c>
    </row>
    <row r="33" ht="19" customHeight="1">
      <c r="A33" s="5" t="inlineStr">
        <is>
          <t>San Felipe Tlalminilolpan</t>
        </is>
      </c>
      <c r="B33" s="29" t="n">
        <v>8</v>
      </c>
      <c r="C33" s="30" t="n">
        <v>608</v>
      </c>
      <c r="D33" s="31" t="n">
        <v>16416</v>
      </c>
      <c r="E33" s="32" t="n">
        <v>425</v>
      </c>
      <c r="F33" s="33" t="n">
        <v>11475</v>
      </c>
      <c r="G33" s="32" t="n">
        <v>76</v>
      </c>
      <c r="H33" s="55" t="n">
        <v>27</v>
      </c>
      <c r="I33" s="56" t="n">
        <v>183</v>
      </c>
      <c r="J33" s="57" t="n">
        <v>0.4305882352941177</v>
      </c>
      <c r="K33" s="35" t="n">
        <v>33489</v>
      </c>
      <c r="L33" s="36" t="inlineStr">
        <is>
          <t>ALTO CONSUMO</t>
        </is>
      </c>
      <c r="M33" s="58" t="inlineStr">
        <is>
          <t>Revisar jornadas y maquinaria</t>
        </is>
      </c>
    </row>
    <row r="34" ht="19" customHeight="1">
      <c r="A34" s="37" t="inlineStr">
        <is>
          <t>METEPEC ARBOL DE LA VIDA</t>
        </is>
      </c>
      <c r="B34" s="38" t="n">
        <v>1</v>
      </c>
      <c r="C34" s="39" t="n">
        <v>513</v>
      </c>
      <c r="D34" s="40" t="n">
        <v>13851</v>
      </c>
      <c r="E34" s="41" t="n">
        <v>321</v>
      </c>
      <c r="F34" s="42" t="n">
        <v>8667</v>
      </c>
      <c r="G34" s="41" t="n">
        <v>513</v>
      </c>
      <c r="H34" s="59" t="n">
        <v>27</v>
      </c>
      <c r="I34" s="60" t="n">
        <v>192</v>
      </c>
      <c r="J34" s="61" t="n">
        <v>0.5981308411214953</v>
      </c>
      <c r="K34" s="44" t="n">
        <v>36864</v>
      </c>
      <c r="L34" s="36" t="inlineStr">
        <is>
          <t>ALTO CONSUMO</t>
        </is>
      </c>
      <c r="M34" s="62" t="inlineStr">
        <is>
          <t>Revisar jornadas y maquinaria</t>
        </is>
      </c>
    </row>
    <row r="35" ht="19" customHeight="1">
      <c r="A35" s="5" t="inlineStr">
        <is>
          <t>Providencia</t>
        </is>
      </c>
      <c r="B35" s="29" t="n">
        <v>5</v>
      </c>
      <c r="C35" s="30" t="n">
        <v>412</v>
      </c>
      <c r="D35" s="31" t="n">
        <v>11124</v>
      </c>
      <c r="E35" s="32" t="n">
        <v>357.6</v>
      </c>
      <c r="F35" s="33" t="n">
        <v>9655.200000000001</v>
      </c>
      <c r="G35" s="32" t="n">
        <v>82.40000000000001</v>
      </c>
      <c r="H35" s="55" t="n">
        <v>27</v>
      </c>
      <c r="I35" s="56" t="n">
        <v>54.39999999999998</v>
      </c>
      <c r="J35" s="57" t="n">
        <v>0.1521252796420581</v>
      </c>
      <c r="K35" s="35" t="n">
        <v>2959.359999999997</v>
      </c>
      <c r="L35" s="46" t="inlineStr">
        <is>
          <t>NORMAL</t>
        </is>
      </c>
      <c r="M35" s="58" t="inlineStr">
        <is>
          <t>Operación en rango esperado</t>
        </is>
      </c>
    </row>
    <row r="36" ht="20" customHeight="1">
      <c r="A36" s="47" t="inlineStr">
        <is>
          <t>TOTAL SEMANA 34</t>
        </is>
      </c>
      <c r="B36" s="49" t="n">
        <v>63</v>
      </c>
      <c r="C36" s="50" t="n">
        <v>8804</v>
      </c>
      <c r="D36" s="51" t="n">
        <v>237708</v>
      </c>
      <c r="E36" s="48" t="inlineStr">
        <is>
          <t>-</t>
        </is>
      </c>
      <c r="F36" s="48" t="inlineStr">
        <is>
          <t>-</t>
        </is>
      </c>
      <c r="G36" s="50" t="n">
        <v>139.7460317460317</v>
      </c>
      <c r="H36" s="51" t="n">
        <v>27</v>
      </c>
      <c r="I36" s="48" t="inlineStr">
        <is>
          <t>-</t>
        </is>
      </c>
      <c r="J36" s="48" t="inlineStr">
        <is>
          <t>-</t>
        </is>
      </c>
      <c r="K36" s="48" t="inlineStr">
        <is>
          <t>-</t>
        </is>
      </c>
      <c r="L36" s="48" t="inlineStr">
        <is>
          <t>7 Obras</t>
        </is>
      </c>
      <c r="M36" s="48" t="inlineStr">
        <is>
          <t>Balance semanal cerrado</t>
        </is>
      </c>
    </row>
    <row r="38" ht="20" customHeight="1">
      <c r="A38" s="13" t="inlineStr">
        <is>
          <t>▶  SEMANA 33 — DESGLOSE OPERATIVO POR OBRA</t>
        </is>
      </c>
      <c r="B38" s="131" t="n"/>
      <c r="C38" s="131" t="n"/>
      <c r="D38" s="131" t="n"/>
      <c r="E38" s="131" t="n"/>
      <c r="F38" s="131" t="n"/>
      <c r="G38" s="131" t="n"/>
      <c r="H38" s="131" t="n"/>
      <c r="I38" s="131" t="n"/>
      <c r="J38" s="131" t="n"/>
      <c r="K38" s="131" t="n"/>
      <c r="L38" s="131" t="n"/>
      <c r="M38" s="132" t="n"/>
    </row>
    <row r="39" ht="20" customHeight="1">
      <c r="A39" s="52" t="inlineStr">
        <is>
          <t>OBRA / FRENTE</t>
        </is>
      </c>
      <c r="B39" s="53" t="inlineStr">
        <is>
          <t>CARGAS</t>
        </is>
      </c>
      <c r="C39" s="54" t="inlineStr">
        <is>
          <t>LITROS CONSUMIDOS (L)</t>
        </is>
      </c>
      <c r="D39" s="54" t="inlineStr">
        <is>
          <t>GASTO TOTAL ($ MXN)</t>
        </is>
      </c>
      <c r="E39" s="54" t="inlineStr">
        <is>
          <t>PROM. ESPERADO (L)</t>
        </is>
      </c>
      <c r="F39" s="54" t="inlineStr">
        <is>
          <t>GASTO ESPERADO ($)</t>
        </is>
      </c>
      <c r="G39" s="54" t="inlineStr">
        <is>
          <t>PROM. / CARGA (L)</t>
        </is>
      </c>
      <c r="H39" s="54" t="inlineStr">
        <is>
          <t>PRECIO PROM. ($/L)</t>
        </is>
      </c>
      <c r="I39" s="54" t="inlineStr">
        <is>
          <t>VARIACIÓN (Δ LITROS)</t>
        </is>
      </c>
      <c r="J39" s="54" t="inlineStr">
        <is>
          <t>VARIACIÓN (Δ %)</t>
        </is>
      </c>
      <c r="K39" s="54" t="inlineStr">
        <is>
          <t>VARIANZA SEMANAL</t>
        </is>
      </c>
      <c r="L39" s="53" t="inlineStr">
        <is>
          <t>ESTATUS DE RENDIMIENTO</t>
        </is>
      </c>
      <c r="M39" s="53" t="inlineStr">
        <is>
          <t>ACCIÓN / SUPERVISIÓN</t>
        </is>
      </c>
    </row>
    <row r="40" ht="19" customHeight="1">
      <c r="A40" s="5" t="inlineStr">
        <is>
          <t>Planta Pegaso</t>
        </is>
      </c>
      <c r="B40" s="29" t="n">
        <v>3</v>
      </c>
      <c r="C40" s="30" t="n">
        <v>5000</v>
      </c>
      <c r="D40" s="31" t="n">
        <v>189000</v>
      </c>
      <c r="E40" s="32" t="n">
        <v>2083.598181818182</v>
      </c>
      <c r="F40" s="33" t="n">
        <v>60923.24181818182</v>
      </c>
      <c r="G40" s="32" t="n">
        <v>1666.666666666667</v>
      </c>
      <c r="H40" s="55" t="n">
        <v>27</v>
      </c>
      <c r="I40" s="56" t="n">
        <v>2916.401818181818</v>
      </c>
      <c r="J40" s="57" t="n">
        <v>1.399694933327749</v>
      </c>
      <c r="K40" s="35" t="n">
        <v>8505399.565094216</v>
      </c>
      <c r="L40" s="36" t="inlineStr">
        <is>
          <t>ALTO CONSUMO</t>
        </is>
      </c>
      <c r="M40" s="58" t="inlineStr">
        <is>
          <t>Revisar jornadas y maquinaria</t>
        </is>
      </c>
    </row>
    <row r="41" ht="19" customHeight="1">
      <c r="A41" s="37" t="inlineStr">
        <is>
          <t>México - Toluca</t>
        </is>
      </c>
      <c r="B41" s="38" t="n">
        <v>29</v>
      </c>
      <c r="C41" s="39" t="n">
        <v>3040</v>
      </c>
      <c r="D41" s="40" t="n">
        <v>82080</v>
      </c>
      <c r="E41" s="41" t="n">
        <v>2656.171818181818</v>
      </c>
      <c r="F41" s="42" t="n">
        <v>66093.27545454545</v>
      </c>
      <c r="G41" s="41" t="n">
        <v>104.8275862068966</v>
      </c>
      <c r="H41" s="59" t="n">
        <v>27</v>
      </c>
      <c r="I41" s="60" t="n">
        <v>383.8281818181817</v>
      </c>
      <c r="J41" s="61" t="n">
        <v>0.1445042746070986</v>
      </c>
      <c r="K41" s="44" t="n">
        <v>147324.0731578512</v>
      </c>
      <c r="L41" s="46" t="inlineStr">
        <is>
          <t>NORMAL</t>
        </is>
      </c>
      <c r="M41" s="62" t="inlineStr">
        <is>
          <t>Operación en rango esperado</t>
        </is>
      </c>
    </row>
    <row r="42" ht="19" customHeight="1">
      <c r="A42" s="5" t="inlineStr">
        <is>
          <t>Planta Huixquilucan</t>
        </is>
      </c>
      <c r="B42" s="29" t="n">
        <v>11</v>
      </c>
      <c r="C42" s="30" t="n">
        <v>2800</v>
      </c>
      <c r="D42" s="31" t="n">
        <v>75600</v>
      </c>
      <c r="E42" s="32" t="n">
        <v>2158.902</v>
      </c>
      <c r="F42" s="33" t="n">
        <v>58830.354</v>
      </c>
      <c r="G42" s="32" t="n">
        <v>254.5454545454545</v>
      </c>
      <c r="H42" s="55" t="n">
        <v>27</v>
      </c>
      <c r="I42" s="56" t="n">
        <v>641.098</v>
      </c>
      <c r="J42" s="57" t="n">
        <v>0.2969555820505053</v>
      </c>
      <c r="K42" s="35" t="n">
        <v>411006.645604</v>
      </c>
      <c r="L42" s="46" t="inlineStr">
        <is>
          <t>NORMAL</t>
        </is>
      </c>
      <c r="M42" s="58" t="inlineStr">
        <is>
          <t>Operación en rango esperado</t>
        </is>
      </c>
    </row>
    <row r="43" ht="19" customHeight="1">
      <c r="A43" s="37" t="inlineStr">
        <is>
          <t>Alfredo del Mazo</t>
        </is>
      </c>
      <c r="B43" s="38" t="n">
        <v>18</v>
      </c>
      <c r="C43" s="39" t="n">
        <v>1185</v>
      </c>
      <c r="D43" s="40" t="n">
        <v>31995</v>
      </c>
      <c r="E43" s="41" t="n">
        <v>1706.434285714286</v>
      </c>
      <c r="F43" s="42" t="n">
        <v>42008.29714285714</v>
      </c>
      <c r="G43" s="41" t="n">
        <v>65.83333333333333</v>
      </c>
      <c r="H43" s="59" t="n">
        <v>27</v>
      </c>
      <c r="I43" s="65" t="n">
        <v>-521.4342857142858</v>
      </c>
      <c r="J43" s="66" t="n">
        <v>-0.3055695083482349</v>
      </c>
      <c r="K43" s="44" t="n">
        <v>271893.7143183674</v>
      </c>
      <c r="L43" s="45" t="inlineStr">
        <is>
          <t>BAJO CONSUMO</t>
        </is>
      </c>
      <c r="M43" s="62" t="inlineStr">
        <is>
          <t>Actividad reducida / paro</t>
        </is>
      </c>
    </row>
    <row r="44" ht="19" customHeight="1">
      <c r="A44" s="5" t="inlineStr">
        <is>
          <t>San Felipe Tlalminilolpan</t>
        </is>
      </c>
      <c r="B44" s="29" t="n">
        <v>3</v>
      </c>
      <c r="C44" s="30" t="n">
        <v>260</v>
      </c>
      <c r="D44" s="31" t="n">
        <v>7020</v>
      </c>
      <c r="E44" s="32" t="n">
        <v>425</v>
      </c>
      <c r="F44" s="33" t="n">
        <v>11475</v>
      </c>
      <c r="G44" s="32" t="n">
        <v>86.66666666666667</v>
      </c>
      <c r="H44" s="55" t="n">
        <v>27</v>
      </c>
      <c r="I44" s="63" t="n">
        <v>-165</v>
      </c>
      <c r="J44" s="64" t="n">
        <v>-0.3882352941176471</v>
      </c>
      <c r="K44" s="35" t="n">
        <v>27225</v>
      </c>
      <c r="L44" s="45" t="inlineStr">
        <is>
          <t>BAJO CONSUMO</t>
        </is>
      </c>
      <c r="M44" s="58" t="inlineStr">
        <is>
          <t>Actividad reducida / paro</t>
        </is>
      </c>
    </row>
    <row r="45" ht="19" customHeight="1">
      <c r="A45" s="37" t="inlineStr">
        <is>
          <t>Bacheo Toluca</t>
        </is>
      </c>
      <c r="B45" s="38" t="n">
        <v>2</v>
      </c>
      <c r="C45" s="39" t="n">
        <v>140</v>
      </c>
      <c r="D45" s="40" t="n">
        <v>3780</v>
      </c>
      <c r="E45" s="41" t="n">
        <v>703.7</v>
      </c>
      <c r="F45" s="42" t="n">
        <v>18999.9</v>
      </c>
      <c r="G45" s="41" t="n">
        <v>70</v>
      </c>
      <c r="H45" s="59" t="n">
        <v>27</v>
      </c>
      <c r="I45" s="65" t="n">
        <v>-563.7</v>
      </c>
      <c r="J45" s="66" t="n">
        <v>-0.8010515844820236</v>
      </c>
      <c r="K45" s="44" t="n">
        <v>317757.6900000001</v>
      </c>
      <c r="L45" s="45" t="inlineStr">
        <is>
          <t>BAJO CONSUMO</t>
        </is>
      </c>
      <c r="M45" s="62" t="inlineStr">
        <is>
          <t>Actividad reducida / paro</t>
        </is>
      </c>
    </row>
    <row r="46" ht="19" customHeight="1">
      <c r="A46" s="5" t="inlineStr">
        <is>
          <t>Aurelio Venegas</t>
        </is>
      </c>
      <c r="B46" s="29" t="n">
        <v>1</v>
      </c>
      <c r="C46" s="30" t="n">
        <v>120</v>
      </c>
      <c r="D46" s="31" t="n">
        <v>3240</v>
      </c>
      <c r="E46" s="32" t="n">
        <v>240</v>
      </c>
      <c r="F46" s="33" t="n">
        <v>6480</v>
      </c>
      <c r="G46" s="32" t="n">
        <v>120</v>
      </c>
      <c r="H46" s="55" t="n">
        <v>27</v>
      </c>
      <c r="I46" s="63" t="n">
        <v>-120</v>
      </c>
      <c r="J46" s="64" t="n">
        <v>-0.5</v>
      </c>
      <c r="K46" s="35" t="n">
        <v>14400</v>
      </c>
      <c r="L46" s="45" t="inlineStr">
        <is>
          <t>BAJO CONSUMO</t>
        </is>
      </c>
      <c r="M46" s="58" t="inlineStr">
        <is>
          <t>Actividad reducida / paro</t>
        </is>
      </c>
    </row>
    <row r="47" ht="19" customHeight="1">
      <c r="A47" s="37" t="inlineStr">
        <is>
          <t>Providencia</t>
        </is>
      </c>
      <c r="B47" s="38" t="n">
        <v>3</v>
      </c>
      <c r="C47" s="39" t="n">
        <v>100</v>
      </c>
      <c r="D47" s="40" t="n">
        <v>2700</v>
      </c>
      <c r="E47" s="41" t="n">
        <v>357.6</v>
      </c>
      <c r="F47" s="42" t="n">
        <v>9655.200000000001</v>
      </c>
      <c r="G47" s="41" t="n">
        <v>33.33333333333334</v>
      </c>
      <c r="H47" s="59" t="n">
        <v>27</v>
      </c>
      <c r="I47" s="65" t="n">
        <v>-257.6</v>
      </c>
      <c r="J47" s="66" t="n">
        <v>-0.7203579418344519</v>
      </c>
      <c r="K47" s="44" t="n">
        <v>66357.76000000001</v>
      </c>
      <c r="L47" s="45" t="inlineStr">
        <is>
          <t>BAJO CONSUMO</t>
        </is>
      </c>
      <c r="M47" s="62" t="inlineStr">
        <is>
          <t>Actividad reducida / paro</t>
        </is>
      </c>
    </row>
    <row r="48" ht="20" customHeight="1">
      <c r="A48" s="47" t="inlineStr">
        <is>
          <t>TOTAL SEMANA 33</t>
        </is>
      </c>
      <c r="B48" s="49" t="n">
        <v>70</v>
      </c>
      <c r="C48" s="50" t="n">
        <v>12645</v>
      </c>
      <c r="D48" s="51" t="n">
        <v>395415</v>
      </c>
      <c r="E48" s="48" t="inlineStr">
        <is>
          <t>-</t>
        </is>
      </c>
      <c r="F48" s="48" t="inlineStr">
        <is>
          <t>-</t>
        </is>
      </c>
      <c r="G48" s="50" t="n">
        <v>180.6428571428571</v>
      </c>
      <c r="H48" s="51" t="n">
        <v>31.27046263345196</v>
      </c>
      <c r="I48" s="48" t="inlineStr">
        <is>
          <t>-</t>
        </is>
      </c>
      <c r="J48" s="48" t="inlineStr">
        <is>
          <t>-</t>
        </is>
      </c>
      <c r="K48" s="48" t="inlineStr">
        <is>
          <t>-</t>
        </is>
      </c>
      <c r="L48" s="48" t="inlineStr">
        <is>
          <t>8 Obras</t>
        </is>
      </c>
      <c r="M48" s="48" t="inlineStr">
        <is>
          <t>Balance semanal cerrado</t>
        </is>
      </c>
    </row>
    <row r="50" ht="20" customHeight="1">
      <c r="A50" s="13" t="inlineStr">
        <is>
          <t>▶  SEMANA 32 — DESGLOSE OPERATIVO POR OBRA</t>
        </is>
      </c>
      <c r="B50" s="131" t="n"/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1" t="n"/>
      <c r="L50" s="131" t="n"/>
      <c r="M50" s="132" t="n"/>
    </row>
    <row r="51" ht="20" customHeight="1">
      <c r="A51" s="52" t="inlineStr">
        <is>
          <t>OBRA / FRENTE</t>
        </is>
      </c>
      <c r="B51" s="53" t="inlineStr">
        <is>
          <t>CARGAS</t>
        </is>
      </c>
      <c r="C51" s="54" t="inlineStr">
        <is>
          <t>LITROS CONSUMIDOS (L)</t>
        </is>
      </c>
      <c r="D51" s="54" t="inlineStr">
        <is>
          <t>GASTO TOTAL ($ MXN)</t>
        </is>
      </c>
      <c r="E51" s="54" t="inlineStr">
        <is>
          <t>PROM. ESPERADO (L)</t>
        </is>
      </c>
      <c r="F51" s="54" t="inlineStr">
        <is>
          <t>GASTO ESPERADO ($)</t>
        </is>
      </c>
      <c r="G51" s="54" t="inlineStr">
        <is>
          <t>PROM. / CARGA (L)</t>
        </is>
      </c>
      <c r="H51" s="54" t="inlineStr">
        <is>
          <t>PRECIO PROM. ($/L)</t>
        </is>
      </c>
      <c r="I51" s="54" t="inlineStr">
        <is>
          <t>VARIACIÓN (Δ LITROS)</t>
        </is>
      </c>
      <c r="J51" s="54" t="inlineStr">
        <is>
          <t>VARIACIÓN (Δ %)</t>
        </is>
      </c>
      <c r="K51" s="54" t="inlineStr">
        <is>
          <t>VARIANZA SEMANAL</t>
        </is>
      </c>
      <c r="L51" s="53" t="inlineStr">
        <is>
          <t>ESTATUS DE RENDIMIENTO</t>
        </is>
      </c>
      <c r="M51" s="53" t="inlineStr">
        <is>
          <t>ACCIÓN / SUPERVISIÓN</t>
        </is>
      </c>
    </row>
    <row r="52" ht="19" customHeight="1">
      <c r="A52" s="5" t="inlineStr">
        <is>
          <t>México - Toluca</t>
        </is>
      </c>
      <c r="B52" s="29" t="n">
        <v>24</v>
      </c>
      <c r="C52" s="30" t="n">
        <v>2756</v>
      </c>
      <c r="D52" s="31" t="n">
        <v>70443</v>
      </c>
      <c r="E52" s="32" t="n">
        <v>2656.171818181818</v>
      </c>
      <c r="F52" s="33" t="n">
        <v>66093.27545454545</v>
      </c>
      <c r="G52" s="32" t="n">
        <v>114.8333333333333</v>
      </c>
      <c r="H52" s="55" t="n">
        <v>27</v>
      </c>
      <c r="I52" s="56" t="n">
        <v>99.82818181818175</v>
      </c>
      <c r="J52" s="57" t="n">
        <v>0.03758348053196173</v>
      </c>
      <c r="K52" s="35" t="n">
        <v>9965.665885123954</v>
      </c>
      <c r="L52" s="46" t="inlineStr">
        <is>
          <t>NORMAL</t>
        </is>
      </c>
      <c r="M52" s="58" t="inlineStr">
        <is>
          <t>Operación en rango esperado</t>
        </is>
      </c>
    </row>
    <row r="53" ht="19" customHeight="1">
      <c r="A53" s="37" t="inlineStr">
        <is>
          <t>Planta Huixquilucan</t>
        </is>
      </c>
      <c r="B53" s="38" t="n">
        <v>11</v>
      </c>
      <c r="C53" s="39" t="n">
        <v>2461</v>
      </c>
      <c r="D53" s="40" t="n">
        <v>66447</v>
      </c>
      <c r="E53" s="41" t="n">
        <v>2158.902</v>
      </c>
      <c r="F53" s="42" t="n">
        <v>58830.354</v>
      </c>
      <c r="G53" s="41" t="n">
        <v>223.7272727272727</v>
      </c>
      <c r="H53" s="59" t="n">
        <v>27</v>
      </c>
      <c r="I53" s="60" t="n">
        <v>302.098</v>
      </c>
      <c r="J53" s="61" t="n">
        <v>0.139931316937962</v>
      </c>
      <c r="K53" s="44" t="n">
        <v>91263.20160399997</v>
      </c>
      <c r="L53" s="46" t="inlineStr">
        <is>
          <t>NORMAL</t>
        </is>
      </c>
      <c r="M53" s="62" t="inlineStr">
        <is>
          <t>Operación en rango esperado</t>
        </is>
      </c>
    </row>
    <row r="54" ht="19" customHeight="1">
      <c r="A54" s="5" t="inlineStr">
        <is>
          <t>Alfredo del Mazo</t>
        </is>
      </c>
      <c r="B54" s="29" t="n">
        <v>20</v>
      </c>
      <c r="C54" s="30" t="n">
        <v>2210</v>
      </c>
      <c r="D54" s="31" t="n">
        <v>58212</v>
      </c>
      <c r="E54" s="32" t="n">
        <v>1706.434285714286</v>
      </c>
      <c r="F54" s="33" t="n">
        <v>42008.29714285714</v>
      </c>
      <c r="G54" s="32" t="n">
        <v>110.5</v>
      </c>
      <c r="H54" s="55" t="n">
        <v>27</v>
      </c>
      <c r="I54" s="56" t="n">
        <v>503.5657142857142</v>
      </c>
      <c r="J54" s="57" t="n">
        <v>0.2950982164982285</v>
      </c>
      <c r="K54" s="35" t="n">
        <v>253578.4286040815</v>
      </c>
      <c r="L54" s="46" t="inlineStr">
        <is>
          <t>NORMAL</t>
        </is>
      </c>
      <c r="M54" s="58" t="inlineStr">
        <is>
          <t>Operación en rango esperado</t>
        </is>
      </c>
    </row>
    <row r="55" ht="19" customHeight="1">
      <c r="A55" s="37" t="inlineStr">
        <is>
          <t>Desasolve</t>
        </is>
      </c>
      <c r="B55" s="38" t="n">
        <v>12</v>
      </c>
      <c r="C55" s="39" t="n">
        <v>2097</v>
      </c>
      <c r="D55" s="40" t="n">
        <v>56619</v>
      </c>
      <c r="E55" s="41" t="n">
        <v>2649.988</v>
      </c>
      <c r="F55" s="42" t="n">
        <v>61967.43</v>
      </c>
      <c r="G55" s="41" t="n">
        <v>174.75</v>
      </c>
      <c r="H55" s="59" t="n">
        <v>27</v>
      </c>
      <c r="I55" s="65" t="n">
        <v>-552.9879999999998</v>
      </c>
      <c r="J55" s="66" t="n">
        <v>-0.2086756619275257</v>
      </c>
      <c r="K55" s="44" t="n">
        <v>305795.7281439998</v>
      </c>
      <c r="L55" s="46" t="inlineStr">
        <is>
          <t>NORMAL</t>
        </is>
      </c>
      <c r="M55" s="62" t="inlineStr">
        <is>
          <t>Operación en rango esperado</t>
        </is>
      </c>
    </row>
    <row r="56" ht="19" customHeight="1">
      <c r="A56" s="5" t="inlineStr">
        <is>
          <t>Planta Pegaso</t>
        </is>
      </c>
      <c r="B56" s="29" t="n">
        <v>6</v>
      </c>
      <c r="C56" s="30" t="n">
        <v>1610</v>
      </c>
      <c r="D56" s="31" t="n">
        <v>43470</v>
      </c>
      <c r="E56" s="32" t="n">
        <v>2083.598181818182</v>
      </c>
      <c r="F56" s="33" t="n">
        <v>60923.24181818182</v>
      </c>
      <c r="G56" s="32" t="n">
        <v>268.3333333333333</v>
      </c>
      <c r="H56" s="55" t="n">
        <v>27</v>
      </c>
      <c r="I56" s="63" t="n">
        <v>-473.5981818181817</v>
      </c>
      <c r="J56" s="64" t="n">
        <v>-0.2272982314684649</v>
      </c>
      <c r="K56" s="35" t="n">
        <v>224295.2378214875</v>
      </c>
      <c r="L56" s="46" t="inlineStr">
        <is>
          <t>NORMAL</t>
        </is>
      </c>
      <c r="M56" s="58" t="inlineStr">
        <is>
          <t>Operación en rango esperado</t>
        </is>
      </c>
    </row>
    <row r="57" ht="19" customHeight="1">
      <c r="A57" s="37" t="inlineStr">
        <is>
          <t>Constitución</t>
        </is>
      </c>
      <c r="B57" s="38" t="n">
        <v>1</v>
      </c>
      <c r="C57" s="39" t="n">
        <v>680</v>
      </c>
      <c r="D57" s="40" t="n">
        <v>18360</v>
      </c>
      <c r="E57" s="41" t="n">
        <v>680</v>
      </c>
      <c r="F57" s="42" t="n">
        <v>18360</v>
      </c>
      <c r="G57" s="41" t="n">
        <v>680</v>
      </c>
      <c r="H57" s="59" t="n">
        <v>27</v>
      </c>
      <c r="I57" s="65" t="n">
        <v>0</v>
      </c>
      <c r="J57" s="66" t="n">
        <v>0</v>
      </c>
      <c r="K57" s="44" t="n">
        <v>0</v>
      </c>
      <c r="L57" s="46" t="inlineStr">
        <is>
          <t>NORMAL</t>
        </is>
      </c>
      <c r="M57" s="62" t="inlineStr">
        <is>
          <t>Operación en rango esperado</t>
        </is>
      </c>
    </row>
    <row r="58" ht="19" customHeight="1">
      <c r="A58" s="5" t="inlineStr">
        <is>
          <t>San Felipe Tlalminilolpan</t>
        </is>
      </c>
      <c r="B58" s="29" t="n">
        <v>3</v>
      </c>
      <c r="C58" s="30" t="n">
        <v>407</v>
      </c>
      <c r="D58" s="31" t="n">
        <v>10989</v>
      </c>
      <c r="E58" s="32" t="n">
        <v>425</v>
      </c>
      <c r="F58" s="33" t="n">
        <v>11475</v>
      </c>
      <c r="G58" s="32" t="n">
        <v>135.6666666666667</v>
      </c>
      <c r="H58" s="55" t="n">
        <v>27</v>
      </c>
      <c r="I58" s="63" t="n">
        <v>-18</v>
      </c>
      <c r="J58" s="64" t="n">
        <v>-0.04235294117647059</v>
      </c>
      <c r="K58" s="35" t="n">
        <v>324</v>
      </c>
      <c r="L58" s="46" t="inlineStr">
        <is>
          <t>NORMAL</t>
        </is>
      </c>
      <c r="M58" s="58" t="inlineStr">
        <is>
          <t>Operación en rango esperado</t>
        </is>
      </c>
    </row>
    <row r="59" ht="19" customHeight="1">
      <c r="A59" s="37" t="inlineStr">
        <is>
          <t>Aurelio Venegas</t>
        </is>
      </c>
      <c r="B59" s="38" t="n">
        <v>4</v>
      </c>
      <c r="C59" s="39" t="n">
        <v>360</v>
      </c>
      <c r="D59" s="40" t="n">
        <v>9720</v>
      </c>
      <c r="E59" s="41" t="n">
        <v>240</v>
      </c>
      <c r="F59" s="42" t="n">
        <v>6480</v>
      </c>
      <c r="G59" s="41" t="n">
        <v>90</v>
      </c>
      <c r="H59" s="59" t="n">
        <v>27</v>
      </c>
      <c r="I59" s="60" t="n">
        <v>120</v>
      </c>
      <c r="J59" s="61" t="n">
        <v>0.5</v>
      </c>
      <c r="K59" s="44" t="n">
        <v>14400</v>
      </c>
      <c r="L59" s="36" t="inlineStr">
        <is>
          <t>ALTO CONSUMO</t>
        </is>
      </c>
      <c r="M59" s="62" t="inlineStr">
        <is>
          <t>Revisar jornadas y maquinaria</t>
        </is>
      </c>
    </row>
    <row r="60" ht="19" customHeight="1">
      <c r="A60" s="5" t="inlineStr">
        <is>
          <t>Providencia</t>
        </is>
      </c>
      <c r="B60" s="29" t="n">
        <v>3</v>
      </c>
      <c r="C60" s="30" t="n">
        <v>177</v>
      </c>
      <c r="D60" s="31" t="n">
        <v>4779</v>
      </c>
      <c r="E60" s="32" t="n">
        <v>357.6</v>
      </c>
      <c r="F60" s="33" t="n">
        <v>9655.200000000001</v>
      </c>
      <c r="G60" s="32" t="n">
        <v>59</v>
      </c>
      <c r="H60" s="55" t="n">
        <v>27</v>
      </c>
      <c r="I60" s="63" t="n">
        <v>-180.6</v>
      </c>
      <c r="J60" s="64" t="n">
        <v>-0.5050335570469799</v>
      </c>
      <c r="K60" s="35" t="n">
        <v>32616.36000000001</v>
      </c>
      <c r="L60" s="45" t="inlineStr">
        <is>
          <t>BAJO CONSUMO</t>
        </is>
      </c>
      <c r="M60" s="58" t="inlineStr">
        <is>
          <t>Actividad reducida / paro</t>
        </is>
      </c>
    </row>
    <row r="61" ht="19" customHeight="1">
      <c r="A61" s="37" t="inlineStr">
        <is>
          <t>Bacheo Toluca</t>
        </is>
      </c>
      <c r="B61" s="38" t="n">
        <v>2</v>
      </c>
      <c r="C61" s="39" t="n">
        <v>175</v>
      </c>
      <c r="D61" s="40" t="n">
        <v>4725</v>
      </c>
      <c r="E61" s="41" t="n">
        <v>703.7</v>
      </c>
      <c r="F61" s="42" t="n">
        <v>18999.9</v>
      </c>
      <c r="G61" s="41" t="n">
        <v>87.5</v>
      </c>
      <c r="H61" s="59" t="n">
        <v>27</v>
      </c>
      <c r="I61" s="65" t="n">
        <v>-528.7</v>
      </c>
      <c r="J61" s="66" t="n">
        <v>-0.7513144806025295</v>
      </c>
      <c r="K61" s="44" t="n">
        <v>279523.6900000001</v>
      </c>
      <c r="L61" s="45" t="inlineStr">
        <is>
          <t>BAJO CONSUMO</t>
        </is>
      </c>
      <c r="M61" s="62" t="inlineStr">
        <is>
          <t>Actividad reducida / paro</t>
        </is>
      </c>
    </row>
    <row r="62" ht="19" customHeight="1">
      <c r="A62" s="5" t="inlineStr">
        <is>
          <t>METEPEC</t>
        </is>
      </c>
      <c r="B62" s="29" t="n">
        <v>1</v>
      </c>
      <c r="C62" s="30" t="n">
        <v>169</v>
      </c>
      <c r="D62" s="31" t="n">
        <v>4563</v>
      </c>
      <c r="E62" s="32" t="n">
        <v>169</v>
      </c>
      <c r="F62" s="33" t="n">
        <v>4563</v>
      </c>
      <c r="G62" s="32" t="n">
        <v>169</v>
      </c>
      <c r="H62" s="55" t="n">
        <v>27</v>
      </c>
      <c r="I62" s="63" t="n">
        <v>0</v>
      </c>
      <c r="J62" s="64" t="n">
        <v>0</v>
      </c>
      <c r="K62" s="35" t="n">
        <v>0</v>
      </c>
      <c r="L62" s="46" t="inlineStr">
        <is>
          <t>NORMAL</t>
        </is>
      </c>
      <c r="M62" s="58" t="inlineStr">
        <is>
          <t>Operación en rango esperado</t>
        </is>
      </c>
    </row>
    <row r="63" ht="19" customHeight="1">
      <c r="A63" s="37" t="inlineStr">
        <is>
          <t>Maquinaria</t>
        </is>
      </c>
      <c r="B63" s="38" t="n">
        <v>1</v>
      </c>
      <c r="C63" s="39" t="n">
        <v>161</v>
      </c>
      <c r="D63" s="40" t="n">
        <v>4347</v>
      </c>
      <c r="E63" s="41" t="n">
        <v>927</v>
      </c>
      <c r="F63" s="42" t="n">
        <v>25029</v>
      </c>
      <c r="G63" s="41" t="n">
        <v>161</v>
      </c>
      <c r="H63" s="59" t="n">
        <v>27</v>
      </c>
      <c r="I63" s="65" t="n">
        <v>-766</v>
      </c>
      <c r="J63" s="66" t="n">
        <v>-0.8263214670981661</v>
      </c>
      <c r="K63" s="44" t="n">
        <v>586756</v>
      </c>
      <c r="L63" s="45" t="inlineStr">
        <is>
          <t>BAJO CONSUMO</t>
        </is>
      </c>
      <c r="M63" s="62" t="inlineStr">
        <is>
          <t>Actividad reducida / paro</t>
        </is>
      </c>
    </row>
    <row r="64" ht="19" customHeight="1">
      <c r="A64" s="5" t="inlineStr">
        <is>
          <t>METEPEC ARBOL DE LA VIDA</t>
        </is>
      </c>
      <c r="B64" s="29" t="n">
        <v>1</v>
      </c>
      <c r="C64" s="30" t="n">
        <v>129</v>
      </c>
      <c r="D64" s="31" t="n">
        <v>3483</v>
      </c>
      <c r="E64" s="32" t="n">
        <v>321</v>
      </c>
      <c r="F64" s="33" t="n">
        <v>8667</v>
      </c>
      <c r="G64" s="32" t="n">
        <v>129</v>
      </c>
      <c r="H64" s="55" t="n">
        <v>27</v>
      </c>
      <c r="I64" s="63" t="n">
        <v>-192</v>
      </c>
      <c r="J64" s="64" t="n">
        <v>-0.5981308411214953</v>
      </c>
      <c r="K64" s="35" t="n">
        <v>36864</v>
      </c>
      <c r="L64" s="45" t="inlineStr">
        <is>
          <t>BAJO CONSUMO</t>
        </is>
      </c>
      <c r="M64" s="58" t="inlineStr">
        <is>
          <t>Actividad reducida / paro</t>
        </is>
      </c>
    </row>
    <row r="65" ht="20" customHeight="1">
      <c r="A65" s="47" t="inlineStr">
        <is>
          <t>TOTAL SEMANA 32</t>
        </is>
      </c>
      <c r="B65" s="49" t="n">
        <v>89</v>
      </c>
      <c r="C65" s="50" t="n">
        <v>13392</v>
      </c>
      <c r="D65" s="51" t="n">
        <v>356157</v>
      </c>
      <c r="E65" s="48" t="inlineStr">
        <is>
          <t>-</t>
        </is>
      </c>
      <c r="F65" s="48" t="inlineStr">
        <is>
          <t>-</t>
        </is>
      </c>
      <c r="G65" s="50" t="n">
        <v>150.4719101123596</v>
      </c>
      <c r="H65" s="51" t="n">
        <v>26.59475806451613</v>
      </c>
      <c r="I65" s="48" t="inlineStr">
        <is>
          <t>-</t>
        </is>
      </c>
      <c r="J65" s="48" t="inlineStr">
        <is>
          <t>-</t>
        </is>
      </c>
      <c r="K65" s="48" t="inlineStr">
        <is>
          <t>-</t>
        </is>
      </c>
      <c r="L65" s="48" t="inlineStr">
        <is>
          <t>13 Obras</t>
        </is>
      </c>
      <c r="M65" s="48" t="inlineStr">
        <is>
          <t>Balance semanal cerrado</t>
        </is>
      </c>
    </row>
    <row r="67" ht="20" customHeight="1">
      <c r="A67" s="13" t="inlineStr">
        <is>
          <t>▶  SEMANA 31 — DESGLOSE OPERATIVO POR OBRA</t>
        </is>
      </c>
      <c r="B67" s="131" t="n"/>
      <c r="C67" s="131" t="n"/>
      <c r="D67" s="131" t="n"/>
      <c r="E67" s="131" t="n"/>
      <c r="F67" s="131" t="n"/>
      <c r="G67" s="131" t="n"/>
      <c r="H67" s="131" t="n"/>
      <c r="I67" s="131" t="n"/>
      <c r="J67" s="131" t="n"/>
      <c r="K67" s="131" t="n"/>
      <c r="L67" s="131" t="n"/>
      <c r="M67" s="132" t="n"/>
    </row>
    <row r="68" ht="20" customHeight="1">
      <c r="A68" s="52" t="inlineStr">
        <is>
          <t>OBRA / FRENTE</t>
        </is>
      </c>
      <c r="B68" s="53" t="inlineStr">
        <is>
          <t>CARGAS</t>
        </is>
      </c>
      <c r="C68" s="54" t="inlineStr">
        <is>
          <t>LITROS CONSUMIDOS (L)</t>
        </is>
      </c>
      <c r="D68" s="54" t="inlineStr">
        <is>
          <t>GASTO TOTAL ($ MXN)</t>
        </is>
      </c>
      <c r="E68" s="54" t="inlineStr">
        <is>
          <t>PROM. ESPERADO (L)</t>
        </is>
      </c>
      <c r="F68" s="54" t="inlineStr">
        <is>
          <t>GASTO ESPERADO ($)</t>
        </is>
      </c>
      <c r="G68" s="54" t="inlineStr">
        <is>
          <t>PROM. / CARGA (L)</t>
        </is>
      </c>
      <c r="H68" s="54" t="inlineStr">
        <is>
          <t>PRECIO PROM. ($/L)</t>
        </is>
      </c>
      <c r="I68" s="54" t="inlineStr">
        <is>
          <t>VARIACIÓN (Δ LITROS)</t>
        </is>
      </c>
      <c r="J68" s="54" t="inlineStr">
        <is>
          <t>VARIACIÓN (Δ %)</t>
        </is>
      </c>
      <c r="K68" s="54" t="inlineStr">
        <is>
          <t>VARIANZA SEMANAL</t>
        </is>
      </c>
      <c r="L68" s="53" t="inlineStr">
        <is>
          <t>ESTATUS DE RENDIMIENTO</t>
        </is>
      </c>
      <c r="M68" s="53" t="inlineStr">
        <is>
          <t>ACCIÓN / SUPERVISIÓN</t>
        </is>
      </c>
    </row>
    <row r="69" ht="19" customHeight="1">
      <c r="A69" s="5" t="inlineStr">
        <is>
          <t>Desasolve</t>
        </is>
      </c>
      <c r="B69" s="29" t="n">
        <v>23</v>
      </c>
      <c r="C69" s="30" t="n">
        <v>3493.45</v>
      </c>
      <c r="D69" s="31" t="n">
        <v>94323.14999999999</v>
      </c>
      <c r="E69" s="32" t="n">
        <v>2649.988</v>
      </c>
      <c r="F69" s="33" t="n">
        <v>61967.43</v>
      </c>
      <c r="G69" s="32" t="n">
        <v>151.8891304347826</v>
      </c>
      <c r="H69" s="55" t="n">
        <v>27</v>
      </c>
      <c r="I69" s="56" t="n">
        <v>843.462</v>
      </c>
      <c r="J69" s="57" t="n">
        <v>0.3182889884784384</v>
      </c>
      <c r="K69" s="35" t="n">
        <v>711428.145444</v>
      </c>
      <c r="L69" s="36" t="inlineStr">
        <is>
          <t>ALTO CONSUMO</t>
        </is>
      </c>
      <c r="M69" s="58" t="inlineStr">
        <is>
          <t>Revisar jornadas y maquinaria</t>
        </is>
      </c>
    </row>
    <row r="70" ht="19" customHeight="1">
      <c r="A70" s="37" t="inlineStr">
        <is>
          <t>México - Toluca</t>
        </is>
      </c>
      <c r="B70" s="38" t="n">
        <v>28</v>
      </c>
      <c r="C70" s="39" t="n">
        <v>2997.71</v>
      </c>
      <c r="D70" s="40" t="n">
        <v>83638.17</v>
      </c>
      <c r="E70" s="41" t="n">
        <v>2656.171818181818</v>
      </c>
      <c r="F70" s="42" t="n">
        <v>66093.27545454545</v>
      </c>
      <c r="G70" s="41" t="n">
        <v>107.0610714285714</v>
      </c>
      <c r="H70" s="59" t="n">
        <v>27</v>
      </c>
      <c r="I70" s="60" t="n">
        <v>341.5381818181818</v>
      </c>
      <c r="J70" s="61" t="n">
        <v>0.1285828648133044</v>
      </c>
      <c r="K70" s="44" t="n">
        <v>116648.3296396694</v>
      </c>
      <c r="L70" s="46" t="inlineStr">
        <is>
          <t>NORMAL</t>
        </is>
      </c>
      <c r="M70" s="62" t="inlineStr">
        <is>
          <t>Operación en rango esperado</t>
        </is>
      </c>
    </row>
    <row r="71" ht="19" customHeight="1">
      <c r="A71" s="5" t="inlineStr">
        <is>
          <t>Planta Huixquilucan</t>
        </is>
      </c>
      <c r="B71" s="29" t="n">
        <v>9</v>
      </c>
      <c r="C71" s="30" t="n">
        <v>2640.02</v>
      </c>
      <c r="D71" s="31" t="n">
        <v>76680.53999999999</v>
      </c>
      <c r="E71" s="32" t="n">
        <v>2158.902</v>
      </c>
      <c r="F71" s="33" t="n">
        <v>58830.354</v>
      </c>
      <c r="G71" s="32" t="n">
        <v>293.3355555555556</v>
      </c>
      <c r="H71" s="55" t="n">
        <v>27</v>
      </c>
      <c r="I71" s="56" t="n">
        <v>481.1179999999999</v>
      </c>
      <c r="J71" s="57" t="n">
        <v>0.2228530984732053</v>
      </c>
      <c r="K71" s="35" t="n">
        <v>231474.5299239999</v>
      </c>
      <c r="L71" s="46" t="inlineStr">
        <is>
          <t>NORMAL</t>
        </is>
      </c>
      <c r="M71" s="58" t="inlineStr">
        <is>
          <t>Operación en rango esperado</t>
        </is>
      </c>
    </row>
    <row r="72" ht="19" customHeight="1">
      <c r="A72" s="37" t="inlineStr">
        <is>
          <t>Lerma - Tres Marías</t>
        </is>
      </c>
      <c r="B72" s="38" t="n">
        <v>25</v>
      </c>
      <c r="C72" s="39" t="n">
        <v>1832</v>
      </c>
      <c r="D72" s="40" t="n">
        <v>49464</v>
      </c>
      <c r="E72" s="41" t="n">
        <v>1689.40825</v>
      </c>
      <c r="F72" s="42" t="n">
        <v>36110.02275</v>
      </c>
      <c r="G72" s="41" t="n">
        <v>73.28</v>
      </c>
      <c r="H72" s="59" t="n">
        <v>27</v>
      </c>
      <c r="I72" s="60" t="n">
        <v>142.59175</v>
      </c>
      <c r="J72" s="61" t="n">
        <v>0.0844033702333347</v>
      </c>
      <c r="K72" s="44" t="n">
        <v>20332.40716806251</v>
      </c>
      <c r="L72" s="46" t="inlineStr">
        <is>
          <t>NORMAL</t>
        </is>
      </c>
      <c r="M72" s="62" t="inlineStr">
        <is>
          <t>Operación en rango esperado</t>
        </is>
      </c>
    </row>
    <row r="73" ht="19" customHeight="1">
      <c r="A73" s="5" t="inlineStr">
        <is>
          <t>Alfredo del Mazo</t>
        </is>
      </c>
      <c r="B73" s="29" t="n">
        <v>17</v>
      </c>
      <c r="C73" s="30" t="n">
        <v>1649</v>
      </c>
      <c r="D73" s="31" t="n">
        <v>44523</v>
      </c>
      <c r="E73" s="32" t="n">
        <v>1706.434285714286</v>
      </c>
      <c r="F73" s="33" t="n">
        <v>42008.29714285714</v>
      </c>
      <c r="G73" s="32" t="n">
        <v>97</v>
      </c>
      <c r="H73" s="55" t="n">
        <v>27</v>
      </c>
      <c r="I73" s="63" t="n">
        <v>-57.43428571428581</v>
      </c>
      <c r="J73" s="64" t="n">
        <v>-0.03365748461286028</v>
      </c>
      <c r="K73" s="35" t="n">
        <v>3298.697175510214</v>
      </c>
      <c r="L73" s="46" t="inlineStr">
        <is>
          <t>NORMAL</t>
        </is>
      </c>
      <c r="M73" s="58" t="inlineStr">
        <is>
          <t>Operación en rango esperado</t>
        </is>
      </c>
    </row>
    <row r="74" ht="19" customHeight="1">
      <c r="A74" s="37" t="inlineStr">
        <is>
          <t>Planta Pegaso</t>
        </is>
      </c>
      <c r="B74" s="38" t="n">
        <v>3</v>
      </c>
      <c r="C74" s="39" t="n">
        <v>1588.51</v>
      </c>
      <c r="D74" s="40" t="n">
        <v>42889.77</v>
      </c>
      <c r="E74" s="41" t="n">
        <v>2083.598181818182</v>
      </c>
      <c r="F74" s="42" t="n">
        <v>60923.24181818182</v>
      </c>
      <c r="G74" s="41" t="n">
        <v>529.5033333333333</v>
      </c>
      <c r="H74" s="59" t="n">
        <v>27</v>
      </c>
      <c r="I74" s="65" t="n">
        <v>-495.0881818181817</v>
      </c>
      <c r="J74" s="66" t="n">
        <v>-0.2376121202919076</v>
      </c>
      <c r="K74" s="44" t="n">
        <v>245112.307776033</v>
      </c>
      <c r="L74" s="46" t="inlineStr">
        <is>
          <t>NORMAL</t>
        </is>
      </c>
      <c r="M74" s="62" t="inlineStr">
        <is>
          <t>Operación en rango esperado</t>
        </is>
      </c>
    </row>
    <row r="75" ht="19" customHeight="1">
      <c r="A75" s="5" t="inlineStr">
        <is>
          <t>Providencia</t>
        </is>
      </c>
      <c r="B75" s="29" t="n">
        <v>5</v>
      </c>
      <c r="C75" s="30" t="n">
        <v>302</v>
      </c>
      <c r="D75" s="31" t="n">
        <v>8154</v>
      </c>
      <c r="E75" s="32" t="n">
        <v>357.6</v>
      </c>
      <c r="F75" s="33" t="n">
        <v>9655.200000000001</v>
      </c>
      <c r="G75" s="32" t="n">
        <v>60.4</v>
      </c>
      <c r="H75" s="55" t="n">
        <v>27</v>
      </c>
      <c r="I75" s="63" t="n">
        <v>-55.60000000000002</v>
      </c>
      <c r="J75" s="64" t="n">
        <v>-0.1554809843400448</v>
      </c>
      <c r="K75" s="35" t="n">
        <v>3091.360000000002</v>
      </c>
      <c r="L75" s="46" t="inlineStr">
        <is>
          <t>NORMAL</t>
        </is>
      </c>
      <c r="M75" s="58" t="inlineStr">
        <is>
          <t>Operación en rango esperado</t>
        </is>
      </c>
    </row>
    <row r="76" ht="19" customHeight="1">
      <c r="A76" s="37" t="inlineStr">
        <is>
          <t>Bacheo Toluca</t>
        </is>
      </c>
      <c r="B76" s="38" t="n">
        <v>3</v>
      </c>
      <c r="C76" s="39" t="n">
        <v>215</v>
      </c>
      <c r="D76" s="40" t="n">
        <v>5805</v>
      </c>
      <c r="E76" s="41" t="n">
        <v>703.7</v>
      </c>
      <c r="F76" s="42" t="n">
        <v>18999.9</v>
      </c>
      <c r="G76" s="41" t="n">
        <v>71.66666666666667</v>
      </c>
      <c r="H76" s="59" t="n">
        <v>27</v>
      </c>
      <c r="I76" s="65" t="n">
        <v>-488.7</v>
      </c>
      <c r="J76" s="66" t="n">
        <v>-0.694472076168822</v>
      </c>
      <c r="K76" s="44" t="n">
        <v>238827.69</v>
      </c>
      <c r="L76" s="45" t="inlineStr">
        <is>
          <t>BAJO CONSUMO</t>
        </is>
      </c>
      <c r="M76" s="62" t="inlineStr">
        <is>
          <t>Actividad reducida / paro</t>
        </is>
      </c>
    </row>
    <row r="77" ht="20" customHeight="1">
      <c r="A77" s="47" t="inlineStr">
        <is>
          <t>TOTAL SEMANA 31</t>
        </is>
      </c>
      <c r="B77" s="49" t="n">
        <v>113</v>
      </c>
      <c r="C77" s="50" t="n">
        <v>14717.69</v>
      </c>
      <c r="D77" s="51" t="n">
        <v>405477.63</v>
      </c>
      <c r="E77" s="48" t="inlineStr">
        <is>
          <t>-</t>
        </is>
      </c>
      <c r="F77" s="48" t="inlineStr">
        <is>
          <t>-</t>
        </is>
      </c>
      <c r="G77" s="50" t="n">
        <v>130.2450442477876</v>
      </c>
      <c r="H77" s="51" t="n">
        <v>27.55035810646915</v>
      </c>
      <c r="I77" s="48" t="inlineStr">
        <is>
          <t>-</t>
        </is>
      </c>
      <c r="J77" s="48" t="inlineStr">
        <is>
          <t>-</t>
        </is>
      </c>
      <c r="K77" s="48" t="inlineStr">
        <is>
          <t>-</t>
        </is>
      </c>
      <c r="L77" s="48" t="inlineStr">
        <is>
          <t>8 Obras</t>
        </is>
      </c>
      <c r="M77" s="48" t="inlineStr">
        <is>
          <t>Balance semanal cerrado</t>
        </is>
      </c>
    </row>
    <row r="79" ht="20" customHeight="1">
      <c r="A79" s="13" t="inlineStr">
        <is>
          <t>▶  SEMANA 30 — DESGLOSE OPERATIVO POR OBRA</t>
        </is>
      </c>
      <c r="B79" s="131" t="n"/>
      <c r="C79" s="131" t="n"/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  <c r="M79" s="132" t="n"/>
    </row>
    <row r="80" ht="20" customHeight="1">
      <c r="A80" s="52" t="inlineStr">
        <is>
          <t>OBRA / FRENTE</t>
        </is>
      </c>
      <c r="B80" s="53" t="inlineStr">
        <is>
          <t>CARGAS</t>
        </is>
      </c>
      <c r="C80" s="54" t="inlineStr">
        <is>
          <t>LITROS CONSUMIDOS (L)</t>
        </is>
      </c>
      <c r="D80" s="54" t="inlineStr">
        <is>
          <t>GASTO TOTAL ($ MXN)</t>
        </is>
      </c>
      <c r="E80" s="54" t="inlineStr">
        <is>
          <t>PROM. ESPERADO (L)</t>
        </is>
      </c>
      <c r="F80" s="54" t="inlineStr">
        <is>
          <t>GASTO ESPERADO ($)</t>
        </is>
      </c>
      <c r="G80" s="54" t="inlineStr">
        <is>
          <t>PROM. / CARGA (L)</t>
        </is>
      </c>
      <c r="H80" s="54" t="inlineStr">
        <is>
          <t>PRECIO PROM. ($/L)</t>
        </is>
      </c>
      <c r="I80" s="54" t="inlineStr">
        <is>
          <t>VARIACIÓN (Δ LITROS)</t>
        </is>
      </c>
      <c r="J80" s="54" t="inlineStr">
        <is>
          <t>VARIACIÓN (Δ %)</t>
        </is>
      </c>
      <c r="K80" s="54" t="inlineStr">
        <is>
          <t>VARIANZA SEMANAL</t>
        </is>
      </c>
      <c r="L80" s="53" t="inlineStr">
        <is>
          <t>ESTATUS DE RENDIMIENTO</t>
        </is>
      </c>
      <c r="M80" s="53" t="inlineStr">
        <is>
          <t>ACCIÓN / SUPERVISIÓN</t>
        </is>
      </c>
    </row>
    <row r="81" ht="19" customHeight="1">
      <c r="A81" s="5" t="inlineStr">
        <is>
          <t>Desasolve</t>
        </is>
      </c>
      <c r="B81" s="29" t="n">
        <v>36</v>
      </c>
      <c r="C81" s="30" t="n">
        <v>3942</v>
      </c>
      <c r="D81" s="31" t="n">
        <v>106434</v>
      </c>
      <c r="E81" s="32" t="n">
        <v>2649.988</v>
      </c>
      <c r="F81" s="33" t="n">
        <v>61967.43</v>
      </c>
      <c r="G81" s="32" t="n">
        <v>109.5</v>
      </c>
      <c r="H81" s="55" t="n">
        <v>27</v>
      </c>
      <c r="I81" s="56" t="n">
        <v>1292.012</v>
      </c>
      <c r="J81" s="57" t="n">
        <v>0.4875539059044797</v>
      </c>
      <c r="K81" s="35" t="n">
        <v>1669295.008144001</v>
      </c>
      <c r="L81" s="36" t="inlineStr">
        <is>
          <t>ALTO CONSUMO</t>
        </is>
      </c>
      <c r="M81" s="58" t="inlineStr">
        <is>
          <t>Revisar jornadas y maquinaria</t>
        </is>
      </c>
    </row>
    <row r="82" ht="19" customHeight="1">
      <c r="A82" s="37" t="inlineStr">
        <is>
          <t>Alfredo del Mazo</t>
        </is>
      </c>
      <c r="B82" s="38" t="n">
        <v>29</v>
      </c>
      <c r="C82" s="39" t="n">
        <v>3263.04</v>
      </c>
      <c r="D82" s="40" t="n">
        <v>88102.08</v>
      </c>
      <c r="E82" s="41" t="n">
        <v>1706.434285714286</v>
      </c>
      <c r="F82" s="42" t="n">
        <v>42008.29714285714</v>
      </c>
      <c r="G82" s="41" t="n">
        <v>112.5186206896552</v>
      </c>
      <c r="H82" s="59" t="n">
        <v>27</v>
      </c>
      <c r="I82" s="60" t="n">
        <v>1556.605714285714</v>
      </c>
      <c r="J82" s="61" t="n">
        <v>0.912197866227321</v>
      </c>
      <c r="K82" s="44" t="n">
        <v>2423021.349746938</v>
      </c>
      <c r="L82" s="36" t="inlineStr">
        <is>
          <t>ALTO CONSUMO</t>
        </is>
      </c>
      <c r="M82" s="62" t="inlineStr">
        <is>
          <t>Revisar jornadas y maquinaria</t>
        </is>
      </c>
    </row>
    <row r="83" ht="19" customHeight="1">
      <c r="A83" s="5" t="inlineStr">
        <is>
          <t>México - Toluca</t>
        </is>
      </c>
      <c r="B83" s="29" t="n">
        <v>29</v>
      </c>
      <c r="C83" s="30" t="n">
        <v>2876.18</v>
      </c>
      <c r="D83" s="31" t="n">
        <v>77656.86</v>
      </c>
      <c r="E83" s="32" t="n">
        <v>2656.171818181818</v>
      </c>
      <c r="F83" s="33" t="n">
        <v>66093.27545454545</v>
      </c>
      <c r="G83" s="32" t="n">
        <v>99.17862068965516</v>
      </c>
      <c r="H83" s="55" t="n">
        <v>27</v>
      </c>
      <c r="I83" s="56" t="n">
        <v>220.0081818181816</v>
      </c>
      <c r="J83" s="57" t="n">
        <v>0.08282904754586992</v>
      </c>
      <c r="K83" s="35" t="n">
        <v>48403.60006694205</v>
      </c>
      <c r="L83" s="46" t="inlineStr">
        <is>
          <t>NORMAL</t>
        </is>
      </c>
      <c r="M83" s="58" t="inlineStr">
        <is>
          <t>Operación en rango esperado</t>
        </is>
      </c>
    </row>
    <row r="84" ht="19" customHeight="1">
      <c r="A84" s="37" t="inlineStr">
        <is>
          <t>Planta Pegaso</t>
        </is>
      </c>
      <c r="B84" s="38" t="n">
        <v>6</v>
      </c>
      <c r="C84" s="39" t="n">
        <v>2420</v>
      </c>
      <c r="D84" s="40" t="n">
        <v>65340</v>
      </c>
      <c r="E84" s="41" t="n">
        <v>2083.598181818182</v>
      </c>
      <c r="F84" s="42" t="n">
        <v>60923.24181818182</v>
      </c>
      <c r="G84" s="41" t="n">
        <v>403.3333333333333</v>
      </c>
      <c r="H84" s="59" t="n">
        <v>27</v>
      </c>
      <c r="I84" s="60" t="n">
        <v>336.4018181818183</v>
      </c>
      <c r="J84" s="61" t="n">
        <v>0.1614523477306303</v>
      </c>
      <c r="K84" s="44" t="n">
        <v>113166.1832760331</v>
      </c>
      <c r="L84" s="46" t="inlineStr">
        <is>
          <t>NORMAL</t>
        </is>
      </c>
      <c r="M84" s="62" t="inlineStr">
        <is>
          <t>Operación en rango esperado</t>
        </is>
      </c>
    </row>
    <row r="85" ht="19" customHeight="1">
      <c r="A85" s="5" t="inlineStr">
        <is>
          <t>Planta Huixquilucan</t>
        </is>
      </c>
      <c r="B85" s="29" t="n">
        <v>7</v>
      </c>
      <c r="C85" s="30" t="n">
        <v>2358</v>
      </c>
      <c r="D85" s="31" t="n">
        <v>63666</v>
      </c>
      <c r="E85" s="32" t="n">
        <v>2158.902</v>
      </c>
      <c r="F85" s="33" t="n">
        <v>58830.354</v>
      </c>
      <c r="G85" s="32" t="n">
        <v>336.8571428571428</v>
      </c>
      <c r="H85" s="55" t="n">
        <v>27</v>
      </c>
      <c r="I85" s="56" t="n">
        <v>199.098</v>
      </c>
      <c r="J85" s="57" t="n">
        <v>0.0922218794553898</v>
      </c>
      <c r="K85" s="35" t="n">
        <v>39640.01360399999</v>
      </c>
      <c r="L85" s="46" t="inlineStr">
        <is>
          <t>NORMAL</t>
        </is>
      </c>
      <c r="M85" s="58" t="inlineStr">
        <is>
          <t>Operación en rango esperado</t>
        </is>
      </c>
    </row>
    <row r="86" ht="19" customHeight="1">
      <c r="A86" s="37" t="inlineStr">
        <is>
          <t>Bacheo Toluca</t>
        </is>
      </c>
      <c r="B86" s="38" t="n">
        <v>1</v>
      </c>
      <c r="C86" s="39" t="n">
        <v>776</v>
      </c>
      <c r="D86" s="40" t="n">
        <v>20952</v>
      </c>
      <c r="E86" s="41" t="n">
        <v>703.7</v>
      </c>
      <c r="F86" s="42" t="n">
        <v>18999.9</v>
      </c>
      <c r="G86" s="41" t="n">
        <v>776</v>
      </c>
      <c r="H86" s="59" t="n">
        <v>27</v>
      </c>
      <c r="I86" s="60" t="n">
        <v>72.29999999999995</v>
      </c>
      <c r="J86" s="61" t="n">
        <v>0.1027426460139263</v>
      </c>
      <c r="K86" s="44" t="n">
        <v>5227.289999999994</v>
      </c>
      <c r="L86" s="46" t="inlineStr">
        <is>
          <t>NORMAL</t>
        </is>
      </c>
      <c r="M86" s="62" t="inlineStr">
        <is>
          <t>Operación en rango esperado</t>
        </is>
      </c>
    </row>
    <row r="87" ht="19" customHeight="1">
      <c r="A87" s="5" t="inlineStr">
        <is>
          <t>Lerma - Tres Marías</t>
        </is>
      </c>
      <c r="B87" s="29" t="n">
        <v>9</v>
      </c>
      <c r="C87" s="30" t="n">
        <v>554</v>
      </c>
      <c r="D87" s="31" t="n">
        <v>14958</v>
      </c>
      <c r="E87" s="32" t="n">
        <v>1689.40825</v>
      </c>
      <c r="F87" s="33" t="n">
        <v>36110.02275</v>
      </c>
      <c r="G87" s="32" t="n">
        <v>61.55555555555556</v>
      </c>
      <c r="H87" s="55" t="n">
        <v>27</v>
      </c>
      <c r="I87" s="63" t="n">
        <v>-1135.40825</v>
      </c>
      <c r="J87" s="64" t="n">
        <v>-0.6720745266870811</v>
      </c>
      <c r="K87" s="35" t="n">
        <v>1289151.894168062</v>
      </c>
      <c r="L87" s="45" t="inlineStr">
        <is>
          <t>BAJO CONSUMO</t>
        </is>
      </c>
      <c r="M87" s="58" t="inlineStr">
        <is>
          <t>Actividad reducida / paro</t>
        </is>
      </c>
    </row>
    <row r="88" ht="19" customHeight="1">
      <c r="A88" s="37" t="inlineStr">
        <is>
          <t>Providencia</t>
        </is>
      </c>
      <c r="B88" s="38" t="n">
        <v>6</v>
      </c>
      <c r="C88" s="39" t="n">
        <v>460</v>
      </c>
      <c r="D88" s="40" t="n">
        <v>12420</v>
      </c>
      <c r="E88" s="41" t="n">
        <v>357.6</v>
      </c>
      <c r="F88" s="42" t="n">
        <v>9655.200000000001</v>
      </c>
      <c r="G88" s="41" t="n">
        <v>76.66666666666667</v>
      </c>
      <c r="H88" s="59" t="n">
        <v>27</v>
      </c>
      <c r="I88" s="60" t="n">
        <v>102.4</v>
      </c>
      <c r="J88" s="61" t="n">
        <v>0.2863534675615212</v>
      </c>
      <c r="K88" s="44" t="n">
        <v>10485.75999999999</v>
      </c>
      <c r="L88" s="46" t="inlineStr">
        <is>
          <t>NORMAL</t>
        </is>
      </c>
      <c r="M88" s="62" t="inlineStr">
        <is>
          <t>Operación en rango esperado</t>
        </is>
      </c>
    </row>
    <row r="89" ht="20" customHeight="1">
      <c r="A89" s="47" t="inlineStr">
        <is>
          <t>TOTAL SEMANA 30</t>
        </is>
      </c>
      <c r="B89" s="49" t="n">
        <v>123</v>
      </c>
      <c r="C89" s="50" t="n">
        <v>16649.22</v>
      </c>
      <c r="D89" s="51" t="n">
        <v>449528.94</v>
      </c>
      <c r="E89" s="48" t="inlineStr">
        <is>
          <t>-</t>
        </is>
      </c>
      <c r="F89" s="48" t="inlineStr">
        <is>
          <t>-</t>
        </is>
      </c>
      <c r="G89" s="50" t="n">
        <v>135.359512195122</v>
      </c>
      <c r="H89" s="51" t="n">
        <v>27</v>
      </c>
      <c r="I89" s="48" t="inlineStr">
        <is>
          <t>-</t>
        </is>
      </c>
      <c r="J89" s="48" t="inlineStr">
        <is>
          <t>-</t>
        </is>
      </c>
      <c r="K89" s="48" t="inlineStr">
        <is>
          <t>-</t>
        </is>
      </c>
      <c r="L89" s="48" t="inlineStr">
        <is>
          <t>8 Obras</t>
        </is>
      </c>
      <c r="M89" s="48" t="inlineStr">
        <is>
          <t>Balance semanal cerrado</t>
        </is>
      </c>
    </row>
    <row r="91" ht="20" customHeight="1">
      <c r="A91" s="13" t="inlineStr">
        <is>
          <t>▶  SEMANA 29 — DESGLOSE OPERATIVO POR OBRA</t>
        </is>
      </c>
      <c r="B91" s="131" t="n"/>
      <c r="C91" s="131" t="n"/>
      <c r="D91" s="131" t="n"/>
      <c r="E91" s="131" t="n"/>
      <c r="F91" s="131" t="n"/>
      <c r="G91" s="131" t="n"/>
      <c r="H91" s="131" t="n"/>
      <c r="I91" s="131" t="n"/>
      <c r="J91" s="131" t="n"/>
      <c r="K91" s="131" t="n"/>
      <c r="L91" s="131" t="n"/>
      <c r="M91" s="132" t="n"/>
    </row>
    <row r="92" ht="20" customHeight="1">
      <c r="A92" s="52" t="inlineStr">
        <is>
          <t>OBRA / FRENTE</t>
        </is>
      </c>
      <c r="B92" s="53" t="inlineStr">
        <is>
          <t>CARGAS</t>
        </is>
      </c>
      <c r="C92" s="54" t="inlineStr">
        <is>
          <t>LITROS CONSUMIDOS (L)</t>
        </is>
      </c>
      <c r="D92" s="54" t="inlineStr">
        <is>
          <t>GASTO TOTAL ($ MXN)</t>
        </is>
      </c>
      <c r="E92" s="54" t="inlineStr">
        <is>
          <t>PROM. ESPERADO (L)</t>
        </is>
      </c>
      <c r="F92" s="54" t="inlineStr">
        <is>
          <t>GASTO ESPERADO ($)</t>
        </is>
      </c>
      <c r="G92" s="54" t="inlineStr">
        <is>
          <t>PROM. / CARGA (L)</t>
        </is>
      </c>
      <c r="H92" s="54" t="inlineStr">
        <is>
          <t>PRECIO PROM. ($/L)</t>
        </is>
      </c>
      <c r="I92" s="54" t="inlineStr">
        <is>
          <t>VARIACIÓN (Δ LITROS)</t>
        </is>
      </c>
      <c r="J92" s="54" t="inlineStr">
        <is>
          <t>VARIACIÓN (Δ %)</t>
        </is>
      </c>
      <c r="K92" s="54" t="inlineStr">
        <is>
          <t>VARIANZA SEMANAL</t>
        </is>
      </c>
      <c r="L92" s="53" t="inlineStr">
        <is>
          <t>ESTATUS DE RENDIMIENTO</t>
        </is>
      </c>
      <c r="M92" s="53" t="inlineStr">
        <is>
          <t>ACCIÓN / SUPERVISIÓN</t>
        </is>
      </c>
    </row>
    <row r="93" ht="19" customHeight="1">
      <c r="A93" s="5" t="inlineStr">
        <is>
          <t>Lerma - Tres Marías</t>
        </is>
      </c>
      <c r="B93" s="29" t="n">
        <v>47</v>
      </c>
      <c r="C93" s="30" t="n">
        <v>4460</v>
      </c>
      <c r="D93" s="31" t="n">
        <v>44388</v>
      </c>
      <c r="E93" s="32" t="n">
        <v>1689.40825</v>
      </c>
      <c r="F93" s="33" t="n">
        <v>36110.02275</v>
      </c>
      <c r="G93" s="32" t="n">
        <v>94.8936170212766</v>
      </c>
      <c r="H93" s="55" t="n">
        <v>27</v>
      </c>
      <c r="I93" s="56" t="n">
        <v>2770.59175</v>
      </c>
      <c r="J93" s="57" t="n">
        <v>1.639977637140105</v>
      </c>
      <c r="K93" s="35" t="n">
        <v>7676178.645168062</v>
      </c>
      <c r="L93" s="36" t="inlineStr">
        <is>
          <t>ALTO CONSUMO</t>
        </is>
      </c>
      <c r="M93" s="58" t="inlineStr">
        <is>
          <t>Revisar jornadas y maquinaria</t>
        </is>
      </c>
    </row>
    <row r="94" ht="19" customHeight="1">
      <c r="A94" s="37" t="inlineStr">
        <is>
          <t>México - Toluca</t>
        </is>
      </c>
      <c r="B94" s="38" t="n">
        <v>20</v>
      </c>
      <c r="C94" s="39" t="n">
        <v>3330</v>
      </c>
      <c r="D94" s="40" t="n">
        <v>29700</v>
      </c>
      <c r="E94" s="41" t="n">
        <v>2656.171818181818</v>
      </c>
      <c r="F94" s="42" t="n">
        <v>66093.27545454545</v>
      </c>
      <c r="G94" s="41" t="n">
        <v>166.5</v>
      </c>
      <c r="H94" s="59" t="n">
        <v>27</v>
      </c>
      <c r="I94" s="60" t="n">
        <v>673.8281818181817</v>
      </c>
      <c r="J94" s="61" t="n">
        <v>0.2536839586979073</v>
      </c>
      <c r="K94" s="44" t="n">
        <v>454044.4186123966</v>
      </c>
      <c r="L94" s="46" t="inlineStr">
        <is>
          <t>NORMAL</t>
        </is>
      </c>
      <c r="M94" s="62" t="inlineStr">
        <is>
          <t>Operación en rango esperado</t>
        </is>
      </c>
    </row>
    <row r="95" ht="19" customHeight="1">
      <c r="A95" s="5" t="inlineStr">
        <is>
          <t>Alfredo del Mazo</t>
        </is>
      </c>
      <c r="B95" s="29" t="n">
        <v>24</v>
      </c>
      <c r="C95" s="30" t="n">
        <v>2560</v>
      </c>
      <c r="D95" s="31" t="n">
        <v>42120</v>
      </c>
      <c r="E95" s="32" t="n">
        <v>1706.434285714286</v>
      </c>
      <c r="F95" s="33" t="n">
        <v>42008.29714285714</v>
      </c>
      <c r="G95" s="32" t="n">
        <v>106.6666666666667</v>
      </c>
      <c r="H95" s="55" t="n">
        <v>27</v>
      </c>
      <c r="I95" s="56" t="n">
        <v>853.5657142857142</v>
      </c>
      <c r="J95" s="57" t="n">
        <v>0.5002042688848257</v>
      </c>
      <c r="K95" s="35" t="n">
        <v>728574.4286040815</v>
      </c>
      <c r="L95" s="36" t="inlineStr">
        <is>
          <t>ALTO CONSUMO</t>
        </is>
      </c>
      <c r="M95" s="58" t="inlineStr">
        <is>
          <t>Revisar jornadas y maquinaria</t>
        </is>
      </c>
    </row>
    <row r="96" ht="19" customHeight="1">
      <c r="A96" s="37" t="inlineStr">
        <is>
          <t>Desasolve</t>
        </is>
      </c>
      <c r="B96" s="38" t="n">
        <v>16</v>
      </c>
      <c r="C96" s="39" t="n">
        <v>1930</v>
      </c>
      <c r="D96" s="40" t="n">
        <v>52110</v>
      </c>
      <c r="E96" s="41" t="n">
        <v>2649.988</v>
      </c>
      <c r="F96" s="42" t="n">
        <v>61967.43</v>
      </c>
      <c r="G96" s="41" t="n">
        <v>120.625</v>
      </c>
      <c r="H96" s="59" t="n">
        <v>27</v>
      </c>
      <c r="I96" s="65" t="n">
        <v>-719.9879999999998</v>
      </c>
      <c r="J96" s="66" t="n">
        <v>-0.2716948152218047</v>
      </c>
      <c r="K96" s="44" t="n">
        <v>518382.7201439997</v>
      </c>
      <c r="L96" s="46" t="inlineStr">
        <is>
          <t>NORMAL</t>
        </is>
      </c>
      <c r="M96" s="62" t="inlineStr">
        <is>
          <t>Operación en rango esperado</t>
        </is>
      </c>
    </row>
    <row r="97" ht="19" customHeight="1">
      <c r="A97" s="5" t="inlineStr">
        <is>
          <t>Planta Huixquilucan</t>
        </is>
      </c>
      <c r="B97" s="29" t="n">
        <v>13</v>
      </c>
      <c r="C97" s="30" t="n">
        <v>1900</v>
      </c>
      <c r="D97" s="31" t="n">
        <v>51300</v>
      </c>
      <c r="E97" s="32" t="n">
        <v>2158.902</v>
      </c>
      <c r="F97" s="33" t="n">
        <v>58830.354</v>
      </c>
      <c r="G97" s="32" t="n">
        <v>146.1538461538462</v>
      </c>
      <c r="H97" s="55" t="n">
        <v>27</v>
      </c>
      <c r="I97" s="63" t="n">
        <v>-258.902</v>
      </c>
      <c r="J97" s="64" t="n">
        <v>-0.1199229978943</v>
      </c>
      <c r="K97" s="35" t="n">
        <v>67030.24560400003</v>
      </c>
      <c r="L97" s="46" t="inlineStr">
        <is>
          <t>NORMAL</t>
        </is>
      </c>
      <c r="M97" s="58" t="inlineStr">
        <is>
          <t>Operación en rango esperado</t>
        </is>
      </c>
    </row>
    <row r="98" ht="19" customHeight="1">
      <c r="A98" s="37" t="inlineStr">
        <is>
          <t>Planta Pegaso</t>
        </is>
      </c>
      <c r="B98" s="38" t="n">
        <v>6</v>
      </c>
      <c r="C98" s="39" t="n">
        <v>1589</v>
      </c>
      <c r="D98" s="40" t="n">
        <v>42903</v>
      </c>
      <c r="E98" s="41" t="n">
        <v>2083.598181818182</v>
      </c>
      <c r="F98" s="42" t="n">
        <v>60923.24181818182</v>
      </c>
      <c r="G98" s="41" t="n">
        <v>264.8333333333333</v>
      </c>
      <c r="H98" s="59" t="n">
        <v>27</v>
      </c>
      <c r="I98" s="65" t="n">
        <v>-494.5981818181817</v>
      </c>
      <c r="J98" s="66" t="n">
        <v>-0.2373769501884415</v>
      </c>
      <c r="K98" s="44" t="n">
        <v>244627.3614578512</v>
      </c>
      <c r="L98" s="46" t="inlineStr">
        <is>
          <t>NORMAL</t>
        </is>
      </c>
      <c r="M98" s="62" t="inlineStr">
        <is>
          <t>Operación en rango esperado</t>
        </is>
      </c>
    </row>
    <row r="99" ht="19" customHeight="1">
      <c r="A99" s="5" t="inlineStr">
        <is>
          <t>Bacheo Toluca</t>
        </is>
      </c>
      <c r="B99" s="29" t="n">
        <v>6</v>
      </c>
      <c r="C99" s="30" t="n">
        <v>1000</v>
      </c>
      <c r="D99" s="31" t="n">
        <v>27000</v>
      </c>
      <c r="E99" s="32" t="n">
        <v>703.7</v>
      </c>
      <c r="F99" s="33" t="n">
        <v>18999.9</v>
      </c>
      <c r="G99" s="32" t="n">
        <v>166.6666666666667</v>
      </c>
      <c r="H99" s="55" t="n">
        <v>27</v>
      </c>
      <c r="I99" s="56" t="n">
        <v>296.3</v>
      </c>
      <c r="J99" s="57" t="n">
        <v>0.4210601108426886</v>
      </c>
      <c r="K99" s="35" t="n">
        <v>87793.68999999997</v>
      </c>
      <c r="L99" s="36" t="inlineStr">
        <is>
          <t>ALTO CONSUMO</t>
        </is>
      </c>
      <c r="M99" s="58" t="inlineStr">
        <is>
          <t>Revisar jornadas y maquinaria</t>
        </is>
      </c>
    </row>
    <row r="100" ht="19" customHeight="1">
      <c r="A100" s="37" t="inlineStr">
        <is>
          <t>Colegio Militar</t>
        </is>
      </c>
      <c r="B100" s="38" t="n">
        <v>1</v>
      </c>
      <c r="C100" s="39" t="n">
        <v>995</v>
      </c>
      <c r="D100" s="40" t="n">
        <v>26865</v>
      </c>
      <c r="E100" s="41" t="n">
        <v>831.5</v>
      </c>
      <c r="F100" s="42" t="n">
        <v>22450.5</v>
      </c>
      <c r="G100" s="41" t="n">
        <v>995</v>
      </c>
      <c r="H100" s="59" t="n">
        <v>27</v>
      </c>
      <c r="I100" s="60" t="n">
        <v>163.5</v>
      </c>
      <c r="J100" s="61" t="n">
        <v>0.1966325917017438</v>
      </c>
      <c r="K100" s="44" t="n">
        <v>26732.25</v>
      </c>
      <c r="L100" s="46" t="inlineStr">
        <is>
          <t>NORMAL</t>
        </is>
      </c>
      <c r="M100" s="62" t="inlineStr">
        <is>
          <t>Operación en rango esperado</t>
        </is>
      </c>
    </row>
    <row r="101" ht="19" customHeight="1">
      <c r="A101" s="5" t="inlineStr">
        <is>
          <t>Providencia</t>
        </is>
      </c>
      <c r="B101" s="29" t="n">
        <v>11</v>
      </c>
      <c r="C101" s="30" t="n">
        <v>733</v>
      </c>
      <c r="D101" s="31" t="n">
        <v>19791</v>
      </c>
      <c r="E101" s="32" t="n">
        <v>357.6</v>
      </c>
      <c r="F101" s="33" t="n">
        <v>9655.200000000001</v>
      </c>
      <c r="G101" s="32" t="n">
        <v>66.63636363636364</v>
      </c>
      <c r="H101" s="55" t="n">
        <v>27</v>
      </c>
      <c r="I101" s="56" t="n">
        <v>375.4</v>
      </c>
      <c r="J101" s="57" t="n">
        <v>1.049776286353467</v>
      </c>
      <c r="K101" s="35" t="n">
        <v>140925.16</v>
      </c>
      <c r="L101" s="36" t="inlineStr">
        <is>
          <t>ALTO CONSUMO</t>
        </is>
      </c>
      <c r="M101" s="58" t="inlineStr">
        <is>
          <t>Revisar jornadas y maquinaria</t>
        </is>
      </c>
    </row>
    <row r="102" ht="19" customHeight="1">
      <c r="A102" s="37" t="inlineStr">
        <is>
          <t>Vicente Lombardo</t>
        </is>
      </c>
      <c r="B102" s="38" t="n">
        <v>2</v>
      </c>
      <c r="C102" s="39" t="n">
        <v>150</v>
      </c>
      <c r="D102" s="40" t="n">
        <v>4050</v>
      </c>
      <c r="E102" s="41" t="n">
        <v>1152.5</v>
      </c>
      <c r="F102" s="42" t="n">
        <v>31117.5</v>
      </c>
      <c r="G102" s="41" t="n">
        <v>75</v>
      </c>
      <c r="H102" s="59" t="n">
        <v>27</v>
      </c>
      <c r="I102" s="65" t="n">
        <v>-1002.5</v>
      </c>
      <c r="J102" s="66" t="n">
        <v>-0.8698481561822127</v>
      </c>
      <c r="K102" s="44" t="n">
        <v>1005006.25</v>
      </c>
      <c r="L102" s="45" t="inlineStr">
        <is>
          <t>BAJO CONSUMO</t>
        </is>
      </c>
      <c r="M102" s="62" t="inlineStr">
        <is>
          <t>Actividad reducida / paro</t>
        </is>
      </c>
    </row>
    <row r="103" ht="20" customHeight="1">
      <c r="A103" s="47" t="inlineStr">
        <is>
          <t>TOTAL SEMANA 29</t>
        </is>
      </c>
      <c r="B103" s="49" t="n">
        <v>146</v>
      </c>
      <c r="C103" s="50" t="n">
        <v>18647</v>
      </c>
      <c r="D103" s="51" t="n">
        <v>340227</v>
      </c>
      <c r="E103" s="48" t="inlineStr">
        <is>
          <t>-</t>
        </is>
      </c>
      <c r="F103" s="48" t="inlineStr">
        <is>
          <t>-</t>
        </is>
      </c>
      <c r="G103" s="50" t="n">
        <v>127.7191780821918</v>
      </c>
      <c r="H103" s="51" t="n">
        <v>18.24566954469888</v>
      </c>
      <c r="I103" s="48" t="inlineStr">
        <is>
          <t>-</t>
        </is>
      </c>
      <c r="J103" s="48" t="inlineStr">
        <is>
          <t>-</t>
        </is>
      </c>
      <c r="K103" s="48" t="inlineStr">
        <is>
          <t>-</t>
        </is>
      </c>
      <c r="L103" s="48" t="inlineStr">
        <is>
          <t>10 Obras</t>
        </is>
      </c>
      <c r="M103" s="48" t="inlineStr">
        <is>
          <t>Balance semanal cerrado</t>
        </is>
      </c>
    </row>
    <row r="105" ht="20" customHeight="1">
      <c r="A105" s="13" t="inlineStr">
        <is>
          <t>▶  SEMANA 28 — DESGLOSE OPERATIVO POR OBRA</t>
        </is>
      </c>
      <c r="B105" s="131" t="n"/>
      <c r="C105" s="131" t="n"/>
      <c r="D105" s="131" t="n"/>
      <c r="E105" s="131" t="n"/>
      <c r="F105" s="131" t="n"/>
      <c r="G105" s="131" t="n"/>
      <c r="H105" s="131" t="n"/>
      <c r="I105" s="131" t="n"/>
      <c r="J105" s="131" t="n"/>
      <c r="K105" s="131" t="n"/>
      <c r="L105" s="131" t="n"/>
      <c r="M105" s="132" t="n"/>
    </row>
    <row r="106" ht="20" customHeight="1">
      <c r="A106" s="52" t="inlineStr">
        <is>
          <t>OBRA / FRENTE</t>
        </is>
      </c>
      <c r="B106" s="53" t="inlineStr">
        <is>
          <t>CARGAS</t>
        </is>
      </c>
      <c r="C106" s="54" t="inlineStr">
        <is>
          <t>LITROS CONSUMIDOS (L)</t>
        </is>
      </c>
      <c r="D106" s="54" t="inlineStr">
        <is>
          <t>GASTO TOTAL ($ MXN)</t>
        </is>
      </c>
      <c r="E106" s="54" t="inlineStr">
        <is>
          <t>PROM. ESPERADO (L)</t>
        </is>
      </c>
      <c r="F106" s="54" t="inlineStr">
        <is>
          <t>GASTO ESPERADO ($)</t>
        </is>
      </c>
      <c r="G106" s="54" t="inlineStr">
        <is>
          <t>PROM. / CARGA (L)</t>
        </is>
      </c>
      <c r="H106" s="54" t="inlineStr">
        <is>
          <t>PRECIO PROM. ($/L)</t>
        </is>
      </c>
      <c r="I106" s="54" t="inlineStr">
        <is>
          <t>VARIACIÓN (Δ LITROS)</t>
        </is>
      </c>
      <c r="J106" s="54" t="inlineStr">
        <is>
          <t>VARIACIÓN (Δ %)</t>
        </is>
      </c>
      <c r="K106" s="54" t="inlineStr">
        <is>
          <t>VARIANZA SEMANAL</t>
        </is>
      </c>
      <c r="L106" s="53" t="inlineStr">
        <is>
          <t>ESTATUS DE RENDIMIENTO</t>
        </is>
      </c>
      <c r="M106" s="53" t="inlineStr">
        <is>
          <t>ACCIÓN / SUPERVISIÓN</t>
        </is>
      </c>
    </row>
    <row r="107" ht="19" customHeight="1">
      <c r="A107" s="5" t="inlineStr">
        <is>
          <t>Planta Pegaso</t>
        </is>
      </c>
      <c r="B107" s="29" t="n">
        <v>18</v>
      </c>
      <c r="C107" s="30" t="n">
        <v>4007.07</v>
      </c>
      <c r="D107" s="31" t="n">
        <v>105517.89</v>
      </c>
      <c r="E107" s="32" t="n">
        <v>2083.598181818182</v>
      </c>
      <c r="F107" s="33" t="n">
        <v>60923.24181818182</v>
      </c>
      <c r="G107" s="32" t="n">
        <v>222.615</v>
      </c>
      <c r="H107" s="55" t="n">
        <v>25.5</v>
      </c>
      <c r="I107" s="56" t="n">
        <v>1923.471818181818</v>
      </c>
      <c r="J107" s="57" t="n">
        <v>0.9231491152979244</v>
      </c>
      <c r="K107" s="35" t="n">
        <v>3699743.835339671</v>
      </c>
      <c r="L107" s="36" t="inlineStr">
        <is>
          <t>ALTO CONSUMO</t>
        </is>
      </c>
      <c r="M107" s="58" t="inlineStr">
        <is>
          <t>Revisar jornadas y maquinaria</t>
        </is>
      </c>
    </row>
    <row r="108" ht="19" customHeight="1">
      <c r="A108" s="37" t="inlineStr">
        <is>
          <t>Vicente Lombardo</t>
        </is>
      </c>
      <c r="B108" s="38" t="n">
        <v>14</v>
      </c>
      <c r="C108" s="39" t="n">
        <v>2155</v>
      </c>
      <c r="D108" s="40" t="n">
        <v>58185</v>
      </c>
      <c r="E108" s="41" t="n">
        <v>1152.5</v>
      </c>
      <c r="F108" s="42" t="n">
        <v>31117.5</v>
      </c>
      <c r="G108" s="41" t="n">
        <v>153.9285714285714</v>
      </c>
      <c r="H108" s="59" t="n">
        <v>27</v>
      </c>
      <c r="I108" s="60" t="n">
        <v>1002.5</v>
      </c>
      <c r="J108" s="61" t="n">
        <v>0.8698481561822127</v>
      </c>
      <c r="K108" s="44" t="n">
        <v>1005006.25</v>
      </c>
      <c r="L108" s="36" t="inlineStr">
        <is>
          <t>ALTO CONSUMO</t>
        </is>
      </c>
      <c r="M108" s="62" t="inlineStr">
        <is>
          <t>Revisar jornadas y maquinaria</t>
        </is>
      </c>
    </row>
    <row r="109" ht="19" customHeight="1">
      <c r="A109" s="5" t="inlineStr">
        <is>
          <t>Planta Huixquilucan</t>
        </is>
      </c>
      <c r="B109" s="29" t="n">
        <v>13</v>
      </c>
      <c r="C109" s="30" t="n">
        <v>2000</v>
      </c>
      <c r="D109" s="31" t="n">
        <v>54000</v>
      </c>
      <c r="E109" s="32" t="n">
        <v>2158.902</v>
      </c>
      <c r="F109" s="33" t="n">
        <v>58830.354</v>
      </c>
      <c r="G109" s="32" t="n">
        <v>153.8461538461538</v>
      </c>
      <c r="H109" s="55" t="n">
        <v>27</v>
      </c>
      <c r="I109" s="63" t="n">
        <v>-158.902</v>
      </c>
      <c r="J109" s="64" t="n">
        <v>-0.07360315567821052</v>
      </c>
      <c r="K109" s="35" t="n">
        <v>25249.84560400001</v>
      </c>
      <c r="L109" s="46" t="inlineStr">
        <is>
          <t>NORMAL</t>
        </is>
      </c>
      <c r="M109" s="58" t="inlineStr">
        <is>
          <t>Operación en rango esperado</t>
        </is>
      </c>
    </row>
    <row r="110" ht="19" customHeight="1">
      <c r="A110" s="37" t="inlineStr">
        <is>
          <t>Desasolve</t>
        </is>
      </c>
      <c r="B110" s="38" t="n">
        <v>2</v>
      </c>
      <c r="C110" s="39" t="n">
        <v>1787.49</v>
      </c>
      <c r="D110" s="40" t="n">
        <v>351</v>
      </c>
      <c r="E110" s="41" t="n">
        <v>2649.988</v>
      </c>
      <c r="F110" s="42" t="n">
        <v>61967.43</v>
      </c>
      <c r="G110" s="41" t="n">
        <v>893.745</v>
      </c>
      <c r="H110" s="59" t="n">
        <v>13.5</v>
      </c>
      <c r="I110" s="65" t="n">
        <v>-862.4979999999998</v>
      </c>
      <c r="J110" s="66" t="n">
        <v>-0.3254724172335874</v>
      </c>
      <c r="K110" s="44" t="n">
        <v>743902.8000039997</v>
      </c>
      <c r="L110" s="45" t="inlineStr">
        <is>
          <t>BAJO CONSUMO</t>
        </is>
      </c>
      <c r="M110" s="62" t="inlineStr">
        <is>
          <t>Actividad reducida / paro</t>
        </is>
      </c>
    </row>
    <row r="111" ht="19" customHeight="1">
      <c r="A111" s="5" t="inlineStr">
        <is>
          <t>Lerma - Tres Marías</t>
        </is>
      </c>
      <c r="B111" s="29" t="n">
        <v>14</v>
      </c>
      <c r="C111" s="30" t="n">
        <v>1479.266</v>
      </c>
      <c r="D111" s="31" t="n">
        <v>39940.182</v>
      </c>
      <c r="E111" s="32" t="n">
        <v>1689.40825</v>
      </c>
      <c r="F111" s="33" t="n">
        <v>36110.02275</v>
      </c>
      <c r="G111" s="32" t="n">
        <v>105.6618571428571</v>
      </c>
      <c r="H111" s="55" t="n">
        <v>27</v>
      </c>
      <c r="I111" s="63" t="n">
        <v>-210.1422499999999</v>
      </c>
      <c r="J111" s="64" t="n">
        <v>-0.1243880808561222</v>
      </c>
      <c r="K111" s="35" t="n">
        <v>44159.76523506245</v>
      </c>
      <c r="L111" s="46" t="inlineStr">
        <is>
          <t>NORMAL</t>
        </is>
      </c>
      <c r="M111" s="58" t="inlineStr">
        <is>
          <t>Operación en rango esperado</t>
        </is>
      </c>
    </row>
    <row r="112" ht="19" customHeight="1">
      <c r="A112" s="37" t="inlineStr">
        <is>
          <t>México - Toluca</t>
        </is>
      </c>
      <c r="B112" s="38" t="n">
        <v>9</v>
      </c>
      <c r="C112" s="39" t="n">
        <v>1426</v>
      </c>
      <c r="D112" s="40" t="n">
        <v>38475</v>
      </c>
      <c r="E112" s="41" t="n">
        <v>2656.171818181818</v>
      </c>
      <c r="F112" s="42" t="n">
        <v>66093.27545454545</v>
      </c>
      <c r="G112" s="41" t="n">
        <v>158.4444444444445</v>
      </c>
      <c r="H112" s="59" t="n">
        <v>27</v>
      </c>
      <c r="I112" s="65" t="n">
        <v>-1230.171818181818</v>
      </c>
      <c r="J112" s="66" t="n">
        <v>-0.4631371396086439</v>
      </c>
      <c r="K112" s="44" t="n">
        <v>1513322.70224876</v>
      </c>
      <c r="L112" s="45" t="inlineStr">
        <is>
          <t>BAJO CONSUMO</t>
        </is>
      </c>
      <c r="M112" s="62" t="inlineStr">
        <is>
          <t>Actividad reducida / paro</t>
        </is>
      </c>
    </row>
    <row r="113" ht="19" customHeight="1">
      <c r="A113" s="5" t="inlineStr">
        <is>
          <t>Bacheo Toluca</t>
        </is>
      </c>
      <c r="B113" s="29" t="n">
        <v>6</v>
      </c>
      <c r="C113" s="30" t="n">
        <v>1095</v>
      </c>
      <c r="D113" s="31" t="n">
        <v>29565</v>
      </c>
      <c r="E113" s="32" t="n">
        <v>703.7</v>
      </c>
      <c r="F113" s="33" t="n">
        <v>18999.9</v>
      </c>
      <c r="G113" s="32" t="n">
        <v>182.5</v>
      </c>
      <c r="H113" s="55" t="n">
        <v>27</v>
      </c>
      <c r="I113" s="56" t="n">
        <v>391.3</v>
      </c>
      <c r="J113" s="57" t="n">
        <v>0.5560608213727439</v>
      </c>
      <c r="K113" s="35" t="n">
        <v>153115.69</v>
      </c>
      <c r="L113" s="36" t="inlineStr">
        <is>
          <t>ALTO CONSUMO</t>
        </is>
      </c>
      <c r="M113" s="58" t="inlineStr">
        <is>
          <t>Revisar jornadas y maquinaria</t>
        </is>
      </c>
    </row>
    <row r="114" ht="19" customHeight="1">
      <c r="A114" s="37" t="inlineStr">
        <is>
          <t>Colegio Militar</t>
        </is>
      </c>
      <c r="B114" s="38" t="n">
        <v>9</v>
      </c>
      <c r="C114" s="39" t="n">
        <v>668</v>
      </c>
      <c r="D114" s="40" t="n">
        <v>18036</v>
      </c>
      <c r="E114" s="41" t="n">
        <v>831.5</v>
      </c>
      <c r="F114" s="42" t="n">
        <v>22450.5</v>
      </c>
      <c r="G114" s="41" t="n">
        <v>74.22222222222223</v>
      </c>
      <c r="H114" s="59" t="n">
        <v>27</v>
      </c>
      <c r="I114" s="65" t="n">
        <v>-163.5</v>
      </c>
      <c r="J114" s="66" t="n">
        <v>-0.1966325917017438</v>
      </c>
      <c r="K114" s="44" t="n">
        <v>26732.25</v>
      </c>
      <c r="L114" s="46" t="inlineStr">
        <is>
          <t>NORMAL</t>
        </is>
      </c>
      <c r="M114" s="62" t="inlineStr">
        <is>
          <t>Operación en rango esperado</t>
        </is>
      </c>
    </row>
    <row r="115" ht="19" customHeight="1">
      <c r="A115" s="5" t="inlineStr">
        <is>
          <t>Providencia</t>
        </is>
      </c>
      <c r="B115" s="29" t="n">
        <v>7</v>
      </c>
      <c r="C115" s="30" t="n">
        <v>637</v>
      </c>
      <c r="D115" s="31" t="n">
        <v>17199</v>
      </c>
      <c r="E115" s="32" t="n">
        <v>357.6</v>
      </c>
      <c r="F115" s="33" t="n">
        <v>9655.200000000001</v>
      </c>
      <c r="G115" s="32" t="n">
        <v>91</v>
      </c>
      <c r="H115" s="55" t="n">
        <v>27</v>
      </c>
      <c r="I115" s="56" t="n">
        <v>279.4</v>
      </c>
      <c r="J115" s="57" t="n">
        <v>0.7813199105145414</v>
      </c>
      <c r="K115" s="35" t="n">
        <v>78064.35999999999</v>
      </c>
      <c r="L115" s="36" t="inlineStr">
        <is>
          <t>ALTO CONSUMO</t>
        </is>
      </c>
      <c r="M115" s="58" t="inlineStr">
        <is>
          <t>Revisar jornadas y maquinaria</t>
        </is>
      </c>
    </row>
    <row r="116" ht="19" customHeight="1">
      <c r="A116" s="37" t="inlineStr">
        <is>
          <t>Alfredo del Mazo</t>
        </is>
      </c>
      <c r="B116" s="38" t="n">
        <v>6</v>
      </c>
      <c r="C116" s="39" t="n">
        <v>213</v>
      </c>
      <c r="D116" s="40" t="n">
        <v>5751</v>
      </c>
      <c r="E116" s="41" t="n">
        <v>1706.434285714286</v>
      </c>
      <c r="F116" s="42" t="n">
        <v>42008.29714285714</v>
      </c>
      <c r="G116" s="41" t="n">
        <v>35.5</v>
      </c>
      <c r="H116" s="59" t="n">
        <v>27</v>
      </c>
      <c r="I116" s="65" t="n">
        <v>-1493.434285714286</v>
      </c>
      <c r="J116" s="66" t="n">
        <v>-0.8751783166904423</v>
      </c>
      <c r="K116" s="44" t="n">
        <v>2230345.965746939</v>
      </c>
      <c r="L116" s="45" t="inlineStr">
        <is>
          <t>BAJO CONSUMO</t>
        </is>
      </c>
      <c r="M116" s="62" t="inlineStr">
        <is>
          <t>Actividad reducida / paro</t>
        </is>
      </c>
    </row>
    <row r="117" ht="20" customHeight="1">
      <c r="A117" s="47" t="inlineStr">
        <is>
          <t>TOTAL SEMANA 28</t>
        </is>
      </c>
      <c r="B117" s="49" t="n">
        <v>98</v>
      </c>
      <c r="C117" s="50" t="n">
        <v>15467.826</v>
      </c>
      <c r="D117" s="51" t="n">
        <v>367020.072</v>
      </c>
      <c r="E117" s="48" t="inlineStr">
        <is>
          <t>-</t>
        </is>
      </c>
      <c r="F117" s="48" t="inlineStr">
        <is>
          <t>-</t>
        </is>
      </c>
      <c r="G117" s="50" t="n">
        <v>157.8349591836734</v>
      </c>
      <c r="H117" s="51" t="n">
        <v>23.72796745968051</v>
      </c>
      <c r="I117" s="48" t="inlineStr">
        <is>
          <t>-</t>
        </is>
      </c>
      <c r="J117" s="48" t="inlineStr">
        <is>
          <t>-</t>
        </is>
      </c>
      <c r="K117" s="48" t="inlineStr">
        <is>
          <t>-</t>
        </is>
      </c>
      <c r="L117" s="48" t="inlineStr">
        <is>
          <t>10 Obras</t>
        </is>
      </c>
      <c r="M117" s="48" t="inlineStr">
        <is>
          <t>Balance semanal cerrado</t>
        </is>
      </c>
    </row>
    <row r="119" ht="20" customHeight="1">
      <c r="A119" s="13" t="inlineStr">
        <is>
          <t>▶  SEMANA 27 — DESGLOSE OPERATIVO POR OBRA</t>
        </is>
      </c>
      <c r="B119" s="131" t="n"/>
      <c r="C119" s="131" t="n"/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  <c r="M119" s="132" t="n"/>
    </row>
    <row r="120" ht="20" customHeight="1">
      <c r="A120" s="52" t="inlineStr">
        <is>
          <t>OBRA / FRENTE</t>
        </is>
      </c>
      <c r="B120" s="53" t="inlineStr">
        <is>
          <t>CARGAS</t>
        </is>
      </c>
      <c r="C120" s="54" t="inlineStr">
        <is>
          <t>LITROS CONSUMIDOS (L)</t>
        </is>
      </c>
      <c r="D120" s="54" t="inlineStr">
        <is>
          <t>GASTO TOTAL ($ MXN)</t>
        </is>
      </c>
      <c r="E120" s="54" t="inlineStr">
        <is>
          <t>PROM. ESPERADO (L)</t>
        </is>
      </c>
      <c r="F120" s="54" t="inlineStr">
        <is>
          <t>GASTO ESPERADO ($)</t>
        </is>
      </c>
      <c r="G120" s="54" t="inlineStr">
        <is>
          <t>PROM. / CARGA (L)</t>
        </is>
      </c>
      <c r="H120" s="54" t="inlineStr">
        <is>
          <t>PRECIO PROM. ($/L)</t>
        </is>
      </c>
      <c r="I120" s="54" t="inlineStr">
        <is>
          <t>VARIACIÓN (Δ LITROS)</t>
        </is>
      </c>
      <c r="J120" s="54" t="inlineStr">
        <is>
          <t>VARIACIÓN (Δ %)</t>
        </is>
      </c>
      <c r="K120" s="54" t="inlineStr">
        <is>
          <t>VARIANZA SEMANAL</t>
        </is>
      </c>
      <c r="L120" s="53" t="inlineStr">
        <is>
          <t>ESTATUS DE RENDIMIENTO</t>
        </is>
      </c>
      <c r="M120" s="53" t="inlineStr">
        <is>
          <t>ACCIÓN / SUPERVISIÓN</t>
        </is>
      </c>
    </row>
    <row r="121" ht="19" customHeight="1">
      <c r="A121" s="5" t="inlineStr">
        <is>
          <t>México - Toluca</t>
        </is>
      </c>
      <c r="B121" s="29" t="n">
        <v>28</v>
      </c>
      <c r="C121" s="30" t="n">
        <v>3637</v>
      </c>
      <c r="D121" s="31" t="n">
        <v>98199</v>
      </c>
      <c r="E121" s="32" t="n">
        <v>2656.171818181818</v>
      </c>
      <c r="F121" s="33" t="n">
        <v>66093.27545454545</v>
      </c>
      <c r="G121" s="32" t="n">
        <v>129.8928571428571</v>
      </c>
      <c r="H121" s="55" t="n">
        <v>27</v>
      </c>
      <c r="I121" s="56" t="n">
        <v>980.8281818181817</v>
      </c>
      <c r="J121" s="57" t="n">
        <v>0.3692638311664531</v>
      </c>
      <c r="K121" s="35" t="n">
        <v>962023.9222487602</v>
      </c>
      <c r="L121" s="36" t="inlineStr">
        <is>
          <t>ALTO CONSUMO</t>
        </is>
      </c>
      <c r="M121" s="58" t="inlineStr">
        <is>
          <t>Revisar jornadas y maquinaria</t>
        </is>
      </c>
    </row>
    <row r="122" ht="19" customHeight="1">
      <c r="A122" s="37" t="inlineStr">
        <is>
          <t>Planta Huixquilucan</t>
        </is>
      </c>
      <c r="B122" s="38" t="n">
        <v>16</v>
      </c>
      <c r="C122" s="39" t="n">
        <v>2396</v>
      </c>
      <c r="D122" s="40" t="n">
        <v>64692</v>
      </c>
      <c r="E122" s="41" t="n">
        <v>2158.902</v>
      </c>
      <c r="F122" s="42" t="n">
        <v>58830.354</v>
      </c>
      <c r="G122" s="41" t="n">
        <v>149.75</v>
      </c>
      <c r="H122" s="59" t="n">
        <v>27</v>
      </c>
      <c r="I122" s="60" t="n">
        <v>237.098</v>
      </c>
      <c r="J122" s="61" t="n">
        <v>0.1098234194975038</v>
      </c>
      <c r="K122" s="44" t="n">
        <v>56215.46160399998</v>
      </c>
      <c r="L122" s="46" t="inlineStr">
        <is>
          <t>NORMAL</t>
        </is>
      </c>
      <c r="M122" s="62" t="inlineStr">
        <is>
          <t>Operación en rango esperado</t>
        </is>
      </c>
    </row>
    <row r="123" ht="19" customHeight="1">
      <c r="A123" s="5" t="inlineStr">
        <is>
          <t>Planta Pegaso</t>
        </is>
      </c>
      <c r="B123" s="29" t="n">
        <v>10</v>
      </c>
      <c r="C123" s="30" t="n">
        <v>1903</v>
      </c>
      <c r="D123" s="31" t="n">
        <v>51381</v>
      </c>
      <c r="E123" s="32" t="n">
        <v>2083.598181818182</v>
      </c>
      <c r="F123" s="33" t="n">
        <v>60923.24181818182</v>
      </c>
      <c r="G123" s="32" t="n">
        <v>190.3</v>
      </c>
      <c r="H123" s="55" t="n">
        <v>27</v>
      </c>
      <c r="I123" s="63" t="n">
        <v>-180.5981818181817</v>
      </c>
      <c r="J123" s="64" t="n">
        <v>-0.08667610837545885</v>
      </c>
      <c r="K123" s="35" t="n">
        <v>32615.70327603303</v>
      </c>
      <c r="L123" s="46" t="inlineStr">
        <is>
          <t>NORMAL</t>
        </is>
      </c>
      <c r="M123" s="58" t="inlineStr">
        <is>
          <t>Operación en rango esperado</t>
        </is>
      </c>
    </row>
    <row r="124" ht="19" customHeight="1">
      <c r="A124" s="37" t="inlineStr">
        <is>
          <t>Lerma - Tres Marías</t>
        </is>
      </c>
      <c r="B124" s="38" t="n">
        <v>18</v>
      </c>
      <c r="C124" s="39" t="n">
        <v>1602</v>
      </c>
      <c r="D124" s="40" t="n">
        <v>43254</v>
      </c>
      <c r="E124" s="41" t="n">
        <v>1689.40825</v>
      </c>
      <c r="F124" s="42" t="n">
        <v>36110.02275</v>
      </c>
      <c r="G124" s="41" t="n">
        <v>89</v>
      </c>
      <c r="H124" s="59" t="n">
        <v>27</v>
      </c>
      <c r="I124" s="65" t="n">
        <v>-87.40824999999995</v>
      </c>
      <c r="J124" s="66" t="n">
        <v>-0.05173897428285908</v>
      </c>
      <c r="K124" s="44" t="n">
        <v>7640.202168062492</v>
      </c>
      <c r="L124" s="46" t="inlineStr">
        <is>
          <t>NORMAL</t>
        </is>
      </c>
      <c r="M124" s="62" t="inlineStr">
        <is>
          <t>Operación en rango esperado</t>
        </is>
      </c>
    </row>
    <row r="125" ht="19" customHeight="1">
      <c r="A125" s="5" t="inlineStr">
        <is>
          <t>Bacheo Toluca</t>
        </is>
      </c>
      <c r="B125" s="29" t="n">
        <v>12</v>
      </c>
      <c r="C125" s="30" t="n">
        <v>1239</v>
      </c>
      <c r="D125" s="31" t="n">
        <v>33453</v>
      </c>
      <c r="E125" s="32" t="n">
        <v>703.7</v>
      </c>
      <c r="F125" s="33" t="n">
        <v>18999.9</v>
      </c>
      <c r="G125" s="32" t="n">
        <v>103.25</v>
      </c>
      <c r="H125" s="55" t="n">
        <v>27</v>
      </c>
      <c r="I125" s="56" t="n">
        <v>535.3</v>
      </c>
      <c r="J125" s="57" t="n">
        <v>0.760693477334091</v>
      </c>
      <c r="K125" s="35" t="n">
        <v>286546.09</v>
      </c>
      <c r="L125" s="36" t="inlineStr">
        <is>
          <t>ALTO CONSUMO</t>
        </is>
      </c>
      <c r="M125" s="58" t="inlineStr">
        <is>
          <t>Revisar jornadas y maquinaria</t>
        </is>
      </c>
    </row>
    <row r="126" ht="19" customHeight="1">
      <c r="A126" s="37" t="inlineStr">
        <is>
          <t>Providencia</t>
        </is>
      </c>
      <c r="B126" s="38" t="n">
        <v>9</v>
      </c>
      <c r="C126" s="39" t="n">
        <v>613</v>
      </c>
      <c r="D126" s="40" t="n">
        <v>16551</v>
      </c>
      <c r="E126" s="41" t="n">
        <v>357.6</v>
      </c>
      <c r="F126" s="42" t="n">
        <v>9655.200000000001</v>
      </c>
      <c r="G126" s="41" t="n">
        <v>68.11111111111111</v>
      </c>
      <c r="H126" s="59" t="n">
        <v>27</v>
      </c>
      <c r="I126" s="60" t="n">
        <v>255.4</v>
      </c>
      <c r="J126" s="61" t="n">
        <v>0.7142058165548097</v>
      </c>
      <c r="K126" s="44" t="n">
        <v>65229.15999999999</v>
      </c>
      <c r="L126" s="36" t="inlineStr">
        <is>
          <t>ALTO CONSUMO</t>
        </is>
      </c>
      <c r="M126" s="62" t="inlineStr">
        <is>
          <t>Revisar jornadas y maquinaria</t>
        </is>
      </c>
    </row>
    <row r="127" ht="20" customHeight="1">
      <c r="A127" s="47" t="inlineStr">
        <is>
          <t>TOTAL SEMANA 27</t>
        </is>
      </c>
      <c r="B127" s="49" t="n">
        <v>93</v>
      </c>
      <c r="C127" s="50" t="n">
        <v>11390</v>
      </c>
      <c r="D127" s="51" t="n">
        <v>307530</v>
      </c>
      <c r="E127" s="48" t="inlineStr">
        <is>
          <t>-</t>
        </is>
      </c>
      <c r="F127" s="48" t="inlineStr">
        <is>
          <t>-</t>
        </is>
      </c>
      <c r="G127" s="50" t="n">
        <v>122.4731182795699</v>
      </c>
      <c r="H127" s="51" t="n">
        <v>27</v>
      </c>
      <c r="I127" s="48" t="inlineStr">
        <is>
          <t>-</t>
        </is>
      </c>
      <c r="J127" s="48" t="inlineStr">
        <is>
          <t>-</t>
        </is>
      </c>
      <c r="K127" s="48" t="inlineStr">
        <is>
          <t>-</t>
        </is>
      </c>
      <c r="L127" s="48" t="inlineStr">
        <is>
          <t>6 Obras</t>
        </is>
      </c>
      <c r="M127" s="48" t="inlineStr">
        <is>
          <t>Balance semanal cerrado</t>
        </is>
      </c>
    </row>
    <row r="129" ht="20" customHeight="1">
      <c r="A129" s="13" t="inlineStr">
        <is>
          <t>▶  SEMANA 26 — DESGLOSE OPERATIVO POR OBRA</t>
        </is>
      </c>
      <c r="B129" s="131" t="n"/>
      <c r="C129" s="131" t="n"/>
      <c r="D129" s="131" t="n"/>
      <c r="E129" s="131" t="n"/>
      <c r="F129" s="131" t="n"/>
      <c r="G129" s="131" t="n"/>
      <c r="H129" s="131" t="n"/>
      <c r="I129" s="131" t="n"/>
      <c r="J129" s="131" t="n"/>
      <c r="K129" s="131" t="n"/>
      <c r="L129" s="131" t="n"/>
      <c r="M129" s="132" t="n"/>
    </row>
    <row r="130" ht="20" customHeight="1">
      <c r="A130" s="52" t="inlineStr">
        <is>
          <t>OBRA / FRENTE</t>
        </is>
      </c>
      <c r="B130" s="53" t="inlineStr">
        <is>
          <t>CARGAS</t>
        </is>
      </c>
      <c r="C130" s="54" t="inlineStr">
        <is>
          <t>LITROS CONSUMIDOS (L)</t>
        </is>
      </c>
      <c r="D130" s="54" t="inlineStr">
        <is>
          <t>GASTO TOTAL ($ MXN)</t>
        </is>
      </c>
      <c r="E130" s="54" t="inlineStr">
        <is>
          <t>PROM. ESPERADO (L)</t>
        </is>
      </c>
      <c r="F130" s="54" t="inlineStr">
        <is>
          <t>GASTO ESPERADO ($)</t>
        </is>
      </c>
      <c r="G130" s="54" t="inlineStr">
        <is>
          <t>PROM. / CARGA (L)</t>
        </is>
      </c>
      <c r="H130" s="54" t="inlineStr">
        <is>
          <t>PRECIO PROM. ($/L)</t>
        </is>
      </c>
      <c r="I130" s="54" t="inlineStr">
        <is>
          <t>VARIACIÓN (Δ LITROS)</t>
        </is>
      </c>
      <c r="J130" s="54" t="inlineStr">
        <is>
          <t>VARIACIÓN (Δ %)</t>
        </is>
      </c>
      <c r="K130" s="54" t="inlineStr">
        <is>
          <t>VARIANZA SEMANAL</t>
        </is>
      </c>
      <c r="L130" s="53" t="inlineStr">
        <is>
          <t>ESTATUS DE RENDIMIENTO</t>
        </is>
      </c>
      <c r="M130" s="53" t="inlineStr">
        <is>
          <t>ACCIÓN / SUPERVISIÓN</t>
        </is>
      </c>
    </row>
    <row r="131" ht="19" customHeight="1">
      <c r="A131" s="5" t="inlineStr">
        <is>
          <t>México - Toluca</t>
        </is>
      </c>
      <c r="B131" s="29" t="n">
        <v>34</v>
      </c>
      <c r="C131" s="30" t="n">
        <v>2517</v>
      </c>
      <c r="D131" s="31" t="n">
        <v>67608</v>
      </c>
      <c r="E131" s="32" t="n">
        <v>2656.171818181818</v>
      </c>
      <c r="F131" s="33" t="n">
        <v>66093.27545454545</v>
      </c>
      <c r="G131" s="32" t="n">
        <v>74.02941176470588</v>
      </c>
      <c r="H131" s="55" t="n">
        <v>27</v>
      </c>
      <c r="I131" s="63" t="n">
        <v>-139.1718181818183</v>
      </c>
      <c r="J131" s="64" t="n">
        <v>-0.05239563842563583</v>
      </c>
      <c r="K131" s="35" t="n">
        <v>19368.79497603308</v>
      </c>
      <c r="L131" s="46" t="inlineStr">
        <is>
          <t>NORMAL</t>
        </is>
      </c>
      <c r="M131" s="58" t="inlineStr">
        <is>
          <t>Operación en rango esperado</t>
        </is>
      </c>
    </row>
    <row r="132" ht="19" customHeight="1">
      <c r="A132" s="37" t="inlineStr">
        <is>
          <t>Planta Pegaso</t>
        </is>
      </c>
      <c r="B132" s="38" t="n">
        <v>7</v>
      </c>
      <c r="C132" s="39" t="n">
        <v>1844</v>
      </c>
      <c r="D132" s="40" t="n">
        <v>49788</v>
      </c>
      <c r="E132" s="41" t="n">
        <v>2083.598181818182</v>
      </c>
      <c r="F132" s="42" t="n">
        <v>60923.24181818182</v>
      </c>
      <c r="G132" s="41" t="n">
        <v>263.4285714285714</v>
      </c>
      <c r="H132" s="59" t="n">
        <v>27</v>
      </c>
      <c r="I132" s="65" t="n">
        <v>-239.5981818181817</v>
      </c>
      <c r="J132" s="66" t="n">
        <v>-0.1149925085887263</v>
      </c>
      <c r="K132" s="44" t="n">
        <v>57407.28873057847</v>
      </c>
      <c r="L132" s="46" t="inlineStr">
        <is>
          <t>NORMAL</t>
        </is>
      </c>
      <c r="M132" s="62" t="inlineStr">
        <is>
          <t>Operación en rango esperado</t>
        </is>
      </c>
    </row>
    <row r="133" ht="19" customHeight="1">
      <c r="A133" s="5" t="inlineStr">
        <is>
          <t>Bacheo Toluca</t>
        </is>
      </c>
      <c r="B133" s="29" t="n">
        <v>11</v>
      </c>
      <c r="C133" s="30" t="n">
        <v>1554</v>
      </c>
      <c r="D133" s="31" t="n">
        <v>41958</v>
      </c>
      <c r="E133" s="32" t="n">
        <v>703.7</v>
      </c>
      <c r="F133" s="33" t="n">
        <v>18999.9</v>
      </c>
      <c r="G133" s="32" t="n">
        <v>141.2727272727273</v>
      </c>
      <c r="H133" s="55" t="n">
        <v>27</v>
      </c>
      <c r="I133" s="56" t="n">
        <v>850.3</v>
      </c>
      <c r="J133" s="57" t="n">
        <v>1.208327412249538</v>
      </c>
      <c r="K133" s="35" t="n">
        <v>723010.09</v>
      </c>
      <c r="L133" s="36" t="inlineStr">
        <is>
          <t>ALTO CONSUMO</t>
        </is>
      </c>
      <c r="M133" s="58" t="inlineStr">
        <is>
          <t>Revisar jornadas y maquinaria</t>
        </is>
      </c>
    </row>
    <row r="134" ht="19" customHeight="1">
      <c r="A134" s="37" t="inlineStr">
        <is>
          <t>Lerma - Tres Marías</t>
        </is>
      </c>
      <c r="B134" s="38" t="n">
        <v>16</v>
      </c>
      <c r="C134" s="39" t="n">
        <v>1279</v>
      </c>
      <c r="D134" s="40" t="n">
        <v>34533</v>
      </c>
      <c r="E134" s="41" t="n">
        <v>1689.40825</v>
      </c>
      <c r="F134" s="42" t="n">
        <v>36110.02275</v>
      </c>
      <c r="G134" s="41" t="n">
        <v>79.9375</v>
      </c>
      <c r="H134" s="59" t="n">
        <v>27</v>
      </c>
      <c r="I134" s="65" t="n">
        <v>-410.40825</v>
      </c>
      <c r="J134" s="66" t="n">
        <v>-0.2429301798425573</v>
      </c>
      <c r="K134" s="44" t="n">
        <v>168434.9316680625</v>
      </c>
      <c r="L134" s="46" t="inlineStr">
        <is>
          <t>NORMAL</t>
        </is>
      </c>
      <c r="M134" s="62" t="inlineStr">
        <is>
          <t>Operación en rango esperado</t>
        </is>
      </c>
    </row>
    <row r="135" ht="19" customHeight="1">
      <c r="A135" s="5" t="inlineStr">
        <is>
          <t>Planta Huixquilucan</t>
        </is>
      </c>
      <c r="B135" s="29" t="n">
        <v>10</v>
      </c>
      <c r="C135" s="30" t="n">
        <v>1191</v>
      </c>
      <c r="D135" s="31" t="n">
        <v>32157</v>
      </c>
      <c r="E135" s="32" t="n">
        <v>2158.902</v>
      </c>
      <c r="F135" s="33" t="n">
        <v>58830.354</v>
      </c>
      <c r="G135" s="32" t="n">
        <v>119.1</v>
      </c>
      <c r="H135" s="55" t="n">
        <v>27</v>
      </c>
      <c r="I135" s="63" t="n">
        <v>-967.902</v>
      </c>
      <c r="J135" s="64" t="n">
        <v>-0.4483306792063744</v>
      </c>
      <c r="K135" s="35" t="n">
        <v>936834.2816040001</v>
      </c>
      <c r="L135" s="45" t="inlineStr">
        <is>
          <t>BAJO CONSUMO</t>
        </is>
      </c>
      <c r="M135" s="58" t="inlineStr">
        <is>
          <t>Actividad reducida / paro</t>
        </is>
      </c>
    </row>
    <row r="136" ht="19" customHeight="1">
      <c r="A136" s="37" t="inlineStr">
        <is>
          <t>Providencia</t>
        </is>
      </c>
      <c r="B136" s="38" t="n">
        <v>2</v>
      </c>
      <c r="C136" s="39" t="n">
        <v>102</v>
      </c>
      <c r="D136" s="40" t="n">
        <v>2754</v>
      </c>
      <c r="E136" s="41" t="n">
        <v>357.6</v>
      </c>
      <c r="F136" s="42" t="n">
        <v>9655.200000000001</v>
      </c>
      <c r="G136" s="41" t="n">
        <v>51</v>
      </c>
      <c r="H136" s="59" t="n">
        <v>27</v>
      </c>
      <c r="I136" s="65" t="n">
        <v>-255.6</v>
      </c>
      <c r="J136" s="66" t="n">
        <v>-0.714765100671141</v>
      </c>
      <c r="K136" s="44" t="n">
        <v>65331.36000000002</v>
      </c>
      <c r="L136" s="45" t="inlineStr">
        <is>
          <t>BAJO CONSUMO</t>
        </is>
      </c>
      <c r="M136" s="62" t="inlineStr">
        <is>
          <t>Actividad reducida / paro</t>
        </is>
      </c>
    </row>
    <row r="137" ht="20" customHeight="1">
      <c r="A137" s="47" t="inlineStr">
        <is>
          <t>TOTAL SEMANA 26</t>
        </is>
      </c>
      <c r="B137" s="49" t="n">
        <v>80</v>
      </c>
      <c r="C137" s="50" t="n">
        <v>8487</v>
      </c>
      <c r="D137" s="51" t="n">
        <v>228798</v>
      </c>
      <c r="E137" s="48" t="inlineStr">
        <is>
          <t>-</t>
        </is>
      </c>
      <c r="F137" s="48" t="inlineStr">
        <is>
          <t>-</t>
        </is>
      </c>
      <c r="G137" s="50" t="n">
        <v>106.0875</v>
      </c>
      <c r="H137" s="51" t="n">
        <v>26.95864262990456</v>
      </c>
      <c r="I137" s="48" t="inlineStr">
        <is>
          <t>-</t>
        </is>
      </c>
      <c r="J137" s="48" t="inlineStr">
        <is>
          <t>-</t>
        </is>
      </c>
      <c r="K137" s="48" t="inlineStr">
        <is>
          <t>-</t>
        </is>
      </c>
      <c r="L137" s="48" t="inlineStr">
        <is>
          <t>6 Obras</t>
        </is>
      </c>
      <c r="M137" s="48" t="inlineStr">
        <is>
          <t>Balance semanal cerrado</t>
        </is>
      </c>
    </row>
    <row r="139" ht="20" customHeight="1">
      <c r="A139" s="13" t="inlineStr">
        <is>
          <t>▶  SEMANA 25 — DESGLOSE OPERATIVO POR OBRA</t>
        </is>
      </c>
      <c r="B139" s="131" t="n"/>
      <c r="C139" s="131" t="n"/>
      <c r="D139" s="131" t="n"/>
      <c r="E139" s="131" t="n"/>
      <c r="F139" s="131" t="n"/>
      <c r="G139" s="131" t="n"/>
      <c r="H139" s="131" t="n"/>
      <c r="I139" s="131" t="n"/>
      <c r="J139" s="131" t="n"/>
      <c r="K139" s="131" t="n"/>
      <c r="L139" s="131" t="n"/>
      <c r="M139" s="132" t="n"/>
    </row>
    <row r="140" ht="20" customHeight="1">
      <c r="A140" s="52" t="inlineStr">
        <is>
          <t>OBRA / FRENTE</t>
        </is>
      </c>
      <c r="B140" s="53" t="inlineStr">
        <is>
          <t>CARGAS</t>
        </is>
      </c>
      <c r="C140" s="54" t="inlineStr">
        <is>
          <t>LITROS CONSUMIDOS (L)</t>
        </is>
      </c>
      <c r="D140" s="54" t="inlineStr">
        <is>
          <t>GASTO TOTAL ($ MXN)</t>
        </is>
      </c>
      <c r="E140" s="54" t="inlineStr">
        <is>
          <t>PROM. ESPERADO (L)</t>
        </is>
      </c>
      <c r="F140" s="54" t="inlineStr">
        <is>
          <t>GASTO ESPERADO ($)</t>
        </is>
      </c>
      <c r="G140" s="54" t="inlineStr">
        <is>
          <t>PROM. / CARGA (L)</t>
        </is>
      </c>
      <c r="H140" s="54" t="inlineStr">
        <is>
          <t>PRECIO PROM. ($/L)</t>
        </is>
      </c>
      <c r="I140" s="54" t="inlineStr">
        <is>
          <t>VARIACIÓN (Δ LITROS)</t>
        </is>
      </c>
      <c r="J140" s="54" t="inlineStr">
        <is>
          <t>VARIACIÓN (Δ %)</t>
        </is>
      </c>
      <c r="K140" s="54" t="inlineStr">
        <is>
          <t>VARIANZA SEMANAL</t>
        </is>
      </c>
      <c r="L140" s="53" t="inlineStr">
        <is>
          <t>ESTATUS DE RENDIMIENTO</t>
        </is>
      </c>
      <c r="M140" s="53" t="inlineStr">
        <is>
          <t>ACCIÓN / SUPERVISIÓN</t>
        </is>
      </c>
    </row>
    <row r="141" ht="19" customHeight="1">
      <c r="A141" s="5" t="inlineStr">
        <is>
          <t>México - Toluca</t>
        </is>
      </c>
      <c r="B141" s="29" t="n">
        <v>30</v>
      </c>
      <c r="C141" s="30" t="n">
        <v>2185</v>
      </c>
      <c r="D141" s="31" t="n">
        <v>58995</v>
      </c>
      <c r="E141" s="32" t="n">
        <v>2656.171818181818</v>
      </c>
      <c r="F141" s="33" t="n">
        <v>66093.27545454545</v>
      </c>
      <c r="G141" s="32" t="n">
        <v>72.83333333333333</v>
      </c>
      <c r="H141" s="55" t="n">
        <v>27</v>
      </c>
      <c r="I141" s="63" t="n">
        <v>-471.1718181818183</v>
      </c>
      <c r="J141" s="64" t="n">
        <v>-0.1773875526261479</v>
      </c>
      <c r="K141" s="35" t="n">
        <v>222002.8822487604</v>
      </c>
      <c r="L141" s="46" t="inlineStr">
        <is>
          <t>NORMAL</t>
        </is>
      </c>
      <c r="M141" s="58" t="inlineStr">
        <is>
          <t>Operación en rango esperado</t>
        </is>
      </c>
    </row>
    <row r="142" ht="19" customHeight="1">
      <c r="A142" s="37" t="inlineStr">
        <is>
          <t>Planta Huixquilucan</t>
        </is>
      </c>
      <c r="B142" s="38" t="n">
        <v>9</v>
      </c>
      <c r="C142" s="39" t="n">
        <v>1600</v>
      </c>
      <c r="D142" s="40" t="n">
        <v>43200</v>
      </c>
      <c r="E142" s="41" t="n">
        <v>2158.902</v>
      </c>
      <c r="F142" s="42" t="n">
        <v>58830.354</v>
      </c>
      <c r="G142" s="41" t="n">
        <v>177.7777777777778</v>
      </c>
      <c r="H142" s="59" t="n">
        <v>27</v>
      </c>
      <c r="I142" s="65" t="n">
        <v>-558.902</v>
      </c>
      <c r="J142" s="66" t="n">
        <v>-0.2588825245425684</v>
      </c>
      <c r="K142" s="44" t="n">
        <v>312371.4456040001</v>
      </c>
      <c r="L142" s="46" t="inlineStr">
        <is>
          <t>NORMAL</t>
        </is>
      </c>
      <c r="M142" s="62" t="inlineStr">
        <is>
          <t>Operación en rango esperado</t>
        </is>
      </c>
    </row>
    <row r="143" ht="19" customHeight="1">
      <c r="A143" s="5" t="inlineStr">
        <is>
          <t>Lerma - Tres Marías</t>
        </is>
      </c>
      <c r="B143" s="29" t="n">
        <v>18</v>
      </c>
      <c r="C143" s="30" t="n">
        <v>1437</v>
      </c>
      <c r="D143" s="31" t="n">
        <v>38799</v>
      </c>
      <c r="E143" s="32" t="n">
        <v>1689.40825</v>
      </c>
      <c r="F143" s="33" t="n">
        <v>36110.02275</v>
      </c>
      <c r="G143" s="32" t="n">
        <v>79.83333333333333</v>
      </c>
      <c r="H143" s="55" t="n">
        <v>27</v>
      </c>
      <c r="I143" s="63" t="n">
        <v>-252.40825</v>
      </c>
      <c r="J143" s="64" t="n">
        <v>-0.1494063083923024</v>
      </c>
      <c r="K143" s="35" t="n">
        <v>63709.92466806248</v>
      </c>
      <c r="L143" s="46" t="inlineStr">
        <is>
          <t>NORMAL</t>
        </is>
      </c>
      <c r="M143" s="58" t="inlineStr">
        <is>
          <t>Operación en rango esperado</t>
        </is>
      </c>
    </row>
    <row r="144" ht="19" customHeight="1">
      <c r="A144" s="37" t="inlineStr">
        <is>
          <t>Planta Pegaso</t>
        </is>
      </c>
      <c r="B144" s="38" t="n">
        <v>3</v>
      </c>
      <c r="C144" s="39" t="n">
        <v>1316</v>
      </c>
      <c r="D144" s="40" t="n">
        <v>35532</v>
      </c>
      <c r="E144" s="41" t="n">
        <v>2083.598181818182</v>
      </c>
      <c r="F144" s="42" t="n">
        <v>60923.24181818182</v>
      </c>
      <c r="G144" s="41" t="n">
        <v>438.6666666666667</v>
      </c>
      <c r="H144" s="59" t="n">
        <v>27</v>
      </c>
      <c r="I144" s="65" t="n">
        <v>-767.5981818181817</v>
      </c>
      <c r="J144" s="66" t="n">
        <v>-0.3684002935481365</v>
      </c>
      <c r="K144" s="44" t="n">
        <v>589206.9687305784</v>
      </c>
      <c r="L144" s="45" t="inlineStr">
        <is>
          <t>BAJO CONSUMO</t>
        </is>
      </c>
      <c r="M144" s="62" t="inlineStr">
        <is>
          <t>Actividad reducida / paro</t>
        </is>
      </c>
    </row>
    <row r="145" ht="19" customHeight="1">
      <c r="A145" s="5" t="inlineStr">
        <is>
          <t>Bacheo Toluca</t>
        </is>
      </c>
      <c r="B145" s="29" t="n">
        <v>8</v>
      </c>
      <c r="C145" s="30" t="n">
        <v>643</v>
      </c>
      <c r="D145" s="31" t="n">
        <v>17361</v>
      </c>
      <c r="E145" s="32" t="n">
        <v>703.7</v>
      </c>
      <c r="F145" s="33" t="n">
        <v>18999.9</v>
      </c>
      <c r="G145" s="32" t="n">
        <v>80.375</v>
      </c>
      <c r="H145" s="55" t="n">
        <v>27</v>
      </c>
      <c r="I145" s="63" t="n">
        <v>-60.70000000000005</v>
      </c>
      <c r="J145" s="64" t="n">
        <v>-0.08625834872815126</v>
      </c>
      <c r="K145" s="35" t="n">
        <v>3684.490000000006</v>
      </c>
      <c r="L145" s="46" t="inlineStr">
        <is>
          <t>NORMAL</t>
        </is>
      </c>
      <c r="M145" s="58" t="inlineStr">
        <is>
          <t>Operación en rango esperado</t>
        </is>
      </c>
    </row>
    <row r="146" ht="19" customHeight="1">
      <c r="A146" s="37" t="inlineStr">
        <is>
          <t>Providencia</t>
        </is>
      </c>
      <c r="B146" s="38" t="n">
        <v>1</v>
      </c>
      <c r="C146" s="39" t="n">
        <v>40</v>
      </c>
      <c r="D146" s="40" t="n">
        <v>1080</v>
      </c>
      <c r="E146" s="41" t="n">
        <v>357.6</v>
      </c>
      <c r="F146" s="42" t="n">
        <v>9655.200000000001</v>
      </c>
      <c r="G146" s="41" t="n">
        <v>40</v>
      </c>
      <c r="H146" s="59" t="n">
        <v>27</v>
      </c>
      <c r="I146" s="65" t="n">
        <v>-317.6</v>
      </c>
      <c r="J146" s="66" t="n">
        <v>-0.8881431767337807</v>
      </c>
      <c r="K146" s="44" t="n">
        <v>100869.76</v>
      </c>
      <c r="L146" s="45" t="inlineStr">
        <is>
          <t>BAJO CONSUMO</t>
        </is>
      </c>
      <c r="M146" s="62" t="inlineStr">
        <is>
          <t>Actividad reducida / paro</t>
        </is>
      </c>
    </row>
    <row r="147" ht="20" customHeight="1">
      <c r="A147" s="47" t="inlineStr">
        <is>
          <t>TOTAL SEMANA 25</t>
        </is>
      </c>
      <c r="B147" s="49" t="n">
        <v>69</v>
      </c>
      <c r="C147" s="50" t="n">
        <v>7221</v>
      </c>
      <c r="D147" s="51" t="n">
        <v>194967</v>
      </c>
      <c r="E147" s="48" t="inlineStr">
        <is>
          <t>-</t>
        </is>
      </c>
      <c r="F147" s="48" t="inlineStr">
        <is>
          <t>-</t>
        </is>
      </c>
      <c r="G147" s="50" t="n">
        <v>104.6521739130435</v>
      </c>
      <c r="H147" s="51" t="n">
        <v>27</v>
      </c>
      <c r="I147" s="48" t="inlineStr">
        <is>
          <t>-</t>
        </is>
      </c>
      <c r="J147" s="48" t="inlineStr">
        <is>
          <t>-</t>
        </is>
      </c>
      <c r="K147" s="48" t="inlineStr">
        <is>
          <t>-</t>
        </is>
      </c>
      <c r="L147" s="48" t="inlineStr">
        <is>
          <t>6 Obras</t>
        </is>
      </c>
      <c r="M147" s="48" t="inlineStr">
        <is>
          <t>Balance semanal cerrado</t>
        </is>
      </c>
    </row>
    <row r="149" ht="20" customHeight="1">
      <c r="A149" s="13" t="inlineStr">
        <is>
          <t>▶  SEMANA 24 — DESGLOSE OPERATIVO POR OBRA</t>
        </is>
      </c>
      <c r="B149" s="131" t="n"/>
      <c r="C149" s="131" t="n"/>
      <c r="D149" s="131" t="n"/>
      <c r="E149" s="131" t="n"/>
      <c r="F149" s="131" t="n"/>
      <c r="G149" s="131" t="n"/>
      <c r="H149" s="131" t="n"/>
      <c r="I149" s="131" t="n"/>
      <c r="J149" s="131" t="n"/>
      <c r="K149" s="131" t="n"/>
      <c r="L149" s="131" t="n"/>
      <c r="M149" s="132" t="n"/>
    </row>
    <row r="150" ht="20" customHeight="1">
      <c r="A150" s="52" t="inlineStr">
        <is>
          <t>OBRA / FRENTE</t>
        </is>
      </c>
      <c r="B150" s="53" t="inlineStr">
        <is>
          <t>CARGAS</t>
        </is>
      </c>
      <c r="C150" s="54" t="inlineStr">
        <is>
          <t>LITROS CONSUMIDOS (L)</t>
        </is>
      </c>
      <c r="D150" s="54" t="inlineStr">
        <is>
          <t>GASTO TOTAL ($ MXN)</t>
        </is>
      </c>
      <c r="E150" s="54" t="inlineStr">
        <is>
          <t>PROM. ESPERADO (L)</t>
        </is>
      </c>
      <c r="F150" s="54" t="inlineStr">
        <is>
          <t>GASTO ESPERADO ($)</t>
        </is>
      </c>
      <c r="G150" s="54" t="inlineStr">
        <is>
          <t>PROM. / CARGA (L)</t>
        </is>
      </c>
      <c r="H150" s="54" t="inlineStr">
        <is>
          <t>PRECIO PROM. ($/L)</t>
        </is>
      </c>
      <c r="I150" s="54" t="inlineStr">
        <is>
          <t>VARIACIÓN (Δ LITROS)</t>
        </is>
      </c>
      <c r="J150" s="54" t="inlineStr">
        <is>
          <t>VARIACIÓN (Δ %)</t>
        </is>
      </c>
      <c r="K150" s="54" t="inlineStr">
        <is>
          <t>VARIANZA SEMANAL</t>
        </is>
      </c>
      <c r="L150" s="53" t="inlineStr">
        <is>
          <t>ESTATUS DE RENDIMIENTO</t>
        </is>
      </c>
      <c r="M150" s="53" t="inlineStr">
        <is>
          <t>ACCIÓN / SUPERVISIÓN</t>
        </is>
      </c>
    </row>
    <row r="151" ht="19" customHeight="1">
      <c r="A151" s="5" t="inlineStr">
        <is>
          <t>Maquinaria</t>
        </is>
      </c>
      <c r="B151" s="29" t="n">
        <v>25</v>
      </c>
      <c r="C151" s="30" t="n">
        <v>1693</v>
      </c>
      <c r="D151" s="31" t="n">
        <v>45711</v>
      </c>
      <c r="E151" s="32" t="n">
        <v>927</v>
      </c>
      <c r="F151" s="33" t="n">
        <v>25029</v>
      </c>
      <c r="G151" s="32" t="n">
        <v>67.72</v>
      </c>
      <c r="H151" s="55" t="n">
        <v>27</v>
      </c>
      <c r="I151" s="56" t="n">
        <v>766</v>
      </c>
      <c r="J151" s="57" t="n">
        <v>0.8263214670981661</v>
      </c>
      <c r="K151" s="35" t="n">
        <v>586756</v>
      </c>
      <c r="L151" s="36" t="inlineStr">
        <is>
          <t>ALTO CONSUMO</t>
        </is>
      </c>
      <c r="M151" s="58" t="inlineStr">
        <is>
          <t>Revisar jornadas y maquinaria</t>
        </is>
      </c>
    </row>
    <row r="152" ht="19" customHeight="1">
      <c r="A152" s="37" t="inlineStr">
        <is>
          <t>México - Toluca</t>
        </is>
      </c>
      <c r="B152" s="38" t="n">
        <v>18</v>
      </c>
      <c r="C152" s="39" t="n">
        <v>1285</v>
      </c>
      <c r="D152" s="40" t="n">
        <v>34695</v>
      </c>
      <c r="E152" s="41" t="n">
        <v>2656.171818181818</v>
      </c>
      <c r="F152" s="42" t="n">
        <v>66093.27545454545</v>
      </c>
      <c r="G152" s="41" t="n">
        <v>71.38888888888889</v>
      </c>
      <c r="H152" s="59" t="n">
        <v>27</v>
      </c>
      <c r="I152" s="65" t="n">
        <v>-1371.171818181818</v>
      </c>
      <c r="J152" s="66" t="n">
        <v>-0.5162210549769337</v>
      </c>
      <c r="K152" s="44" t="n">
        <v>1880112.154976033</v>
      </c>
      <c r="L152" s="45" t="inlineStr">
        <is>
          <t>BAJO CONSUMO</t>
        </is>
      </c>
      <c r="M152" s="62" t="inlineStr">
        <is>
          <t>Actividad reducida / paro</t>
        </is>
      </c>
    </row>
    <row r="153" ht="19" customHeight="1">
      <c r="A153" s="5" t="inlineStr">
        <is>
          <t>Lerma - Tres Marías</t>
        </is>
      </c>
      <c r="B153" s="29" t="n">
        <v>12</v>
      </c>
      <c r="C153" s="30" t="n">
        <v>872</v>
      </c>
      <c r="D153" s="31" t="n">
        <v>23544</v>
      </c>
      <c r="E153" s="32" t="n">
        <v>1689.40825</v>
      </c>
      <c r="F153" s="33" t="n">
        <v>36110.02275</v>
      </c>
      <c r="G153" s="32" t="n">
        <v>72.66666666666667</v>
      </c>
      <c r="H153" s="55" t="n">
        <v>27</v>
      </c>
      <c r="I153" s="63" t="n">
        <v>-817.40825</v>
      </c>
      <c r="J153" s="64" t="n">
        <v>-0.4838429373125175</v>
      </c>
      <c r="K153" s="35" t="n">
        <v>668156.2471680624</v>
      </c>
      <c r="L153" s="45" t="inlineStr">
        <is>
          <t>BAJO CONSUMO</t>
        </is>
      </c>
      <c r="M153" s="58" t="inlineStr">
        <is>
          <t>Actividad reducida / paro</t>
        </is>
      </c>
    </row>
    <row r="154" ht="19" customHeight="1">
      <c r="A154" s="37" t="inlineStr">
        <is>
          <t>Planta Pegaso</t>
        </is>
      </c>
      <c r="B154" s="38" t="n">
        <v>3</v>
      </c>
      <c r="C154" s="39" t="n">
        <v>647</v>
      </c>
      <c r="D154" s="40" t="n">
        <v>17469</v>
      </c>
      <c r="E154" s="41" t="n">
        <v>2083.598181818182</v>
      </c>
      <c r="F154" s="42" t="n">
        <v>60923.24181818182</v>
      </c>
      <c r="G154" s="41" t="n">
        <v>215.6666666666667</v>
      </c>
      <c r="H154" s="59" t="n">
        <v>27</v>
      </c>
      <c r="I154" s="65" t="n">
        <v>-1436.598181818182</v>
      </c>
      <c r="J154" s="66" t="n">
        <v>-0.6894794756273893</v>
      </c>
      <c r="K154" s="44" t="n">
        <v>2063814.336003306</v>
      </c>
      <c r="L154" s="45" t="inlineStr">
        <is>
          <t>BAJO CONSUMO</t>
        </is>
      </c>
      <c r="M154" s="62" t="inlineStr">
        <is>
          <t>Actividad reducida / paro</t>
        </is>
      </c>
    </row>
    <row r="155" ht="19" customHeight="1">
      <c r="A155" s="5" t="inlineStr">
        <is>
          <t>Bacheo Toluca</t>
        </is>
      </c>
      <c r="B155" s="29" t="n">
        <v>2</v>
      </c>
      <c r="C155" s="30" t="n">
        <v>200</v>
      </c>
      <c r="D155" s="31" t="n">
        <v>5400</v>
      </c>
      <c r="E155" s="32" t="n">
        <v>703.7</v>
      </c>
      <c r="F155" s="33" t="n">
        <v>18999.9</v>
      </c>
      <c r="G155" s="32" t="n">
        <v>100</v>
      </c>
      <c r="H155" s="55" t="n">
        <v>27</v>
      </c>
      <c r="I155" s="63" t="n">
        <v>-503.7</v>
      </c>
      <c r="J155" s="64" t="n">
        <v>-0.7157879778314623</v>
      </c>
      <c r="K155" s="35" t="n">
        <v>253713.69</v>
      </c>
      <c r="L155" s="45" t="inlineStr">
        <is>
          <t>BAJO CONSUMO</t>
        </is>
      </c>
      <c r="M155" s="58" t="inlineStr">
        <is>
          <t>Actividad reducida / paro</t>
        </is>
      </c>
    </row>
    <row r="156" ht="20" customHeight="1">
      <c r="A156" s="47" t="inlineStr">
        <is>
          <t>TOTAL SEMANA 24</t>
        </is>
      </c>
      <c r="B156" s="49" t="n">
        <v>60</v>
      </c>
      <c r="C156" s="50" t="n">
        <v>4697</v>
      </c>
      <c r="D156" s="51" t="n">
        <v>126819</v>
      </c>
      <c r="E156" s="48" t="inlineStr">
        <is>
          <t>-</t>
        </is>
      </c>
      <c r="F156" s="48" t="inlineStr">
        <is>
          <t>-</t>
        </is>
      </c>
      <c r="G156" s="50" t="n">
        <v>78.28333333333333</v>
      </c>
      <c r="H156" s="51" t="n">
        <v>27</v>
      </c>
      <c r="I156" s="48" t="inlineStr">
        <is>
          <t>-</t>
        </is>
      </c>
      <c r="J156" s="48" t="inlineStr">
        <is>
          <t>-</t>
        </is>
      </c>
      <c r="K156" s="48" t="inlineStr">
        <is>
          <t>-</t>
        </is>
      </c>
      <c r="L156" s="48" t="inlineStr">
        <is>
          <t>5 Obras</t>
        </is>
      </c>
      <c r="M156" s="48" t="inlineStr">
        <is>
          <t>Balance semanal cerrado</t>
        </is>
      </c>
    </row>
    <row r="158" ht="24" customHeight="1">
      <c r="A158" s="67" t="inlineStr">
        <is>
          <t>📖 CUADRO DE RESUMEN, GLOSARIO Y METODOLOGÍA DE CÁLCULO ESTADÍSTICO</t>
        </is>
      </c>
      <c r="B158" s="133" t="n"/>
      <c r="C158" s="133" t="n"/>
      <c r="D158" s="133" t="n"/>
      <c r="E158" s="133" t="n"/>
      <c r="F158" s="133" t="n"/>
      <c r="G158" s="133" t="n"/>
      <c r="H158" s="133" t="n"/>
      <c r="I158" s="133" t="n"/>
      <c r="J158" s="133" t="n"/>
      <c r="K158" s="133" t="n"/>
      <c r="L158" s="133" t="n"/>
      <c r="M158" s="134" t="n"/>
    </row>
    <row r="159" ht="22" customHeight="1">
      <c r="A159" s="68" t="inlineStr">
        <is>
          <t>MÉTRICA / CONCEPTO</t>
        </is>
      </c>
      <c r="B159" s="131" t="n"/>
      <c r="C159" s="132" t="n"/>
      <c r="D159" s="68" t="inlineStr">
        <is>
          <t>FÓRMULA / DEFINICIÓN OPERATIVA</t>
        </is>
      </c>
      <c r="E159" s="131" t="n"/>
      <c r="F159" s="131" t="n"/>
      <c r="G159" s="132" t="n"/>
      <c r="H159" s="68" t="inlineStr">
        <is>
          <t>INTERPRETACIÓN Y CRITERIO DE DECISIÓN</t>
        </is>
      </c>
      <c r="I159" s="131" t="n"/>
      <c r="J159" s="131" t="n"/>
      <c r="K159" s="131" t="n"/>
      <c r="L159" s="131" t="n"/>
      <c r="M159" s="132" t="n"/>
    </row>
    <row r="160" ht="24" customHeight="1">
      <c r="A160" s="69" t="inlineStr">
        <is>
          <t>Promedio Semanal Esperado (Litros)</t>
        </is>
      </c>
      <c r="B160" s="131" t="n"/>
      <c r="C160" s="132" t="n"/>
      <c r="D160" s="69" t="inlineStr">
        <is>
          <t>Promedio = ∑(Litros_Semana) / N_Semanas_Activas</t>
        </is>
      </c>
      <c r="E160" s="131" t="n"/>
      <c r="F160" s="131" t="n"/>
      <c r="G160" s="132" t="n"/>
      <c r="H160" s="69" t="inlineStr">
        <is>
          <t>Representa la línea base de consumo proyectada para la obra con base en todas las semanas de actividad. Permite anticipar necesidades de combustible.</t>
        </is>
      </c>
      <c r="I160" s="131" t="n"/>
      <c r="J160" s="131" t="n"/>
      <c r="K160" s="131" t="n"/>
      <c r="L160" s="131" t="n"/>
      <c r="M160" s="132" t="n"/>
    </row>
    <row r="161" ht="24" customHeight="1">
      <c r="A161" s="70" t="inlineStr">
        <is>
          <t>Gasto Semanal Esperado ($ MXN)</t>
        </is>
      </c>
      <c r="B161" s="131" t="n"/>
      <c r="C161" s="132" t="n"/>
      <c r="D161" s="70" t="inlineStr">
        <is>
          <t>Gasto = Promedio_Litros × Costo_Promedio_Ponderado</t>
        </is>
      </c>
      <c r="E161" s="131" t="n"/>
      <c r="F161" s="131" t="n"/>
      <c r="G161" s="132" t="n"/>
      <c r="H161" s="70" t="inlineStr">
        <is>
          <t>Proyección presupuestal financiera esperada para cubrir los consumos de la obra por semana.</t>
        </is>
      </c>
      <c r="I161" s="131" t="n"/>
      <c r="J161" s="131" t="n"/>
      <c r="K161" s="131" t="n"/>
      <c r="L161" s="131" t="n"/>
      <c r="M161" s="132" t="n"/>
    </row>
    <row r="162" ht="24" customHeight="1">
      <c r="A162" s="69" t="inlineStr">
        <is>
          <t>Promedio por Carga (Litros / Despacho)</t>
        </is>
      </c>
      <c r="B162" s="131" t="n"/>
      <c r="C162" s="132" t="n"/>
      <c r="D162" s="69" t="inlineStr">
        <is>
          <t>Prom. Carga = Total_Litros / Total_Cargas_Registradas</t>
        </is>
      </c>
      <c r="E162" s="131" t="n"/>
      <c r="F162" s="131" t="n"/>
      <c r="G162" s="132" t="n"/>
      <c r="H162" s="69" t="inlineStr">
        <is>
          <t>Indica el volumen promedio despachado en cada vale. Detecta si se realizan cargas completas a maquinaria pesada o suministros fraccionados.</t>
        </is>
      </c>
      <c r="I162" s="131" t="n"/>
      <c r="J162" s="131" t="n"/>
      <c r="K162" s="131" t="n"/>
      <c r="L162" s="131" t="n"/>
      <c r="M162" s="132" t="n"/>
    </row>
    <row r="163" ht="24" customHeight="1">
      <c r="A163" s="70" t="inlineStr">
        <is>
          <t>Variación / Delta Porcentual (Δ %)</t>
        </is>
      </c>
      <c r="B163" s="131" t="n"/>
      <c r="C163" s="132" t="n"/>
      <c r="D163" s="70" t="inlineStr">
        <is>
          <t>Δ% = [(Litros_Semana - Promedio_Esperado) / Promedio_Esperado] × 100</t>
        </is>
      </c>
      <c r="E163" s="131" t="n"/>
      <c r="F163" s="131" t="n"/>
      <c r="G163" s="132" t="n"/>
      <c r="H163" s="70" t="inlineStr">
        <is>
          <t>Porcentaje de desviación respecto a la media esperada. Positivo indica mayor consumo del esperado; negativo indica ahorro o menor ritmo de obra.</t>
        </is>
      </c>
      <c r="I163" s="131" t="n"/>
      <c r="J163" s="131" t="n"/>
      <c r="K163" s="131" t="n"/>
      <c r="L163" s="131" t="n"/>
      <c r="M163" s="132" t="n"/>
    </row>
    <row r="164" ht="24" customHeight="1">
      <c r="A164" s="69" t="inlineStr">
        <is>
          <t>Desviación Estándar (σ) y Varianza (σ²)</t>
        </is>
      </c>
      <c r="B164" s="131" t="n"/>
      <c r="C164" s="132" t="n"/>
      <c r="D164" s="69" t="inlineStr">
        <is>
          <t>σ = √[ ∑(x_i - μ)² / (N - 1) ]  |  Varianza = σ²</t>
        </is>
      </c>
      <c r="E164" s="131" t="n"/>
      <c r="F164" s="131" t="n"/>
      <c r="G164" s="132" t="n"/>
      <c r="H164" s="69" t="inlineStr">
        <is>
          <t>Mide la volatilidad y estabilidad operativa. Una varianza baja indica consumos predecibles y controlados; varianza alta indica picos o cambios de equipo.</t>
        </is>
      </c>
      <c r="I164" s="131" t="n"/>
      <c r="J164" s="131" t="n"/>
      <c r="K164" s="131" t="n"/>
      <c r="L164" s="131" t="n"/>
      <c r="M164" s="132" t="n"/>
    </row>
    <row r="165" ht="24" customHeight="1">
      <c r="A165" s="70" t="inlineStr">
        <is>
          <t>Estatus: 🟢 NORMAL</t>
        </is>
      </c>
      <c r="B165" s="131" t="n"/>
      <c r="C165" s="132" t="n"/>
      <c r="D165" s="70" t="inlineStr">
        <is>
          <t>Rango: -30.0% ≤ Δ% ≤ +30.0%</t>
        </is>
      </c>
      <c r="E165" s="131" t="n"/>
      <c r="F165" s="131" t="n"/>
      <c r="G165" s="132" t="n"/>
      <c r="H165" s="70" t="inlineStr">
        <is>
          <t>Consumo dentro de los parámetros habituales de operación del frente de trabajo.</t>
        </is>
      </c>
      <c r="I165" s="131" t="n"/>
      <c r="J165" s="131" t="n"/>
      <c r="K165" s="131" t="n"/>
      <c r="L165" s="131" t="n"/>
      <c r="M165" s="132" t="n"/>
    </row>
    <row r="166" ht="24" customHeight="1">
      <c r="A166" s="69" t="inlineStr">
        <is>
          <t>Estatus: 🔴 ALTO CONSUMO</t>
        </is>
      </c>
      <c r="B166" s="131" t="n"/>
      <c r="C166" s="132" t="n"/>
      <c r="D166" s="69" t="inlineStr">
        <is>
          <t>Condición: Δ% &gt; +30.0%</t>
        </is>
      </c>
      <c r="E166" s="131" t="n"/>
      <c r="F166" s="131" t="n"/>
      <c r="G166" s="132" t="n"/>
      <c r="H166" s="69" t="inlineStr">
        <is>
          <t>Alerta de consumo elevado. Requiere supervisión por posibles horas extras, incremento de maquinaria pesada o desviaciones de combustible.</t>
        </is>
      </c>
      <c r="I166" s="131" t="n"/>
      <c r="J166" s="131" t="n"/>
      <c r="K166" s="131" t="n"/>
      <c r="L166" s="131" t="n"/>
      <c r="M166" s="132" t="n"/>
    </row>
    <row r="167" ht="24" customHeight="1">
      <c r="A167" s="70" t="inlineStr">
        <is>
          <t>Estatus: 🟡 BAJO CONSUMO</t>
        </is>
      </c>
      <c r="B167" s="131" t="n"/>
      <c r="C167" s="132" t="n"/>
      <c r="D167" s="70" t="inlineStr">
        <is>
          <t>Condición: Δ% &lt; -30.0%</t>
        </is>
      </c>
      <c r="E167" s="131" t="n"/>
      <c r="F167" s="131" t="n"/>
      <c r="G167" s="132" t="n"/>
      <c r="H167" s="70" t="inlineStr">
        <is>
          <t>Alerta de baja actividad. Indica disminución de ritmo de trabajo, maquinaria en mantenimiento o cierre programado del frente.</t>
        </is>
      </c>
      <c r="I167" s="131" t="n"/>
      <c r="J167" s="131" t="n"/>
      <c r="K167" s="131" t="n"/>
      <c r="L167" s="131" t="n"/>
      <c r="M167" s="132" t="n"/>
    </row>
    <row r="168" ht="24" customHeight="1">
      <c r="A168" s="69" t="inlineStr">
        <is>
          <t>Estatus: 🚨 CONSUMO CRÍTICO</t>
        </is>
      </c>
      <c r="B168" s="131" t="n"/>
      <c r="C168" s="132" t="n"/>
      <c r="D168" s="69" t="inlineStr">
        <is>
          <t>Condición: Consumo acumulado &gt; 15,000 L o variaciones extremas</t>
        </is>
      </c>
      <c r="E168" s="131" t="n"/>
      <c r="F168" s="131" t="n"/>
      <c r="G168" s="132" t="n"/>
      <c r="H168" s="69" t="inlineStr">
        <is>
          <t>Frente de alta prioridad y alto impacto presupuestal. Requiere auditoría y conciliación de facturas prioritaria.</t>
        </is>
      </c>
      <c r="I168" s="131" t="n"/>
      <c r="J168" s="131" t="n"/>
      <c r="K168" s="131" t="n"/>
      <c r="L168" s="131" t="n"/>
      <c r="M168" s="132" t="n"/>
    </row>
  </sheetData>
  <mergeCells count="52">
    <mergeCell ref="D165:G165"/>
    <mergeCell ref="H164:M164"/>
    <mergeCell ref="A164:C164"/>
    <mergeCell ref="D167:G167"/>
    <mergeCell ref="D161:G161"/>
    <mergeCell ref="H163:M163"/>
    <mergeCell ref="A163:C163"/>
    <mergeCell ref="A91:M91"/>
    <mergeCell ref="D164:G164"/>
    <mergeCell ref="A38:M38"/>
    <mergeCell ref="C4:D4"/>
    <mergeCell ref="A160:C160"/>
    <mergeCell ref="E4:F4"/>
    <mergeCell ref="A67:M67"/>
    <mergeCell ref="H159:M159"/>
    <mergeCell ref="A159:C159"/>
    <mergeCell ref="I4:K4"/>
    <mergeCell ref="D159:G159"/>
    <mergeCell ref="A165:C165"/>
    <mergeCell ref="A161:C161"/>
    <mergeCell ref="A1:M1"/>
    <mergeCell ref="L4:M4"/>
    <mergeCell ref="H160:M160"/>
    <mergeCell ref="A79:M79"/>
    <mergeCell ref="A6:M6"/>
    <mergeCell ref="A119:M119"/>
    <mergeCell ref="A167:C167"/>
    <mergeCell ref="H166:M166"/>
    <mergeCell ref="A166:C166"/>
    <mergeCell ref="D160:G160"/>
    <mergeCell ref="A2:M2"/>
    <mergeCell ref="D163:G163"/>
    <mergeCell ref="A4:B4"/>
    <mergeCell ref="G4:H4"/>
    <mergeCell ref="H162:M162"/>
    <mergeCell ref="H165:M165"/>
    <mergeCell ref="A27:M27"/>
    <mergeCell ref="A158:M158"/>
    <mergeCell ref="H161:M161"/>
    <mergeCell ref="D166:G166"/>
    <mergeCell ref="A105:M105"/>
    <mergeCell ref="A149:M149"/>
    <mergeCell ref="A50:M50"/>
    <mergeCell ref="A168:C168"/>
    <mergeCell ref="H168:M168"/>
    <mergeCell ref="A26:M26"/>
    <mergeCell ref="A139:M139"/>
    <mergeCell ref="A162:C162"/>
    <mergeCell ref="D162:G162"/>
    <mergeCell ref="H167:M167"/>
    <mergeCell ref="A129:M129"/>
    <mergeCell ref="D168:G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2:O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18" customWidth="1" min="7" max="7"/>
    <col width="16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11" customWidth="1" min="14" max="14"/>
    <col width="13" customWidth="1" min="15" max="15"/>
  </cols>
  <sheetData>
    <row r="2">
      <c r="F2" s="71" t="inlineStr">
        <is>
          <t>CONSUMO SEMANA 24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872</v>
      </c>
      <c r="K5" s="75" t="n">
        <v>872</v>
      </c>
      <c r="L5" s="76" t="n">
        <v>1528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1285</v>
      </c>
      <c r="K6" s="79" t="n">
        <v>1285</v>
      </c>
      <c r="L6" s="76" t="n">
        <v>2015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200</v>
      </c>
      <c r="K7" s="75" t="n">
        <v>200</v>
      </c>
      <c r="L7" s="76" t="n">
        <v>400</v>
      </c>
    </row>
    <row r="8" ht="18" customHeight="1">
      <c r="F8" s="72" t="inlineStr">
        <is>
          <t>JACK</t>
        </is>
      </c>
      <c r="G8" s="77" t="n">
        <v>400</v>
      </c>
      <c r="H8" s="77" t="n">
        <v>2400</v>
      </c>
      <c r="I8" s="78" t="inlineStr">
        <is>
          <t>Planta Pegaso</t>
        </is>
      </c>
      <c r="J8" s="77" t="n">
        <v>647</v>
      </c>
      <c r="K8" s="79" t="n">
        <v>647</v>
      </c>
      <c r="L8" s="76" t="n">
        <v>1753</v>
      </c>
    </row>
    <row r="9" ht="18" customHeight="1">
      <c r="F9" s="72" t="inlineStr">
        <is>
          <t>LUIS</t>
        </is>
      </c>
      <c r="G9" s="73" t="n">
        <v>500</v>
      </c>
      <c r="H9" s="73" t="n">
        <v>3000</v>
      </c>
      <c r="I9" s="73" t="inlineStr">
        <is>
          <t>SIN CONSUMOS</t>
        </is>
      </c>
      <c r="J9" s="73" t="n"/>
      <c r="K9" s="75" t="n"/>
      <c r="L9" s="76" t="n">
        <v>3000</v>
      </c>
    </row>
    <row r="10" ht="20" customHeight="1">
      <c r="F10" s="80" t="inlineStr">
        <is>
          <t>SUBTOTAL (6 DÍAS):</t>
        </is>
      </c>
      <c r="G10" s="132" t="n"/>
      <c r="H10" s="80" t="n">
        <v>11700</v>
      </c>
      <c r="I10" s="15" t="n"/>
      <c r="J10" s="80" t="n">
        <v>3004</v>
      </c>
      <c r="K10" s="80" t="n">
        <v>3004</v>
      </c>
      <c r="L10" s="80" t="n">
        <v>8696</v>
      </c>
    </row>
    <row r="11">
      <c r="F11" s="4" t="inlineStr">
        <is>
          <t>RESPONSABLE</t>
        </is>
      </c>
      <c r="G11" s="4" t="inlineStr">
        <is>
          <t>AUTORIZADO DIARIO</t>
        </is>
      </c>
      <c r="H11" s="4" t="inlineStr">
        <is>
          <t>SEMANAL (5 DÍAS)</t>
        </is>
      </c>
      <c r="I11" s="4" t="inlineStr">
        <is>
          <t>OBRA</t>
        </is>
      </c>
      <c r="J11" s="4" t="inlineStr">
        <is>
          <t>CONSUMO POR OBRA</t>
        </is>
      </c>
      <c r="K11" s="4" t="inlineStr">
        <is>
          <t>CONSUMO POR INGENIERO</t>
        </is>
      </c>
      <c r="L11" s="4" t="inlineStr">
        <is>
          <t>REMANENTE POR INGENIERO</t>
        </is>
      </c>
    </row>
    <row r="12" ht="18" customHeight="1">
      <c r="F12" s="72" t="inlineStr">
        <is>
          <t>DAYANNE</t>
        </is>
      </c>
      <c r="G12" s="73" t="n"/>
      <c r="H12" s="73" t="n"/>
      <c r="I12" s="73" t="inlineStr">
        <is>
          <t>SIN CONSUMOS</t>
        </is>
      </c>
      <c r="J12" s="73" t="n"/>
      <c r="K12" s="75" t="n"/>
      <c r="L12" s="76" t="n"/>
    </row>
    <row r="13" ht="18" customHeight="1">
      <c r="F13" s="72" t="inlineStr">
        <is>
          <t>EDGAR</t>
        </is>
      </c>
      <c r="G13" s="77" t="n"/>
      <c r="H13" s="77" t="n"/>
      <c r="I13" s="77" t="inlineStr">
        <is>
          <t>SIN CONSUMOS</t>
        </is>
      </c>
      <c r="J13" s="77" t="n"/>
      <c r="K13" s="79" t="n"/>
      <c r="L13" s="76" t="n"/>
    </row>
    <row r="14" ht="18" customHeight="1">
      <c r="F14" s="72" t="inlineStr">
        <is>
          <t>SAMUEL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20" customHeight="1">
      <c r="F15" s="80" t="inlineStr">
        <is>
          <t>SUBTOTAL (5 DÍAS):</t>
        </is>
      </c>
      <c r="G15" s="132" t="n"/>
      <c r="H15" s="80" t="inlineStr"/>
      <c r="I15" s="15" t="n"/>
      <c r="J15" s="80" t="inlineStr"/>
      <c r="K15" s="80" t="inlineStr"/>
      <c r="L15" s="80" t="inlineStr"/>
    </row>
    <row r="16" ht="22" customHeight="1">
      <c r="F16" s="80" t="inlineStr">
        <is>
          <t>TOTAL GENERAL:</t>
        </is>
      </c>
      <c r="G16" s="132" t="n"/>
      <c r="H16" s="80" t="n">
        <v>11700</v>
      </c>
      <c r="I16" s="15" t="n"/>
      <c r="J16" s="80" t="n">
        <v>3004</v>
      </c>
      <c r="K16" s="80" t="n">
        <v>3004</v>
      </c>
      <c r="L16" s="80" t="n">
        <v>8696</v>
      </c>
    </row>
    <row r="19" ht="20" customHeight="1">
      <c r="F19" s="3" t="inlineStr">
        <is>
          <t>▶  Bacheo Toluca</t>
        </is>
      </c>
      <c r="G19" s="131" t="n"/>
      <c r="H19" s="131" t="n"/>
      <c r="I19" s="132" t="n"/>
      <c r="K19" s="3" t="inlineStr">
        <is>
          <t>▶  Lerma - Tres Marías</t>
        </is>
      </c>
      <c r="L19" s="131" t="n"/>
      <c r="M19" s="131" t="n"/>
      <c r="N19" s="132" t="n"/>
    </row>
    <row r="20" ht="20" customHeight="1">
      <c r="F20" s="4" t="inlineStr">
        <is>
          <t>DÍA</t>
        </is>
      </c>
      <c r="G20" s="4" t="inlineStr">
        <is>
          <t>LITROS CONSUMIDOS</t>
        </is>
      </c>
      <c r="H20" s="4" t="inlineStr">
        <is>
          <t>PRECIO PROM. ($/L)</t>
        </is>
      </c>
      <c r="I20" s="4" t="inlineStr">
        <is>
          <t>IMPORTE TOTAL</t>
        </is>
      </c>
      <c r="K20" s="4" t="inlineStr">
        <is>
          <t>DÍA</t>
        </is>
      </c>
      <c r="L20" s="4" t="inlineStr">
        <is>
          <t>LITROS CONSUMIDOS</t>
        </is>
      </c>
      <c r="M20" s="4" t="inlineStr">
        <is>
          <t>PRECIO PROM. ($/L)</t>
        </is>
      </c>
      <c r="N20" s="4" t="inlineStr">
        <is>
          <t>IMPORTE TOTAL</t>
        </is>
      </c>
    </row>
    <row r="21" ht="18" customHeight="1">
      <c r="F21" s="5" t="inlineStr">
        <is>
          <t>Lun 08-jun</t>
        </is>
      </c>
      <c r="G21" s="6" t="n">
        <v>100</v>
      </c>
      <c r="H21" s="7" t="n">
        <v>27</v>
      </c>
      <c r="I21" s="8" t="n">
        <v>2700</v>
      </c>
      <c r="K21" s="5" t="inlineStr">
        <is>
          <t>Lun 08-jun</t>
        </is>
      </c>
      <c r="L21" s="6" t="n">
        <v>97</v>
      </c>
      <c r="M21" s="7" t="n">
        <v>27</v>
      </c>
      <c r="N21" s="8" t="n">
        <v>2619</v>
      </c>
    </row>
    <row r="22" ht="18" customHeight="1">
      <c r="F22" s="9" t="inlineStr">
        <is>
          <t>Mié 10-jun</t>
        </is>
      </c>
      <c r="G22" s="10" t="n">
        <v>100</v>
      </c>
      <c r="H22" s="11" t="n">
        <v>27</v>
      </c>
      <c r="I22" s="12" t="n">
        <v>2700</v>
      </c>
      <c r="K22" s="9" t="inlineStr">
        <is>
          <t>Mar 09-jun</t>
        </is>
      </c>
      <c r="L22" s="10" t="n">
        <v>180</v>
      </c>
      <c r="M22" s="11" t="n">
        <v>27</v>
      </c>
      <c r="N22" s="12" t="n">
        <v>4860</v>
      </c>
    </row>
    <row r="23" ht="18" customHeight="1">
      <c r="F23" s="80" t="inlineStr">
        <is>
          <t>TOTAL — Bacheo Toluca</t>
        </is>
      </c>
      <c r="G23" s="14" t="n">
        <v>200</v>
      </c>
      <c r="H23" s="15" t="n"/>
      <c r="I23" s="16" t="n">
        <v>5400</v>
      </c>
      <c r="K23" s="5" t="inlineStr">
        <is>
          <t>Jue 11-jun</t>
        </is>
      </c>
      <c r="L23" s="6" t="n">
        <v>595</v>
      </c>
      <c r="M23" s="7" t="n">
        <v>27</v>
      </c>
      <c r="N23" s="8" t="n">
        <v>16065</v>
      </c>
    </row>
    <row r="24" ht="20" customHeight="1">
      <c r="K24" s="80" t="inlineStr">
        <is>
          <t>TOTAL — Lerma - Tres Marías</t>
        </is>
      </c>
      <c r="L24" s="14" t="n">
        <v>872</v>
      </c>
      <c r="M24" s="15" t="n"/>
      <c r="N24" s="16" t="n">
        <v>23544</v>
      </c>
    </row>
    <row r="26" ht="20" customHeight="1">
      <c r="F26" s="3" t="inlineStr">
        <is>
          <t>▶  Maquinaria</t>
        </is>
      </c>
      <c r="G26" s="131" t="n"/>
      <c r="H26" s="131" t="n"/>
      <c r="I26" s="132" t="n"/>
      <c r="K26" s="3" t="inlineStr">
        <is>
          <t>▶  México - Toluca</t>
        </is>
      </c>
      <c r="L26" s="131" t="n"/>
      <c r="M26" s="131" t="n"/>
      <c r="N26" s="132" t="n"/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08-jun</t>
        </is>
      </c>
      <c r="G28" s="6" t="n">
        <v>455</v>
      </c>
      <c r="H28" s="7" t="n">
        <v>27</v>
      </c>
      <c r="I28" s="8" t="n">
        <v>12285</v>
      </c>
      <c r="K28" s="5" t="inlineStr">
        <is>
          <t>Lun 08-jun</t>
        </is>
      </c>
      <c r="L28" s="6" t="n">
        <v>369</v>
      </c>
      <c r="M28" s="7" t="n">
        <v>27</v>
      </c>
      <c r="N28" s="8" t="n">
        <v>9963</v>
      </c>
    </row>
    <row r="29" ht="18" customHeight="1">
      <c r="F29" s="9" t="inlineStr">
        <is>
          <t>Mar 09-jun</t>
        </is>
      </c>
      <c r="G29" s="10" t="n">
        <v>736</v>
      </c>
      <c r="H29" s="11" t="n">
        <v>27</v>
      </c>
      <c r="I29" s="12" t="n">
        <v>19872</v>
      </c>
      <c r="K29" s="9" t="inlineStr">
        <is>
          <t>Mié 10-jun</t>
        </is>
      </c>
      <c r="L29" s="10" t="n">
        <v>300</v>
      </c>
      <c r="M29" s="11" t="n">
        <v>27</v>
      </c>
      <c r="N29" s="12" t="n">
        <v>8100</v>
      </c>
    </row>
    <row r="30" ht="18" customHeight="1">
      <c r="F30" s="5" t="inlineStr">
        <is>
          <t>Vie 12-jun</t>
        </is>
      </c>
      <c r="G30" s="6" t="n">
        <v>502</v>
      </c>
      <c r="H30" s="7" t="n">
        <v>27</v>
      </c>
      <c r="I30" s="8" t="n">
        <v>13554</v>
      </c>
      <c r="K30" s="5" t="inlineStr">
        <is>
          <t>Jue 11-jun</t>
        </is>
      </c>
      <c r="L30" s="6" t="n">
        <v>256</v>
      </c>
      <c r="M30" s="7" t="n">
        <v>27</v>
      </c>
      <c r="N30" s="8" t="n">
        <v>6912</v>
      </c>
    </row>
    <row r="31" ht="18" customHeight="1">
      <c r="F31" s="80" t="inlineStr">
        <is>
          <t>TOTAL — Maquinaria</t>
        </is>
      </c>
      <c r="G31" s="14" t="n">
        <v>1693</v>
      </c>
      <c r="H31" s="15" t="n"/>
      <c r="I31" s="16" t="n">
        <v>45711</v>
      </c>
      <c r="K31" s="9" t="inlineStr">
        <is>
          <t>Vie 12-jun</t>
        </is>
      </c>
      <c r="L31" s="10" t="n">
        <v>360</v>
      </c>
      <c r="M31" s="11" t="n">
        <v>27</v>
      </c>
      <c r="N31" s="12" t="n">
        <v>9720</v>
      </c>
    </row>
    <row r="32" ht="20" customHeight="1">
      <c r="K32" s="80" t="inlineStr">
        <is>
          <t>TOTAL — México - Toluca</t>
        </is>
      </c>
      <c r="L32" s="14" t="n">
        <v>1285</v>
      </c>
      <c r="M32" s="15" t="n"/>
      <c r="N32" s="16" t="n">
        <v>34695</v>
      </c>
    </row>
    <row r="34" ht="20" customHeight="1">
      <c r="F34" s="3" t="inlineStr">
        <is>
          <t>▶  Planta Pegaso</t>
        </is>
      </c>
      <c r="G34" s="131" t="n"/>
      <c r="H34" s="131" t="n"/>
      <c r="I34" s="132" t="n"/>
    </row>
    <row r="35" ht="20" customHeight="1">
      <c r="F35" s="4" t="inlineStr">
        <is>
          <t>DÍA</t>
        </is>
      </c>
      <c r="G35" s="4" t="inlineStr">
        <is>
          <t>LITROS CONSUMIDOS</t>
        </is>
      </c>
      <c r="H35" s="4" t="inlineStr">
        <is>
          <t>PRECIO PROM. ($/L)</t>
        </is>
      </c>
      <c r="I35" s="4" t="inlineStr">
        <is>
          <t>IMPORTE TOTAL</t>
        </is>
      </c>
    </row>
    <row r="36" ht="18" customHeight="1">
      <c r="F36" s="5" t="inlineStr">
        <is>
          <t>Lun 08-jun</t>
        </is>
      </c>
      <c r="G36" s="6" t="n">
        <v>409</v>
      </c>
      <c r="H36" s="7" t="n">
        <v>27</v>
      </c>
      <c r="I36" s="8" t="n">
        <v>11043</v>
      </c>
    </row>
    <row r="37" ht="18" customHeight="1">
      <c r="F37" s="9" t="inlineStr">
        <is>
          <t>Jue 11-jun</t>
        </is>
      </c>
      <c r="G37" s="10" t="n">
        <v>238</v>
      </c>
      <c r="H37" s="11" t="n">
        <v>27</v>
      </c>
      <c r="I37" s="12" t="n">
        <v>6426</v>
      </c>
    </row>
    <row r="38" ht="20" customHeight="1">
      <c r="F38" s="80" t="inlineStr">
        <is>
          <t>TOTAL — Planta Pegaso</t>
        </is>
      </c>
      <c r="G38" s="14" t="n">
        <v>647</v>
      </c>
      <c r="H38" s="15" t="n"/>
      <c r="I38" s="16" t="n">
        <v>17469</v>
      </c>
    </row>
    <row r="41" ht="22" customHeight="1">
      <c r="F41" s="81" t="inlineStr">
        <is>
          <t>APOLINAR</t>
        </is>
      </c>
      <c r="G41" s="131" t="n"/>
      <c r="H41" s="131" t="n"/>
      <c r="I41" s="131" t="n"/>
      <c r="J41" s="131" t="n"/>
      <c r="K41" s="131" t="n"/>
      <c r="L41" s="131" t="n"/>
      <c r="M41" s="131" t="n"/>
      <c r="N41" s="132" t="n"/>
    </row>
    <row r="42" ht="28" customHeight="1">
      <c r="F42" s="4" t="inlineStr">
        <is>
          <t>#</t>
        </is>
      </c>
      <c r="G42" s="4" t="inlineStr">
        <is>
          <t>EQUIPO / MAQUINARIA</t>
        </is>
      </c>
      <c r="H42" s="4" t="inlineStr">
        <is>
          <t>LTS. SEM.
AUT.</t>
        </is>
      </c>
      <c r="I42" s="4" t="inlineStr">
        <is>
          <t>Lun
08/06</t>
        </is>
      </c>
      <c r="J42" s="4" t="inlineStr">
        <is>
          <t>Mar
09/06</t>
        </is>
      </c>
      <c r="K42" s="4" t="inlineStr">
        <is>
          <t>Jue
11/06</t>
        </is>
      </c>
      <c r="L42" s="4" t="inlineStr">
        <is>
          <t>LITROS
TOTAL</t>
        </is>
      </c>
      <c r="M42" s="4" t="inlineStr">
        <is>
          <t>PRECIO
UNIT.</t>
        </is>
      </c>
      <c r="N42" s="4" t="inlineStr">
        <is>
          <t>TOTAL $</t>
        </is>
      </c>
    </row>
    <row r="43" ht="22" customHeight="1">
      <c r="F43" s="82" t="n"/>
      <c r="G43" s="83" t="inlineStr">
        <is>
          <t>OBRA DESTINO</t>
        </is>
      </c>
      <c r="H43" s="82" t="n"/>
      <c r="I43" s="84" t="inlineStr">
        <is>
          <t>Lerma - Tres Marías</t>
        </is>
      </c>
      <c r="J43" s="84" t="inlineStr">
        <is>
          <t>Lerma - Tres Marías</t>
        </is>
      </c>
      <c r="K43" s="84" t="inlineStr">
        <is>
          <t>Lerma - Tres Marías</t>
        </is>
      </c>
      <c r="L43" s="82" t="n"/>
      <c r="M43" s="82" t="n"/>
      <c r="N43" s="82" t="n"/>
    </row>
    <row r="44" ht="18" customHeight="1">
      <c r="F44" s="85" t="n">
        <v>1</v>
      </c>
      <c r="G44" s="86" t="inlineStr">
        <is>
          <t>Camion de Impacto</t>
        </is>
      </c>
      <c r="H44" s="87" t="n">
        <v>2800</v>
      </c>
      <c r="I44" s="85" t="n"/>
      <c r="J44" s="85" t="n"/>
      <c r="K44" s="85" t="n">
        <v>80</v>
      </c>
      <c r="L44" s="88" t="n">
        <v>80</v>
      </c>
      <c r="M44" s="55" t="n">
        <v>27</v>
      </c>
      <c r="N44" s="89" t="n">
        <v>2160</v>
      </c>
    </row>
    <row r="45" ht="18" customHeight="1">
      <c r="F45" s="90" t="n">
        <v>2</v>
      </c>
      <c r="G45" s="91" t="inlineStr">
        <is>
          <t>Compresor</t>
        </is>
      </c>
      <c r="H45" s="92" t="n"/>
      <c r="I45" s="90" t="n"/>
      <c r="J45" s="90" t="n"/>
      <c r="K45" s="90" t="n">
        <v>50</v>
      </c>
      <c r="L45" s="93" t="n">
        <v>50</v>
      </c>
      <c r="M45" s="94" t="n">
        <v>27</v>
      </c>
      <c r="N45" s="95" t="n">
        <v>1350</v>
      </c>
    </row>
    <row r="46" ht="18" customHeight="1">
      <c r="F46" s="85" t="n">
        <v>3</v>
      </c>
      <c r="G46" s="86" t="inlineStr">
        <is>
          <t>Doble Rodillo</t>
        </is>
      </c>
      <c r="H46" s="96" t="n"/>
      <c r="I46" s="85" t="n"/>
      <c r="J46" s="85" t="n">
        <v>50</v>
      </c>
      <c r="K46" s="85" t="n">
        <v>90</v>
      </c>
      <c r="L46" s="88" t="n">
        <v>140</v>
      </c>
      <c r="M46" s="55" t="n">
        <v>27</v>
      </c>
      <c r="N46" s="89" t="n">
        <v>3780</v>
      </c>
    </row>
    <row r="47" ht="18" customHeight="1">
      <c r="F47" s="90" t="n">
        <v>4</v>
      </c>
      <c r="G47" s="91" t="inlineStr">
        <is>
          <t>Neuomatico</t>
        </is>
      </c>
      <c r="H47" s="92" t="n"/>
      <c r="I47" s="90" t="n"/>
      <c r="J47" s="90" t="n"/>
      <c r="K47" s="90" t="n">
        <v>40</v>
      </c>
      <c r="L47" s="93" t="n">
        <v>40</v>
      </c>
      <c r="M47" s="94" t="n">
        <v>27</v>
      </c>
      <c r="N47" s="95" t="n">
        <v>1080</v>
      </c>
    </row>
    <row r="48" ht="18" customHeight="1">
      <c r="F48" s="85" t="n">
        <v>5</v>
      </c>
      <c r="G48" s="86" t="inlineStr">
        <is>
          <t>Petrolizadora</t>
        </is>
      </c>
      <c r="H48" s="96" t="n"/>
      <c r="I48" s="85" t="n"/>
      <c r="J48" s="85" t="n">
        <v>60</v>
      </c>
      <c r="K48" s="85" t="n">
        <v>80</v>
      </c>
      <c r="L48" s="88" t="n">
        <v>140</v>
      </c>
      <c r="M48" s="55" t="n">
        <v>27</v>
      </c>
      <c r="N48" s="89" t="n">
        <v>3780</v>
      </c>
    </row>
    <row r="49" ht="18" customHeight="1">
      <c r="F49" s="90" t="n">
        <v>6</v>
      </c>
      <c r="G49" s="91" t="inlineStr">
        <is>
          <t>Retroexcavadora</t>
        </is>
      </c>
      <c r="H49" s="92" t="n"/>
      <c r="I49" s="90" t="n"/>
      <c r="J49" s="90" t="n">
        <v>70</v>
      </c>
      <c r="K49" s="90" t="n">
        <v>70</v>
      </c>
      <c r="L49" s="93" t="n">
        <v>140</v>
      </c>
      <c r="M49" s="94" t="n">
        <v>27</v>
      </c>
      <c r="N49" s="95" t="n">
        <v>3780</v>
      </c>
    </row>
    <row r="50" ht="18" customHeight="1">
      <c r="F50" s="85" t="n">
        <v>7</v>
      </c>
      <c r="G50" s="86" t="inlineStr">
        <is>
          <t>Vogel</t>
        </is>
      </c>
      <c r="H50" s="96" t="n"/>
      <c r="I50" s="85" t="n">
        <v>97</v>
      </c>
      <c r="J50" s="85" t="n"/>
      <c r="K50" s="85" t="n">
        <v>185</v>
      </c>
      <c r="L50" s="88" t="n">
        <v>282</v>
      </c>
      <c r="M50" s="55" t="n">
        <v>27</v>
      </c>
      <c r="N50" s="89" t="n">
        <v>7614</v>
      </c>
    </row>
    <row r="51" ht="20" customHeight="1">
      <c r="F51" s="80" t="inlineStr">
        <is>
          <t>TOTAL LITROS</t>
        </is>
      </c>
      <c r="G51" s="131" t="n"/>
      <c r="H51" s="132" t="n"/>
      <c r="I51" s="97" t="n">
        <v>97</v>
      </c>
      <c r="J51" s="97" t="n">
        <v>180</v>
      </c>
      <c r="K51" s="98" t="n">
        <v>595</v>
      </c>
      <c r="L51" s="80" t="n">
        <v>872</v>
      </c>
      <c r="M51" s="15" t="n"/>
      <c r="N51" s="16" t="n">
        <v>23544</v>
      </c>
    </row>
    <row r="52" ht="20" customHeight="1">
      <c r="F52" s="99" t="inlineStr">
        <is>
          <t>IMPORTE SEMANAL AUTORIZADO: $75,600.00  (Litros aut.: 2,800.00 L)</t>
        </is>
      </c>
      <c r="G52" s="131" t="n"/>
      <c r="H52" s="131" t="n"/>
      <c r="I52" s="131" t="n"/>
      <c r="J52" s="131" t="n"/>
      <c r="K52" s="131" t="n"/>
      <c r="L52" s="131" t="n"/>
      <c r="M52" s="132" t="n"/>
      <c r="N52" s="101" t="n">
        <v>23544</v>
      </c>
    </row>
    <row r="55" ht="22" customHeight="1">
      <c r="F55" s="81" t="inlineStr">
        <is>
          <t>FRANCISCO JAVIER</t>
        </is>
      </c>
      <c r="G55" s="131" t="n"/>
      <c r="H55" s="131" t="n"/>
      <c r="I55" s="131" t="n"/>
      <c r="J55" s="131" t="n"/>
      <c r="K55" s="131" t="n"/>
      <c r="L55" s="131" t="n"/>
      <c r="M55" s="131" t="n"/>
      <c r="N55" s="131" t="n"/>
      <c r="O55" s="132" t="n"/>
    </row>
    <row r="56" ht="28" customHeight="1">
      <c r="F56" s="4" t="inlineStr">
        <is>
          <t>#</t>
        </is>
      </c>
      <c r="G56" s="4" t="inlineStr">
        <is>
          <t>EQUIPO / MAQUINARIA</t>
        </is>
      </c>
      <c r="H56" s="4" t="inlineStr">
        <is>
          <t>LTS. SEM.
AUT.</t>
        </is>
      </c>
      <c r="I56" s="4" t="inlineStr">
        <is>
          <t>Lun
08/06</t>
        </is>
      </c>
      <c r="J56" s="4" t="inlineStr">
        <is>
          <t>Mié
10/06</t>
        </is>
      </c>
      <c r="K56" s="4" t="inlineStr">
        <is>
          <t>Jue
11/06</t>
        </is>
      </c>
      <c r="L56" s="4" t="inlineStr">
        <is>
          <t>Vie
12/06</t>
        </is>
      </c>
      <c r="M56" s="4" t="inlineStr">
        <is>
          <t>LITROS
TOTAL</t>
        </is>
      </c>
      <c r="N56" s="4" t="inlineStr">
        <is>
          <t>PRECIO
UNIT.</t>
        </is>
      </c>
      <c r="O56" s="4" t="inlineStr">
        <is>
          <t>TOTAL $</t>
        </is>
      </c>
    </row>
    <row r="57" ht="22" customHeight="1">
      <c r="F57" s="82" t="n"/>
      <c r="G57" s="83" t="inlineStr">
        <is>
          <t>OBRA DESTINO</t>
        </is>
      </c>
      <c r="H57" s="82" t="n"/>
      <c r="I57" s="84" t="inlineStr">
        <is>
          <t>México - Toluca</t>
        </is>
      </c>
      <c r="J57" s="84" t="inlineStr">
        <is>
          <t>México - Toluca</t>
        </is>
      </c>
      <c r="K57" s="84" t="inlineStr">
        <is>
          <t>México - Toluca</t>
        </is>
      </c>
      <c r="L57" s="84" t="inlineStr">
        <is>
          <t>México - Toluca</t>
        </is>
      </c>
      <c r="M57" s="82" t="n"/>
      <c r="N57" s="82" t="n"/>
      <c r="O57" s="82" t="n"/>
    </row>
    <row r="58" ht="18" customHeight="1">
      <c r="F58" s="85" t="n">
        <v>1</v>
      </c>
      <c r="G58" s="86" t="inlineStr">
        <is>
          <t>Barredora</t>
        </is>
      </c>
      <c r="H58" s="87" t="n">
        <v>3850</v>
      </c>
      <c r="I58" s="85" t="n"/>
      <c r="J58" s="85" t="n">
        <v>20</v>
      </c>
      <c r="K58" s="85" t="n">
        <v>20</v>
      </c>
      <c r="L58" s="85" t="n">
        <v>20</v>
      </c>
      <c r="M58" s="88" t="n">
        <v>60</v>
      </c>
      <c r="N58" s="55" t="n">
        <v>27</v>
      </c>
      <c r="O58" s="89" t="n">
        <v>1620</v>
      </c>
    </row>
    <row r="59" ht="18" customHeight="1">
      <c r="F59" s="90" t="n">
        <v>2</v>
      </c>
      <c r="G59" s="91" t="inlineStr">
        <is>
          <t>Compactador</t>
        </is>
      </c>
      <c r="H59" s="92" t="n"/>
      <c r="I59" s="90" t="n">
        <v>32</v>
      </c>
      <c r="J59" s="90" t="n"/>
      <c r="K59" s="90" t="n">
        <v>30</v>
      </c>
      <c r="L59" s="90" t="n">
        <v>40</v>
      </c>
      <c r="M59" s="93" t="n">
        <v>102</v>
      </c>
      <c r="N59" s="94" t="n">
        <v>27</v>
      </c>
      <c r="O59" s="95" t="n">
        <v>2754</v>
      </c>
    </row>
    <row r="60" ht="18" customHeight="1">
      <c r="F60" s="85" t="n">
        <v>3</v>
      </c>
      <c r="G60" s="86" t="inlineStr">
        <is>
          <t>Maxilihgs</t>
        </is>
      </c>
      <c r="H60" s="96" t="n"/>
      <c r="I60" s="85" t="n"/>
      <c r="J60" s="85" t="n"/>
      <c r="K60" s="85" t="n">
        <v>20</v>
      </c>
      <c r="L60" s="85" t="n">
        <v>20</v>
      </c>
      <c r="M60" s="88" t="n">
        <v>40</v>
      </c>
      <c r="N60" s="55" t="n">
        <v>27</v>
      </c>
      <c r="O60" s="89" t="n">
        <v>1080</v>
      </c>
    </row>
    <row r="61" ht="18" customHeight="1">
      <c r="F61" s="90" t="n">
        <v>4</v>
      </c>
      <c r="G61" s="91" t="inlineStr">
        <is>
          <t>Neuomatico</t>
        </is>
      </c>
      <c r="H61" s="92" t="n"/>
      <c r="I61" s="90" t="n">
        <v>30</v>
      </c>
      <c r="J61" s="90" t="n"/>
      <c r="K61" s="90" t="n">
        <v>30</v>
      </c>
      <c r="L61" s="90" t="n">
        <v>30</v>
      </c>
      <c r="M61" s="93" t="n">
        <v>90</v>
      </c>
      <c r="N61" s="94" t="n">
        <v>27</v>
      </c>
      <c r="O61" s="95" t="n">
        <v>2430</v>
      </c>
    </row>
    <row r="62" ht="18" customHeight="1">
      <c r="F62" s="85" t="n">
        <v>5</v>
      </c>
      <c r="G62" s="86" t="inlineStr">
        <is>
          <t>Perfiladora</t>
        </is>
      </c>
      <c r="H62" s="96" t="n"/>
      <c r="I62" s="85" t="n">
        <v>277</v>
      </c>
      <c r="J62" s="85" t="n">
        <v>250</v>
      </c>
      <c r="K62" s="85" t="n"/>
      <c r="L62" s="85" t="n">
        <v>250</v>
      </c>
      <c r="M62" s="88" t="n">
        <v>777</v>
      </c>
      <c r="N62" s="55" t="n">
        <v>27</v>
      </c>
      <c r="O62" s="89" t="n">
        <v>20979</v>
      </c>
    </row>
    <row r="63" ht="18" customHeight="1">
      <c r="F63" s="90" t="n">
        <v>6</v>
      </c>
      <c r="G63" s="91" t="inlineStr">
        <is>
          <t>Retroexcavadora</t>
        </is>
      </c>
      <c r="H63" s="92" t="n"/>
      <c r="I63" s="90" t="n">
        <v>30</v>
      </c>
      <c r="J63" s="90" t="n">
        <v>30</v>
      </c>
      <c r="K63" s="90" t="n">
        <v>20</v>
      </c>
      <c r="L63" s="90" t="n"/>
      <c r="M63" s="93" t="n">
        <v>80</v>
      </c>
      <c r="N63" s="94" t="n">
        <v>27</v>
      </c>
      <c r="O63" s="95" t="n">
        <v>2160</v>
      </c>
    </row>
    <row r="64" ht="18" customHeight="1">
      <c r="F64" s="85" t="n">
        <v>7</v>
      </c>
      <c r="G64" s="86" t="inlineStr">
        <is>
          <t>Vogel</t>
        </is>
      </c>
      <c r="H64" s="96" t="n"/>
      <c r="I64" s="85" t="n"/>
      <c r="J64" s="85" t="n"/>
      <c r="K64" s="85" t="n">
        <v>136</v>
      </c>
      <c r="L64" s="85" t="n"/>
      <c r="M64" s="88" t="n">
        <v>136</v>
      </c>
      <c r="N64" s="55" t="n">
        <v>27</v>
      </c>
      <c r="O64" s="89" t="n">
        <v>3672</v>
      </c>
    </row>
    <row r="65" ht="20" customHeight="1">
      <c r="F65" s="80" t="inlineStr">
        <is>
          <t>TOTAL LITROS</t>
        </is>
      </c>
      <c r="G65" s="131" t="n"/>
      <c r="H65" s="132" t="n"/>
      <c r="I65" s="97" t="n">
        <v>369</v>
      </c>
      <c r="J65" s="97" t="n">
        <v>300</v>
      </c>
      <c r="K65" s="97" t="n">
        <v>256</v>
      </c>
      <c r="L65" s="97" t="n">
        <v>360</v>
      </c>
      <c r="M65" s="80" t="n">
        <v>1285</v>
      </c>
      <c r="N65" s="15" t="n"/>
      <c r="O65" s="16" t="n">
        <v>34695</v>
      </c>
    </row>
    <row r="66" ht="20" customHeight="1">
      <c r="F66" s="99" t="inlineStr">
        <is>
          <t>IMPORTE SEMANAL AUTORIZADO: $103,950.00  (Litros aut.: 3,850.00 L)</t>
        </is>
      </c>
      <c r="G66" s="131" t="n"/>
      <c r="H66" s="131" t="n"/>
      <c r="I66" s="131" t="n"/>
      <c r="J66" s="131" t="n"/>
      <c r="K66" s="131" t="n"/>
      <c r="L66" s="131" t="n"/>
      <c r="M66" s="131" t="n"/>
      <c r="N66" s="132" t="n"/>
      <c r="O66" s="101" t="n">
        <v>34695</v>
      </c>
    </row>
    <row r="69" ht="22" customHeight="1">
      <c r="F69" s="81" t="inlineStr">
        <is>
          <t>ING. DIEGO CARREOLA</t>
        </is>
      </c>
      <c r="G69" s="131" t="n"/>
      <c r="H69" s="131" t="n"/>
      <c r="I69" s="131" t="n"/>
      <c r="J69" s="131" t="n"/>
      <c r="K69" s="131" t="n"/>
      <c r="L69" s="131" t="n"/>
      <c r="M69" s="132" t="n"/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08/06</t>
        </is>
      </c>
      <c r="J70" s="4" t="inlineStr">
        <is>
          <t>Mié
10/06</t>
        </is>
      </c>
      <c r="K70" s="4" t="inlineStr">
        <is>
          <t>LITROS
TOTAL</t>
        </is>
      </c>
      <c r="L70" s="4" t="inlineStr">
        <is>
          <t>PRECIO
UNIT.</t>
        </is>
      </c>
      <c r="M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Bacheo Toluca</t>
        </is>
      </c>
      <c r="J71" s="84" t="inlineStr">
        <is>
          <t>Bacheo Toluca</t>
        </is>
      </c>
      <c r="K71" s="82" t="n"/>
      <c r="L71" s="82" t="n"/>
      <c r="M71" s="82" t="n"/>
    </row>
    <row r="72" ht="18" customHeight="1">
      <c r="F72" s="85" t="n">
        <v>1</v>
      </c>
      <c r="G72" s="86" t="inlineStr">
        <is>
          <t>Bidones</t>
        </is>
      </c>
      <c r="H72" s="87" t="n">
        <v>700</v>
      </c>
      <c r="I72" s="85" t="n">
        <v>100</v>
      </c>
      <c r="J72" s="85" t="n">
        <v>100</v>
      </c>
      <c r="K72" s="88" t="n">
        <v>200</v>
      </c>
      <c r="L72" s="55" t="n">
        <v>27</v>
      </c>
      <c r="M72" s="89" t="n">
        <v>5400</v>
      </c>
    </row>
    <row r="73" ht="20" customHeight="1">
      <c r="F73" s="80" t="inlineStr">
        <is>
          <t>TOTAL LITROS</t>
        </is>
      </c>
      <c r="G73" s="131" t="n"/>
      <c r="H73" s="132" t="n"/>
      <c r="I73" s="97" t="n">
        <v>100</v>
      </c>
      <c r="J73" s="97" t="n">
        <v>100</v>
      </c>
      <c r="K73" s="80" t="n">
        <v>200</v>
      </c>
      <c r="L73" s="15" t="n"/>
      <c r="M73" s="16" t="n">
        <v>5400</v>
      </c>
    </row>
    <row r="74" ht="20" customHeight="1">
      <c r="F74" s="99" t="inlineStr">
        <is>
          <t>IMPORTE SEMANAL AUTORIZADO: $18,900.00  (Litros aut.: 700.00 L)</t>
        </is>
      </c>
      <c r="G74" s="131" t="n"/>
      <c r="H74" s="131" t="n"/>
      <c r="I74" s="131" t="n"/>
      <c r="J74" s="131" t="n"/>
      <c r="K74" s="131" t="n"/>
      <c r="L74" s="132" t="n"/>
      <c r="M74" s="101" t="n">
        <v>5400</v>
      </c>
    </row>
    <row r="77" ht="22" customHeight="1">
      <c r="F77" s="81" t="inlineStr">
        <is>
          <t>JACK</t>
        </is>
      </c>
      <c r="G77" s="131" t="n"/>
      <c r="H77" s="131" t="n"/>
      <c r="I77" s="131" t="n"/>
      <c r="J77" s="131" t="n"/>
      <c r="K77" s="131" t="n"/>
      <c r="L77" s="131" t="n"/>
      <c r="M77" s="132" t="n"/>
    </row>
    <row r="78" ht="28" customHeight="1">
      <c r="F78" s="4" t="inlineStr">
        <is>
          <t>#</t>
        </is>
      </c>
      <c r="G78" s="4" t="inlineStr">
        <is>
          <t>EQUIPO / MAQUINARIA</t>
        </is>
      </c>
      <c r="H78" s="4" t="inlineStr">
        <is>
          <t>LTS. SEM.
AUT.</t>
        </is>
      </c>
      <c r="I78" s="4" t="inlineStr">
        <is>
          <t>Lun
08/06</t>
        </is>
      </c>
      <c r="J78" s="4" t="inlineStr">
        <is>
          <t>Jue
11/06</t>
        </is>
      </c>
      <c r="K78" s="4" t="inlineStr">
        <is>
          <t>LITROS
TOTAL</t>
        </is>
      </c>
      <c r="L78" s="4" t="inlineStr">
        <is>
          <t>PRECIO
UNIT.</t>
        </is>
      </c>
      <c r="M78" s="4" t="inlineStr">
        <is>
          <t>TOTAL $</t>
        </is>
      </c>
    </row>
    <row r="79" ht="22" customHeight="1">
      <c r="F79" s="82" t="n"/>
      <c r="G79" s="83" t="inlineStr">
        <is>
          <t>OBRA DESTINO</t>
        </is>
      </c>
      <c r="H79" s="82" t="n"/>
      <c r="I79" s="84" t="inlineStr">
        <is>
          <t>Planta Pegaso</t>
        </is>
      </c>
      <c r="J79" s="84" t="inlineStr">
        <is>
          <t>Planta Pegaso</t>
        </is>
      </c>
      <c r="K79" s="82" t="n"/>
      <c r="L79" s="82" t="n"/>
      <c r="M79" s="82" t="n"/>
    </row>
    <row r="80" ht="18" customHeight="1">
      <c r="F80" s="85" t="n">
        <v>1</v>
      </c>
      <c r="G80" s="86" t="inlineStr">
        <is>
          <t>Bidones</t>
        </is>
      </c>
      <c r="H80" s="87" t="n">
        <v>2800</v>
      </c>
      <c r="I80" s="85" t="n">
        <v>409</v>
      </c>
      <c r="J80" s="85" t="n"/>
      <c r="K80" s="88" t="n">
        <v>409</v>
      </c>
      <c r="L80" s="55" t="n">
        <v>27</v>
      </c>
      <c r="M80" s="89" t="n">
        <v>11043</v>
      </c>
    </row>
    <row r="81" ht="18" customHeight="1">
      <c r="F81" s="90" t="n">
        <v>2</v>
      </c>
      <c r="G81" s="91" t="inlineStr">
        <is>
          <t>PayLoder</t>
        </is>
      </c>
      <c r="H81" s="92" t="n"/>
      <c r="I81" s="90" t="n"/>
      <c r="J81" s="90" t="n">
        <v>238</v>
      </c>
      <c r="K81" s="93" t="n">
        <v>238</v>
      </c>
      <c r="L81" s="94" t="n">
        <v>27</v>
      </c>
      <c r="M81" s="95" t="n">
        <v>6426</v>
      </c>
    </row>
    <row r="82" ht="20" customHeight="1">
      <c r="F82" s="80" t="inlineStr">
        <is>
          <t>TOTAL LITROS</t>
        </is>
      </c>
      <c r="G82" s="131" t="n"/>
      <c r="H82" s="132" t="n"/>
      <c r="I82" s="98" t="n">
        <v>409</v>
      </c>
      <c r="J82" s="97" t="n">
        <v>238</v>
      </c>
      <c r="K82" s="80" t="n">
        <v>647</v>
      </c>
      <c r="L82" s="15" t="n"/>
      <c r="M82" s="16" t="n">
        <v>17469</v>
      </c>
    </row>
    <row r="83" ht="20" customHeight="1">
      <c r="F83" s="99" t="inlineStr">
        <is>
          <t>IMPORTE SEMANAL AUTORIZADO: $75,600.00  (Litros aut.: 2,800.00 L)</t>
        </is>
      </c>
      <c r="G83" s="131" t="n"/>
      <c r="H83" s="131" t="n"/>
      <c r="I83" s="131" t="n"/>
      <c r="J83" s="131" t="n"/>
      <c r="K83" s="131" t="n"/>
      <c r="L83" s="132" t="n"/>
      <c r="M83" s="101" t="n">
        <v>17469</v>
      </c>
    </row>
    <row r="90" ht="24" customHeight="1">
      <c r="F90" s="102" t="inlineStr">
        <is>
          <t>▶ COMPARATIVA FACTURADO VS CONSUMIDO POR OBRA — SEMANA 24</t>
        </is>
      </c>
      <c r="G90" s="131" t="n"/>
      <c r="H90" s="131" t="n"/>
      <c r="I90" s="131" t="n"/>
      <c r="J90" s="131" t="n"/>
      <c r="K90" s="131" t="n"/>
      <c r="L90" s="132" t="n"/>
    </row>
    <row r="91" ht="22" customHeight="1">
      <c r="F91" s="4" t="inlineStr">
        <is>
          <t>OBRA / DESTINO</t>
        </is>
      </c>
      <c r="G91" s="4" t="inlineStr">
        <is>
          <t>LITROS FACTURADOS</t>
        </is>
      </c>
      <c r="H91" s="4" t="inlineStr">
        <is>
          <t>LITROS CONSUMIDOS</t>
        </is>
      </c>
      <c r="I91" s="4" t="inlineStr">
        <is>
          <t>MONTO FACTURADO ($)</t>
        </is>
      </c>
      <c r="J91" s="4" t="inlineStr">
        <is>
          <t>MONTO CONSUMIDO ($)</t>
        </is>
      </c>
      <c r="K91" s="4" t="inlineStr">
        <is>
          <t>VARIACIÓN (LTS)</t>
        </is>
      </c>
      <c r="L91" s="4" t="inlineStr">
        <is>
          <t>VARIACIÓN ($)</t>
        </is>
      </c>
    </row>
    <row r="92" ht="19" customHeight="1">
      <c r="F92" s="5" t="inlineStr">
        <is>
          <t>Bacheo Toluca</t>
        </is>
      </c>
      <c r="G92" s="32" t="n"/>
      <c r="H92" s="32" t="n">
        <v>200</v>
      </c>
      <c r="I92" s="33" t="n"/>
      <c r="J92" s="33" t="n">
        <v>5400</v>
      </c>
      <c r="K92" s="103" t="n">
        <v>-200</v>
      </c>
      <c r="L92" s="104" t="n">
        <v>-5400</v>
      </c>
    </row>
    <row r="93" ht="19" customHeight="1">
      <c r="F93" s="9" t="inlineStr">
        <is>
          <t>Lerma - Tres Marías</t>
        </is>
      </c>
      <c r="G93" s="105" t="n"/>
      <c r="H93" s="105" t="n">
        <v>872</v>
      </c>
      <c r="I93" s="106" t="n"/>
      <c r="J93" s="106" t="n">
        <v>23544</v>
      </c>
      <c r="K93" s="107" t="n">
        <v>-872</v>
      </c>
      <c r="L93" s="108" t="n">
        <v>-23544</v>
      </c>
    </row>
    <row r="94" ht="19" customHeight="1">
      <c r="F94" s="5" t="inlineStr">
        <is>
          <t>Maquinaria</t>
        </is>
      </c>
      <c r="G94" s="32" t="n"/>
      <c r="H94" s="32" t="n">
        <v>1693</v>
      </c>
      <c r="I94" s="33" t="n"/>
      <c r="J94" s="33" t="n">
        <v>45711</v>
      </c>
      <c r="K94" s="103" t="n">
        <v>-1693</v>
      </c>
      <c r="L94" s="104" t="n">
        <v>-45711</v>
      </c>
    </row>
    <row r="95" ht="19" customHeight="1">
      <c r="F95" s="9" t="inlineStr">
        <is>
          <t>México - Toluca</t>
        </is>
      </c>
      <c r="G95" s="105" t="n"/>
      <c r="H95" s="105" t="n">
        <v>1285</v>
      </c>
      <c r="I95" s="106" t="n"/>
      <c r="J95" s="106" t="n">
        <v>34695</v>
      </c>
      <c r="K95" s="107" t="n">
        <v>-1285</v>
      </c>
      <c r="L95" s="108" t="n">
        <v>-34695</v>
      </c>
    </row>
    <row r="96" ht="19" customHeight="1">
      <c r="F96" s="5" t="inlineStr">
        <is>
          <t>Planta Pegaso</t>
        </is>
      </c>
      <c r="G96" s="32" t="n"/>
      <c r="H96" s="32" t="n">
        <v>647</v>
      </c>
      <c r="I96" s="33" t="n"/>
      <c r="J96" s="33" t="n">
        <v>17469</v>
      </c>
      <c r="K96" s="103" t="n">
        <v>-647</v>
      </c>
      <c r="L96" s="104" t="n">
        <v>-17469</v>
      </c>
    </row>
    <row r="97" ht="22" customHeight="1">
      <c r="F97" s="80" t="inlineStr">
        <is>
          <t>TOTAL GENERAL POR OBRA:</t>
        </is>
      </c>
      <c r="G97" s="109">
        <f>SUM(G92:G96)</f>
        <v/>
      </c>
      <c r="H97" s="109">
        <f>SUM(H92:H96)</f>
        <v/>
      </c>
      <c r="I97" s="16">
        <f>SUM(I92:I96)</f>
        <v/>
      </c>
      <c r="J97" s="16">
        <f>SUM(J92:J96)</f>
        <v/>
      </c>
      <c r="K97" s="110">
        <f>SUM(K92:K96)</f>
        <v/>
      </c>
      <c r="L97" s="111">
        <f>SUM(L92:L96)</f>
        <v/>
      </c>
    </row>
    <row r="100" ht="24" customHeight="1">
      <c r="F100" s="102" t="inlineStr">
        <is>
          <t>▶ COMPARATIVA FACTURADO VS CONSUMIDO POR INGENIERO — SEMANA 24</t>
        </is>
      </c>
      <c r="G100" s="131" t="n"/>
      <c r="H100" s="131" t="n"/>
      <c r="I100" s="131" t="n"/>
      <c r="J100" s="131" t="n"/>
      <c r="K100" s="131" t="n"/>
      <c r="L100" s="131" t="n"/>
      <c r="M100" s="132" t="n"/>
    </row>
    <row r="101" ht="22" customHeight="1">
      <c r="F101" s="4" t="inlineStr">
        <is>
          <t>INGENIERO / RESPONSABLE</t>
        </is>
      </c>
      <c r="G101" s="4" t="inlineStr">
        <is>
          <t>OBRAS ASIGNADAS</t>
        </is>
      </c>
      <c r="H101" s="4" t="inlineStr">
        <is>
          <t>LITROS FACTURADOS</t>
        </is>
      </c>
      <c r="I101" s="4" t="inlineStr">
        <is>
          <t>LITROS CONSUMIDOS</t>
        </is>
      </c>
      <c r="J101" s="4" t="inlineStr">
        <is>
          <t>MONTO FACTURADO ($)</t>
        </is>
      </c>
      <c r="K101" s="4" t="inlineStr">
        <is>
          <t>MONTO CONSUMIDO ($)</t>
        </is>
      </c>
      <c r="L101" s="4" t="inlineStr">
        <is>
          <t>VARIACIÓN (LTS)</t>
        </is>
      </c>
      <c r="M101" s="4" t="inlineStr">
        <is>
          <t>VARIACIÓN ($)</t>
        </is>
      </c>
    </row>
    <row r="102" ht="19" customHeight="1">
      <c r="F102" s="5" t="inlineStr">
        <is>
          <t>Edgar</t>
        </is>
      </c>
      <c r="G102" s="74" t="inlineStr">
        <is>
          <t>Maquinaria</t>
        </is>
      </c>
      <c r="H102" s="32" t="n"/>
      <c r="I102" s="32" t="n">
        <v>1693</v>
      </c>
      <c r="J102" s="33" t="n"/>
      <c r="K102" s="33" t="n">
        <v>45711</v>
      </c>
      <c r="L102" s="103" t="n">
        <v>-1693</v>
      </c>
      <c r="M102" s="104" t="n">
        <v>-45711</v>
      </c>
    </row>
    <row r="103" ht="19" customHeight="1">
      <c r="F103" s="9" t="inlineStr">
        <is>
          <t>Ing. Apolinar</t>
        </is>
      </c>
      <c r="G103" s="78" t="inlineStr">
        <is>
          <t>Lerma - Tres Marías</t>
        </is>
      </c>
      <c r="H103" s="105" t="n"/>
      <c r="I103" s="105" t="n">
        <v>872</v>
      </c>
      <c r="J103" s="106" t="n"/>
      <c r="K103" s="106" t="n">
        <v>23544</v>
      </c>
      <c r="L103" s="107" t="n">
        <v>-872</v>
      </c>
      <c r="M103" s="108" t="n">
        <v>-23544</v>
      </c>
    </row>
    <row r="104" ht="19" customHeight="1">
      <c r="F104" s="5" t="inlineStr">
        <is>
          <t>Ing. Diego Carreola</t>
        </is>
      </c>
      <c r="G104" s="74" t="inlineStr">
        <is>
          <t>Bacheo Toluca</t>
        </is>
      </c>
      <c r="H104" s="32" t="n"/>
      <c r="I104" s="32" t="n">
        <v>200</v>
      </c>
      <c r="J104" s="33" t="n"/>
      <c r="K104" s="33" t="n">
        <v>5400</v>
      </c>
      <c r="L104" s="103" t="n">
        <v>-200</v>
      </c>
      <c r="M104" s="104" t="n">
        <v>-5400</v>
      </c>
    </row>
    <row r="105" ht="19" customHeight="1">
      <c r="F105" s="9" t="inlineStr">
        <is>
          <t>Ing. Francisco Javier</t>
        </is>
      </c>
      <c r="G105" s="78" t="inlineStr">
        <is>
          <t>México - Toluca</t>
        </is>
      </c>
      <c r="H105" s="105" t="n"/>
      <c r="I105" s="105" t="n">
        <v>1285</v>
      </c>
      <c r="J105" s="106" t="n"/>
      <c r="K105" s="106" t="n">
        <v>34695</v>
      </c>
      <c r="L105" s="107" t="n">
        <v>-1285</v>
      </c>
      <c r="M105" s="108" t="n">
        <v>-34695</v>
      </c>
    </row>
    <row r="106" ht="19" customHeight="1">
      <c r="F106" s="5" t="inlineStr">
        <is>
          <t>Jack</t>
        </is>
      </c>
      <c r="G106" s="74" t="inlineStr">
        <is>
          <t>Planta Pegaso</t>
        </is>
      </c>
      <c r="H106" s="32" t="n"/>
      <c r="I106" s="32" t="n">
        <v>647</v>
      </c>
      <c r="J106" s="33" t="n"/>
      <c r="K106" s="33" t="n">
        <v>17469</v>
      </c>
      <c r="L106" s="103" t="n">
        <v>-647</v>
      </c>
      <c r="M106" s="104" t="n">
        <v>-17469</v>
      </c>
    </row>
    <row r="107" ht="22" customHeight="1">
      <c r="F107" s="80" t="inlineStr">
        <is>
          <t>TOTAL GENERAL POR INGENIERO:</t>
        </is>
      </c>
      <c r="G107" s="132" t="n"/>
      <c r="H107" s="109">
        <f>SUM(H102:H106)</f>
        <v/>
      </c>
      <c r="I107" s="109">
        <f>SUM(I102:I106)</f>
        <v/>
      </c>
      <c r="J107" s="16">
        <f>SUM(J102:J106)</f>
        <v/>
      </c>
      <c r="K107" s="16">
        <f>SUM(K102:K106)</f>
        <v/>
      </c>
      <c r="L107" s="110">
        <f>SUM(L102:L106)</f>
        <v/>
      </c>
      <c r="M107" s="111">
        <f>SUM(M102:M106)</f>
        <v/>
      </c>
    </row>
  </sheetData>
  <mergeCells count="24">
    <mergeCell ref="F10:G10"/>
    <mergeCell ref="F16:G16"/>
    <mergeCell ref="F69:M69"/>
    <mergeCell ref="F41:N41"/>
    <mergeCell ref="F66:N66"/>
    <mergeCell ref="K19:N19"/>
    <mergeCell ref="F15:G15"/>
    <mergeCell ref="F19:I19"/>
    <mergeCell ref="F34:I34"/>
    <mergeCell ref="F82:H82"/>
    <mergeCell ref="F100:M100"/>
    <mergeCell ref="K26:N26"/>
    <mergeCell ref="F74:L74"/>
    <mergeCell ref="F83:L83"/>
    <mergeCell ref="F73:H73"/>
    <mergeCell ref="F55:O55"/>
    <mergeCell ref="F65:H65"/>
    <mergeCell ref="F26:I26"/>
    <mergeCell ref="F52:M52"/>
    <mergeCell ref="F77:M77"/>
    <mergeCell ref="F2:L2"/>
    <mergeCell ref="F107:G107"/>
    <mergeCell ref="F90:L90"/>
    <mergeCell ref="F51:H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2:AA1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25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1437</v>
      </c>
      <c r="K5" s="75" t="n">
        <v>1437</v>
      </c>
      <c r="L5" s="76" t="n">
        <v>963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2185</v>
      </c>
      <c r="K6" s="79" t="n">
        <v>2185</v>
      </c>
      <c r="L6" s="76" t="n">
        <v>1115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643</v>
      </c>
      <c r="K7" s="75" t="n">
        <v>683</v>
      </c>
      <c r="L7" s="112" t="n">
        <v>-83</v>
      </c>
    </row>
    <row r="8" ht="18" customHeight="1">
      <c r="F8" s="135" t="n"/>
      <c r="G8" s="135" t="n"/>
      <c r="H8" s="135" t="n"/>
      <c r="I8" s="74" t="inlineStr">
        <is>
          <t>Providencia</t>
        </is>
      </c>
      <c r="J8" s="73" t="n">
        <v>40</v>
      </c>
      <c r="K8" s="135" t="n"/>
      <c r="L8" s="135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1316</v>
      </c>
      <c r="K9" s="79" t="n">
        <v>1316</v>
      </c>
      <c r="L9" s="76" t="n">
        <v>1084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1600</v>
      </c>
      <c r="K10" s="75" t="n">
        <v>1600</v>
      </c>
      <c r="L10" s="76" t="n">
        <v>1400</v>
      </c>
    </row>
    <row r="11" ht="20" customHeight="1">
      <c r="F11" s="80" t="inlineStr">
        <is>
          <t>SUBTOTAL (6 DÍAS):</t>
        </is>
      </c>
      <c r="G11" s="132" t="n"/>
      <c r="H11" s="80" t="n">
        <v>11700</v>
      </c>
      <c r="I11" s="15" t="n"/>
      <c r="J11" s="80" t="n">
        <v>7221</v>
      </c>
      <c r="K11" s="80" t="n">
        <v>7221</v>
      </c>
      <c r="L11" s="80" t="n">
        <v>4479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20" customHeight="1">
      <c r="F16" s="80" t="inlineStr">
        <is>
          <t>SUBTOTAL (5 DÍAS):</t>
        </is>
      </c>
      <c r="G16" s="132" t="n"/>
      <c r="H16" s="80" t="inlineStr"/>
      <c r="I16" s="15" t="n"/>
      <c r="J16" s="80" t="inlineStr"/>
      <c r="K16" s="80" t="inlineStr"/>
      <c r="L16" s="80" t="inlineStr"/>
    </row>
    <row r="17" ht="22" customHeight="1">
      <c r="F17" s="80" t="inlineStr">
        <is>
          <t>TOTAL GENERAL:</t>
        </is>
      </c>
      <c r="G17" s="132" t="n"/>
      <c r="H17" s="80" t="n">
        <v>11700</v>
      </c>
      <c r="I17" s="15" t="n"/>
      <c r="J17" s="80" t="n">
        <v>7221</v>
      </c>
      <c r="K17" s="80" t="n">
        <v>7221</v>
      </c>
      <c r="L17" s="80" t="n">
        <v>4479</v>
      </c>
    </row>
    <row r="20" ht="20" customHeight="1">
      <c r="F20" s="3" t="inlineStr">
        <is>
          <t>▶  Bacheo Toluca</t>
        </is>
      </c>
      <c r="G20" s="131" t="n"/>
      <c r="H20" s="131" t="n"/>
      <c r="I20" s="132" t="n"/>
      <c r="K20" s="3" t="inlineStr">
        <is>
          <t>▶  Lerma - Tres Marías</t>
        </is>
      </c>
      <c r="L20" s="131" t="n"/>
      <c r="M20" s="131" t="n"/>
      <c r="N20" s="132" t="n"/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15-jun</t>
        </is>
      </c>
      <c r="G22" s="6" t="n">
        <v>303</v>
      </c>
      <c r="H22" s="7" t="n">
        <v>27</v>
      </c>
      <c r="I22" s="8" t="n">
        <v>8181</v>
      </c>
      <c r="K22" s="5" t="inlineStr">
        <is>
          <t>Lun 15-jun</t>
        </is>
      </c>
      <c r="L22" s="6" t="n">
        <v>289</v>
      </c>
      <c r="M22" s="7" t="n">
        <v>27</v>
      </c>
      <c r="N22" s="8" t="n">
        <v>7803</v>
      </c>
    </row>
    <row r="23" ht="18" customHeight="1">
      <c r="F23" s="9" t="inlineStr">
        <is>
          <t>Mar 16-jun</t>
        </is>
      </c>
      <c r="G23" s="10" t="n">
        <v>200</v>
      </c>
      <c r="H23" s="11" t="n">
        <v>27</v>
      </c>
      <c r="I23" s="12" t="n">
        <v>5400</v>
      </c>
      <c r="K23" s="9" t="inlineStr">
        <is>
          <t>Mar 16-jun</t>
        </is>
      </c>
      <c r="L23" s="10" t="n">
        <v>615</v>
      </c>
      <c r="M23" s="11" t="n">
        <v>27</v>
      </c>
      <c r="N23" s="12" t="n">
        <v>16605</v>
      </c>
    </row>
    <row r="24" ht="18" customHeight="1">
      <c r="F24" s="5" t="inlineStr">
        <is>
          <t>Mié 17-jun</t>
        </is>
      </c>
      <c r="G24" s="6" t="n">
        <v>20</v>
      </c>
      <c r="H24" s="7" t="n">
        <v>27</v>
      </c>
      <c r="I24" s="8" t="n">
        <v>540</v>
      </c>
      <c r="K24" s="5" t="inlineStr">
        <is>
          <t>Mié 17-jun</t>
        </is>
      </c>
      <c r="L24" s="6" t="n">
        <v>80</v>
      </c>
      <c r="M24" s="7" t="n">
        <v>27</v>
      </c>
      <c r="N24" s="8" t="n">
        <v>2160</v>
      </c>
    </row>
    <row r="25" ht="18" customHeight="1">
      <c r="F25" s="9" t="inlineStr">
        <is>
          <t>Vie 19-jun</t>
        </is>
      </c>
      <c r="G25" s="10" t="n">
        <v>120</v>
      </c>
      <c r="H25" s="11" t="n">
        <v>27</v>
      </c>
      <c r="I25" s="12" t="n">
        <v>3240</v>
      </c>
      <c r="K25" s="9" t="inlineStr">
        <is>
          <t>Vie 19-jun</t>
        </is>
      </c>
      <c r="L25" s="10" t="n">
        <v>453</v>
      </c>
      <c r="M25" s="11" t="n">
        <v>27</v>
      </c>
      <c r="N25" s="12" t="n">
        <v>12231</v>
      </c>
    </row>
    <row r="26" ht="20" customHeight="1">
      <c r="F26" s="80" t="inlineStr">
        <is>
          <t>TOTAL — Bacheo Toluca</t>
        </is>
      </c>
      <c r="G26" s="14" t="n">
        <v>643</v>
      </c>
      <c r="H26" s="15" t="n"/>
      <c r="I26" s="16" t="n">
        <v>17361</v>
      </c>
      <c r="K26" s="80" t="inlineStr">
        <is>
          <t>TOTAL — Lerma - Tres Marías</t>
        </is>
      </c>
      <c r="L26" s="14" t="n">
        <v>1437</v>
      </c>
      <c r="M26" s="15" t="n"/>
      <c r="N26" s="16" t="n">
        <v>38799</v>
      </c>
    </row>
    <row r="28" ht="20" customHeight="1">
      <c r="F28" s="3" t="inlineStr">
        <is>
          <t>▶  México - Toluca</t>
        </is>
      </c>
      <c r="G28" s="131" t="n"/>
      <c r="H28" s="131" t="n"/>
      <c r="I28" s="132" t="n"/>
      <c r="K28" s="3" t="inlineStr">
        <is>
          <t>▶  Planta Huixquilucan</t>
        </is>
      </c>
      <c r="L28" s="131" t="n"/>
      <c r="M28" s="131" t="n"/>
      <c r="N28" s="132" t="n"/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15-jun</t>
        </is>
      </c>
      <c r="G30" s="6" t="n">
        <v>469</v>
      </c>
      <c r="H30" s="7" t="n">
        <v>27</v>
      </c>
      <c r="I30" s="8" t="n">
        <v>12663</v>
      </c>
      <c r="K30" s="5" t="inlineStr">
        <is>
          <t>Lun 15-jun</t>
        </is>
      </c>
      <c r="L30" s="6" t="n">
        <v>800</v>
      </c>
      <c r="M30" s="7" t="n">
        <v>27</v>
      </c>
      <c r="N30" s="8" t="n">
        <v>21600</v>
      </c>
    </row>
    <row r="31" ht="18" customHeight="1">
      <c r="F31" s="9" t="inlineStr">
        <is>
          <t>Mar 16-jun</t>
        </is>
      </c>
      <c r="G31" s="10" t="n">
        <v>489</v>
      </c>
      <c r="H31" s="11" t="n">
        <v>27</v>
      </c>
      <c r="I31" s="12" t="n">
        <v>13203</v>
      </c>
      <c r="K31" s="9" t="inlineStr">
        <is>
          <t>Mié 17-jun</t>
        </is>
      </c>
      <c r="L31" s="10" t="n">
        <v>300</v>
      </c>
      <c r="M31" s="11" t="n">
        <v>27</v>
      </c>
      <c r="N31" s="12" t="n">
        <v>8100</v>
      </c>
    </row>
    <row r="32" ht="18" customHeight="1">
      <c r="F32" s="5" t="inlineStr">
        <is>
          <t>Mié 17-jun</t>
        </is>
      </c>
      <c r="G32" s="6" t="n">
        <v>468</v>
      </c>
      <c r="H32" s="7" t="n">
        <v>27</v>
      </c>
      <c r="I32" s="8" t="n">
        <v>12636</v>
      </c>
      <c r="K32" s="5" t="inlineStr">
        <is>
          <t>Jue 18-jun</t>
        </is>
      </c>
      <c r="L32" s="6" t="n">
        <v>500</v>
      </c>
      <c r="M32" s="7" t="n">
        <v>27</v>
      </c>
      <c r="N32" s="8" t="n">
        <v>13500</v>
      </c>
    </row>
    <row r="33" ht="20" customHeight="1">
      <c r="F33" s="9" t="inlineStr">
        <is>
          <t>Jue 18-jun</t>
        </is>
      </c>
      <c r="G33" s="10" t="n">
        <v>455</v>
      </c>
      <c r="H33" s="11" t="n">
        <v>27</v>
      </c>
      <c r="I33" s="12" t="n">
        <v>12285</v>
      </c>
      <c r="K33" s="80" t="inlineStr">
        <is>
          <t>TOTAL — Planta Huixquilucan</t>
        </is>
      </c>
      <c r="L33" s="14" t="n">
        <v>1600</v>
      </c>
      <c r="M33" s="15" t="n"/>
      <c r="N33" s="16" t="n">
        <v>43200</v>
      </c>
    </row>
    <row r="34" ht="18" customHeight="1">
      <c r="F34" s="5" t="inlineStr">
        <is>
          <t>Vie 19-jun</t>
        </is>
      </c>
      <c r="G34" s="6" t="n">
        <v>304</v>
      </c>
      <c r="H34" s="7" t="n">
        <v>27</v>
      </c>
      <c r="I34" s="8" t="n">
        <v>8208</v>
      </c>
    </row>
    <row r="35" ht="20" customHeight="1">
      <c r="F35" s="80" t="inlineStr">
        <is>
          <t>TOTAL — México - Toluca</t>
        </is>
      </c>
      <c r="G35" s="14" t="n">
        <v>2185</v>
      </c>
      <c r="H35" s="15" t="n"/>
      <c r="I35" s="16" t="n">
        <v>58995</v>
      </c>
    </row>
    <row r="37" ht="20" customHeight="1">
      <c r="F37" s="3" t="inlineStr">
        <is>
          <t>▶  Planta Pegaso</t>
        </is>
      </c>
      <c r="G37" s="131" t="n"/>
      <c r="H37" s="131" t="n"/>
      <c r="I37" s="132" t="n"/>
      <c r="K37" s="3" t="inlineStr">
        <is>
          <t>▶  Providencia</t>
        </is>
      </c>
      <c r="L37" s="131" t="n"/>
      <c r="M37" s="131" t="n"/>
      <c r="N37" s="132" t="n"/>
    </row>
    <row r="38" ht="20" customHeight="1">
      <c r="F38" s="4" t="inlineStr">
        <is>
          <t>DÍA</t>
        </is>
      </c>
      <c r="G38" s="4" t="inlineStr">
        <is>
          <t>LITROS CONSUMIDOS</t>
        </is>
      </c>
      <c r="H38" s="4" t="inlineStr">
        <is>
          <t>PRECIO PROM. ($/L)</t>
        </is>
      </c>
      <c r="I38" s="4" t="inlineStr">
        <is>
          <t>IMPORTE TOTAL</t>
        </is>
      </c>
      <c r="K38" s="4" t="inlineStr">
        <is>
          <t>DÍA</t>
        </is>
      </c>
      <c r="L38" s="4" t="inlineStr">
        <is>
          <t>LITROS CONSUMIDOS</t>
        </is>
      </c>
      <c r="M38" s="4" t="inlineStr">
        <is>
          <t>PRECIO PROM. ($/L)</t>
        </is>
      </c>
      <c r="N38" s="4" t="inlineStr">
        <is>
          <t>IMPORTE TOTAL</t>
        </is>
      </c>
    </row>
    <row r="39" ht="18" customHeight="1">
      <c r="F39" s="5" t="inlineStr">
        <is>
          <t>Lun 15-jun</t>
        </is>
      </c>
      <c r="G39" s="6" t="n">
        <v>265</v>
      </c>
      <c r="H39" s="7" t="n">
        <v>27</v>
      </c>
      <c r="I39" s="8" t="n">
        <v>7155</v>
      </c>
      <c r="K39" s="5" t="inlineStr">
        <is>
          <t>Vie 19-jun</t>
        </is>
      </c>
      <c r="L39" s="6" t="n">
        <v>40</v>
      </c>
      <c r="M39" s="7" t="n">
        <v>27</v>
      </c>
      <c r="N39" s="8" t="n">
        <v>1080</v>
      </c>
    </row>
    <row r="40" ht="20" customHeight="1">
      <c r="F40" s="9" t="inlineStr">
        <is>
          <t>Mar 16-jun</t>
        </is>
      </c>
      <c r="G40" s="10" t="n">
        <v>1051</v>
      </c>
      <c r="H40" s="11" t="n">
        <v>27</v>
      </c>
      <c r="I40" s="12" t="n">
        <v>28377</v>
      </c>
      <c r="K40" s="80" t="inlineStr">
        <is>
          <t>TOTAL — Providencia</t>
        </is>
      </c>
      <c r="L40" s="14" t="n">
        <v>40</v>
      </c>
      <c r="M40" s="15" t="n"/>
      <c r="N40" s="16" t="n">
        <v>1080</v>
      </c>
    </row>
    <row r="41" ht="20" customHeight="1">
      <c r="F41" s="80" t="inlineStr">
        <is>
          <t>TOTAL — Planta Pegaso</t>
        </is>
      </c>
      <c r="G41" s="14" t="n">
        <v>1316</v>
      </c>
      <c r="H41" s="15" t="n"/>
      <c r="I41" s="16" t="n">
        <v>35532</v>
      </c>
    </row>
    <row r="44" ht="22" customHeight="1">
      <c r="F44" s="81" t="inlineStr">
        <is>
          <t>APOLINAR</t>
        </is>
      </c>
      <c r="G44" s="131" t="n"/>
      <c r="H44" s="131" t="n"/>
      <c r="I44" s="131" t="n"/>
      <c r="J44" s="131" t="n"/>
      <c r="K44" s="131" t="n"/>
      <c r="L44" s="131" t="n"/>
      <c r="M44" s="131" t="n"/>
      <c r="N44" s="131" t="n"/>
      <c r="O44" s="132" t="n"/>
    </row>
    <row r="45" ht="28" customHeight="1">
      <c r="F45" s="4" t="inlineStr">
        <is>
          <t>#</t>
        </is>
      </c>
      <c r="G45" s="4" t="inlineStr">
        <is>
          <t>EQUIPO / MAQUINARIA</t>
        </is>
      </c>
      <c r="H45" s="4" t="inlineStr">
        <is>
          <t>LTS. SEM.
AUT.</t>
        </is>
      </c>
      <c r="I45" s="4" t="inlineStr">
        <is>
          <t>Lun
15/06</t>
        </is>
      </c>
      <c r="J45" s="4" t="inlineStr">
        <is>
          <t>Mar
16/06</t>
        </is>
      </c>
      <c r="K45" s="4" t="inlineStr">
        <is>
          <t>Mié
17/06</t>
        </is>
      </c>
      <c r="L45" s="4" t="inlineStr">
        <is>
          <t>Vie
19/06</t>
        </is>
      </c>
      <c r="M45" s="4" t="inlineStr">
        <is>
          <t>LITROS
TOTAL</t>
        </is>
      </c>
      <c r="N45" s="4" t="inlineStr">
        <is>
          <t>PRECIO
UNIT.</t>
        </is>
      </c>
      <c r="O45" s="4" t="inlineStr">
        <is>
          <t>TOTAL $</t>
        </is>
      </c>
    </row>
    <row r="46" ht="22" customHeight="1">
      <c r="F46" s="82" t="n"/>
      <c r="G46" s="83" t="inlineStr">
        <is>
          <t>OBRA DESTINO</t>
        </is>
      </c>
      <c r="H46" s="82" t="n"/>
      <c r="I46" s="84" t="inlineStr">
        <is>
          <t>Lerma - Tres Marías</t>
        </is>
      </c>
      <c r="J46" s="84" t="inlineStr">
        <is>
          <t>Lerma - Tres Marías</t>
        </is>
      </c>
      <c r="K46" s="84" t="inlineStr">
        <is>
          <t>Lerma - Tres Marías</t>
        </is>
      </c>
      <c r="L46" s="84" t="inlineStr">
        <is>
          <t>Lerma - Tres Marías</t>
        </is>
      </c>
      <c r="M46" s="82" t="n"/>
      <c r="N46" s="82" t="n"/>
      <c r="O46" s="82" t="n"/>
    </row>
    <row r="47" ht="18" customHeight="1">
      <c r="F47" s="85" t="n">
        <v>1</v>
      </c>
      <c r="G47" s="86" t="inlineStr">
        <is>
          <t>BARREDORA LAYMOR SM400</t>
        </is>
      </c>
      <c r="H47" s="87" t="n">
        <v>2800</v>
      </c>
      <c r="I47" s="85" t="n">
        <v>52</v>
      </c>
      <c r="J47" s="85" t="n"/>
      <c r="K47" s="85" t="n"/>
      <c r="L47" s="85" t="n">
        <v>43</v>
      </c>
      <c r="M47" s="88" t="n">
        <v>95</v>
      </c>
      <c r="N47" s="55" t="n">
        <v>27</v>
      </c>
      <c r="O47" s="89" t="n">
        <v>2565</v>
      </c>
    </row>
    <row r="48" ht="18" customHeight="1">
      <c r="F48" s="90" t="n">
        <v>2</v>
      </c>
      <c r="G48" s="91" t="inlineStr">
        <is>
          <t>IMPACTO FORD 4300</t>
        </is>
      </c>
      <c r="H48" s="92" t="n"/>
      <c r="I48" s="90" t="n"/>
      <c r="J48" s="90" t="n"/>
      <c r="K48" s="90" t="n">
        <v>80</v>
      </c>
      <c r="L48" s="90" t="n"/>
      <c r="M48" s="93" t="n">
        <v>80</v>
      </c>
      <c r="N48" s="94" t="n">
        <v>27</v>
      </c>
      <c r="O48" s="95" t="n">
        <v>2160</v>
      </c>
    </row>
    <row r="49" ht="18" customHeight="1">
      <c r="F49" s="85" t="n">
        <v>3</v>
      </c>
      <c r="G49" s="86" t="inlineStr">
        <is>
          <t>Limpieza</t>
        </is>
      </c>
      <c r="H49" s="96" t="n"/>
      <c r="I49" s="85" t="n">
        <v>25</v>
      </c>
      <c r="J49" s="85" t="n"/>
      <c r="K49" s="85" t="n"/>
      <c r="L49" s="85" t="n"/>
      <c r="M49" s="88" t="n">
        <v>25</v>
      </c>
      <c r="N49" s="55" t="n">
        <v>27</v>
      </c>
      <c r="O49" s="89" t="n">
        <v>675</v>
      </c>
    </row>
    <row r="50" ht="18" customHeight="1">
      <c r="F50" s="90" t="n">
        <v>4</v>
      </c>
      <c r="G50" s="91" t="inlineStr">
        <is>
          <t>NEUMATICO / COMPACTADOR DE NEUMATICOS DINAPAC CP271</t>
        </is>
      </c>
      <c r="H50" s="92" t="n"/>
      <c r="I50" s="90" t="n"/>
      <c r="J50" s="90" t="n"/>
      <c r="K50" s="90" t="n"/>
      <c r="L50" s="90" t="n">
        <v>30</v>
      </c>
      <c r="M50" s="93" t="n">
        <v>30</v>
      </c>
      <c r="N50" s="94" t="n">
        <v>27</v>
      </c>
      <c r="O50" s="95" t="n">
        <v>810</v>
      </c>
    </row>
    <row r="51" ht="18" customHeight="1">
      <c r="F51" s="85" t="n">
        <v>5</v>
      </c>
      <c r="G51" s="86" t="inlineStr">
        <is>
          <t>PAVIMENTADORA  VOGELE 1800-3 i</t>
        </is>
      </c>
      <c r="H51" s="96" t="n"/>
      <c r="I51" s="85" t="n">
        <v>73</v>
      </c>
      <c r="J51" s="85" t="n">
        <v>165</v>
      </c>
      <c r="K51" s="85" t="n"/>
      <c r="L51" s="85" t="n">
        <v>160</v>
      </c>
      <c r="M51" s="88" t="n">
        <v>398</v>
      </c>
      <c r="N51" s="55" t="n">
        <v>27</v>
      </c>
      <c r="O51" s="89" t="n">
        <v>10746</v>
      </c>
    </row>
    <row r="52" ht="18" customHeight="1">
      <c r="F52" s="90" t="n">
        <v>6</v>
      </c>
      <c r="G52" s="91" t="inlineStr">
        <is>
          <t>PERFILADORA RODATEC RX600-4-4008</t>
        </is>
      </c>
      <c r="H52" s="92" t="n"/>
      <c r="I52" s="90" t="n"/>
      <c r="J52" s="90" t="n">
        <v>350</v>
      </c>
      <c r="K52" s="90" t="n"/>
      <c r="L52" s="90" t="n"/>
      <c r="M52" s="93" t="n">
        <v>350</v>
      </c>
      <c r="N52" s="94" t="n">
        <v>27</v>
      </c>
      <c r="O52" s="95" t="n">
        <v>9450</v>
      </c>
    </row>
    <row r="53" ht="18" customHeight="1">
      <c r="F53" s="85" t="n">
        <v>7</v>
      </c>
      <c r="G53" s="86" t="inlineStr">
        <is>
          <t>PETROLIZADORA    INTERNATIONAL</t>
        </is>
      </c>
      <c r="H53" s="96" t="n"/>
      <c r="I53" s="85" t="n">
        <v>60</v>
      </c>
      <c r="J53" s="85" t="n"/>
      <c r="K53" s="85" t="n"/>
      <c r="L53" s="85" t="n">
        <v>40</v>
      </c>
      <c r="M53" s="88" t="n">
        <v>100</v>
      </c>
      <c r="N53" s="55" t="n">
        <v>27</v>
      </c>
      <c r="O53" s="89" t="n">
        <v>2700</v>
      </c>
    </row>
    <row r="54" ht="18" customHeight="1">
      <c r="F54" s="90" t="n">
        <v>8</v>
      </c>
      <c r="G54" s="91" t="inlineStr">
        <is>
          <t>PIPA DE AGUA (IMPACTO 01) FORD</t>
        </is>
      </c>
      <c r="H54" s="92" t="n"/>
      <c r="I54" s="90" t="n"/>
      <c r="J54" s="90" t="n">
        <v>100</v>
      </c>
      <c r="K54" s="90" t="n"/>
      <c r="L54" s="90" t="n">
        <v>50</v>
      </c>
      <c r="M54" s="93" t="n">
        <v>150</v>
      </c>
      <c r="N54" s="94" t="n">
        <v>27</v>
      </c>
      <c r="O54" s="95" t="n">
        <v>4050</v>
      </c>
    </row>
    <row r="55" ht="18" customHeight="1">
      <c r="F55" s="85" t="n">
        <v>9</v>
      </c>
      <c r="G55" s="86" t="inlineStr">
        <is>
          <t>RETROEXCAVADORA JHONDEREE 310SK</t>
        </is>
      </c>
      <c r="H55" s="96" t="n"/>
      <c r="I55" s="85" t="n">
        <v>55</v>
      </c>
      <c r="J55" s="85" t="n"/>
      <c r="K55" s="85" t="n"/>
      <c r="L55" s="85" t="n">
        <v>80</v>
      </c>
      <c r="M55" s="88" t="n">
        <v>135</v>
      </c>
      <c r="N55" s="55" t="n">
        <v>27</v>
      </c>
      <c r="O55" s="89" t="n">
        <v>3645</v>
      </c>
    </row>
    <row r="56" ht="18" customHeight="1">
      <c r="F56" s="90" t="n">
        <v>10</v>
      </c>
      <c r="G56" s="91" t="inlineStr">
        <is>
          <t>TANDEM DOBLE RODILLO / VIBROCOMPACTOR RODILLO CAT CB54</t>
        </is>
      </c>
      <c r="H56" s="92" t="n"/>
      <c r="I56" s="90" t="n">
        <v>24</v>
      </c>
      <c r="J56" s="90" t="n"/>
      <c r="K56" s="90" t="n"/>
      <c r="L56" s="90" t="n">
        <v>50</v>
      </c>
      <c r="M56" s="93" t="n">
        <v>74</v>
      </c>
      <c r="N56" s="94" t="n">
        <v>27</v>
      </c>
      <c r="O56" s="95" t="n">
        <v>1998</v>
      </c>
    </row>
    <row r="57" ht="20" customHeight="1">
      <c r="F57" s="80" t="inlineStr">
        <is>
          <t>TOTAL LITROS</t>
        </is>
      </c>
      <c r="G57" s="131" t="n"/>
      <c r="H57" s="132" t="n"/>
      <c r="I57" s="97" t="n">
        <v>289</v>
      </c>
      <c r="J57" s="98" t="n">
        <v>615</v>
      </c>
      <c r="K57" s="97" t="n">
        <v>80</v>
      </c>
      <c r="L57" s="98" t="n">
        <v>453</v>
      </c>
      <c r="M57" s="80" t="n">
        <v>1437</v>
      </c>
      <c r="N57" s="15" t="n"/>
      <c r="O57" s="16" t="n">
        <v>38799</v>
      </c>
    </row>
    <row r="58" ht="20" customHeight="1">
      <c r="F58" s="99" t="inlineStr">
        <is>
          <t>IMPORTE SEMANAL AUTORIZADO: $75,600.00  (Litros aut.: 2,800.00 L)</t>
        </is>
      </c>
      <c r="G58" s="131" t="n"/>
      <c r="H58" s="131" t="n"/>
      <c r="I58" s="131" t="n"/>
      <c r="J58" s="131" t="n"/>
      <c r="K58" s="131" t="n"/>
      <c r="L58" s="131" t="n"/>
      <c r="M58" s="131" t="n"/>
      <c r="N58" s="132" t="n"/>
      <c r="O58" s="101" t="n">
        <v>38799</v>
      </c>
    </row>
    <row r="61" ht="22" customHeight="1">
      <c r="F61" s="81" t="inlineStr">
        <is>
          <t>FRANCISCO JAVIER</t>
        </is>
      </c>
      <c r="G61" s="131" t="n"/>
      <c r="H61" s="131" t="n"/>
      <c r="I61" s="131" t="n"/>
      <c r="J61" s="131" t="n"/>
      <c r="K61" s="131" t="n"/>
      <c r="L61" s="131" t="n"/>
      <c r="M61" s="131" t="n"/>
      <c r="N61" s="131" t="n"/>
      <c r="O61" s="131" t="n"/>
      <c r="P61" s="132" t="n"/>
    </row>
    <row r="62" ht="28" customHeight="1">
      <c r="F62" s="4" t="inlineStr">
        <is>
          <t>#</t>
        </is>
      </c>
      <c r="G62" s="4" t="inlineStr">
        <is>
          <t>EQUIPO / MAQUINARIA</t>
        </is>
      </c>
      <c r="H62" s="4" t="inlineStr">
        <is>
          <t>LTS. SEM.
AUT.</t>
        </is>
      </c>
      <c r="I62" s="4" t="inlineStr">
        <is>
          <t>Lun
15/06</t>
        </is>
      </c>
      <c r="J62" s="4" t="inlineStr">
        <is>
          <t>Mar
16/06</t>
        </is>
      </c>
      <c r="K62" s="4" t="inlineStr">
        <is>
          <t>Mié
17/06</t>
        </is>
      </c>
      <c r="L62" s="4" t="inlineStr">
        <is>
          <t>Jue
18/06</t>
        </is>
      </c>
      <c r="M62" s="4" t="inlineStr">
        <is>
          <t>Vie
19/06</t>
        </is>
      </c>
      <c r="N62" s="4" t="inlineStr">
        <is>
          <t>LITROS
TOTAL</t>
        </is>
      </c>
      <c r="O62" s="4" t="inlineStr">
        <is>
          <t>PRECIO
UNIT.</t>
        </is>
      </c>
      <c r="P62" s="4" t="inlineStr">
        <is>
          <t>TOTAL $</t>
        </is>
      </c>
    </row>
    <row r="63" ht="22" customHeight="1">
      <c r="F63" s="82" t="n"/>
      <c r="G63" s="83" t="inlineStr">
        <is>
          <t>OBRA DESTINO</t>
        </is>
      </c>
      <c r="H63" s="82" t="n"/>
      <c r="I63" s="84" t="inlineStr">
        <is>
          <t>México - Toluca</t>
        </is>
      </c>
      <c r="J63" s="84" t="inlineStr">
        <is>
          <t>México - Toluca</t>
        </is>
      </c>
      <c r="K63" s="84" t="inlineStr">
        <is>
          <t>México - Toluca</t>
        </is>
      </c>
      <c r="L63" s="84" t="inlineStr">
        <is>
          <t>México - Toluca</t>
        </is>
      </c>
      <c r="M63" s="84" t="inlineStr">
        <is>
          <t>México - Toluca</t>
        </is>
      </c>
      <c r="N63" s="82" t="n"/>
      <c r="O63" s="82" t="n"/>
      <c r="P63" s="82" t="n"/>
    </row>
    <row r="64" ht="18" customHeight="1">
      <c r="F64" s="85" t="n">
        <v>1</v>
      </c>
      <c r="G64" s="86" t="inlineStr">
        <is>
          <t>BARREDORA BROCE RJ350</t>
        </is>
      </c>
      <c r="H64" s="87" t="n">
        <v>3850</v>
      </c>
      <c r="I64" s="85" t="n"/>
      <c r="J64" s="85" t="n">
        <v>30</v>
      </c>
      <c r="K64" s="85" t="n">
        <v>28</v>
      </c>
      <c r="L64" s="85" t="n"/>
      <c r="M64" s="85" t="n">
        <v>30</v>
      </c>
      <c r="N64" s="88" t="n">
        <v>88</v>
      </c>
      <c r="O64" s="55" t="n">
        <v>27</v>
      </c>
      <c r="P64" s="89" t="n">
        <v>2376</v>
      </c>
    </row>
    <row r="65" ht="18" customHeight="1">
      <c r="F65" s="90" t="n">
        <v>2</v>
      </c>
      <c r="G65" s="91" t="inlineStr">
        <is>
          <t>NEUMATICO VOLVO PT-240R</t>
        </is>
      </c>
      <c r="H65" s="92" t="n"/>
      <c r="I65" s="90" t="n">
        <v>50</v>
      </c>
      <c r="J65" s="90" t="n">
        <v>30</v>
      </c>
      <c r="K65" s="90" t="n">
        <v>30</v>
      </c>
      <c r="L65" s="90" t="n">
        <v>30</v>
      </c>
      <c r="M65" s="90" t="n">
        <v>84</v>
      </c>
      <c r="N65" s="93" t="n">
        <v>224</v>
      </c>
      <c r="O65" s="94" t="n">
        <v>27</v>
      </c>
      <c r="P65" s="95" t="n">
        <v>6048</v>
      </c>
    </row>
    <row r="66" ht="18" customHeight="1">
      <c r="F66" s="85" t="n">
        <v>3</v>
      </c>
      <c r="G66" s="86" t="inlineStr">
        <is>
          <t>PAVIMENTADORA  VOGELE SJ 1800-3</t>
        </is>
      </c>
      <c r="H66" s="96" t="n"/>
      <c r="I66" s="85" t="n">
        <v>99</v>
      </c>
      <c r="J66" s="85" t="n">
        <v>107</v>
      </c>
      <c r="K66" s="85" t="n">
        <v>120</v>
      </c>
      <c r="L66" s="85" t="n">
        <v>115</v>
      </c>
      <c r="M66" s="85" t="n">
        <v>120</v>
      </c>
      <c r="N66" s="88" t="n">
        <v>561</v>
      </c>
      <c r="O66" s="55" t="n">
        <v>27</v>
      </c>
      <c r="P66" s="89" t="n">
        <v>15147</v>
      </c>
    </row>
    <row r="67" ht="18" customHeight="1">
      <c r="F67" s="90" t="n">
        <v>4</v>
      </c>
      <c r="G67" s="91" t="inlineStr">
        <is>
          <t>PERFILADORA WIRGENT-W200i</t>
        </is>
      </c>
      <c r="H67" s="92" t="n"/>
      <c r="I67" s="90" t="n">
        <v>200</v>
      </c>
      <c r="J67" s="90" t="n">
        <v>200</v>
      </c>
      <c r="K67" s="90" t="n">
        <v>200</v>
      </c>
      <c r="L67" s="90" t="n">
        <v>200</v>
      </c>
      <c r="M67" s="90" t="n"/>
      <c r="N67" s="93" t="n">
        <v>800</v>
      </c>
      <c r="O67" s="94" t="n">
        <v>27</v>
      </c>
      <c r="P67" s="95" t="n">
        <v>21600</v>
      </c>
    </row>
    <row r="68" ht="18" customHeight="1">
      <c r="F68" s="85" t="n">
        <v>5</v>
      </c>
      <c r="G68" s="86" t="inlineStr">
        <is>
          <t>PETROLIZADORA    INTERNATIONAL</t>
        </is>
      </c>
      <c r="H68" s="96" t="n"/>
      <c r="I68" s="85" t="n">
        <v>50</v>
      </c>
      <c r="J68" s="85" t="n">
        <v>50</v>
      </c>
      <c r="K68" s="85" t="n"/>
      <c r="L68" s="85" t="n">
        <v>50</v>
      </c>
      <c r="M68" s="85" t="n"/>
      <c r="N68" s="88" t="n">
        <v>150</v>
      </c>
      <c r="O68" s="55" t="n">
        <v>27</v>
      </c>
      <c r="P68" s="89" t="n">
        <v>4050</v>
      </c>
    </row>
    <row r="69" ht="18" customHeight="1">
      <c r="F69" s="90" t="n">
        <v>6</v>
      </c>
      <c r="G69" s="91" t="inlineStr">
        <is>
          <t>RETROEXCAVADORA JHONDEREE 310SK</t>
        </is>
      </c>
      <c r="H69" s="92" t="n"/>
      <c r="I69" s="90" t="n">
        <v>40</v>
      </c>
      <c r="J69" s="90" t="n">
        <v>40</v>
      </c>
      <c r="K69" s="90" t="n">
        <v>60</v>
      </c>
      <c r="L69" s="90" t="n">
        <v>30</v>
      </c>
      <c r="M69" s="90" t="n">
        <v>40</v>
      </c>
      <c r="N69" s="93" t="n">
        <v>210</v>
      </c>
      <c r="O69" s="94" t="n">
        <v>27</v>
      </c>
      <c r="P69" s="95" t="n">
        <v>5670</v>
      </c>
    </row>
    <row r="70" ht="18" customHeight="1">
      <c r="F70" s="85" t="n">
        <v>7</v>
      </c>
      <c r="G70" s="86" t="inlineStr">
        <is>
          <t>TANDEM DOBLE RODILLO / VIBROCOMPACTOR RODILLO CAT CB54</t>
        </is>
      </c>
      <c r="H70" s="96" t="n"/>
      <c r="I70" s="85" t="n">
        <v>30</v>
      </c>
      <c r="J70" s="85" t="n">
        <v>32</v>
      </c>
      <c r="K70" s="85" t="n">
        <v>30</v>
      </c>
      <c r="L70" s="85" t="n">
        <v>30</v>
      </c>
      <c r="M70" s="85" t="n">
        <v>30</v>
      </c>
      <c r="N70" s="88" t="n">
        <v>152</v>
      </c>
      <c r="O70" s="55" t="n">
        <v>27</v>
      </c>
      <c r="P70" s="89" t="n">
        <v>4104</v>
      </c>
    </row>
    <row r="71" ht="20" customHeight="1">
      <c r="F71" s="80" t="inlineStr">
        <is>
          <t>TOTAL LITROS</t>
        </is>
      </c>
      <c r="G71" s="131" t="n"/>
      <c r="H71" s="132" t="n"/>
      <c r="I71" s="97" t="n">
        <v>469</v>
      </c>
      <c r="J71" s="97" t="n">
        <v>489</v>
      </c>
      <c r="K71" s="97" t="n">
        <v>468</v>
      </c>
      <c r="L71" s="97" t="n">
        <v>455</v>
      </c>
      <c r="M71" s="97" t="n">
        <v>304</v>
      </c>
      <c r="N71" s="80" t="n">
        <v>2185</v>
      </c>
      <c r="O71" s="15" t="n"/>
      <c r="P71" s="16" t="n">
        <v>58995</v>
      </c>
    </row>
    <row r="72" ht="20" customHeight="1">
      <c r="F72" s="99" t="inlineStr">
        <is>
          <t>IMPORTE SEMANAL AUTORIZADO: $103,950.00  (Litros aut.: 3,850.00 L)</t>
        </is>
      </c>
      <c r="G72" s="131" t="n"/>
      <c r="H72" s="131" t="n"/>
      <c r="I72" s="131" t="n"/>
      <c r="J72" s="131" t="n"/>
      <c r="K72" s="131" t="n"/>
      <c r="L72" s="131" t="n"/>
      <c r="M72" s="131" t="n"/>
      <c r="N72" s="131" t="n"/>
      <c r="O72" s="132" t="n"/>
      <c r="P72" s="101" t="n">
        <v>58995</v>
      </c>
    </row>
    <row r="75" ht="22" customHeight="1">
      <c r="F75" s="81" t="inlineStr">
        <is>
          <t>ING. DIEGO CARREOLA</t>
        </is>
      </c>
      <c r="G75" s="131" t="n"/>
      <c r="H75" s="131" t="n"/>
      <c r="I75" s="131" t="n"/>
      <c r="J75" s="131" t="n"/>
      <c r="K75" s="131" t="n"/>
      <c r="L75" s="131" t="n"/>
      <c r="M75" s="131" t="n"/>
      <c r="N75" s="131" t="n"/>
      <c r="O75" s="132" t="n"/>
    </row>
    <row r="76" ht="28" customHeight="1">
      <c r="F76" s="4" t="inlineStr">
        <is>
          <t>#</t>
        </is>
      </c>
      <c r="G76" s="4" t="inlineStr">
        <is>
          <t>EQUIPO / MAQUINARIA</t>
        </is>
      </c>
      <c r="H76" s="4" t="inlineStr">
        <is>
          <t>LTS. SEM.
AUT.</t>
        </is>
      </c>
      <c r="I76" s="4" t="inlineStr">
        <is>
          <t>Lun
15/06</t>
        </is>
      </c>
      <c r="J76" s="4" t="inlineStr">
        <is>
          <t>Mar
16/06</t>
        </is>
      </c>
      <c r="K76" s="4" t="inlineStr">
        <is>
          <t>Mié
17/06</t>
        </is>
      </c>
      <c r="L76" s="4" t="inlineStr">
        <is>
          <t>Vie
19/06</t>
        </is>
      </c>
      <c r="M76" s="4" t="inlineStr">
        <is>
          <t>LITROS
TOTAL</t>
        </is>
      </c>
      <c r="N76" s="4" t="inlineStr">
        <is>
          <t>PRECIO
UNIT.</t>
        </is>
      </c>
      <c r="O76" s="4" t="inlineStr">
        <is>
          <t>TOTAL $</t>
        </is>
      </c>
    </row>
    <row r="77" ht="22" customHeight="1">
      <c r="F77" s="82" t="n"/>
      <c r="G77" s="83" t="inlineStr">
        <is>
          <t>OBRA DESTINO</t>
        </is>
      </c>
      <c r="H77" s="82" t="n"/>
      <c r="I77" s="84" t="inlineStr">
        <is>
          <t>Bacheo Toluca</t>
        </is>
      </c>
      <c r="J77" s="84" t="inlineStr">
        <is>
          <t>Bacheo Toluca</t>
        </is>
      </c>
      <c r="K77" s="84" t="inlineStr">
        <is>
          <t>Bacheo Toluca</t>
        </is>
      </c>
      <c r="L77" s="84" t="inlineStr">
        <is>
          <t>Bacheo Toluca</t>
        </is>
      </c>
      <c r="M77" s="82" t="n"/>
      <c r="N77" s="82" t="n"/>
      <c r="O77" s="82" t="n"/>
    </row>
    <row r="78" ht="18" customHeight="1">
      <c r="F78" s="85" t="n">
        <v>1</v>
      </c>
      <c r="G78" s="86" t="inlineStr">
        <is>
          <t>Bidones</t>
        </is>
      </c>
      <c r="H78" s="87" t="n">
        <v>700</v>
      </c>
      <c r="I78" s="85" t="n">
        <v>70</v>
      </c>
      <c r="J78" s="85" t="n"/>
      <c r="K78" s="85" t="n"/>
      <c r="L78" s="85" t="n"/>
      <c r="M78" s="88" t="n">
        <v>70</v>
      </c>
      <c r="N78" s="55" t="n">
        <v>27</v>
      </c>
      <c r="O78" s="89" t="n">
        <v>1890</v>
      </c>
    </row>
    <row r="79" ht="18" customHeight="1">
      <c r="F79" s="90" t="n">
        <v>2</v>
      </c>
      <c r="G79" s="91" t="inlineStr">
        <is>
          <t>DOBLE RODILLO/VIBROCOMPACTADOR DE RODILLOS HAMM 140HD</t>
        </is>
      </c>
      <c r="H79" s="92" t="n"/>
      <c r="I79" s="90" t="n">
        <v>33</v>
      </c>
      <c r="J79" s="90" t="n"/>
      <c r="K79" s="90" t="n"/>
      <c r="L79" s="90" t="n"/>
      <c r="M79" s="93" t="n">
        <v>33</v>
      </c>
      <c r="N79" s="94" t="n">
        <v>27</v>
      </c>
      <c r="O79" s="95" t="n">
        <v>891</v>
      </c>
    </row>
    <row r="80" ht="18" customHeight="1">
      <c r="F80" s="85" t="n">
        <v>3</v>
      </c>
      <c r="G80" s="86" t="inlineStr">
        <is>
          <t>HOMBRE A BORDO</t>
        </is>
      </c>
      <c r="H80" s="96" t="n"/>
      <c r="I80" s="85" t="n"/>
      <c r="J80" s="85" t="n"/>
      <c r="K80" s="85" t="n"/>
      <c r="L80" s="85" t="n">
        <v>10</v>
      </c>
      <c r="M80" s="88" t="n">
        <v>10</v>
      </c>
      <c r="N80" s="55" t="n">
        <v>27</v>
      </c>
      <c r="O80" s="89" t="n">
        <v>270</v>
      </c>
    </row>
    <row r="81" ht="18" customHeight="1">
      <c r="F81" s="90" t="n">
        <v>4</v>
      </c>
      <c r="G81" s="91" t="inlineStr">
        <is>
          <t>PERFILADORA RODATEC RX600-4-4008</t>
        </is>
      </c>
      <c r="H81" s="92" t="n"/>
      <c r="I81" s="90" t="n"/>
      <c r="J81" s="90" t="n">
        <v>200</v>
      </c>
      <c r="K81" s="90" t="n"/>
      <c r="L81" s="90" t="n"/>
      <c r="M81" s="93" t="n">
        <v>200</v>
      </c>
      <c r="N81" s="94" t="n">
        <v>27</v>
      </c>
      <c r="O81" s="95" t="n">
        <v>5400</v>
      </c>
    </row>
    <row r="82" ht="18" customHeight="1">
      <c r="F82" s="85" t="n">
        <v>5</v>
      </c>
      <c r="G82" s="86" t="inlineStr">
        <is>
          <t>PERFILADORA RODATEC RX600E</t>
        </is>
      </c>
      <c r="H82" s="96" t="n"/>
      <c r="I82" s="85" t="n">
        <v>200</v>
      </c>
      <c r="J82" s="85" t="n"/>
      <c r="K82" s="85" t="n"/>
      <c r="L82" s="85" t="n"/>
      <c r="M82" s="88" t="n">
        <v>200</v>
      </c>
      <c r="N82" s="55" t="n">
        <v>27</v>
      </c>
      <c r="O82" s="89" t="n">
        <v>5400</v>
      </c>
    </row>
    <row r="83" ht="18" customHeight="1">
      <c r="F83" s="90" t="n">
        <v>6</v>
      </c>
      <c r="G83" s="91" t="inlineStr">
        <is>
          <t>PETROLIZADORA    INTERNATIONAL</t>
        </is>
      </c>
      <c r="H83" s="92" t="n"/>
      <c r="I83" s="90" t="n"/>
      <c r="J83" s="90" t="n"/>
      <c r="K83" s="90" t="n"/>
      <c r="L83" s="90" t="n">
        <v>40</v>
      </c>
      <c r="M83" s="93" t="n">
        <v>40</v>
      </c>
      <c r="N83" s="94" t="n">
        <v>27</v>
      </c>
      <c r="O83" s="95" t="n">
        <v>1080</v>
      </c>
    </row>
    <row r="84" ht="18" customHeight="1">
      <c r="F84" s="85" t="n">
        <v>7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>
        <v>110</v>
      </c>
      <c r="M84" s="88" t="n">
        <v>110</v>
      </c>
      <c r="N84" s="55" t="n">
        <v>27</v>
      </c>
      <c r="O84" s="89" t="n">
        <v>2970</v>
      </c>
    </row>
    <row r="85" ht="18" customHeight="1">
      <c r="F85" s="90" t="n">
        <v>8</v>
      </c>
      <c r="G85" s="91" t="inlineStr">
        <is>
          <t>TANDEM DOBLE RODILLO / VIBROCOMPACTOR RODILLO CAT CB54</t>
        </is>
      </c>
      <c r="H85" s="92" t="n"/>
      <c r="I85" s="90" t="n"/>
      <c r="J85" s="90" t="n"/>
      <c r="K85" s="90" t="n">
        <v>20</v>
      </c>
      <c r="L85" s="90" t="n"/>
      <c r="M85" s="93" t="n">
        <v>20</v>
      </c>
      <c r="N85" s="94" t="n">
        <v>27</v>
      </c>
      <c r="O85" s="95" t="n">
        <v>540</v>
      </c>
    </row>
    <row r="86" ht="20" customHeight="1">
      <c r="F86" s="80" t="inlineStr">
        <is>
          <t>TOTAL LITROS</t>
        </is>
      </c>
      <c r="G86" s="131" t="n"/>
      <c r="H86" s="132" t="n"/>
      <c r="I86" s="98" t="n">
        <v>303</v>
      </c>
      <c r="J86" s="98" t="n">
        <v>200</v>
      </c>
      <c r="K86" s="97" t="n">
        <v>20</v>
      </c>
      <c r="L86" s="98" t="n">
        <v>160</v>
      </c>
      <c r="M86" s="80" t="n">
        <v>683</v>
      </c>
      <c r="N86" s="15" t="n"/>
      <c r="O86" s="16" t="n">
        <v>18441</v>
      </c>
    </row>
    <row r="87" ht="20" customHeight="1">
      <c r="F87" s="99" t="inlineStr">
        <is>
          <t>IMPORTE SEMANAL AUTORIZADO: $18,900.00  (Litros aut.: 700.00 L)</t>
        </is>
      </c>
      <c r="G87" s="131" t="n"/>
      <c r="H87" s="131" t="n"/>
      <c r="I87" s="131" t="n"/>
      <c r="J87" s="131" t="n"/>
      <c r="K87" s="131" t="n"/>
      <c r="L87" s="131" t="n"/>
      <c r="M87" s="131" t="n"/>
      <c r="N87" s="132" t="n"/>
      <c r="O87" s="101" t="n">
        <v>18441</v>
      </c>
    </row>
    <row r="90" ht="22" customHeight="1">
      <c r="F90" s="81" t="inlineStr">
        <is>
          <t>JACK</t>
        </is>
      </c>
      <c r="G90" s="131" t="n"/>
      <c r="H90" s="131" t="n"/>
      <c r="I90" s="131" t="n"/>
      <c r="J90" s="131" t="n"/>
      <c r="K90" s="131" t="n"/>
      <c r="L90" s="131" t="n"/>
      <c r="M90" s="132" t="n"/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15/06</t>
        </is>
      </c>
      <c r="J91" s="4" t="inlineStr">
        <is>
          <t>Mar
16/06</t>
        </is>
      </c>
      <c r="K91" s="4" t="inlineStr">
        <is>
          <t>LITROS
TOTAL</t>
        </is>
      </c>
      <c r="L91" s="4" t="inlineStr">
        <is>
          <t>PRECIO
UNIT.</t>
        </is>
      </c>
      <c r="M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Planta Pegaso</t>
        </is>
      </c>
      <c r="J92" s="84" t="inlineStr">
        <is>
          <t>Planta Pegaso</t>
        </is>
      </c>
      <c r="K92" s="82" t="n"/>
      <c r="L92" s="82" t="n"/>
      <c r="M92" s="82" t="n"/>
    </row>
    <row r="93" ht="18" customHeight="1">
      <c r="F93" s="85" t="n">
        <v>1</v>
      </c>
      <c r="G93" s="86" t="inlineStr">
        <is>
          <t>Bidones</t>
        </is>
      </c>
      <c r="H93" s="87" t="n">
        <v>2800</v>
      </c>
      <c r="I93" s="85" t="n"/>
      <c r="J93" s="85" t="n">
        <v>1001</v>
      </c>
      <c r="K93" s="88" t="n">
        <v>1001</v>
      </c>
      <c r="L93" s="55" t="n">
        <v>27</v>
      </c>
      <c r="M93" s="89" t="n">
        <v>27027</v>
      </c>
    </row>
    <row r="94" ht="18" customHeight="1">
      <c r="F94" s="90" t="n">
        <v>2</v>
      </c>
      <c r="G94" s="91" t="inlineStr">
        <is>
          <t>PETROLIZADORA    INTERNATIONAL</t>
        </is>
      </c>
      <c r="H94" s="92" t="n"/>
      <c r="I94" s="90" t="n"/>
      <c r="J94" s="90" t="n">
        <v>50</v>
      </c>
      <c r="K94" s="93" t="n">
        <v>50</v>
      </c>
      <c r="L94" s="94" t="n">
        <v>27</v>
      </c>
      <c r="M94" s="95" t="n">
        <v>1350</v>
      </c>
    </row>
    <row r="95" ht="18" customHeight="1">
      <c r="F95" s="85" t="n">
        <v>3</v>
      </c>
      <c r="G95" s="86" t="inlineStr">
        <is>
          <t>PayLoder</t>
        </is>
      </c>
      <c r="H95" s="96" t="n"/>
      <c r="I95" s="85" t="n">
        <v>265</v>
      </c>
      <c r="J95" s="85" t="n"/>
      <c r="K95" s="88" t="n">
        <v>265</v>
      </c>
      <c r="L95" s="55" t="n">
        <v>27</v>
      </c>
      <c r="M95" s="89" t="n">
        <v>7155</v>
      </c>
    </row>
    <row r="96" ht="20" customHeight="1">
      <c r="F96" s="80" t="inlineStr">
        <is>
          <t>TOTAL LITROS</t>
        </is>
      </c>
      <c r="G96" s="131" t="n"/>
      <c r="H96" s="132" t="n"/>
      <c r="I96" s="97" t="n">
        <v>265</v>
      </c>
      <c r="J96" s="98" t="n">
        <v>1051</v>
      </c>
      <c r="K96" s="80" t="n">
        <v>1316</v>
      </c>
      <c r="L96" s="15" t="n"/>
      <c r="M96" s="16" t="n">
        <v>35532</v>
      </c>
    </row>
    <row r="97" ht="20" customHeight="1">
      <c r="F97" s="99" t="inlineStr">
        <is>
          <t>IMPORTE SEMANAL AUTORIZADO: $75,600.00  (Litros aut.: 2,800.00 L)</t>
        </is>
      </c>
      <c r="G97" s="131" t="n"/>
      <c r="H97" s="131" t="n"/>
      <c r="I97" s="131" t="n"/>
      <c r="J97" s="131" t="n"/>
      <c r="K97" s="131" t="n"/>
      <c r="L97" s="132" t="n"/>
      <c r="M97" s="101" t="n">
        <v>35532</v>
      </c>
    </row>
    <row r="100" ht="22" customHeight="1">
      <c r="F100" s="81" t="inlineStr">
        <is>
          <t>LUIS</t>
        </is>
      </c>
      <c r="G100" s="131" t="n"/>
      <c r="H100" s="131" t="n"/>
      <c r="I100" s="131" t="n"/>
      <c r="J100" s="131" t="n"/>
      <c r="K100" s="131" t="n"/>
      <c r="L100" s="131" t="n"/>
      <c r="M100" s="131" t="n"/>
      <c r="N100" s="132" t="n"/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Lun
15/06</t>
        </is>
      </c>
      <c r="J101" s="4" t="inlineStr">
        <is>
          <t>Mié
17/06</t>
        </is>
      </c>
      <c r="K101" s="4" t="inlineStr">
        <is>
          <t>Jue
18/06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Planta Huixquilucan</t>
        </is>
      </c>
      <c r="J102" s="84" t="inlineStr">
        <is>
          <t>Planta Huixquilucan</t>
        </is>
      </c>
      <c r="K102" s="84" t="inlineStr">
        <is>
          <t>Planta Huixquilucan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CRIBA ROJA</t>
        </is>
      </c>
      <c r="H103" s="87" t="n">
        <v>3500</v>
      </c>
      <c r="I103" s="85" t="n"/>
      <c r="J103" s="85" t="n"/>
      <c r="K103" s="85" t="n">
        <v>100</v>
      </c>
      <c r="L103" s="88" t="n">
        <v>100</v>
      </c>
      <c r="M103" s="55" t="n">
        <v>27</v>
      </c>
      <c r="N103" s="89" t="n">
        <v>2700</v>
      </c>
    </row>
    <row r="104" ht="18" customHeight="1">
      <c r="F104" s="90" t="n">
        <v>2</v>
      </c>
      <c r="G104" s="91" t="inlineStr">
        <is>
          <t>GENERADOR</t>
        </is>
      </c>
      <c r="H104" s="92" t="n"/>
      <c r="I104" s="90" t="n">
        <v>300</v>
      </c>
      <c r="J104" s="90" t="n">
        <v>100</v>
      </c>
      <c r="K104" s="90" t="n">
        <v>200</v>
      </c>
      <c r="L104" s="93" t="n">
        <v>600</v>
      </c>
      <c r="M104" s="94" t="n">
        <v>27</v>
      </c>
      <c r="N104" s="95" t="n">
        <v>16200</v>
      </c>
    </row>
    <row r="105" ht="18" customHeight="1">
      <c r="F105" s="85" t="n">
        <v>3</v>
      </c>
      <c r="G105" s="86" t="inlineStr">
        <is>
          <t>GENERADOR AMMANN</t>
        </is>
      </c>
      <c r="H105" s="96" t="n"/>
      <c r="I105" s="85" t="n">
        <v>400</v>
      </c>
      <c r="J105" s="85" t="n">
        <v>200</v>
      </c>
      <c r="K105" s="85" t="n"/>
      <c r="L105" s="88" t="n">
        <v>600</v>
      </c>
      <c r="M105" s="55" t="n">
        <v>27</v>
      </c>
      <c r="N105" s="89" t="n">
        <v>16200</v>
      </c>
    </row>
    <row r="106" ht="18" customHeight="1">
      <c r="F106" s="90" t="n">
        <v>4</v>
      </c>
      <c r="G106" s="91" t="inlineStr">
        <is>
          <t>MAXILIGHT</t>
        </is>
      </c>
      <c r="H106" s="92" t="n"/>
      <c r="I106" s="90" t="n"/>
      <c r="J106" s="90" t="n"/>
      <c r="K106" s="90" t="n">
        <v>100</v>
      </c>
      <c r="L106" s="93" t="n">
        <v>100</v>
      </c>
      <c r="M106" s="94" t="n">
        <v>27</v>
      </c>
      <c r="N106" s="95" t="n">
        <v>2700</v>
      </c>
    </row>
    <row r="107" ht="18" customHeight="1">
      <c r="F107" s="85" t="n">
        <v>5</v>
      </c>
      <c r="G107" s="86" t="inlineStr">
        <is>
          <t>PAYLODER</t>
        </is>
      </c>
      <c r="H107" s="96" t="n"/>
      <c r="I107" s="85" t="n">
        <v>100</v>
      </c>
      <c r="J107" s="85" t="n"/>
      <c r="K107" s="85" t="n">
        <v>100</v>
      </c>
      <c r="L107" s="88" t="n">
        <v>200</v>
      </c>
      <c r="M107" s="55" t="n">
        <v>27</v>
      </c>
      <c r="N107" s="89" t="n">
        <v>5400</v>
      </c>
    </row>
    <row r="108" ht="20" customHeight="1">
      <c r="F108" s="80" t="inlineStr">
        <is>
          <t>TOTAL LITROS</t>
        </is>
      </c>
      <c r="G108" s="131" t="n"/>
      <c r="H108" s="132" t="n"/>
      <c r="I108" s="98" t="n">
        <v>800</v>
      </c>
      <c r="J108" s="97" t="n">
        <v>300</v>
      </c>
      <c r="K108" s="97" t="n">
        <v>500</v>
      </c>
      <c r="L108" s="80" t="n">
        <v>1600</v>
      </c>
      <c r="M108" s="15" t="n"/>
      <c r="N108" s="16" t="n">
        <v>43200</v>
      </c>
    </row>
    <row r="109" ht="20" customHeight="1">
      <c r="F109" s="99" t="inlineStr">
        <is>
          <t>IMPORTE SEMANAL AUTORIZADO: $94,500.00  (Litros aut.: 3,500.00 L)</t>
        </is>
      </c>
      <c r="G109" s="131" t="n"/>
      <c r="H109" s="131" t="n"/>
      <c r="I109" s="131" t="n"/>
      <c r="J109" s="131" t="n"/>
      <c r="K109" s="131" t="n"/>
      <c r="L109" s="131" t="n"/>
      <c r="M109" s="132" t="n"/>
      <c r="N109" s="101" t="n">
        <v>43200</v>
      </c>
    </row>
    <row r="114" ht="24" customHeight="1">
      <c r="F114" s="102" t="inlineStr">
        <is>
          <t>▶ FACTURADO POR OBRA Y DÍA — DIESEL (FOLIOS, MONTOS CON IVA Y LITROS — SEMANA 25)</t>
        </is>
      </c>
      <c r="G114" s="131" t="n"/>
      <c r="H114" s="131" t="n"/>
      <c r="I114" s="131" t="n"/>
      <c r="J114" s="131" t="n"/>
      <c r="K114" s="131" t="n"/>
      <c r="L114" s="131" t="n"/>
      <c r="M114" s="131" t="n"/>
      <c r="N114" s="131" t="n"/>
      <c r="O114" s="131" t="n"/>
      <c r="P114" s="131" t="n"/>
      <c r="Q114" s="131" t="n"/>
      <c r="R114" s="131" t="n"/>
      <c r="S114" s="131" t="n"/>
      <c r="T114" s="131" t="n"/>
      <c r="U114" s="131" t="n"/>
      <c r="V114" s="131" t="n"/>
      <c r="W114" s="131" t="n"/>
      <c r="X114" s="131" t="n"/>
      <c r="Y114" s="131" t="n"/>
      <c r="Z114" s="131" t="n"/>
      <c r="AA114" s="132" t="n"/>
    </row>
    <row r="115" ht="20" customHeight="1">
      <c r="F115" s="4" t="inlineStr">
        <is>
          <t>OBRA / DESTINO</t>
        </is>
      </c>
      <c r="G115" s="4" t="inlineStr">
        <is>
          <t>LUN 15-JUN</t>
        </is>
      </c>
      <c r="H115" s="131" t="n"/>
      <c r="I115" s="132" t="n"/>
      <c r="J115" s="4" t="inlineStr">
        <is>
          <t>MAR 16-JUN</t>
        </is>
      </c>
      <c r="K115" s="131" t="n"/>
      <c r="L115" s="132" t="n"/>
      <c r="M115" s="4" t="inlineStr">
        <is>
          <t>MIÉ 17-JUN</t>
        </is>
      </c>
      <c r="N115" s="131" t="n"/>
      <c r="O115" s="132" t="n"/>
      <c r="P115" s="4" t="inlineStr">
        <is>
          <t>JUE 18-JUN</t>
        </is>
      </c>
      <c r="Q115" s="131" t="n"/>
      <c r="R115" s="132" t="n"/>
      <c r="S115" s="4" t="inlineStr">
        <is>
          <t>VIE 19-JUN</t>
        </is>
      </c>
      <c r="T115" s="131" t="n"/>
      <c r="U115" s="132" t="n"/>
      <c r="V115" s="4" t="inlineStr">
        <is>
          <t>SÁB 20-JUN</t>
        </is>
      </c>
      <c r="W115" s="131" t="n"/>
      <c r="X115" s="132" t="n"/>
      <c r="Y115" s="4" t="inlineStr">
        <is>
          <t>TOTALES ACUMULADOS</t>
        </is>
      </c>
      <c r="Z115" s="131" t="n"/>
      <c r="AA115" s="132" t="n"/>
    </row>
    <row r="116" ht="20" customHeight="1">
      <c r="F116" s="135" t="n"/>
      <c r="G116" s="4" t="inlineStr">
        <is>
          <t>FACTURA</t>
        </is>
      </c>
      <c r="H116" s="4" t="inlineStr">
        <is>
          <t>MONTO ($)</t>
        </is>
      </c>
      <c r="I116" s="4" t="inlineStr">
        <is>
          <t>LITROS</t>
        </is>
      </c>
      <c r="J116" s="4" t="inlineStr">
        <is>
          <t>FACTURA</t>
        </is>
      </c>
      <c r="K116" s="4" t="inlineStr">
        <is>
          <t>MONTO ($)</t>
        </is>
      </c>
      <c r="L116" s="4" t="inlineStr">
        <is>
          <t>LITROS</t>
        </is>
      </c>
      <c r="M116" s="4" t="inlineStr">
        <is>
          <t>FACTURA</t>
        </is>
      </c>
      <c r="N116" s="4" t="inlineStr">
        <is>
          <t>MONTO ($)</t>
        </is>
      </c>
      <c r="O116" s="4" t="inlineStr">
        <is>
          <t>LITROS</t>
        </is>
      </c>
      <c r="P116" s="4" t="inlineStr">
        <is>
          <t>FACTURA</t>
        </is>
      </c>
      <c r="Q116" s="4" t="inlineStr">
        <is>
          <t>MONTO ($)</t>
        </is>
      </c>
      <c r="R116" s="4" t="inlineStr">
        <is>
          <t>LITROS</t>
        </is>
      </c>
      <c r="S116" s="4" t="inlineStr">
        <is>
          <t>FACTURA</t>
        </is>
      </c>
      <c r="T116" s="4" t="inlineStr">
        <is>
          <t>MONTO ($)</t>
        </is>
      </c>
      <c r="U116" s="4" t="inlineStr">
        <is>
          <t>LITROS</t>
        </is>
      </c>
      <c r="V116" s="4" t="inlineStr">
        <is>
          <t>FACTURA</t>
        </is>
      </c>
      <c r="W116" s="4" t="inlineStr">
        <is>
          <t>MONTO ($)</t>
        </is>
      </c>
      <c r="X116" s="4" t="inlineStr">
        <is>
          <t>LITROS</t>
        </is>
      </c>
      <c r="Y116" s="4" t="inlineStr">
        <is>
          <t>TOTAL FACTURAS</t>
        </is>
      </c>
      <c r="Z116" s="4" t="inlineStr">
        <is>
          <t>TOTAL MONTO</t>
        </is>
      </c>
      <c r="AA116" s="4" t="inlineStr">
        <is>
          <t>TOTAL LITROS</t>
        </is>
      </c>
    </row>
    <row r="117" ht="20" customHeight="1">
      <c r="F117" s="5" t="inlineStr">
        <is>
          <t>México - Toluca</t>
        </is>
      </c>
      <c r="G117" s="116" t="inlineStr">
        <is>
          <t>A10052</t>
        </is>
      </c>
      <c r="H117" s="117" t="n">
        <v>13500.06</v>
      </c>
      <c r="I117" s="118" t="n">
        <v>500</v>
      </c>
      <c r="J117" s="116" t="inlineStr">
        <is>
          <t>A10058</t>
        </is>
      </c>
      <c r="K117" s="117" t="n">
        <v>13500.06</v>
      </c>
      <c r="L117" s="118" t="n">
        <v>500</v>
      </c>
      <c r="M117" s="116" t="inlineStr">
        <is>
          <t>A10078</t>
        </is>
      </c>
      <c r="N117" s="117" t="n">
        <v>14040.05</v>
      </c>
      <c r="O117" s="118" t="n">
        <v>520</v>
      </c>
      <c r="P117" s="116" t="inlineStr">
        <is>
          <t>A10087</t>
        </is>
      </c>
      <c r="Q117" s="117" t="n">
        <v>13230.1</v>
      </c>
      <c r="R117" s="118" t="n">
        <v>490</v>
      </c>
      <c r="S117" s="116" t="inlineStr">
        <is>
          <t>A10108</t>
        </is>
      </c>
      <c r="T117" s="117" t="n">
        <v>10800.1</v>
      </c>
      <c r="U117" s="118" t="n">
        <v>400</v>
      </c>
      <c r="V117" s="119" t="inlineStr">
        <is>
          <t>-</t>
        </is>
      </c>
      <c r="W117" s="120" t="inlineStr">
        <is>
          <t>-</t>
        </is>
      </c>
      <c r="X117" s="120" t="inlineStr">
        <is>
          <t>-</t>
        </is>
      </c>
      <c r="Y117" s="121" t="inlineStr">
        <is>
          <t>5 Factura(s)</t>
        </is>
      </c>
      <c r="Z117" s="122" t="n">
        <v>65070.37</v>
      </c>
      <c r="AA117" s="123" t="n">
        <v>2410</v>
      </c>
    </row>
    <row r="118" ht="20" customHeight="1">
      <c r="F118" s="9" t="inlineStr">
        <is>
          <t>Planta Huixquilucan</t>
        </is>
      </c>
      <c r="G118" s="116" t="inlineStr">
        <is>
          <t>A10053</t>
        </is>
      </c>
      <c r="H118" s="117" t="n">
        <v>21600.15</v>
      </c>
      <c r="I118" s="118" t="n">
        <v>800</v>
      </c>
      <c r="J118" s="124" t="inlineStr">
        <is>
          <t>-</t>
        </is>
      </c>
      <c r="K118" s="125" t="inlineStr">
        <is>
          <t>-</t>
        </is>
      </c>
      <c r="L118" s="125" t="inlineStr">
        <is>
          <t>-</t>
        </is>
      </c>
      <c r="M118" s="116" t="inlineStr">
        <is>
          <t>A10072</t>
        </is>
      </c>
      <c r="N118" s="117" t="n">
        <v>16200.1</v>
      </c>
      <c r="O118" s="118" t="n">
        <v>600</v>
      </c>
      <c r="P118" s="116" t="inlineStr">
        <is>
          <t>A10091</t>
        </is>
      </c>
      <c r="Q118" s="117" t="n">
        <v>13500.06</v>
      </c>
      <c r="R118" s="118" t="n">
        <v>500</v>
      </c>
      <c r="S118" s="124" t="inlineStr">
        <is>
          <t>-</t>
        </is>
      </c>
      <c r="T118" s="125" t="inlineStr">
        <is>
          <t>-</t>
        </is>
      </c>
      <c r="U118" s="125" t="inlineStr">
        <is>
          <t>-</t>
        </is>
      </c>
      <c r="V118" s="116" t="inlineStr">
        <is>
          <t>A23783082</t>
        </is>
      </c>
      <c r="W118" s="117" t="n">
        <v>16200.1</v>
      </c>
      <c r="X118" s="118" t="n">
        <v>600</v>
      </c>
      <c r="Y118" s="126" t="inlineStr">
        <is>
          <t>4 Factura(s)</t>
        </is>
      </c>
      <c r="Z118" s="127" t="n">
        <v>67500.41</v>
      </c>
      <c r="AA118" s="128" t="n">
        <v>2500</v>
      </c>
    </row>
    <row r="119" ht="20" customHeight="1">
      <c r="F119" s="5" t="inlineStr">
        <is>
          <t>Planta Pegaso</t>
        </is>
      </c>
      <c r="G119" s="119" t="inlineStr">
        <is>
          <t>-</t>
        </is>
      </c>
      <c r="H119" s="120" t="inlineStr">
        <is>
          <t>-</t>
        </is>
      </c>
      <c r="I119" s="120" t="inlineStr">
        <is>
          <t>-</t>
        </is>
      </c>
      <c r="J119" s="119" t="inlineStr">
        <is>
          <t>-</t>
        </is>
      </c>
      <c r="K119" s="120" t="inlineStr">
        <is>
          <t>-</t>
        </is>
      </c>
      <c r="L119" s="120" t="inlineStr">
        <is>
          <t>-</t>
        </is>
      </c>
      <c r="M119" s="119" t="inlineStr">
        <is>
          <t>-</t>
        </is>
      </c>
      <c r="N119" s="120" t="inlineStr">
        <is>
          <t>-</t>
        </is>
      </c>
      <c r="O119" s="120" t="inlineStr">
        <is>
          <t>-</t>
        </is>
      </c>
      <c r="P119" s="116" t="inlineStr">
        <is>
          <t>A10088</t>
        </is>
      </c>
      <c r="Q119" s="117" t="n">
        <v>108000.36</v>
      </c>
      <c r="R119" s="118" t="n">
        <v>4000</v>
      </c>
      <c r="S119" s="119" t="inlineStr">
        <is>
          <t>-</t>
        </is>
      </c>
      <c r="T119" s="120" t="inlineStr">
        <is>
          <t>-</t>
        </is>
      </c>
      <c r="U119" s="120" t="inlineStr">
        <is>
          <t>-</t>
        </is>
      </c>
      <c r="V119" s="119" t="inlineStr">
        <is>
          <t>-</t>
        </is>
      </c>
      <c r="W119" s="120" t="inlineStr">
        <is>
          <t>-</t>
        </is>
      </c>
      <c r="X119" s="120" t="inlineStr">
        <is>
          <t>-</t>
        </is>
      </c>
      <c r="Y119" s="121" t="inlineStr">
        <is>
          <t>1 Factura(s)</t>
        </is>
      </c>
      <c r="Z119" s="122" t="n">
        <v>108000.36</v>
      </c>
      <c r="AA119" s="123" t="n">
        <v>4000</v>
      </c>
    </row>
    <row r="120" ht="22" customHeight="1">
      <c r="F120" s="80" t="inlineStr">
        <is>
          <t>TOTAL POR DÍA</t>
        </is>
      </c>
      <c r="G120" s="19" t="inlineStr">
        <is>
          <t>2 Factura(s)</t>
        </is>
      </c>
      <c r="H120" s="16" t="n">
        <v>35100.21</v>
      </c>
      <c r="I120" s="109" t="n">
        <v>1300</v>
      </c>
      <c r="J120" s="19" t="inlineStr">
        <is>
          <t>1 Factura(s)</t>
        </is>
      </c>
      <c r="K120" s="16" t="n">
        <v>13500.06</v>
      </c>
      <c r="L120" s="109" t="n">
        <v>500</v>
      </c>
      <c r="M120" s="19" t="inlineStr">
        <is>
          <t>2 Factura(s)</t>
        </is>
      </c>
      <c r="N120" s="16" t="n">
        <v>30240.15</v>
      </c>
      <c r="O120" s="109" t="n">
        <v>1120</v>
      </c>
      <c r="P120" s="19" t="inlineStr">
        <is>
          <t>3 Factura(s)</t>
        </is>
      </c>
      <c r="Q120" s="16" t="n">
        <v>134730.52</v>
      </c>
      <c r="R120" s="109" t="n">
        <v>4990</v>
      </c>
      <c r="S120" s="19" t="inlineStr">
        <is>
          <t>1 Factura(s)</t>
        </is>
      </c>
      <c r="T120" s="16" t="n">
        <v>10800.1</v>
      </c>
      <c r="U120" s="109" t="n">
        <v>400</v>
      </c>
      <c r="V120" s="19" t="inlineStr">
        <is>
          <t>1 Factura(s)</t>
        </is>
      </c>
      <c r="W120" s="16" t="n">
        <v>16200.1</v>
      </c>
      <c r="X120" s="109" t="n">
        <v>600</v>
      </c>
      <c r="Y120" s="19" t="inlineStr">
        <is>
          <t>10 Factura(s)</t>
        </is>
      </c>
      <c r="Z120" s="16" t="n">
        <v>240571.14</v>
      </c>
      <c r="AA120" s="109" t="n">
        <v>8910</v>
      </c>
    </row>
    <row r="123" ht="24" customHeight="1">
      <c r="F123" s="102" t="inlineStr">
        <is>
          <t>▶ COMPARATIVA FACTURADO VS CONSUMIDO POR OBRA — SEMANA 25</t>
        </is>
      </c>
      <c r="G123" s="131" t="n"/>
      <c r="H123" s="131" t="n"/>
      <c r="I123" s="131" t="n"/>
      <c r="J123" s="131" t="n"/>
      <c r="K123" s="131" t="n"/>
      <c r="L123" s="132" t="n"/>
    </row>
    <row r="124" ht="22" customHeight="1">
      <c r="F124" s="4" t="inlineStr">
        <is>
          <t>OBRA / DESTINO</t>
        </is>
      </c>
      <c r="G124" s="4" t="inlineStr">
        <is>
          <t>LITROS FACTURADOS</t>
        </is>
      </c>
      <c r="H124" s="4" t="inlineStr">
        <is>
          <t>LITROS CONSUMIDOS</t>
        </is>
      </c>
      <c r="I124" s="4" t="inlineStr">
        <is>
          <t>MONTO FACTURADO ($)</t>
        </is>
      </c>
      <c r="J124" s="4" t="inlineStr">
        <is>
          <t>MONTO CONSUMIDO ($)</t>
        </is>
      </c>
      <c r="K124" s="4" t="inlineStr">
        <is>
          <t>VARIACIÓN (LTS)</t>
        </is>
      </c>
      <c r="L124" s="4" t="inlineStr">
        <is>
          <t>VARIACIÓN ($)</t>
        </is>
      </c>
    </row>
    <row r="125" ht="19" customHeight="1">
      <c r="F125" s="5" t="inlineStr">
        <is>
          <t>Bacheo Toluca</t>
        </is>
      </c>
      <c r="G125" s="32" t="n"/>
      <c r="H125" s="32" t="n">
        <v>643</v>
      </c>
      <c r="I125" s="33" t="n"/>
      <c r="J125" s="33" t="n">
        <v>17361</v>
      </c>
      <c r="K125" s="103" t="n">
        <v>-643</v>
      </c>
      <c r="L125" s="104" t="n">
        <v>-17361</v>
      </c>
    </row>
    <row r="126" ht="19" customHeight="1">
      <c r="F126" s="9" t="inlineStr">
        <is>
          <t>Lerma - Tres Marías</t>
        </is>
      </c>
      <c r="G126" s="105" t="n"/>
      <c r="H126" s="105" t="n">
        <v>1437</v>
      </c>
      <c r="I126" s="106" t="n"/>
      <c r="J126" s="106" t="n">
        <v>38799</v>
      </c>
      <c r="K126" s="107" t="n">
        <v>-1437</v>
      </c>
      <c r="L126" s="108" t="n">
        <v>-38799</v>
      </c>
    </row>
    <row r="127" ht="19" customHeight="1">
      <c r="F127" s="5" t="inlineStr">
        <is>
          <t>México - Toluca</t>
        </is>
      </c>
      <c r="G127" s="32" t="n">
        <v>2410</v>
      </c>
      <c r="H127" s="32" t="n">
        <v>2185</v>
      </c>
      <c r="I127" s="33" t="n">
        <v>65070.37</v>
      </c>
      <c r="J127" s="33" t="n">
        <v>58995</v>
      </c>
      <c r="K127" s="103" t="n">
        <v>225</v>
      </c>
      <c r="L127" s="104" t="n">
        <v>6075.370000000003</v>
      </c>
    </row>
    <row r="128" ht="19" customHeight="1">
      <c r="F128" s="9" t="inlineStr">
        <is>
          <t>Planta Huixquilucan</t>
        </is>
      </c>
      <c r="G128" s="105" t="n">
        <v>2500</v>
      </c>
      <c r="H128" s="105" t="n">
        <v>1600</v>
      </c>
      <c r="I128" s="106" t="n">
        <v>67500.41</v>
      </c>
      <c r="J128" s="106" t="n">
        <v>43200</v>
      </c>
      <c r="K128" s="107" t="n">
        <v>900</v>
      </c>
      <c r="L128" s="108" t="n">
        <v>24300.41</v>
      </c>
    </row>
    <row r="129" ht="19" customHeight="1">
      <c r="F129" s="5" t="inlineStr">
        <is>
          <t>Planta Pegaso</t>
        </is>
      </c>
      <c r="G129" s="32" t="n">
        <v>4000</v>
      </c>
      <c r="H129" s="32" t="n">
        <v>1316</v>
      </c>
      <c r="I129" s="33" t="n">
        <v>108000.36</v>
      </c>
      <c r="J129" s="33" t="n">
        <v>35532</v>
      </c>
      <c r="K129" s="103" t="n">
        <v>2684</v>
      </c>
      <c r="L129" s="104" t="n">
        <v>72468.36</v>
      </c>
    </row>
    <row r="130" ht="19" customHeight="1">
      <c r="F130" s="9" t="inlineStr">
        <is>
          <t>Providencia</t>
        </is>
      </c>
      <c r="G130" s="105" t="n"/>
      <c r="H130" s="105" t="n">
        <v>40</v>
      </c>
      <c r="I130" s="106" t="n"/>
      <c r="J130" s="106" t="n">
        <v>1080</v>
      </c>
      <c r="K130" s="107" t="n">
        <v>-40</v>
      </c>
      <c r="L130" s="108" t="n">
        <v>-1080</v>
      </c>
    </row>
    <row r="131" ht="22" customHeight="1">
      <c r="F131" s="80" t="inlineStr">
        <is>
          <t>TOTAL GENERAL POR OBRA:</t>
        </is>
      </c>
      <c r="G131" s="109">
        <f>SUM(G125:G130)</f>
        <v/>
      </c>
      <c r="H131" s="109">
        <f>SUM(H125:H130)</f>
        <v/>
      </c>
      <c r="I131" s="16">
        <f>SUM(I125:I130)</f>
        <v/>
      </c>
      <c r="J131" s="16">
        <f>SUM(J125:J130)</f>
        <v/>
      </c>
      <c r="K131" s="110">
        <f>SUM(K125:K130)</f>
        <v/>
      </c>
      <c r="L131" s="111">
        <f>SUM(L125:L130)</f>
        <v/>
      </c>
    </row>
    <row r="134" ht="24" customHeight="1">
      <c r="F134" s="102" t="inlineStr">
        <is>
          <t>▶ COMPARATIVA FACTURADO VS CONSUMIDO POR INGENIERO — SEMANA 25</t>
        </is>
      </c>
      <c r="G134" s="131" t="n"/>
      <c r="H134" s="131" t="n"/>
      <c r="I134" s="131" t="n"/>
      <c r="J134" s="131" t="n"/>
      <c r="K134" s="131" t="n"/>
      <c r="L134" s="131" t="n"/>
      <c r="M134" s="132" t="n"/>
    </row>
    <row r="135" ht="22" customHeight="1">
      <c r="F135" s="4" t="inlineStr">
        <is>
          <t>INGENIERO / RESPONSABLE</t>
        </is>
      </c>
      <c r="G135" s="4" t="inlineStr">
        <is>
          <t>OBRAS ASIGNADAS</t>
        </is>
      </c>
      <c r="H135" s="4" t="inlineStr">
        <is>
          <t>LITROS FACTURADOS</t>
        </is>
      </c>
      <c r="I135" s="4" t="inlineStr">
        <is>
          <t>LITROS CONSUMIDOS</t>
        </is>
      </c>
      <c r="J135" s="4" t="inlineStr">
        <is>
          <t>MONTO FACTURADO ($)</t>
        </is>
      </c>
      <c r="K135" s="4" t="inlineStr">
        <is>
          <t>MONTO CONSUMIDO ($)</t>
        </is>
      </c>
      <c r="L135" s="4" t="inlineStr">
        <is>
          <t>VARIACIÓN (LTS)</t>
        </is>
      </c>
      <c r="M135" s="4" t="inlineStr">
        <is>
          <t>VARIACIÓN ($)</t>
        </is>
      </c>
    </row>
    <row r="136" ht="19" customHeight="1">
      <c r="F136" s="5" t="inlineStr">
        <is>
          <t>Ing. Apolinar</t>
        </is>
      </c>
      <c r="G136" s="74" t="inlineStr">
        <is>
          <t>Lerma - Tres Marías</t>
        </is>
      </c>
      <c r="H136" s="32" t="n"/>
      <c r="I136" s="32" t="n">
        <v>1437</v>
      </c>
      <c r="J136" s="33" t="n"/>
      <c r="K136" s="33" t="n">
        <v>38799</v>
      </c>
      <c r="L136" s="103" t="n">
        <v>-1437</v>
      </c>
      <c r="M136" s="104" t="n">
        <v>-38799</v>
      </c>
    </row>
    <row r="137" ht="19" customHeight="1">
      <c r="F137" s="9" t="inlineStr">
        <is>
          <t>Ing. Diego Carreola</t>
        </is>
      </c>
      <c r="G137" s="78" t="inlineStr">
        <is>
          <t>Bacheo Toluca</t>
        </is>
      </c>
      <c r="H137" s="105" t="n"/>
      <c r="I137" s="105" t="n">
        <v>643</v>
      </c>
      <c r="J137" s="106" t="n"/>
      <c r="K137" s="106" t="n">
        <v>17361</v>
      </c>
      <c r="L137" s="107" t="n">
        <v>-643</v>
      </c>
      <c r="M137" s="108" t="n">
        <v>-17361</v>
      </c>
    </row>
    <row r="138" ht="19" customHeight="1">
      <c r="F138" s="5" t="inlineStr">
        <is>
          <t>Ing. Francisco Javier</t>
        </is>
      </c>
      <c r="G138" s="74" t="inlineStr">
        <is>
          <t>México - Toluca</t>
        </is>
      </c>
      <c r="H138" s="32" t="n">
        <v>2410</v>
      </c>
      <c r="I138" s="32" t="n">
        <v>2185</v>
      </c>
      <c r="J138" s="33" t="n">
        <v>65070.37</v>
      </c>
      <c r="K138" s="33" t="n">
        <v>58995</v>
      </c>
      <c r="L138" s="103" t="n">
        <v>225</v>
      </c>
      <c r="M138" s="104" t="n">
        <v>6075.370000000003</v>
      </c>
    </row>
    <row r="139" ht="19" customHeight="1">
      <c r="F139" s="9" t="inlineStr">
        <is>
          <t>Ing. Luis</t>
        </is>
      </c>
      <c r="G139" s="78" t="inlineStr">
        <is>
          <t>Planta Huixquilucan</t>
        </is>
      </c>
      <c r="H139" s="105" t="n">
        <v>2500</v>
      </c>
      <c r="I139" s="105" t="n">
        <v>1600</v>
      </c>
      <c r="J139" s="106" t="n">
        <v>67500.41</v>
      </c>
      <c r="K139" s="106" t="n">
        <v>43200</v>
      </c>
      <c r="L139" s="107" t="n">
        <v>900</v>
      </c>
      <c r="M139" s="108" t="n">
        <v>24300.41</v>
      </c>
    </row>
    <row r="140" ht="19" customHeight="1">
      <c r="F140" s="5" t="inlineStr">
        <is>
          <t>Jack</t>
        </is>
      </c>
      <c r="G140" s="74" t="inlineStr">
        <is>
          <t>Planta Pegaso</t>
        </is>
      </c>
      <c r="H140" s="32" t="n">
        <v>4000</v>
      </c>
      <c r="I140" s="32" t="n">
        <v>1316</v>
      </c>
      <c r="J140" s="33" t="n">
        <v>108000.36</v>
      </c>
      <c r="K140" s="33" t="n">
        <v>35532</v>
      </c>
      <c r="L140" s="103" t="n">
        <v>2684</v>
      </c>
      <c r="M140" s="104" t="n">
        <v>72468.36</v>
      </c>
    </row>
    <row r="141" ht="19" customHeight="1">
      <c r="F141" s="9" t="inlineStr">
        <is>
          <t>Samuel</t>
        </is>
      </c>
      <c r="G141" s="78" t="inlineStr">
        <is>
          <t>Providencia</t>
        </is>
      </c>
      <c r="H141" s="105" t="n"/>
      <c r="I141" s="105" t="n">
        <v>40</v>
      </c>
      <c r="J141" s="106" t="n"/>
      <c r="K141" s="106" t="n">
        <v>1080</v>
      </c>
      <c r="L141" s="107" t="n">
        <v>-40</v>
      </c>
      <c r="M141" s="108" t="n">
        <v>-1080</v>
      </c>
    </row>
    <row r="142" ht="22" customHeight="1">
      <c r="F142" s="80" t="inlineStr">
        <is>
          <t>TOTAL GENERAL POR INGENIERO:</t>
        </is>
      </c>
      <c r="G142" s="132" t="n"/>
      <c r="H142" s="109">
        <f>SUM(H136:H141)</f>
        <v/>
      </c>
      <c r="I142" s="109">
        <f>SUM(I136:I141)</f>
        <v/>
      </c>
      <c r="J142" s="16">
        <f>SUM(J136:J141)</f>
        <v/>
      </c>
      <c r="K142" s="16">
        <f>SUM(K136:K141)</f>
        <v/>
      </c>
      <c r="L142" s="110">
        <f>SUM(L136:L141)</f>
        <v/>
      </c>
      <c r="M142" s="111">
        <f>SUM(M136:M141)</f>
        <v/>
      </c>
    </row>
  </sheetData>
  <mergeCells count="42">
    <mergeCell ref="P115:R115"/>
    <mergeCell ref="V115:X115"/>
    <mergeCell ref="F11:G11"/>
    <mergeCell ref="F16:G16"/>
    <mergeCell ref="G7:G8"/>
    <mergeCell ref="F37:I37"/>
    <mergeCell ref="K37:N37"/>
    <mergeCell ref="F100:N100"/>
    <mergeCell ref="K28:N28"/>
    <mergeCell ref="F123:L123"/>
    <mergeCell ref="F142:G142"/>
    <mergeCell ref="F71:H71"/>
    <mergeCell ref="F44:O44"/>
    <mergeCell ref="F96:H96"/>
    <mergeCell ref="F58:N58"/>
    <mergeCell ref="H7:H8"/>
    <mergeCell ref="F17:G17"/>
    <mergeCell ref="F115:F116"/>
    <mergeCell ref="J115:L115"/>
    <mergeCell ref="M115:O115"/>
    <mergeCell ref="F109:M109"/>
    <mergeCell ref="F57:H57"/>
    <mergeCell ref="F134:M134"/>
    <mergeCell ref="K20:N20"/>
    <mergeCell ref="F90:M90"/>
    <mergeCell ref="K7:K8"/>
    <mergeCell ref="F20:I20"/>
    <mergeCell ref="F87:N87"/>
    <mergeCell ref="G115:I115"/>
    <mergeCell ref="S115:U115"/>
    <mergeCell ref="F61:P61"/>
    <mergeCell ref="Y115:AA115"/>
    <mergeCell ref="F108:H108"/>
    <mergeCell ref="F97:L97"/>
    <mergeCell ref="F114:AA114"/>
    <mergeCell ref="F2:L2"/>
    <mergeCell ref="F75:O75"/>
    <mergeCell ref="F7:F8"/>
    <mergeCell ref="L7:L8"/>
    <mergeCell ref="F86:H86"/>
    <mergeCell ref="F72:O72"/>
    <mergeCell ref="F28:I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2:AA1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26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/>
      <c r="K5" s="75" t="n"/>
      <c r="L5" s="76" t="n">
        <v>2400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2497</v>
      </c>
      <c r="K6" s="79" t="n">
        <v>2497</v>
      </c>
      <c r="L6" s="76" t="n">
        <v>803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/>
      <c r="K7" s="75" t="n">
        <v>102</v>
      </c>
      <c r="L7" s="76" t="n">
        <v>498</v>
      </c>
    </row>
    <row r="8" ht="18" customHeight="1">
      <c r="F8" s="135" t="n"/>
      <c r="G8" s="135" t="n"/>
      <c r="H8" s="135" t="n"/>
      <c r="I8" s="74" t="inlineStr">
        <is>
          <t>Providencia</t>
        </is>
      </c>
      <c r="J8" s="73" t="n">
        <v>102</v>
      </c>
      <c r="K8" s="135" t="n"/>
      <c r="L8" s="135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México - Toluca</t>
        </is>
      </c>
      <c r="J9" s="77" t="n">
        <v>20</v>
      </c>
      <c r="K9" s="79" t="n">
        <v>20</v>
      </c>
      <c r="L9" s="76" t="n">
        <v>2380</v>
      </c>
    </row>
    <row r="10" ht="18" customHeight="1">
      <c r="F10" s="135" t="n"/>
      <c r="G10" s="135" t="n"/>
      <c r="H10" s="135" t="n"/>
      <c r="I10" s="78" t="inlineStr">
        <is>
          <t>Planta Pegaso</t>
        </is>
      </c>
      <c r="J10" s="77" t="n"/>
      <c r="K10" s="135" t="n"/>
      <c r="L10" s="135" t="n"/>
    </row>
    <row r="11" ht="18" customHeight="1">
      <c r="F11" s="72" t="inlineStr">
        <is>
          <t>LUIS</t>
        </is>
      </c>
      <c r="G11" s="73" t="n">
        <v>500</v>
      </c>
      <c r="H11" s="73" t="n">
        <v>3000</v>
      </c>
      <c r="I11" s="74" t="inlineStr">
        <is>
          <t>Planta Huixquilucan</t>
        </is>
      </c>
      <c r="J11" s="73" t="n">
        <v>1191</v>
      </c>
      <c r="K11" s="75" t="n">
        <v>1191</v>
      </c>
      <c r="L11" s="76" t="n">
        <v>1809</v>
      </c>
    </row>
    <row r="12" ht="20" customHeight="1">
      <c r="F12" s="80" t="inlineStr">
        <is>
          <t>SUBTOTAL (6 DÍAS):</t>
        </is>
      </c>
      <c r="G12" s="132" t="n"/>
      <c r="H12" s="80" t="n">
        <v>11700</v>
      </c>
      <c r="I12" s="15" t="n"/>
      <c r="J12" s="80" t="n">
        <v>3810</v>
      </c>
      <c r="K12" s="80" t="n">
        <v>3810</v>
      </c>
      <c r="L12" s="80" t="n">
        <v>7890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Providencia</t>
        </is>
      </c>
      <c r="J16" s="73" t="n">
        <v>-102</v>
      </c>
      <c r="K16" s="75" t="n">
        <v>-102</v>
      </c>
      <c r="L16" s="76" t="n">
        <v>102</v>
      </c>
    </row>
    <row r="17" ht="20" customHeight="1">
      <c r="F17" s="80" t="inlineStr">
        <is>
          <t>SUBTOTAL (5 DÍAS):</t>
        </is>
      </c>
      <c r="G17" s="132" t="n"/>
      <c r="H17" s="80" t="inlineStr"/>
      <c r="I17" s="15" t="n"/>
      <c r="J17" s="80" t="n">
        <v>-102</v>
      </c>
      <c r="K17" s="80" t="n">
        <v>-102</v>
      </c>
      <c r="L17" s="80" t="n">
        <v>102</v>
      </c>
    </row>
    <row r="18" ht="22" customHeight="1">
      <c r="F18" s="80" t="inlineStr">
        <is>
          <t>TOTAL GENERAL:</t>
        </is>
      </c>
      <c r="G18" s="132" t="n"/>
      <c r="H18" s="80" t="n">
        <v>11700</v>
      </c>
      <c r="I18" s="15" t="n"/>
      <c r="J18" s="80" t="n">
        <v>3708</v>
      </c>
      <c r="K18" s="80" t="n">
        <v>3708</v>
      </c>
      <c r="L18" s="80" t="n">
        <v>7992</v>
      </c>
    </row>
    <row r="21" ht="20" customHeight="1">
      <c r="F21" s="3" t="inlineStr">
        <is>
          <t>▶  Bacheo Toluca</t>
        </is>
      </c>
      <c r="G21" s="131" t="n"/>
      <c r="H21" s="131" t="n"/>
      <c r="I21" s="132" t="n"/>
      <c r="K21" s="3" t="inlineStr">
        <is>
          <t>▶  Lerma - Tres Marías</t>
        </is>
      </c>
      <c r="L21" s="131" t="n"/>
      <c r="M21" s="131" t="n"/>
      <c r="N21" s="132" t="n"/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22-jun</t>
        </is>
      </c>
      <c r="G23" s="6" t="n">
        <v>110</v>
      </c>
      <c r="H23" s="7" t="n">
        <v>27</v>
      </c>
      <c r="I23" s="8" t="n">
        <v>2970</v>
      </c>
      <c r="K23" s="5" t="inlineStr">
        <is>
          <t>Lun 22-jun</t>
        </is>
      </c>
      <c r="L23" s="6" t="n">
        <v>402</v>
      </c>
      <c r="M23" s="7" t="n">
        <v>27</v>
      </c>
      <c r="N23" s="8" t="n">
        <v>10854</v>
      </c>
    </row>
    <row r="24" ht="18" customHeight="1">
      <c r="F24" s="9" t="inlineStr">
        <is>
          <t>Mar 23-jun</t>
        </is>
      </c>
      <c r="G24" s="10" t="n">
        <v>206</v>
      </c>
      <c r="H24" s="11" t="n">
        <v>27</v>
      </c>
      <c r="I24" s="12" t="n">
        <v>5562</v>
      </c>
      <c r="K24" s="9" t="inlineStr">
        <is>
          <t>Mar 23-jun</t>
        </is>
      </c>
      <c r="L24" s="10" t="n">
        <v>50</v>
      </c>
      <c r="M24" s="11" t="n">
        <v>27</v>
      </c>
      <c r="N24" s="12" t="n">
        <v>1350</v>
      </c>
    </row>
    <row r="25" ht="18" customHeight="1">
      <c r="F25" s="5" t="inlineStr">
        <is>
          <t>Mié 24-jun</t>
        </is>
      </c>
      <c r="G25" s="6" t="n">
        <v>120</v>
      </c>
      <c r="H25" s="7" t="n">
        <v>27</v>
      </c>
      <c r="I25" s="8" t="n">
        <v>3240</v>
      </c>
      <c r="K25" s="5" t="inlineStr">
        <is>
          <t>Mié 24-jun</t>
        </is>
      </c>
      <c r="L25" s="6" t="n">
        <v>369</v>
      </c>
      <c r="M25" s="7" t="n">
        <v>27</v>
      </c>
      <c r="N25" s="8" t="n">
        <v>9963</v>
      </c>
    </row>
    <row r="26" ht="18" customHeight="1">
      <c r="F26" s="9" t="inlineStr">
        <is>
          <t>Jue 25-jun</t>
        </is>
      </c>
      <c r="G26" s="10" t="n">
        <v>-1434</v>
      </c>
      <c r="H26" s="11" t="n">
        <v>27</v>
      </c>
      <c r="I26" s="12" t="n">
        <v>-38718</v>
      </c>
      <c r="K26" s="9" t="inlineStr">
        <is>
          <t>Jue 25-jun</t>
        </is>
      </c>
      <c r="L26" s="10" t="n">
        <v>417</v>
      </c>
      <c r="M26" s="11" t="n">
        <v>27</v>
      </c>
      <c r="N26" s="12" t="n">
        <v>11259</v>
      </c>
    </row>
    <row r="27" ht="18" customHeight="1">
      <c r="F27" s="5" t="inlineStr">
        <is>
          <t>Vie 26-jun</t>
        </is>
      </c>
      <c r="G27" s="6" t="n">
        <v>998</v>
      </c>
      <c r="H27" s="7" t="n">
        <v>27</v>
      </c>
      <c r="I27" s="8" t="n">
        <v>26946</v>
      </c>
      <c r="K27" s="5" t="inlineStr">
        <is>
          <t>Vie 26-jun</t>
        </is>
      </c>
      <c r="L27" s="6" t="n">
        <v>41</v>
      </c>
      <c r="M27" s="7" t="n">
        <v>27</v>
      </c>
      <c r="N27" s="8" t="n">
        <v>1107</v>
      </c>
    </row>
    <row r="28" ht="20" customHeight="1">
      <c r="F28" s="80" t="inlineStr">
        <is>
          <t>TOTAL — Bacheo Toluca</t>
        </is>
      </c>
      <c r="G28" s="14" t="n"/>
      <c r="H28" s="15" t="n"/>
      <c r="I28" s="16" t="n"/>
      <c r="K28" s="80" t="inlineStr">
        <is>
          <t>TOTAL — Lerma - Tres Marías</t>
        </is>
      </c>
      <c r="L28" s="14" t="n">
        <v>1279</v>
      </c>
      <c r="M28" s="15" t="n"/>
      <c r="N28" s="16" t="n">
        <v>34533</v>
      </c>
    </row>
    <row r="30" ht="20" customHeight="1">
      <c r="F30" s="3" t="inlineStr">
        <is>
          <t>▶  México - Toluca</t>
        </is>
      </c>
      <c r="G30" s="131" t="n"/>
      <c r="H30" s="131" t="n"/>
      <c r="I30" s="132" t="n"/>
      <c r="K30" s="3" t="inlineStr">
        <is>
          <t>▶  Planta Huixquilucan</t>
        </is>
      </c>
      <c r="L30" s="131" t="n"/>
      <c r="M30" s="131" t="n"/>
      <c r="N30" s="132" t="n"/>
    </row>
    <row r="31" ht="20" customHeight="1">
      <c r="F31" s="4" t="inlineStr">
        <is>
          <t>DÍA</t>
        </is>
      </c>
      <c r="G31" s="4" t="inlineStr">
        <is>
          <t>LITROS CONSUMIDOS</t>
        </is>
      </c>
      <c r="H31" s="4" t="inlineStr">
        <is>
          <t>PRECIO PROM. ($/L)</t>
        </is>
      </c>
      <c r="I31" s="4" t="inlineStr">
        <is>
          <t>IMPORTE TOTAL</t>
        </is>
      </c>
      <c r="K31" s="4" t="inlineStr">
        <is>
          <t>DÍA</t>
        </is>
      </c>
      <c r="L31" s="4" t="inlineStr">
        <is>
          <t>LITROS CONSUMIDOS</t>
        </is>
      </c>
      <c r="M31" s="4" t="inlineStr">
        <is>
          <t>PRECIO PROM. ($/L)</t>
        </is>
      </c>
      <c r="N31" s="4" t="inlineStr">
        <is>
          <t>IMPORTE TOTAL</t>
        </is>
      </c>
    </row>
    <row r="32" ht="18" customHeight="1">
      <c r="F32" s="5" t="inlineStr">
        <is>
          <t>Lun 22-jun</t>
        </is>
      </c>
      <c r="G32" s="6" t="n">
        <v>506</v>
      </c>
      <c r="H32" s="7" t="n">
        <v>27</v>
      </c>
      <c r="I32" s="8" t="n">
        <v>13932</v>
      </c>
      <c r="K32" s="5" t="inlineStr">
        <is>
          <t>Mar 23-jun</t>
        </is>
      </c>
      <c r="L32" s="6" t="n">
        <v>150</v>
      </c>
      <c r="M32" s="7" t="n">
        <v>27</v>
      </c>
      <c r="N32" s="8" t="n">
        <v>4050</v>
      </c>
    </row>
    <row r="33" ht="18" customHeight="1">
      <c r="F33" s="9" t="inlineStr">
        <is>
          <t>Mar 23-jun</t>
        </is>
      </c>
      <c r="G33" s="10" t="n">
        <v>270</v>
      </c>
      <c r="H33" s="11" t="n">
        <v>27</v>
      </c>
      <c r="I33" s="12" t="n">
        <v>7317</v>
      </c>
      <c r="K33" s="9" t="inlineStr">
        <is>
          <t>Jue 25-jun</t>
        </is>
      </c>
      <c r="L33" s="10" t="n">
        <v>241</v>
      </c>
      <c r="M33" s="11" t="n">
        <v>27</v>
      </c>
      <c r="N33" s="12" t="n">
        <v>6507</v>
      </c>
    </row>
    <row r="34" ht="18" customHeight="1">
      <c r="F34" s="5" t="inlineStr">
        <is>
          <t>Mié 24-jun</t>
        </is>
      </c>
      <c r="G34" s="6" t="n">
        <v>471</v>
      </c>
      <c r="H34" s="7" t="n">
        <v>27</v>
      </c>
      <c r="I34" s="8" t="n">
        <v>12717</v>
      </c>
      <c r="K34" s="5" t="inlineStr">
        <is>
          <t>Vie 26-jun</t>
        </is>
      </c>
      <c r="L34" s="6" t="n">
        <v>200</v>
      </c>
      <c r="M34" s="7" t="n">
        <v>27</v>
      </c>
      <c r="N34" s="8" t="n">
        <v>5400</v>
      </c>
    </row>
    <row r="35" ht="18" customHeight="1">
      <c r="F35" s="9" t="inlineStr">
        <is>
          <t>Jue 25-jun</t>
        </is>
      </c>
      <c r="G35" s="10" t="n">
        <v>167</v>
      </c>
      <c r="H35" s="11" t="n">
        <v>27</v>
      </c>
      <c r="I35" s="12" t="n">
        <v>4509</v>
      </c>
      <c r="K35" s="9" t="inlineStr">
        <is>
          <t>Sáb 27-jun</t>
        </is>
      </c>
      <c r="L35" s="10" t="n">
        <v>600</v>
      </c>
      <c r="M35" s="11" t="n">
        <v>27</v>
      </c>
      <c r="N35" s="12" t="n">
        <v>16200</v>
      </c>
    </row>
    <row r="36" ht="20" customHeight="1">
      <c r="F36" s="5" t="inlineStr">
        <is>
          <t>Vie 26-jun</t>
        </is>
      </c>
      <c r="G36" s="6" t="n">
        <v>831</v>
      </c>
      <c r="H36" s="7" t="n">
        <v>27</v>
      </c>
      <c r="I36" s="8" t="n">
        <v>21789</v>
      </c>
      <c r="K36" s="80" t="inlineStr">
        <is>
          <t>TOTAL — Planta Huixquilucan</t>
        </is>
      </c>
      <c r="L36" s="14" t="n">
        <v>1191</v>
      </c>
      <c r="M36" s="15" t="n"/>
      <c r="N36" s="16" t="n">
        <v>32157</v>
      </c>
    </row>
    <row r="37" ht="18" customHeight="1">
      <c r="F37" s="9" t="inlineStr">
        <is>
          <t>Sáb 27-jun</t>
        </is>
      </c>
      <c r="G37" s="10" t="n">
        <v>272</v>
      </c>
      <c r="H37" s="11" t="n">
        <v>27</v>
      </c>
      <c r="I37" s="12" t="n">
        <v>7344</v>
      </c>
    </row>
    <row r="38" ht="20" customHeight="1">
      <c r="F38" s="80" t="inlineStr">
        <is>
          <t>TOTAL — México - Toluca</t>
        </is>
      </c>
      <c r="G38" s="14" t="n">
        <v>2517</v>
      </c>
      <c r="H38" s="15" t="n"/>
      <c r="I38" s="16" t="n">
        <v>67608</v>
      </c>
    </row>
    <row r="40" ht="20" customHeight="1">
      <c r="F40" s="3" t="inlineStr">
        <is>
          <t>▶  Planta Pegaso</t>
        </is>
      </c>
      <c r="G40" s="131" t="n"/>
      <c r="H40" s="131" t="n"/>
      <c r="I40" s="132" t="n"/>
      <c r="K40" s="3" t="inlineStr">
        <is>
          <t>▶  Providencia</t>
        </is>
      </c>
      <c r="L40" s="131" t="n"/>
      <c r="M40" s="131" t="n"/>
      <c r="N40" s="132" t="n"/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23-jun</t>
        </is>
      </c>
      <c r="G42" s="6" t="n">
        <v>395</v>
      </c>
      <c r="H42" s="7" t="n">
        <v>27</v>
      </c>
      <c r="I42" s="8" t="n">
        <v>10665</v>
      </c>
      <c r="K42" s="5" t="inlineStr">
        <is>
          <t>Lun 22-jun</t>
        </is>
      </c>
      <c r="L42" s="6" t="n">
        <v>40</v>
      </c>
      <c r="M42" s="7" t="n">
        <v>27</v>
      </c>
      <c r="N42" s="8" t="n">
        <v>1080</v>
      </c>
    </row>
    <row r="43" ht="18" customHeight="1">
      <c r="F43" s="9" t="inlineStr">
        <is>
          <t>Jue 25-jun</t>
        </is>
      </c>
      <c r="G43" s="10" t="n">
        <v>-395</v>
      </c>
      <c r="H43" s="11" t="n">
        <v>27</v>
      </c>
      <c r="I43" s="12" t="n">
        <v>-10665</v>
      </c>
      <c r="K43" s="9" t="inlineStr">
        <is>
          <t>Mié 24-jun</t>
        </is>
      </c>
      <c r="L43" s="10" t="n">
        <v>62</v>
      </c>
      <c r="M43" s="11" t="n">
        <v>27</v>
      </c>
      <c r="N43" s="12" t="n">
        <v>1674</v>
      </c>
    </row>
    <row r="44" ht="18" customHeight="1">
      <c r="F44" s="80" t="inlineStr">
        <is>
          <t>TOTAL — Planta Pegaso</t>
        </is>
      </c>
      <c r="G44" s="14" t="n"/>
      <c r="H44" s="15" t="n"/>
      <c r="I44" s="16" t="n"/>
      <c r="K44" s="5" t="inlineStr">
        <is>
          <t>Jue 25-jun</t>
        </is>
      </c>
      <c r="L44" s="6" t="n">
        <v>-102</v>
      </c>
      <c r="M44" s="7" t="n">
        <v>27</v>
      </c>
      <c r="N44" s="8" t="n">
        <v>-2754</v>
      </c>
    </row>
    <row r="45" ht="20" customHeight="1">
      <c r="K45" s="80" t="inlineStr">
        <is>
          <t>TOTAL — Providencia</t>
        </is>
      </c>
      <c r="L45" s="14" t="n"/>
      <c r="M45" s="15" t="n"/>
      <c r="N45" s="16" t="n"/>
    </row>
    <row r="48" ht="22" customHeight="1">
      <c r="F48" s="81" t="inlineStr">
        <is>
          <t>APOLINAR</t>
        </is>
      </c>
      <c r="G48" s="131" t="n"/>
      <c r="H48" s="131" t="n"/>
      <c r="I48" s="131" t="n"/>
      <c r="J48" s="131" t="n"/>
      <c r="K48" s="131" t="n"/>
      <c r="L48" s="131" t="n"/>
      <c r="M48" s="131" t="n"/>
      <c r="N48" s="131" t="n"/>
      <c r="O48" s="131" t="n"/>
      <c r="P48" s="132" t="n"/>
    </row>
    <row r="49" ht="28" customHeight="1">
      <c r="F49" s="4" t="inlineStr">
        <is>
          <t>#</t>
        </is>
      </c>
      <c r="G49" s="4" t="inlineStr">
        <is>
          <t>EQUIPO / MAQUINARIA</t>
        </is>
      </c>
      <c r="H49" s="4" t="inlineStr">
        <is>
          <t>LTS. SEM.
AUT.</t>
        </is>
      </c>
      <c r="I49" s="4" t="inlineStr">
        <is>
          <t>Lun
22/06</t>
        </is>
      </c>
      <c r="J49" s="4" t="inlineStr">
        <is>
          <t>Mar
23/06</t>
        </is>
      </c>
      <c r="K49" s="4" t="inlineStr">
        <is>
          <t>Mié
24/06</t>
        </is>
      </c>
      <c r="L49" s="4" t="inlineStr">
        <is>
          <t>Jue
25/06</t>
        </is>
      </c>
      <c r="M49" s="4" t="inlineStr">
        <is>
          <t>Vie
26/06</t>
        </is>
      </c>
      <c r="N49" s="4" t="inlineStr">
        <is>
          <t>LITROS
TOTAL</t>
        </is>
      </c>
      <c r="O49" s="4" t="inlineStr">
        <is>
          <t>PRECIO
UNIT.</t>
        </is>
      </c>
      <c r="P49" s="4" t="inlineStr">
        <is>
          <t>TOTAL $</t>
        </is>
      </c>
    </row>
    <row r="50" ht="22" customHeight="1">
      <c r="F50" s="82" t="n"/>
      <c r="G50" s="83" t="inlineStr">
        <is>
          <t>OBRA DESTINO</t>
        </is>
      </c>
      <c r="H50" s="82" t="n"/>
      <c r="I50" s="84" t="inlineStr">
        <is>
          <t>Lerma - Tres Marías</t>
        </is>
      </c>
      <c r="J50" s="84" t="inlineStr">
        <is>
          <t>Lerma - Tres Marías</t>
        </is>
      </c>
      <c r="K50" s="84" t="inlineStr">
        <is>
          <t>Lerma - Tres Marías</t>
        </is>
      </c>
      <c r="L50" s="84" t="inlineStr">
        <is>
          <t>Lerma - Tres Marías</t>
        </is>
      </c>
      <c r="M50" s="84" t="inlineStr">
        <is>
          <t>Lerma - Tres Marías</t>
        </is>
      </c>
      <c r="N50" s="82" t="n"/>
      <c r="O50" s="82" t="n"/>
      <c r="P50" s="82" t="n"/>
    </row>
    <row r="51" ht="18" customHeight="1">
      <c r="F51" s="85" t="n">
        <v>1</v>
      </c>
      <c r="G51" s="86" t="inlineStr">
        <is>
          <t>AJUSTE DIESEL</t>
        </is>
      </c>
      <c r="H51" s="87" t="n">
        <v>2800</v>
      </c>
      <c r="I51" s="85" t="n"/>
      <c r="J51" s="85" t="n"/>
      <c r="K51" s="85" t="n"/>
      <c r="L51" s="85" t="n">
        <v>-1279</v>
      </c>
      <c r="M51" s="85" t="n"/>
      <c r="N51" s="88" t="n">
        <v>-1279</v>
      </c>
      <c r="O51" s="55" t="n">
        <v>27</v>
      </c>
      <c r="P51" s="89" t="n">
        <v>-34533</v>
      </c>
    </row>
    <row r="52" ht="18" customHeight="1">
      <c r="F52" s="90" t="n">
        <v>2</v>
      </c>
      <c r="G52" s="91" t="inlineStr">
        <is>
          <t>BARREDORA LAYMOR SM400</t>
        </is>
      </c>
      <c r="H52" s="92" t="n"/>
      <c r="I52" s="90" t="n"/>
      <c r="J52" s="90" t="n"/>
      <c r="K52" s="90" t="n"/>
      <c r="L52" s="90" t="n">
        <v>50</v>
      </c>
      <c r="M52" s="90" t="n"/>
      <c r="N52" s="93" t="n">
        <v>50</v>
      </c>
      <c r="O52" s="94" t="n">
        <v>27</v>
      </c>
      <c r="P52" s="95" t="n">
        <v>1350</v>
      </c>
    </row>
    <row r="53" ht="18" customHeight="1">
      <c r="F53" s="85" t="n">
        <v>3</v>
      </c>
      <c r="G53" s="86" t="inlineStr">
        <is>
          <t>COMPRESOR  SULLIVAN PALATEK D2010</t>
        </is>
      </c>
      <c r="H53" s="96" t="n"/>
      <c r="I53" s="85" t="n"/>
      <c r="J53" s="85" t="n"/>
      <c r="K53" s="85" t="n">
        <v>88</v>
      </c>
      <c r="L53" s="85" t="n"/>
      <c r="M53" s="85" t="n"/>
      <c r="N53" s="88" t="n">
        <v>88</v>
      </c>
      <c r="O53" s="55" t="n">
        <v>27</v>
      </c>
      <c r="P53" s="89" t="n">
        <v>2376</v>
      </c>
    </row>
    <row r="54" ht="18" customHeight="1">
      <c r="F54" s="90" t="n">
        <v>4</v>
      </c>
      <c r="G54" s="91" t="inlineStr">
        <is>
          <t>IMPACTO FORD 4300</t>
        </is>
      </c>
      <c r="H54" s="92" t="n"/>
      <c r="I54" s="90" t="n"/>
      <c r="J54" s="90" t="n"/>
      <c r="K54" s="90" t="n">
        <v>129</v>
      </c>
      <c r="L54" s="90" t="n"/>
      <c r="M54" s="90" t="n"/>
      <c r="N54" s="93" t="n">
        <v>129</v>
      </c>
      <c r="O54" s="94" t="n">
        <v>27</v>
      </c>
      <c r="P54" s="95" t="n">
        <v>3483</v>
      </c>
    </row>
    <row r="55" ht="18" customHeight="1">
      <c r="F55" s="85" t="n">
        <v>5</v>
      </c>
      <c r="G55" s="86" t="inlineStr">
        <is>
          <t>NEUMATICO / COMPACTADOR DE NEUMATICOS DINAPAC CP271</t>
        </is>
      </c>
      <c r="H55" s="96" t="n"/>
      <c r="I55" s="85" t="n">
        <v>100</v>
      </c>
      <c r="J55" s="85" t="n"/>
      <c r="K55" s="85" t="n"/>
      <c r="L55" s="85" t="n"/>
      <c r="M55" s="85" t="n"/>
      <c r="N55" s="88" t="n">
        <v>100</v>
      </c>
      <c r="O55" s="55" t="n">
        <v>27</v>
      </c>
      <c r="P55" s="89" t="n">
        <v>2700</v>
      </c>
    </row>
    <row r="56" ht="18" customHeight="1">
      <c r="F56" s="90" t="n">
        <v>6</v>
      </c>
      <c r="G56" s="91" t="inlineStr">
        <is>
          <t>PAVIMENTADORA  VOGELE 1800-3 i</t>
        </is>
      </c>
      <c r="H56" s="92" t="n"/>
      <c r="I56" s="90" t="n"/>
      <c r="J56" s="90" t="n"/>
      <c r="K56" s="90" t="n"/>
      <c r="L56" s="90" t="n">
        <v>177</v>
      </c>
      <c r="M56" s="90" t="n"/>
      <c r="N56" s="93" t="n">
        <v>177</v>
      </c>
      <c r="O56" s="94" t="n">
        <v>27</v>
      </c>
      <c r="P56" s="95" t="n">
        <v>4779</v>
      </c>
    </row>
    <row r="57" ht="18" customHeight="1">
      <c r="F57" s="85" t="n">
        <v>7</v>
      </c>
      <c r="G57" s="86" t="inlineStr">
        <is>
          <t>PAVIMENTADORA VOGELE SJ 1800-3</t>
        </is>
      </c>
      <c r="H57" s="96" t="n"/>
      <c r="I57" s="85" t="n">
        <v>162</v>
      </c>
      <c r="J57" s="85" t="n"/>
      <c r="K57" s="85" t="n"/>
      <c r="L57" s="85" t="n"/>
      <c r="M57" s="85" t="n"/>
      <c r="N57" s="88" t="n">
        <v>162</v>
      </c>
      <c r="O57" s="55" t="n">
        <v>27</v>
      </c>
      <c r="P57" s="89" t="n">
        <v>4374</v>
      </c>
    </row>
    <row r="58" ht="18" customHeight="1">
      <c r="F58" s="90" t="n">
        <v>8</v>
      </c>
      <c r="G58" s="91" t="inlineStr">
        <is>
          <t>PERFILADORA RODATEC RX600-4-4008</t>
        </is>
      </c>
      <c r="H58" s="92" t="n"/>
      <c r="I58" s="90" t="n"/>
      <c r="J58" s="90" t="n"/>
      <c r="K58" s="90" t="n"/>
      <c r="L58" s="90" t="n">
        <v>140</v>
      </c>
      <c r="M58" s="90" t="n"/>
      <c r="N58" s="93" t="n">
        <v>140</v>
      </c>
      <c r="O58" s="94" t="n">
        <v>27</v>
      </c>
      <c r="P58" s="95" t="n">
        <v>3780</v>
      </c>
    </row>
    <row r="59" ht="18" customHeight="1">
      <c r="F59" s="85" t="n">
        <v>9</v>
      </c>
      <c r="G59" s="86" t="inlineStr">
        <is>
          <t>PETROLIZADORA    INTERNATIONAL</t>
        </is>
      </c>
      <c r="H59" s="96" t="n"/>
      <c r="I59" s="85" t="n"/>
      <c r="J59" s="85" t="n"/>
      <c r="K59" s="85" t="n">
        <v>62</v>
      </c>
      <c r="L59" s="85" t="n"/>
      <c r="M59" s="85" t="n"/>
      <c r="N59" s="88" t="n">
        <v>62</v>
      </c>
      <c r="O59" s="55" t="n">
        <v>27</v>
      </c>
      <c r="P59" s="89" t="n">
        <v>1674</v>
      </c>
    </row>
    <row r="60" ht="18" customHeight="1">
      <c r="F60" s="90" t="n">
        <v>10</v>
      </c>
      <c r="G60" s="91" t="inlineStr">
        <is>
          <t>PETROLIZADORA (IMPACTO 04) FORD F800</t>
        </is>
      </c>
      <c r="H60" s="92" t="n"/>
      <c r="I60" s="90" t="n"/>
      <c r="J60" s="90" t="n"/>
      <c r="K60" s="90" t="n"/>
      <c r="L60" s="90" t="n"/>
      <c r="M60" s="90" t="n">
        <v>41</v>
      </c>
      <c r="N60" s="93" t="n">
        <v>41</v>
      </c>
      <c r="O60" s="94" t="n">
        <v>27</v>
      </c>
      <c r="P60" s="95" t="n">
        <v>1107</v>
      </c>
    </row>
    <row r="61" ht="18" customHeight="1">
      <c r="F61" s="85" t="n">
        <v>11</v>
      </c>
      <c r="G61" s="86" t="inlineStr">
        <is>
          <t>PETROLIZADORA INTERNATIONAL</t>
        </is>
      </c>
      <c r="H61" s="96" t="n"/>
      <c r="I61" s="85" t="n">
        <v>40</v>
      </c>
      <c r="J61" s="85" t="n"/>
      <c r="K61" s="85" t="n"/>
      <c r="L61" s="85" t="n"/>
      <c r="M61" s="85" t="n"/>
      <c r="N61" s="88" t="n">
        <v>40</v>
      </c>
      <c r="O61" s="55" t="n">
        <v>27</v>
      </c>
      <c r="P61" s="89" t="n">
        <v>1080</v>
      </c>
    </row>
    <row r="62" ht="18" customHeight="1">
      <c r="F62" s="90" t="n">
        <v>12</v>
      </c>
      <c r="G62" s="91" t="inlineStr">
        <is>
          <t>PIPA DE AGUA (IMPACTO 01) FORD</t>
        </is>
      </c>
      <c r="H62" s="92" t="n"/>
      <c r="I62" s="90" t="n">
        <v>50</v>
      </c>
      <c r="J62" s="90" t="n"/>
      <c r="K62" s="90" t="n">
        <v>90</v>
      </c>
      <c r="L62" s="90" t="n"/>
      <c r="M62" s="90" t="n"/>
      <c r="N62" s="93" t="n">
        <v>140</v>
      </c>
      <c r="O62" s="94" t="n">
        <v>27</v>
      </c>
      <c r="P62" s="95" t="n">
        <v>3780</v>
      </c>
    </row>
    <row r="63" ht="18" customHeight="1">
      <c r="F63" s="85" t="n">
        <v>13</v>
      </c>
      <c r="G63" s="86" t="inlineStr">
        <is>
          <t>RETROEXCAVADORA JHONDEREE 310 K</t>
        </is>
      </c>
      <c r="H63" s="96" t="n"/>
      <c r="I63" s="85" t="n"/>
      <c r="J63" s="85" t="n">
        <v>50</v>
      </c>
      <c r="K63" s="85" t="n"/>
      <c r="L63" s="85" t="n"/>
      <c r="M63" s="85" t="n"/>
      <c r="N63" s="88" t="n">
        <v>50</v>
      </c>
      <c r="O63" s="55" t="n">
        <v>27</v>
      </c>
      <c r="P63" s="89" t="n">
        <v>1350</v>
      </c>
    </row>
    <row r="64" ht="18" customHeight="1">
      <c r="F64" s="90" t="n">
        <v>14</v>
      </c>
      <c r="G64" s="91" t="inlineStr">
        <is>
          <t>RETROEXCAVADORA JHONDEREE 310SK</t>
        </is>
      </c>
      <c r="H64" s="92" t="n"/>
      <c r="I64" s="90" t="n"/>
      <c r="J64" s="90" t="n"/>
      <c r="K64" s="90" t="n"/>
      <c r="L64" s="90" t="n">
        <v>50</v>
      </c>
      <c r="M64" s="90" t="n"/>
      <c r="N64" s="93" t="n">
        <v>50</v>
      </c>
      <c r="O64" s="94" t="n">
        <v>27</v>
      </c>
      <c r="P64" s="95" t="n">
        <v>1350</v>
      </c>
    </row>
    <row r="65" ht="18" customHeight="1">
      <c r="F65" s="85" t="n">
        <v>15</v>
      </c>
      <c r="G65" s="86" t="inlineStr">
        <is>
          <t>TANDEM DOBLE RODILLO / VIBROCOMPACTOR RODILLO CAT CB54</t>
        </is>
      </c>
      <c r="H65" s="96" t="n"/>
      <c r="I65" s="85" t="n">
        <v>50</v>
      </c>
      <c r="J65" s="85" t="n"/>
      <c r="K65" s="85" t="n"/>
      <c r="L65" s="85" t="n"/>
      <c r="M65" s="85" t="n"/>
      <c r="N65" s="88" t="n">
        <v>50</v>
      </c>
      <c r="O65" s="55" t="n">
        <v>27</v>
      </c>
      <c r="P65" s="89" t="n">
        <v>1350</v>
      </c>
    </row>
    <row r="66" ht="20" customHeight="1">
      <c r="F66" s="80" t="inlineStr">
        <is>
          <t>TOTAL LITROS</t>
        </is>
      </c>
      <c r="G66" s="131" t="n"/>
      <c r="H66" s="132" t="n"/>
      <c r="I66" s="98" t="n">
        <v>402</v>
      </c>
      <c r="J66" s="97" t="n">
        <v>50</v>
      </c>
      <c r="K66" s="97" t="n">
        <v>369</v>
      </c>
      <c r="L66" s="97" t="n">
        <v>-862</v>
      </c>
      <c r="M66" s="97" t="n">
        <v>41</v>
      </c>
      <c r="N66" s="80" t="n"/>
      <c r="O66" s="15" t="n"/>
      <c r="P66" s="16" t="n"/>
    </row>
    <row r="67" ht="20" customHeight="1">
      <c r="F67" s="99" t="inlineStr">
        <is>
          <t>IMPORTE SEMANAL AUTORIZADO: $75,600.00  (Litros aut.: 2,800.00 L)</t>
        </is>
      </c>
      <c r="G67" s="131" t="n"/>
      <c r="H67" s="131" t="n"/>
      <c r="I67" s="131" t="n"/>
      <c r="J67" s="131" t="n"/>
      <c r="K67" s="131" t="n"/>
      <c r="L67" s="131" t="n"/>
      <c r="M67" s="131" t="n"/>
      <c r="N67" s="131" t="n"/>
      <c r="O67" s="132" t="n"/>
      <c r="P67" s="101" t="n">
        <v>0</v>
      </c>
    </row>
    <row r="70" ht="22" customHeight="1">
      <c r="F70" s="81" t="inlineStr">
        <is>
          <t>FRANCISCO JAVIER</t>
        </is>
      </c>
      <c r="G70" s="131" t="n"/>
      <c r="H70" s="131" t="n"/>
      <c r="I70" s="131" t="n"/>
      <c r="J70" s="131" t="n"/>
      <c r="K70" s="131" t="n"/>
      <c r="L70" s="131" t="n"/>
      <c r="M70" s="131" t="n"/>
      <c r="N70" s="131" t="n"/>
      <c r="O70" s="131" t="n"/>
      <c r="P70" s="131" t="n"/>
      <c r="Q70" s="132" t="n"/>
    </row>
    <row r="71" ht="28" customHeight="1">
      <c r="F71" s="4" t="inlineStr">
        <is>
          <t>#</t>
        </is>
      </c>
      <c r="G71" s="4" t="inlineStr">
        <is>
          <t>EQUIPO / MAQUINARIA</t>
        </is>
      </c>
      <c r="H71" s="4" t="inlineStr">
        <is>
          <t>LTS. SEM.
AUT.</t>
        </is>
      </c>
      <c r="I71" s="4" t="inlineStr">
        <is>
          <t>Lun
22/06</t>
        </is>
      </c>
      <c r="J71" s="4" t="inlineStr">
        <is>
          <t>Mar
23/06</t>
        </is>
      </c>
      <c r="K71" s="4" t="inlineStr">
        <is>
          <t>Mié
24/06</t>
        </is>
      </c>
      <c r="L71" s="4" t="inlineStr">
        <is>
          <t>Jue
25/06</t>
        </is>
      </c>
      <c r="M71" s="4" t="inlineStr">
        <is>
          <t>Vie
26/06</t>
        </is>
      </c>
      <c r="N71" s="4" t="inlineStr">
        <is>
          <t>Sáb
27/06</t>
        </is>
      </c>
      <c r="O71" s="4" t="inlineStr">
        <is>
          <t>LITROS
TOTAL</t>
        </is>
      </c>
      <c r="P71" s="4" t="inlineStr">
        <is>
          <t>PRECIO
UNIT.</t>
        </is>
      </c>
      <c r="Q71" s="4" t="inlineStr">
        <is>
          <t>TOTAL $</t>
        </is>
      </c>
    </row>
    <row r="72" ht="22" customHeight="1">
      <c r="F72" s="82" t="n"/>
      <c r="G72" s="83" t="inlineStr">
        <is>
          <t>OBRA DESTINO</t>
        </is>
      </c>
      <c r="H72" s="82" t="n"/>
      <c r="I72" s="84" t="inlineStr">
        <is>
          <t>México - Toluca</t>
        </is>
      </c>
      <c r="J72" s="84" t="inlineStr">
        <is>
          <t>México - Toluca</t>
        </is>
      </c>
      <c r="K72" s="84" t="inlineStr">
        <is>
          <t>México - Toluca</t>
        </is>
      </c>
      <c r="L72" s="84" t="inlineStr">
        <is>
          <t>México - Toluca</t>
        </is>
      </c>
      <c r="M72" s="84" t="inlineStr">
        <is>
          <t>México - Toluca</t>
        </is>
      </c>
      <c r="N72" s="84" t="inlineStr">
        <is>
          <t>México - Toluca</t>
        </is>
      </c>
      <c r="O72" s="82" t="n"/>
      <c r="P72" s="82" t="n"/>
      <c r="Q72" s="82" t="n"/>
    </row>
    <row r="73" ht="18" customHeight="1">
      <c r="F73" s="85" t="n">
        <v>1</v>
      </c>
      <c r="G73" s="86" t="inlineStr">
        <is>
          <t>AJUSTE DIESEL</t>
        </is>
      </c>
      <c r="H73" s="87" t="n">
        <v>3850</v>
      </c>
      <c r="I73" s="85" t="n"/>
      <c r="J73" s="85" t="n"/>
      <c r="K73" s="85" t="n"/>
      <c r="L73" s="85" t="n">
        <v>17</v>
      </c>
      <c r="M73" s="85" t="n"/>
      <c r="N73" s="85" t="n"/>
      <c r="O73" s="88" t="n">
        <v>17</v>
      </c>
      <c r="P73" s="55" t="n">
        <v>27</v>
      </c>
      <c r="Q73" s="89" t="n">
        <v>459</v>
      </c>
    </row>
    <row r="74" ht="18" customHeight="1">
      <c r="F74" s="90" t="n">
        <v>2</v>
      </c>
      <c r="G74" s="91" t="inlineStr">
        <is>
          <t>BARREDORA BROCE RJ350</t>
        </is>
      </c>
      <c r="H74" s="92" t="n"/>
      <c r="I74" s="90" t="n"/>
      <c r="J74" s="90" t="n"/>
      <c r="K74" s="90" t="n"/>
      <c r="L74" s="90" t="n">
        <v>26</v>
      </c>
      <c r="M74" s="90" t="n"/>
      <c r="N74" s="90" t="n">
        <v>24</v>
      </c>
      <c r="O74" s="93" t="n">
        <v>50</v>
      </c>
      <c r="P74" s="94" t="n">
        <v>27</v>
      </c>
      <c r="Q74" s="95" t="n">
        <v>1350</v>
      </c>
    </row>
    <row r="75" ht="18" customHeight="1">
      <c r="F75" s="85" t="n">
        <v>3</v>
      </c>
      <c r="G75" s="86" t="inlineStr">
        <is>
          <t>DOBLE RODILLO/VIBROCOMPACTADOR DE RODILLOS HAMM 120HD VV</t>
        </is>
      </c>
      <c r="H75" s="96" t="n"/>
      <c r="I75" s="85" t="n">
        <v>50</v>
      </c>
      <c r="J75" s="85" t="n"/>
      <c r="K75" s="85" t="n">
        <v>35</v>
      </c>
      <c r="L75" s="85" t="n"/>
      <c r="M75" s="85" t="n">
        <v>32</v>
      </c>
      <c r="N75" s="85" t="n"/>
      <c r="O75" s="88" t="n">
        <v>117</v>
      </c>
      <c r="P75" s="55" t="n">
        <v>27</v>
      </c>
      <c r="Q75" s="89" t="n">
        <v>3159</v>
      </c>
    </row>
    <row r="76" ht="18" customHeight="1">
      <c r="F76" s="90" t="n">
        <v>4</v>
      </c>
      <c r="G76" s="91" t="inlineStr">
        <is>
          <t>DOBLE RODILLO/VIBROCOMPACTADOR DE RODILLOS HAMM 140HD</t>
        </is>
      </c>
      <c r="H76" s="92" t="n"/>
      <c r="I76" s="90" t="n"/>
      <c r="J76" s="90" t="n"/>
      <c r="K76" s="90" t="n">
        <v>40</v>
      </c>
      <c r="L76" s="90" t="n">
        <v>30</v>
      </c>
      <c r="M76" s="90" t="n">
        <v>40</v>
      </c>
      <c r="N76" s="90" t="n"/>
      <c r="O76" s="93" t="n">
        <v>110</v>
      </c>
      <c r="P76" s="94" t="n">
        <v>27</v>
      </c>
      <c r="Q76" s="95" t="n">
        <v>2970</v>
      </c>
    </row>
    <row r="77" ht="18" customHeight="1">
      <c r="F77" s="85" t="n">
        <v>5</v>
      </c>
      <c r="G77" s="86" t="inlineStr">
        <is>
          <t>NEUMATICO / COMPACTADOR DE NEUMATICOS DINAPAC CP271</t>
        </is>
      </c>
      <c r="H77" s="96" t="n"/>
      <c r="I77" s="85" t="n"/>
      <c r="J77" s="85" t="n"/>
      <c r="K77" s="85" t="n">
        <v>30</v>
      </c>
      <c r="L77" s="85" t="n">
        <v>14</v>
      </c>
      <c r="M77" s="85" t="n">
        <v>40</v>
      </c>
      <c r="N77" s="85" t="n"/>
      <c r="O77" s="88" t="n">
        <v>84</v>
      </c>
      <c r="P77" s="55" t="n">
        <v>27</v>
      </c>
      <c r="Q77" s="89" t="n">
        <v>2268</v>
      </c>
    </row>
    <row r="78" ht="18" customHeight="1">
      <c r="F78" s="90" t="n">
        <v>6</v>
      </c>
      <c r="G78" s="91" t="inlineStr">
        <is>
          <t>NEUMATICO VOLVO PT-240R</t>
        </is>
      </c>
      <c r="H78" s="92" t="n"/>
      <c r="I78" s="90" t="n">
        <v>50</v>
      </c>
      <c r="J78" s="90" t="n">
        <v>50</v>
      </c>
      <c r="K78" s="90" t="n">
        <v>50</v>
      </c>
      <c r="L78" s="90" t="n">
        <v>30</v>
      </c>
      <c r="M78" s="90" t="n">
        <v>30</v>
      </c>
      <c r="N78" s="90" t="n">
        <v>30</v>
      </c>
      <c r="O78" s="93" t="n">
        <v>240</v>
      </c>
      <c r="P78" s="94" t="n">
        <v>27</v>
      </c>
      <c r="Q78" s="95" t="n">
        <v>6480</v>
      </c>
    </row>
    <row r="79" ht="18" customHeight="1">
      <c r="F79" s="85" t="n">
        <v>7</v>
      </c>
      <c r="G79" s="86" t="inlineStr">
        <is>
          <t>PAVIMENTADORA VOGELE 1800-3 I</t>
        </is>
      </c>
      <c r="H79" s="96" t="n"/>
      <c r="I79" s="85" t="n">
        <v>106</v>
      </c>
      <c r="J79" s="85" t="n"/>
      <c r="K79" s="85" t="n"/>
      <c r="L79" s="85" t="n"/>
      <c r="M79" s="85" t="n">
        <v>120</v>
      </c>
      <c r="N79" s="85" t="n"/>
      <c r="O79" s="88" t="n">
        <v>226</v>
      </c>
      <c r="P79" s="55" t="n">
        <v>27</v>
      </c>
      <c r="Q79" s="89" t="n">
        <v>6102</v>
      </c>
    </row>
    <row r="80" ht="18" customHeight="1">
      <c r="F80" s="90" t="n">
        <v>8</v>
      </c>
      <c r="G80" s="91" t="inlineStr">
        <is>
          <t>PAVIMENTADORA VOGELE SJ 1800-3</t>
        </is>
      </c>
      <c r="H80" s="92" t="n"/>
      <c r="I80" s="90" t="n"/>
      <c r="J80" s="90" t="n"/>
      <c r="K80" s="90" t="n">
        <v>76</v>
      </c>
      <c r="L80" s="90" t="n"/>
      <c r="M80" s="90" t="n"/>
      <c r="N80" s="90" t="n"/>
      <c r="O80" s="93" t="n">
        <v>76</v>
      </c>
      <c r="P80" s="94" t="n">
        <v>27</v>
      </c>
      <c r="Q80" s="95" t="n">
        <v>2052</v>
      </c>
    </row>
    <row r="81" ht="18" customHeight="1">
      <c r="F81" s="85" t="n">
        <v>9</v>
      </c>
      <c r="G81" s="86" t="inlineStr">
        <is>
          <t>PERFILADORA RODATEC RX600-4-4008</t>
        </is>
      </c>
      <c r="H81" s="96" t="n"/>
      <c r="I81" s="85" t="n">
        <v>250</v>
      </c>
      <c r="J81" s="85" t="n">
        <v>200</v>
      </c>
      <c r="K81" s="85" t="n">
        <v>200</v>
      </c>
      <c r="L81" s="85" t="n"/>
      <c r="M81" s="85" t="n">
        <v>200</v>
      </c>
      <c r="N81" s="85" t="n"/>
      <c r="O81" s="88" t="n">
        <v>850</v>
      </c>
      <c r="P81" s="55" t="n">
        <v>27</v>
      </c>
      <c r="Q81" s="89" t="n">
        <v>22950</v>
      </c>
    </row>
    <row r="82" ht="18" customHeight="1">
      <c r="F82" s="90" t="n">
        <v>10</v>
      </c>
      <c r="G82" s="91" t="inlineStr">
        <is>
          <t>PERFILADORA RODATEC RX600E</t>
        </is>
      </c>
      <c r="H82" s="92" t="n"/>
      <c r="I82" s="90" t="n"/>
      <c r="J82" s="90" t="n"/>
      <c r="K82" s="90" t="n"/>
      <c r="L82" s="90" t="n"/>
      <c r="M82" s="90" t="n">
        <v>329</v>
      </c>
      <c r="N82" s="90" t="n">
        <v>118</v>
      </c>
      <c r="O82" s="93" t="n">
        <v>447</v>
      </c>
      <c r="P82" s="94" t="n">
        <v>27</v>
      </c>
      <c r="Q82" s="95" t="n">
        <v>12069</v>
      </c>
    </row>
    <row r="83" ht="18" customHeight="1">
      <c r="F83" s="85" t="n">
        <v>11</v>
      </c>
      <c r="G83" s="86" t="inlineStr">
        <is>
          <t>PETROLIZADORA (IMPACTO 04) FORD F800</t>
        </is>
      </c>
      <c r="H83" s="96" t="n"/>
      <c r="I83" s="85" t="n"/>
      <c r="J83" s="85" t="n"/>
      <c r="K83" s="85" t="n"/>
      <c r="L83" s="85" t="n">
        <v>50</v>
      </c>
      <c r="M83" s="85" t="n"/>
      <c r="N83" s="85" t="n">
        <v>50</v>
      </c>
      <c r="O83" s="88" t="n">
        <v>100</v>
      </c>
      <c r="P83" s="55" t="n">
        <v>27</v>
      </c>
      <c r="Q83" s="89" t="n">
        <v>2700</v>
      </c>
    </row>
    <row r="84" ht="18" customHeight="1">
      <c r="F84" s="90" t="n">
        <v>12</v>
      </c>
      <c r="G84" s="91" t="inlineStr">
        <is>
          <t>PIPA DE AGUA (IMPACTO 01) FORD</t>
        </is>
      </c>
      <c r="H84" s="92" t="n"/>
      <c r="I84" s="90" t="n"/>
      <c r="J84" s="90" t="n"/>
      <c r="K84" s="90" t="n"/>
      <c r="L84" s="90" t="n"/>
      <c r="M84" s="90" t="n"/>
      <c r="N84" s="90" t="n">
        <v>50</v>
      </c>
      <c r="O84" s="93" t="n">
        <v>50</v>
      </c>
      <c r="P84" s="94" t="n">
        <v>27</v>
      </c>
      <c r="Q84" s="95" t="n">
        <v>1350</v>
      </c>
    </row>
    <row r="85" ht="18" customHeight="1">
      <c r="F85" s="85" t="n">
        <v>13</v>
      </c>
      <c r="G85" s="86" t="inlineStr">
        <is>
          <t>RETROEXCAVADORA JHONDEREE 310 K</t>
        </is>
      </c>
      <c r="H85" s="96" t="n"/>
      <c r="I85" s="85" t="n">
        <v>50</v>
      </c>
      <c r="J85" s="85" t="n"/>
      <c r="K85" s="85" t="n"/>
      <c r="L85" s="85" t="n"/>
      <c r="M85" s="85" t="n"/>
      <c r="N85" s="85" t="n"/>
      <c r="O85" s="88" t="n">
        <v>50</v>
      </c>
      <c r="P85" s="55" t="n">
        <v>27</v>
      </c>
      <c r="Q85" s="89" t="n">
        <v>1350</v>
      </c>
    </row>
    <row r="86" ht="18" customHeight="1">
      <c r="F86" s="90" t="n">
        <v>14</v>
      </c>
      <c r="G86" s="91" t="inlineStr">
        <is>
          <t>RETROEXCAVADORA JHONDEREE 310SK</t>
        </is>
      </c>
      <c r="H86" s="92" t="n"/>
      <c r="I86" s="90" t="n"/>
      <c r="J86" s="90" t="n"/>
      <c r="K86" s="90" t="n">
        <v>40</v>
      </c>
      <c r="L86" s="90" t="n"/>
      <c r="M86" s="90" t="n">
        <v>40</v>
      </c>
      <c r="N86" s="90" t="n"/>
      <c r="O86" s="93" t="n">
        <v>80</v>
      </c>
      <c r="P86" s="94" t="n">
        <v>27</v>
      </c>
      <c r="Q86" s="95" t="n">
        <v>2160</v>
      </c>
    </row>
    <row r="87" ht="20" customHeight="1">
      <c r="F87" s="80" t="inlineStr">
        <is>
          <t>TOTAL LITROS</t>
        </is>
      </c>
      <c r="G87" s="131" t="n"/>
      <c r="H87" s="132" t="n"/>
      <c r="I87" s="97" t="n">
        <v>506</v>
      </c>
      <c r="J87" s="97" t="n">
        <v>250</v>
      </c>
      <c r="K87" s="97" t="n">
        <v>471</v>
      </c>
      <c r="L87" s="97" t="n">
        <v>167</v>
      </c>
      <c r="M87" s="98" t="n">
        <v>831</v>
      </c>
      <c r="N87" s="97" t="n">
        <v>272</v>
      </c>
      <c r="O87" s="80" t="n">
        <v>2497</v>
      </c>
      <c r="P87" s="15" t="n"/>
      <c r="Q87" s="16" t="n">
        <v>67419</v>
      </c>
    </row>
    <row r="88" ht="20" customHeight="1">
      <c r="F88" s="99" t="inlineStr">
        <is>
          <t>IMPORTE SEMANAL AUTORIZADO: $103,950.00  (Litros aut.: 3,850.00 L)</t>
        </is>
      </c>
      <c r="G88" s="131" t="n"/>
      <c r="H88" s="131" t="n"/>
      <c r="I88" s="131" t="n"/>
      <c r="J88" s="131" t="n"/>
      <c r="K88" s="131" t="n"/>
      <c r="L88" s="131" t="n"/>
      <c r="M88" s="131" t="n"/>
      <c r="N88" s="131" t="n"/>
      <c r="O88" s="131" t="n"/>
      <c r="P88" s="132" t="n"/>
      <c r="Q88" s="101" t="n">
        <v>67419</v>
      </c>
    </row>
    <row r="91" ht="22" customHeight="1">
      <c r="F91" s="81" t="inlineStr">
        <is>
          <t>ING. DIEGO CARREOLA</t>
        </is>
      </c>
      <c r="G91" s="131" t="n"/>
      <c r="H91" s="131" t="n"/>
      <c r="I91" s="131" t="n"/>
      <c r="J91" s="131" t="n"/>
      <c r="K91" s="131" t="n"/>
      <c r="L91" s="131" t="n"/>
      <c r="M91" s="131" t="n"/>
      <c r="N91" s="131" t="n"/>
      <c r="O91" s="131" t="n"/>
      <c r="P91" s="132" t="n"/>
    </row>
    <row r="92" ht="28" customHeight="1">
      <c r="F92" s="4" t="inlineStr">
        <is>
          <t>#</t>
        </is>
      </c>
      <c r="G92" s="4" t="inlineStr">
        <is>
          <t>EQUIPO / MAQUINARIA</t>
        </is>
      </c>
      <c r="H92" s="4" t="inlineStr">
        <is>
          <t>LTS. SEM.
AUT.</t>
        </is>
      </c>
      <c r="I92" s="4" t="inlineStr">
        <is>
          <t>Lun
22/06</t>
        </is>
      </c>
      <c r="J92" s="4" t="inlineStr">
        <is>
          <t>Mar
23/06</t>
        </is>
      </c>
      <c r="K92" s="4" t="inlineStr">
        <is>
          <t>Mié
24/06</t>
        </is>
      </c>
      <c r="L92" s="4" t="inlineStr">
        <is>
          <t>Jue
25/06</t>
        </is>
      </c>
      <c r="M92" s="4" t="inlineStr">
        <is>
          <t>Vie
26/06</t>
        </is>
      </c>
      <c r="N92" s="4" t="inlineStr">
        <is>
          <t>LITROS
TOTAL</t>
        </is>
      </c>
      <c r="O92" s="4" t="inlineStr">
        <is>
          <t>PRECIO
UNIT.</t>
        </is>
      </c>
      <c r="P92" s="4" t="inlineStr">
        <is>
          <t>TOTAL $</t>
        </is>
      </c>
    </row>
    <row r="93" ht="22" customHeight="1">
      <c r="F93" s="82" t="n"/>
      <c r="G93" s="83" t="inlineStr">
        <is>
          <t>OBRA DESTINO</t>
        </is>
      </c>
      <c r="H93" s="82" t="n"/>
      <c r="I93" s="84" t="inlineStr">
        <is>
          <t>Bacheo Toluca</t>
        </is>
      </c>
      <c r="J93" s="84" t="inlineStr">
        <is>
          <t>Bacheo Toluca</t>
        </is>
      </c>
      <c r="K93" s="84" t="inlineStr">
        <is>
          <t>Bacheo Toluca</t>
        </is>
      </c>
      <c r="L93" s="84" t="inlineStr">
        <is>
          <t>Bacheo Toluca</t>
        </is>
      </c>
      <c r="M93" s="84" t="inlineStr">
        <is>
          <t>Bacheo Toluca</t>
        </is>
      </c>
      <c r="N93" s="82" t="n"/>
      <c r="O93" s="82" t="n"/>
      <c r="P93" s="82" t="n"/>
    </row>
    <row r="94" ht="18" customHeight="1">
      <c r="F94" s="85" t="n">
        <v>1</v>
      </c>
      <c r="G94" s="86" t="inlineStr">
        <is>
          <t>AJUSTE DIESEL</t>
        </is>
      </c>
      <c r="H94" s="87" t="n">
        <v>700</v>
      </c>
      <c r="I94" s="85" t="n"/>
      <c r="J94" s="85" t="n"/>
      <c r="K94" s="85" t="n"/>
      <c r="L94" s="85" t="n">
        <v>-1554</v>
      </c>
      <c r="M94" s="85" t="n"/>
      <c r="N94" s="88" t="n">
        <v>-1554</v>
      </c>
      <c r="O94" s="55" t="n">
        <v>27</v>
      </c>
      <c r="P94" s="89" t="n">
        <v>-41958</v>
      </c>
    </row>
    <row r="95" ht="18" customHeight="1">
      <c r="F95" s="90" t="n">
        <v>2</v>
      </c>
      <c r="G95" s="91" t="inlineStr">
        <is>
          <t>BIDONES</t>
        </is>
      </c>
      <c r="H95" s="92" t="n"/>
      <c r="I95" s="90" t="n">
        <v>110</v>
      </c>
      <c r="J95" s="90" t="n">
        <v>110</v>
      </c>
      <c r="K95" s="90" t="n">
        <v>120</v>
      </c>
      <c r="L95" s="90" t="n">
        <v>120</v>
      </c>
      <c r="M95" s="90" t="n">
        <v>480</v>
      </c>
      <c r="N95" s="93" t="n">
        <v>940</v>
      </c>
      <c r="O95" s="94" t="n">
        <v>27</v>
      </c>
      <c r="P95" s="95" t="n">
        <v>25380</v>
      </c>
    </row>
    <row r="96" ht="18" customHeight="1">
      <c r="F96" s="85" t="n">
        <v>3</v>
      </c>
      <c r="G96" s="86" t="inlineStr">
        <is>
          <t>DOBLE RODILLO/VIBROCOMPACTADOR DE RODILLOS HAMM 140HD</t>
        </is>
      </c>
      <c r="H96" s="96" t="n"/>
      <c r="I96" s="85" t="n"/>
      <c r="J96" s="85" t="n"/>
      <c r="K96" s="85" t="n"/>
      <c r="L96" s="85" t="n"/>
      <c r="M96" s="85" t="n">
        <v>80</v>
      </c>
      <c r="N96" s="88" t="n">
        <v>80</v>
      </c>
      <c r="O96" s="55" t="n">
        <v>27</v>
      </c>
      <c r="P96" s="89" t="n">
        <v>2160</v>
      </c>
    </row>
    <row r="97" ht="18" customHeight="1">
      <c r="F97" s="90" t="n">
        <v>4</v>
      </c>
      <c r="G97" s="91" t="inlineStr">
        <is>
          <t>MOTOCONFORMADORA RENTADA</t>
        </is>
      </c>
      <c r="H97" s="92" t="n"/>
      <c r="I97" s="90" t="n"/>
      <c r="J97" s="90" t="n"/>
      <c r="K97" s="90" t="n"/>
      <c r="L97" s="90" t="n"/>
      <c r="M97" s="90" t="n">
        <v>310</v>
      </c>
      <c r="N97" s="93" t="n">
        <v>310</v>
      </c>
      <c r="O97" s="94" t="n">
        <v>27</v>
      </c>
      <c r="P97" s="95" t="n">
        <v>8370</v>
      </c>
    </row>
    <row r="98" ht="18" customHeight="1">
      <c r="F98" s="85" t="n">
        <v>5</v>
      </c>
      <c r="G98" s="86" t="inlineStr">
        <is>
          <t>PERFILADORA RODATEC RX600E</t>
        </is>
      </c>
      <c r="H98" s="96" t="n"/>
      <c r="I98" s="85" t="n"/>
      <c r="J98" s="85" t="n">
        <v>96</v>
      </c>
      <c r="K98" s="85" t="n"/>
      <c r="L98" s="85" t="n"/>
      <c r="M98" s="85" t="n"/>
      <c r="N98" s="88" t="n">
        <v>96</v>
      </c>
      <c r="O98" s="55" t="n">
        <v>27</v>
      </c>
      <c r="P98" s="89" t="n">
        <v>2592</v>
      </c>
    </row>
    <row r="99" ht="18" customHeight="1">
      <c r="F99" s="90" t="n">
        <v>6</v>
      </c>
      <c r="G99" s="91" t="inlineStr">
        <is>
          <t>PETROLIZADORA    INTERNATIONAL</t>
        </is>
      </c>
      <c r="H99" s="92" t="n"/>
      <c r="I99" s="90" t="n"/>
      <c r="J99" s="90" t="n"/>
      <c r="K99" s="90" t="n">
        <v>62</v>
      </c>
      <c r="L99" s="90" t="n"/>
      <c r="M99" s="90" t="n"/>
      <c r="N99" s="93" t="n">
        <v>62</v>
      </c>
      <c r="O99" s="94" t="n">
        <v>27</v>
      </c>
      <c r="P99" s="95" t="n">
        <v>1674</v>
      </c>
    </row>
    <row r="100" ht="18" customHeight="1">
      <c r="F100" s="85" t="n">
        <v>7</v>
      </c>
      <c r="G100" s="86" t="inlineStr">
        <is>
          <t>PETROLIZADORA INTERNATIONAL</t>
        </is>
      </c>
      <c r="H100" s="96" t="n"/>
      <c r="I100" s="85" t="n">
        <v>40</v>
      </c>
      <c r="J100" s="85" t="n"/>
      <c r="K100" s="85" t="n"/>
      <c r="L100" s="85" t="n"/>
      <c r="M100" s="85" t="n"/>
      <c r="N100" s="88" t="n">
        <v>40</v>
      </c>
      <c r="O100" s="55" t="n">
        <v>27</v>
      </c>
      <c r="P100" s="89" t="n">
        <v>1080</v>
      </c>
    </row>
    <row r="101" ht="18" customHeight="1">
      <c r="F101" s="90" t="n">
        <v>8</v>
      </c>
      <c r="G101" s="91" t="inlineStr">
        <is>
          <t>RETROEXCAVADORA CASE 580 N</t>
        </is>
      </c>
      <c r="H101" s="92" t="n"/>
      <c r="I101" s="90" t="n"/>
      <c r="J101" s="90" t="n"/>
      <c r="K101" s="90" t="n"/>
      <c r="L101" s="90" t="n"/>
      <c r="M101" s="90" t="n">
        <v>128</v>
      </c>
      <c r="N101" s="93" t="n">
        <v>128</v>
      </c>
      <c r="O101" s="94" t="n">
        <v>27</v>
      </c>
      <c r="P101" s="95" t="n">
        <v>3456</v>
      </c>
    </row>
    <row r="102" ht="20" customHeight="1">
      <c r="F102" s="80" t="inlineStr">
        <is>
          <t>TOTAL LITROS</t>
        </is>
      </c>
      <c r="G102" s="131" t="n"/>
      <c r="H102" s="132" t="n"/>
      <c r="I102" s="98" t="n">
        <v>150</v>
      </c>
      <c r="J102" s="98" t="n">
        <v>206</v>
      </c>
      <c r="K102" s="98" t="n">
        <v>182</v>
      </c>
      <c r="L102" s="97" t="n">
        <v>-1434</v>
      </c>
      <c r="M102" s="98" t="n">
        <v>998</v>
      </c>
      <c r="N102" s="80" t="n">
        <v>102</v>
      </c>
      <c r="O102" s="15" t="n"/>
      <c r="P102" s="16" t="n">
        <v>2754</v>
      </c>
    </row>
    <row r="103" ht="20" customHeight="1">
      <c r="F103" s="99" t="inlineStr">
        <is>
          <t>IMPORTE SEMANAL AUTORIZADO: $18,900.00  (Litros aut.: 700.00 L)</t>
        </is>
      </c>
      <c r="G103" s="131" t="n"/>
      <c r="H103" s="131" t="n"/>
      <c r="I103" s="131" t="n"/>
      <c r="J103" s="131" t="n"/>
      <c r="K103" s="131" t="n"/>
      <c r="L103" s="131" t="n"/>
      <c r="M103" s="131" t="n"/>
      <c r="N103" s="131" t="n"/>
      <c r="O103" s="132" t="n"/>
      <c r="P103" s="101" t="n">
        <v>2754</v>
      </c>
    </row>
    <row r="106" ht="22" customHeight="1">
      <c r="F106" s="81" t="inlineStr">
        <is>
          <t>JACK</t>
        </is>
      </c>
      <c r="G106" s="131" t="n"/>
      <c r="H106" s="131" t="n"/>
      <c r="I106" s="131" t="n"/>
      <c r="J106" s="131" t="n"/>
      <c r="K106" s="131" t="n"/>
      <c r="L106" s="131" t="n"/>
      <c r="M106" s="132" t="n"/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Mar
23/06</t>
        </is>
      </c>
      <c r="J107" s="4" t="inlineStr">
        <is>
          <t>Jue
25/06</t>
        </is>
      </c>
      <c r="K107" s="4" t="inlineStr">
        <is>
          <t>LITROS
TOTAL</t>
        </is>
      </c>
      <c r="L107" s="4" t="inlineStr">
        <is>
          <t>PRECIO
UNIT.</t>
        </is>
      </c>
      <c r="M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Planta Pegaso</t>
        </is>
      </c>
      <c r="J108" s="84" t="inlineStr">
        <is>
          <t>Planta Pegaso</t>
        </is>
      </c>
      <c r="K108" s="82" t="n"/>
      <c r="L108" s="82" t="n"/>
      <c r="M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2800</v>
      </c>
      <c r="I109" s="85" t="n"/>
      <c r="J109" s="85" t="n">
        <v>-1844</v>
      </c>
      <c r="K109" s="88" t="n">
        <v>-1844</v>
      </c>
      <c r="L109" s="55" t="n">
        <v>27</v>
      </c>
      <c r="M109" s="89" t="n">
        <v>-49788</v>
      </c>
    </row>
    <row r="110" ht="18" customHeight="1">
      <c r="F110" s="90" t="n">
        <v>2</v>
      </c>
      <c r="G110" s="91" t="inlineStr">
        <is>
          <t>BIDONES</t>
        </is>
      </c>
      <c r="H110" s="92" t="n"/>
      <c r="I110" s="90" t="n"/>
      <c r="J110" s="90" t="n">
        <v>850</v>
      </c>
      <c r="K110" s="93" t="n">
        <v>850</v>
      </c>
      <c r="L110" s="94" t="n">
        <v>27</v>
      </c>
      <c r="M110" s="95" t="n">
        <v>22950</v>
      </c>
    </row>
    <row r="111" ht="18" customHeight="1">
      <c r="F111" s="85" t="n">
        <v>3</v>
      </c>
      <c r="G111" s="86" t="inlineStr">
        <is>
          <t>LIMPIEZA</t>
        </is>
      </c>
      <c r="H111" s="96" t="n"/>
      <c r="I111" s="85" t="n">
        <v>20</v>
      </c>
      <c r="J111" s="85" t="n"/>
      <c r="K111" s="88" t="n">
        <v>20</v>
      </c>
      <c r="L111" s="55" t="n">
        <v>27</v>
      </c>
      <c r="M111" s="89" t="n">
        <v>540</v>
      </c>
    </row>
    <row r="112" ht="18" customHeight="1">
      <c r="F112" s="90" t="n">
        <v>4</v>
      </c>
      <c r="G112" s="91" t="inlineStr">
        <is>
          <t>PAVIMENTADORA  VOGELE 1800-2 SJ</t>
        </is>
      </c>
      <c r="H112" s="92" t="n"/>
      <c r="I112" s="90" t="n"/>
      <c r="J112" s="90" t="n">
        <v>222</v>
      </c>
      <c r="K112" s="93" t="n">
        <v>222</v>
      </c>
      <c r="L112" s="94" t="n">
        <v>27</v>
      </c>
      <c r="M112" s="95" t="n">
        <v>5994</v>
      </c>
    </row>
    <row r="113" ht="18" customHeight="1">
      <c r="F113" s="85" t="n">
        <v>5</v>
      </c>
      <c r="G113" s="86" t="inlineStr">
        <is>
          <t>PAVIMENTADORA  VOGELE SJ 1800-3</t>
        </is>
      </c>
      <c r="H113" s="96" t="n"/>
      <c r="I113" s="85" t="n">
        <v>20</v>
      </c>
      <c r="J113" s="85" t="n"/>
      <c r="K113" s="88" t="n">
        <v>20</v>
      </c>
      <c r="L113" s="55" t="n">
        <v>27</v>
      </c>
      <c r="M113" s="89" t="n">
        <v>540</v>
      </c>
    </row>
    <row r="114" ht="18" customHeight="1">
      <c r="F114" s="90" t="n">
        <v>6</v>
      </c>
      <c r="G114" s="91" t="inlineStr">
        <is>
          <t>PAVIMENTADORA VOGELE 1800-2 SJ</t>
        </is>
      </c>
      <c r="H114" s="92" t="n"/>
      <c r="I114" s="90" t="n">
        <v>100</v>
      </c>
      <c r="J114" s="90" t="n"/>
      <c r="K114" s="93" t="n">
        <v>100</v>
      </c>
      <c r="L114" s="94" t="n">
        <v>27</v>
      </c>
      <c r="M114" s="95" t="n">
        <v>2700</v>
      </c>
    </row>
    <row r="115" ht="18" customHeight="1">
      <c r="F115" s="85" t="n">
        <v>7</v>
      </c>
      <c r="G115" s="86" t="inlineStr">
        <is>
          <t>PAYLODER</t>
        </is>
      </c>
      <c r="H115" s="96" t="n"/>
      <c r="I115" s="85" t="n">
        <v>275</v>
      </c>
      <c r="J115" s="85" t="n">
        <v>217</v>
      </c>
      <c r="K115" s="88" t="n">
        <v>492</v>
      </c>
      <c r="L115" s="55" t="n">
        <v>27</v>
      </c>
      <c r="M115" s="89" t="n">
        <v>13284</v>
      </c>
    </row>
    <row r="116" ht="18" customHeight="1">
      <c r="F116" s="90" t="n">
        <v>8</v>
      </c>
      <c r="G116" s="91" t="inlineStr">
        <is>
          <t>PETROLIZADORA    INTERNATIONAL</t>
        </is>
      </c>
      <c r="H116" s="92" t="n"/>
      <c r="I116" s="90" t="n"/>
      <c r="J116" s="90" t="n">
        <v>160</v>
      </c>
      <c r="K116" s="93" t="n">
        <v>160</v>
      </c>
      <c r="L116" s="94" t="n">
        <v>27</v>
      </c>
      <c r="M116" s="95" t="n">
        <v>4320</v>
      </c>
    </row>
    <row r="117" ht="20" customHeight="1">
      <c r="F117" s="80" t="inlineStr">
        <is>
          <t>TOTAL LITROS</t>
        </is>
      </c>
      <c r="G117" s="131" t="n"/>
      <c r="H117" s="132" t="n"/>
      <c r="I117" s="98" t="n">
        <v>415</v>
      </c>
      <c r="J117" s="97" t="n">
        <v>-395</v>
      </c>
      <c r="K117" s="80" t="n">
        <v>20</v>
      </c>
      <c r="L117" s="15" t="n"/>
      <c r="M117" s="16" t="n">
        <v>540</v>
      </c>
    </row>
    <row r="118" ht="20" customHeight="1">
      <c r="F118" s="99" t="inlineStr">
        <is>
          <t>IMPORTE SEMANAL AUTORIZADO: $75,600.00  (Litros aut.: 2,800.00 L)</t>
        </is>
      </c>
      <c r="G118" s="131" t="n"/>
      <c r="H118" s="131" t="n"/>
      <c r="I118" s="131" t="n"/>
      <c r="J118" s="131" t="n"/>
      <c r="K118" s="131" t="n"/>
      <c r="L118" s="132" t="n"/>
      <c r="M118" s="101" t="n">
        <v>540</v>
      </c>
    </row>
    <row r="121" ht="22" customHeight="1">
      <c r="F121" s="81" t="inlineStr">
        <is>
          <t>LUIS</t>
        </is>
      </c>
      <c r="G121" s="131" t="n"/>
      <c r="H121" s="131" t="n"/>
      <c r="I121" s="131" t="n"/>
      <c r="J121" s="131" t="n"/>
      <c r="K121" s="131" t="n"/>
      <c r="L121" s="131" t="n"/>
      <c r="M121" s="131" t="n"/>
      <c r="N121" s="131" t="n"/>
      <c r="O121" s="132" t="n"/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23/06</t>
        </is>
      </c>
      <c r="J122" s="4" t="inlineStr">
        <is>
          <t>Jue
25/06</t>
        </is>
      </c>
      <c r="K122" s="4" t="inlineStr">
        <is>
          <t>Vie
26/06</t>
        </is>
      </c>
      <c r="L122" s="4" t="inlineStr">
        <is>
          <t>Sáb
27/06</t>
        </is>
      </c>
      <c r="M122" s="4" t="inlineStr">
        <is>
          <t>LITROS
TOTAL</t>
        </is>
      </c>
      <c r="N122" s="4" t="inlineStr">
        <is>
          <t>PRECIO
UNIT.</t>
        </is>
      </c>
      <c r="O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Planta Huixquilucan</t>
        </is>
      </c>
      <c r="J123" s="84" t="inlineStr">
        <is>
          <t>Planta Huixquilucan</t>
        </is>
      </c>
      <c r="K123" s="84" t="inlineStr">
        <is>
          <t>Planta Huixquilucan</t>
        </is>
      </c>
      <c r="L123" s="84" t="inlineStr">
        <is>
          <t>Planta Huixquilucan</t>
        </is>
      </c>
      <c r="M123" s="82" t="n"/>
      <c r="N123" s="82" t="n"/>
      <c r="O123" s="82" t="n"/>
    </row>
    <row r="124" ht="18" customHeight="1">
      <c r="F124" s="85" t="n">
        <v>1</v>
      </c>
      <c r="G124" s="86" t="inlineStr">
        <is>
          <t>AJUSTE DIESEL</t>
        </is>
      </c>
      <c r="H124" s="87" t="n">
        <v>3500</v>
      </c>
      <c r="I124" s="85" t="n"/>
      <c r="J124" s="85" t="n">
        <v>141</v>
      </c>
      <c r="K124" s="85" t="n"/>
      <c r="L124" s="85" t="n"/>
      <c r="M124" s="88" t="n">
        <v>141</v>
      </c>
      <c r="N124" s="55" t="n">
        <v>27</v>
      </c>
      <c r="O124" s="89" t="n">
        <v>3807</v>
      </c>
    </row>
    <row r="125" ht="18" customHeight="1">
      <c r="F125" s="90" t="n">
        <v>2</v>
      </c>
      <c r="G125" s="91" t="inlineStr">
        <is>
          <t>AUTOTANQUE(QUEMADOR)</t>
        </is>
      </c>
      <c r="H125" s="92" t="n"/>
      <c r="I125" s="90" t="n"/>
      <c r="J125" s="90" t="n"/>
      <c r="K125" s="90" t="n"/>
      <c r="L125" s="90" t="n">
        <v>200</v>
      </c>
      <c r="M125" s="93" t="n">
        <v>200</v>
      </c>
      <c r="N125" s="94" t="n">
        <v>27</v>
      </c>
      <c r="O125" s="95" t="n">
        <v>5400</v>
      </c>
    </row>
    <row r="126" ht="18" customHeight="1">
      <c r="F126" s="85" t="n">
        <v>3</v>
      </c>
      <c r="G126" s="86" t="inlineStr">
        <is>
          <t>CRIBA ROJA</t>
        </is>
      </c>
      <c r="H126" s="96" t="n"/>
      <c r="I126" s="85" t="n"/>
      <c r="J126" s="85" t="n"/>
      <c r="K126" s="85" t="n"/>
      <c r="L126" s="85" t="n">
        <v>60</v>
      </c>
      <c r="M126" s="88" t="n">
        <v>60</v>
      </c>
      <c r="N126" s="55" t="n">
        <v>27</v>
      </c>
      <c r="O126" s="89" t="n">
        <v>1620</v>
      </c>
    </row>
    <row r="127" ht="18" customHeight="1">
      <c r="F127" s="90" t="n">
        <v>4</v>
      </c>
      <c r="G127" s="91" t="inlineStr">
        <is>
          <t>GENERADOR AMMANN</t>
        </is>
      </c>
      <c r="H127" s="92" t="n"/>
      <c r="I127" s="90" t="n">
        <v>100</v>
      </c>
      <c r="J127" s="90" t="n">
        <v>100</v>
      </c>
      <c r="K127" s="90" t="n">
        <v>200</v>
      </c>
      <c r="L127" s="90" t="n">
        <v>100</v>
      </c>
      <c r="M127" s="93" t="n">
        <v>500</v>
      </c>
      <c r="N127" s="94" t="n">
        <v>27</v>
      </c>
      <c r="O127" s="95" t="n">
        <v>13500</v>
      </c>
    </row>
    <row r="128" ht="18" customHeight="1">
      <c r="F128" s="85" t="n">
        <v>5</v>
      </c>
      <c r="G128" s="86" t="inlineStr">
        <is>
          <t>MAXILIGHT</t>
        </is>
      </c>
      <c r="H128" s="96" t="n"/>
      <c r="I128" s="85" t="n">
        <v>50</v>
      </c>
      <c r="J128" s="85" t="n"/>
      <c r="K128" s="85" t="n"/>
      <c r="L128" s="85" t="n">
        <v>40</v>
      </c>
      <c r="M128" s="88" t="n">
        <v>90</v>
      </c>
      <c r="N128" s="55" t="n">
        <v>27</v>
      </c>
      <c r="O128" s="89" t="n">
        <v>2430</v>
      </c>
    </row>
    <row r="129" ht="18" customHeight="1">
      <c r="F129" s="90" t="n">
        <v>6</v>
      </c>
      <c r="G129" s="91" t="inlineStr">
        <is>
          <t>PAYLODER</t>
        </is>
      </c>
      <c r="H129" s="92" t="n"/>
      <c r="I129" s="90" t="n"/>
      <c r="J129" s="90" t="n"/>
      <c r="K129" s="90" t="n"/>
      <c r="L129" s="90" t="n">
        <v>200</v>
      </c>
      <c r="M129" s="93" t="n">
        <v>200</v>
      </c>
      <c r="N129" s="94" t="n">
        <v>27</v>
      </c>
      <c r="O129" s="95" t="n">
        <v>5400</v>
      </c>
    </row>
    <row r="130" ht="20" customHeight="1">
      <c r="F130" s="80" t="inlineStr">
        <is>
          <t>TOTAL LITROS</t>
        </is>
      </c>
      <c r="G130" s="131" t="n"/>
      <c r="H130" s="132" t="n"/>
      <c r="I130" s="97" t="n">
        <v>150</v>
      </c>
      <c r="J130" s="97" t="n">
        <v>241</v>
      </c>
      <c r="K130" s="97" t="n">
        <v>200</v>
      </c>
      <c r="L130" s="98" t="n">
        <v>600</v>
      </c>
      <c r="M130" s="80" t="n">
        <v>1191</v>
      </c>
      <c r="N130" s="15" t="n"/>
      <c r="O130" s="16" t="n">
        <v>32157</v>
      </c>
    </row>
    <row r="131" ht="20" customHeight="1">
      <c r="F131" s="99" t="inlineStr">
        <is>
          <t>IMPORTE SEMANAL AUTORIZADO: $94,500.00  (Litros aut.: 3,500.00 L)</t>
        </is>
      </c>
      <c r="G131" s="131" t="n"/>
      <c r="H131" s="131" t="n"/>
      <c r="I131" s="131" t="n"/>
      <c r="J131" s="131" t="n"/>
      <c r="K131" s="131" t="n"/>
      <c r="L131" s="131" t="n"/>
      <c r="M131" s="131" t="n"/>
      <c r="N131" s="132" t="n"/>
      <c r="O131" s="101" t="n">
        <v>32157</v>
      </c>
    </row>
    <row r="134" ht="22" customHeight="1">
      <c r="F134" s="81" t="inlineStr">
        <is>
          <t>SAMUEL</t>
        </is>
      </c>
      <c r="G134" s="131" t="n"/>
      <c r="H134" s="131" t="n"/>
      <c r="I134" s="131" t="n"/>
      <c r="J134" s="131" t="n"/>
      <c r="K134" s="131" t="n"/>
      <c r="L134" s="132" t="n"/>
    </row>
    <row r="135" ht="28" customHeight="1">
      <c r="F135" s="4" t="inlineStr">
        <is>
          <t>#</t>
        </is>
      </c>
      <c r="G135" s="4" t="inlineStr">
        <is>
          <t>EQUIPO / MAQUINARIA</t>
        </is>
      </c>
      <c r="H135" s="4" t="inlineStr">
        <is>
          <t>LTS. SEM.
AUT.</t>
        </is>
      </c>
      <c r="I135" s="4" t="inlineStr">
        <is>
          <t>Jue
25/06</t>
        </is>
      </c>
      <c r="J135" s="4" t="inlineStr">
        <is>
          <t>LITROS
TOTAL</t>
        </is>
      </c>
      <c r="K135" s="4" t="inlineStr">
        <is>
          <t>PRECIO
UNIT.</t>
        </is>
      </c>
      <c r="L135" s="4" t="inlineStr">
        <is>
          <t>TOTAL $</t>
        </is>
      </c>
    </row>
    <row r="136" ht="22" customHeight="1">
      <c r="F136" s="82" t="n"/>
      <c r="G136" s="83" t="inlineStr">
        <is>
          <t>OBRA DESTINO</t>
        </is>
      </c>
      <c r="H136" s="82" t="n"/>
      <c r="I136" s="84" t="inlineStr">
        <is>
          <t>Providencia</t>
        </is>
      </c>
      <c r="J136" s="82" t="n"/>
      <c r="K136" s="82" t="n"/>
      <c r="L136" s="82" t="n"/>
    </row>
    <row r="137" ht="18" customHeight="1">
      <c r="F137" s="85" t="n">
        <v>1</v>
      </c>
      <c r="G137" s="86" t="inlineStr">
        <is>
          <t>AJUSTE DIESEL</t>
        </is>
      </c>
      <c r="H137" s="96" t="n"/>
      <c r="I137" s="85" t="n">
        <v>-102</v>
      </c>
      <c r="J137" s="88" t="n">
        <v>-102</v>
      </c>
      <c r="K137" s="55" t="n">
        <v>27</v>
      </c>
      <c r="L137" s="89" t="n">
        <v>-2754</v>
      </c>
    </row>
    <row r="138" ht="20" customHeight="1">
      <c r="F138" s="80" t="inlineStr">
        <is>
          <t>TOTAL LITROS</t>
        </is>
      </c>
      <c r="G138" s="131" t="n"/>
      <c r="H138" s="132" t="n"/>
      <c r="I138" s="97" t="n">
        <v>-102</v>
      </c>
      <c r="J138" s="80" t="n">
        <v>-102</v>
      </c>
      <c r="K138" s="15" t="n"/>
      <c r="L138" s="16" t="n">
        <v>-2754</v>
      </c>
    </row>
    <row r="139" ht="20" customHeight="1">
      <c r="F139" s="99" t="inlineStr">
        <is>
          <t>IMPORTE SEMANAL AUTORIZADO: $0.00  (Litros aut.: 0.00 L)</t>
        </is>
      </c>
      <c r="G139" s="131" t="n"/>
      <c r="H139" s="131" t="n"/>
      <c r="I139" s="131" t="n"/>
      <c r="J139" s="131" t="n"/>
      <c r="K139" s="132" t="n"/>
      <c r="L139" s="101" t="n">
        <v>-2754</v>
      </c>
    </row>
    <row r="144" ht="24" customHeight="1">
      <c r="F144" s="102" t="inlineStr">
        <is>
          <t>▶ FACTURADO POR OBRA Y DÍA — DIESEL (FOLIOS, MONTOS CON IVA Y LITROS — SEMANA 26)</t>
        </is>
      </c>
      <c r="G144" s="131" t="n"/>
      <c r="H144" s="131" t="n"/>
      <c r="I144" s="131" t="n"/>
      <c r="J144" s="131" t="n"/>
      <c r="K144" s="131" t="n"/>
      <c r="L144" s="131" t="n"/>
      <c r="M144" s="131" t="n"/>
      <c r="N144" s="131" t="n"/>
      <c r="O144" s="131" t="n"/>
      <c r="P144" s="131" t="n"/>
      <c r="Q144" s="131" t="n"/>
      <c r="R144" s="131" t="n"/>
      <c r="S144" s="131" t="n"/>
      <c r="T144" s="131" t="n"/>
      <c r="U144" s="131" t="n"/>
      <c r="V144" s="131" t="n"/>
      <c r="W144" s="131" t="n"/>
      <c r="X144" s="131" t="n"/>
      <c r="Y144" s="131" t="n"/>
      <c r="Z144" s="131" t="n"/>
      <c r="AA144" s="132" t="n"/>
    </row>
    <row r="145" ht="20" customHeight="1">
      <c r="F145" s="4" t="inlineStr">
        <is>
          <t>OBRA / DESTINO</t>
        </is>
      </c>
      <c r="G145" s="4" t="inlineStr">
        <is>
          <t>LUN 22-JUN</t>
        </is>
      </c>
      <c r="H145" s="131" t="n"/>
      <c r="I145" s="132" t="n"/>
      <c r="J145" s="4" t="inlineStr">
        <is>
          <t>MIÉ 24-JUN</t>
        </is>
      </c>
      <c r="K145" s="131" t="n"/>
      <c r="L145" s="132" t="n"/>
      <c r="M145" s="4" t="inlineStr">
        <is>
          <t>JUE 25-JUN</t>
        </is>
      </c>
      <c r="N145" s="131" t="n"/>
      <c r="O145" s="132" t="n"/>
      <c r="P145" s="4" t="inlineStr">
        <is>
          <t>VIE 26-JUN</t>
        </is>
      </c>
      <c r="Q145" s="131" t="n"/>
      <c r="R145" s="132" t="n"/>
      <c r="S145" s="4" t="inlineStr">
        <is>
          <t>DOM 28-JUN</t>
        </is>
      </c>
      <c r="T145" s="131" t="n"/>
      <c r="U145" s="132" t="n"/>
      <c r="V145" s="4" t="inlineStr">
        <is>
          <t>LUN 29-JUN</t>
        </is>
      </c>
      <c r="W145" s="131" t="n"/>
      <c r="X145" s="132" t="n"/>
      <c r="Y145" s="4" t="inlineStr">
        <is>
          <t>TOTALES ACUMULADOS</t>
        </is>
      </c>
      <c r="Z145" s="131" t="n"/>
      <c r="AA145" s="132" t="n"/>
    </row>
    <row r="146" ht="20" customHeight="1">
      <c r="F146" s="135" t="n"/>
      <c r="G146" s="4" t="inlineStr">
        <is>
          <t>FACTURA</t>
        </is>
      </c>
      <c r="H146" s="4" t="inlineStr">
        <is>
          <t>MONTO ($)</t>
        </is>
      </c>
      <c r="I146" s="4" t="inlineStr">
        <is>
          <t>LITROS</t>
        </is>
      </c>
      <c r="J146" s="4" t="inlineStr">
        <is>
          <t>FACTURA</t>
        </is>
      </c>
      <c r="K146" s="4" t="inlineStr">
        <is>
          <t>MONTO ($)</t>
        </is>
      </c>
      <c r="L146" s="4" t="inlineStr">
        <is>
          <t>LITROS</t>
        </is>
      </c>
      <c r="M146" s="4" t="inlineStr">
        <is>
          <t>FACTURA</t>
        </is>
      </c>
      <c r="N146" s="4" t="inlineStr">
        <is>
          <t>MONTO ($)</t>
        </is>
      </c>
      <c r="O146" s="4" t="inlineStr">
        <is>
          <t>LITROS</t>
        </is>
      </c>
      <c r="P146" s="4" t="inlineStr">
        <is>
          <t>FACTURA</t>
        </is>
      </c>
      <c r="Q146" s="4" t="inlineStr">
        <is>
          <t>MONTO ($)</t>
        </is>
      </c>
      <c r="R146" s="4" t="inlineStr">
        <is>
          <t>LITROS</t>
        </is>
      </c>
      <c r="S146" s="4" t="inlineStr">
        <is>
          <t>FACTURA</t>
        </is>
      </c>
      <c r="T146" s="4" t="inlineStr">
        <is>
          <t>MONTO ($)</t>
        </is>
      </c>
      <c r="U146" s="4" t="inlineStr">
        <is>
          <t>LITROS</t>
        </is>
      </c>
      <c r="V146" s="4" t="inlineStr">
        <is>
          <t>FACTURA</t>
        </is>
      </c>
      <c r="W146" s="4" t="inlineStr">
        <is>
          <t>MONTO ($)</t>
        </is>
      </c>
      <c r="X146" s="4" t="inlineStr">
        <is>
          <t>LITROS</t>
        </is>
      </c>
      <c r="Y146" s="4" t="inlineStr">
        <is>
          <t>TOTAL FACTURAS</t>
        </is>
      </c>
      <c r="Z146" s="4" t="inlineStr">
        <is>
          <t>TOTAL MONTO</t>
        </is>
      </c>
      <c r="AA146" s="4" t="inlineStr">
        <is>
          <t>TOTAL LITROS</t>
        </is>
      </c>
    </row>
    <row r="147" ht="20" customHeight="1">
      <c r="F147" s="5" t="inlineStr">
        <is>
          <t>México - Toluca</t>
        </is>
      </c>
      <c r="G147" s="116" t="inlineStr">
        <is>
          <t>A10148</t>
        </is>
      </c>
      <c r="H147" s="117" t="n">
        <v>17820</v>
      </c>
      <c r="I147" s="118" t="n">
        <v>660</v>
      </c>
      <c r="J147" s="116" t="inlineStr">
        <is>
          <t>A10198</t>
        </is>
      </c>
      <c r="K147" s="117" t="n">
        <v>14850.08</v>
      </c>
      <c r="L147" s="118" t="n">
        <v>550</v>
      </c>
      <c r="M147" s="116" t="inlineStr">
        <is>
          <t>A10211</t>
        </is>
      </c>
      <c r="N147" s="117" t="n">
        <v>14850.08</v>
      </c>
      <c r="O147" s="118" t="n">
        <v>550</v>
      </c>
      <c r="P147" s="116" t="inlineStr">
        <is>
          <t>A10226</t>
        </is>
      </c>
      <c r="Q147" s="117" t="n">
        <v>12960.1</v>
      </c>
      <c r="R147" s="118" t="n">
        <v>480</v>
      </c>
      <c r="S147" s="119" t="inlineStr">
        <is>
          <t>-</t>
        </is>
      </c>
      <c r="T147" s="120" t="inlineStr">
        <is>
          <t>-</t>
        </is>
      </c>
      <c r="U147" s="120" t="inlineStr">
        <is>
          <t>-</t>
        </is>
      </c>
      <c r="V147" s="116" t="inlineStr">
        <is>
          <t>A10270</t>
        </is>
      </c>
      <c r="W147" s="117" t="n">
        <v>7830.05</v>
      </c>
      <c r="X147" s="118" t="n">
        <v>290</v>
      </c>
      <c r="Y147" s="121" t="inlineStr">
        <is>
          <t>5 Factura(s)</t>
        </is>
      </c>
      <c r="Z147" s="122" t="n">
        <v>68310.31</v>
      </c>
      <c r="AA147" s="123" t="n">
        <v>2530</v>
      </c>
    </row>
    <row r="148" ht="20" customHeight="1">
      <c r="F148" s="9" t="inlineStr">
        <is>
          <t>Planta Huixquilucan</t>
        </is>
      </c>
      <c r="G148" s="124" t="inlineStr">
        <is>
          <t>-</t>
        </is>
      </c>
      <c r="H148" s="125" t="inlineStr">
        <is>
          <t>-</t>
        </is>
      </c>
      <c r="I148" s="125" t="inlineStr">
        <is>
          <t>-</t>
        </is>
      </c>
      <c r="J148" s="124" t="inlineStr">
        <is>
          <t>-</t>
        </is>
      </c>
      <c r="K148" s="125" t="inlineStr">
        <is>
          <t>-</t>
        </is>
      </c>
      <c r="L148" s="125" t="inlineStr">
        <is>
          <t>-</t>
        </is>
      </c>
      <c r="M148" s="116" t="inlineStr">
        <is>
          <t>A10216</t>
        </is>
      </c>
      <c r="N148" s="117" t="n">
        <v>10800</v>
      </c>
      <c r="O148" s="118" t="n">
        <v>400</v>
      </c>
      <c r="P148" s="124" t="inlineStr">
        <is>
          <t>-</t>
        </is>
      </c>
      <c r="Q148" s="125" t="inlineStr">
        <is>
          <t>-</t>
        </is>
      </c>
      <c r="R148" s="125" t="inlineStr">
        <is>
          <t>-</t>
        </is>
      </c>
      <c r="S148" s="116" t="inlineStr">
        <is>
          <t>A10246</t>
        </is>
      </c>
      <c r="T148" s="117" t="n">
        <v>5400.05</v>
      </c>
      <c r="U148" s="118" t="n">
        <v>200</v>
      </c>
      <c r="V148" s="116" t="inlineStr">
        <is>
          <t>A10271</t>
        </is>
      </c>
      <c r="W148" s="117" t="n">
        <v>16200.1</v>
      </c>
      <c r="X148" s="118" t="n">
        <v>600</v>
      </c>
      <c r="Y148" s="126" t="inlineStr">
        <is>
          <t>3 Factura(s)</t>
        </is>
      </c>
      <c r="Z148" s="127" t="n">
        <v>32400.15</v>
      </c>
      <c r="AA148" s="128" t="n">
        <v>1200</v>
      </c>
    </row>
    <row r="149" ht="22" customHeight="1">
      <c r="F149" s="80" t="inlineStr">
        <is>
          <t>TOTAL POR DÍA</t>
        </is>
      </c>
      <c r="G149" s="19" t="inlineStr">
        <is>
          <t>1 Factura(s)</t>
        </is>
      </c>
      <c r="H149" s="16" t="n">
        <v>17820</v>
      </c>
      <c r="I149" s="109" t="n">
        <v>660</v>
      </c>
      <c r="J149" s="19" t="inlineStr">
        <is>
          <t>1 Factura(s)</t>
        </is>
      </c>
      <c r="K149" s="16" t="n">
        <v>14850.08</v>
      </c>
      <c r="L149" s="109" t="n">
        <v>550</v>
      </c>
      <c r="M149" s="19" t="inlineStr">
        <is>
          <t>2 Factura(s)</t>
        </is>
      </c>
      <c r="N149" s="16" t="n">
        <v>25650.08</v>
      </c>
      <c r="O149" s="109" t="n">
        <v>950</v>
      </c>
      <c r="P149" s="19" t="inlineStr">
        <is>
          <t>1 Factura(s)</t>
        </is>
      </c>
      <c r="Q149" s="16" t="n">
        <v>12960.1</v>
      </c>
      <c r="R149" s="109" t="n">
        <v>480</v>
      </c>
      <c r="S149" s="19" t="inlineStr">
        <is>
          <t>1 Factura(s)</t>
        </is>
      </c>
      <c r="T149" s="16" t="n">
        <v>5400.05</v>
      </c>
      <c r="U149" s="109" t="n">
        <v>200</v>
      </c>
      <c r="V149" s="19" t="inlineStr">
        <is>
          <t>2 Factura(s)</t>
        </is>
      </c>
      <c r="W149" s="16" t="n">
        <v>24030.15</v>
      </c>
      <c r="X149" s="109" t="n">
        <v>890</v>
      </c>
      <c r="Y149" s="19" t="inlineStr">
        <is>
          <t>8 Factura(s)</t>
        </is>
      </c>
      <c r="Z149" s="16" t="n">
        <v>100710.46</v>
      </c>
      <c r="AA149" s="109" t="n">
        <v>3730</v>
      </c>
    </row>
    <row r="152" ht="24" customHeight="1">
      <c r="F152" s="102" t="inlineStr">
        <is>
          <t>▶ COMPARATIVA FACTURADO VS CONSUMIDO POR OBRA — SEMANA 26</t>
        </is>
      </c>
      <c r="G152" s="131" t="n"/>
      <c r="H152" s="131" t="n"/>
      <c r="I152" s="131" t="n"/>
      <c r="J152" s="131" t="n"/>
      <c r="K152" s="131" t="n"/>
      <c r="L152" s="132" t="n"/>
    </row>
    <row r="153" ht="22" customHeight="1">
      <c r="F153" s="4" t="inlineStr">
        <is>
          <t>OBRA / DESTINO</t>
        </is>
      </c>
      <c r="G153" s="4" t="inlineStr">
        <is>
          <t>LITROS FACTURADOS</t>
        </is>
      </c>
      <c r="H153" s="4" t="inlineStr">
        <is>
          <t>LITROS CONSUMIDOS</t>
        </is>
      </c>
      <c r="I153" s="4" t="inlineStr">
        <is>
          <t>MONTO FACTURADO ($)</t>
        </is>
      </c>
      <c r="J153" s="4" t="inlineStr">
        <is>
          <t>MONTO CONSUMIDO ($)</t>
        </is>
      </c>
      <c r="K153" s="4" t="inlineStr">
        <is>
          <t>VARIACIÓN (LTS)</t>
        </is>
      </c>
      <c r="L153" s="4" t="inlineStr">
        <is>
          <t>VARIACIÓN ($)</t>
        </is>
      </c>
    </row>
    <row r="154" ht="19" customHeight="1">
      <c r="F154" s="5" t="inlineStr">
        <is>
          <t>México - Toluca</t>
        </is>
      </c>
      <c r="G154" s="32" t="n">
        <v>2530</v>
      </c>
      <c r="H154" s="32" t="n">
        <v>2517</v>
      </c>
      <c r="I154" s="33" t="n">
        <v>68310.31</v>
      </c>
      <c r="J154" s="33" t="n">
        <v>67959</v>
      </c>
      <c r="K154" s="103" t="n">
        <v>13</v>
      </c>
      <c r="L154" s="104" t="n">
        <v>351.3099999999977</v>
      </c>
    </row>
    <row r="155" ht="19" customHeight="1">
      <c r="F155" s="9" t="inlineStr">
        <is>
          <t>Planta Huixquilucan</t>
        </is>
      </c>
      <c r="G155" s="105" t="n">
        <v>1200</v>
      </c>
      <c r="H155" s="105" t="n">
        <v>1191</v>
      </c>
      <c r="I155" s="106" t="n">
        <v>32400.15</v>
      </c>
      <c r="J155" s="106" t="n">
        <v>32157</v>
      </c>
      <c r="K155" s="107" t="n">
        <v>9</v>
      </c>
      <c r="L155" s="108" t="n">
        <v>243.1500000000015</v>
      </c>
    </row>
    <row r="156" ht="22" customHeight="1">
      <c r="F156" s="80" t="inlineStr">
        <is>
          <t>TOTAL GENERAL POR OBRA:</t>
        </is>
      </c>
      <c r="G156" s="109">
        <f>SUM(G154:G155)</f>
        <v/>
      </c>
      <c r="H156" s="109">
        <f>SUM(H154:H155)</f>
        <v/>
      </c>
      <c r="I156" s="16">
        <f>SUM(I154:I155)</f>
        <v/>
      </c>
      <c r="J156" s="16">
        <f>SUM(J154:J155)</f>
        <v/>
      </c>
      <c r="K156" s="110">
        <f>SUM(K154:K155)</f>
        <v/>
      </c>
      <c r="L156" s="111">
        <f>SUM(L154:L155)</f>
        <v/>
      </c>
    </row>
    <row r="159" ht="24" customHeight="1">
      <c r="F159" s="102" t="inlineStr">
        <is>
          <t>▶ COMPARATIVA FACTURADO VS CONSUMIDO POR INGENIERO — SEMANA 26</t>
        </is>
      </c>
      <c r="G159" s="131" t="n"/>
      <c r="H159" s="131" t="n"/>
      <c r="I159" s="131" t="n"/>
      <c r="J159" s="131" t="n"/>
      <c r="K159" s="131" t="n"/>
      <c r="L159" s="131" t="n"/>
      <c r="M159" s="132" t="n"/>
    </row>
    <row r="160" ht="22" customHeight="1">
      <c r="F160" s="4" t="inlineStr">
        <is>
          <t>INGENIERO / RESPONSABLE</t>
        </is>
      </c>
      <c r="G160" s="4" t="inlineStr">
        <is>
          <t>OBRAS ASIGNADAS</t>
        </is>
      </c>
      <c r="H160" s="4" t="inlineStr">
        <is>
          <t>LITROS FACTURADOS</t>
        </is>
      </c>
      <c r="I160" s="4" t="inlineStr">
        <is>
          <t>LITROS CONSUMIDOS</t>
        </is>
      </c>
      <c r="J160" s="4" t="inlineStr">
        <is>
          <t>MONTO FACTURADO ($)</t>
        </is>
      </c>
      <c r="K160" s="4" t="inlineStr">
        <is>
          <t>MONTO CONSUMIDO ($)</t>
        </is>
      </c>
      <c r="L160" s="4" t="inlineStr">
        <is>
          <t>VARIACIÓN (LTS)</t>
        </is>
      </c>
      <c r="M160" s="4" t="inlineStr">
        <is>
          <t>VARIACIÓN ($)</t>
        </is>
      </c>
    </row>
    <row r="161" ht="19" customHeight="1">
      <c r="F161" s="5" t="inlineStr">
        <is>
          <t>Ing. Francisco Javier</t>
        </is>
      </c>
      <c r="G161" s="74" t="inlineStr">
        <is>
          <t>México - Toluca</t>
        </is>
      </c>
      <c r="H161" s="32" t="n">
        <v>2530</v>
      </c>
      <c r="I161" s="32" t="n">
        <v>2517</v>
      </c>
      <c r="J161" s="33" t="n">
        <v>68310.31</v>
      </c>
      <c r="K161" s="33" t="n">
        <v>67959</v>
      </c>
      <c r="L161" s="103" t="n">
        <v>13</v>
      </c>
      <c r="M161" s="104" t="n">
        <v>351.3099999999977</v>
      </c>
    </row>
    <row r="162" ht="19" customHeight="1">
      <c r="F162" s="9" t="inlineStr">
        <is>
          <t>Ing. Luis</t>
        </is>
      </c>
      <c r="G162" s="78" t="inlineStr">
        <is>
          <t>Planta Huixquilucan</t>
        </is>
      </c>
      <c r="H162" s="105" t="n">
        <v>1200</v>
      </c>
      <c r="I162" s="105" t="n">
        <v>1191</v>
      </c>
      <c r="J162" s="106" t="n">
        <v>32400.15</v>
      </c>
      <c r="K162" s="106" t="n">
        <v>32157</v>
      </c>
      <c r="L162" s="107" t="n">
        <v>9</v>
      </c>
      <c r="M162" s="108" t="n">
        <v>243.1500000000015</v>
      </c>
    </row>
    <row r="163" ht="22" customHeight="1">
      <c r="F163" s="80" t="inlineStr">
        <is>
          <t>TOTAL GENERAL POR INGENIERO:</t>
        </is>
      </c>
      <c r="G163" s="132" t="n"/>
      <c r="H163" s="109">
        <f>SUM(H161:H162)</f>
        <v/>
      </c>
      <c r="I163" s="109">
        <f>SUM(I161:I162)</f>
        <v/>
      </c>
      <c r="J163" s="16">
        <f>SUM(J161:J162)</f>
        <v/>
      </c>
      <c r="K163" s="16">
        <f>SUM(K161:K162)</f>
        <v/>
      </c>
      <c r="L163" s="110">
        <f>SUM(L161:L162)</f>
        <v/>
      </c>
      <c r="M163" s="111">
        <f>SUM(M161:M162)</f>
        <v/>
      </c>
    </row>
  </sheetData>
  <mergeCells count="50">
    <mergeCell ref="F88:P88"/>
    <mergeCell ref="H9:H10"/>
    <mergeCell ref="F138:H138"/>
    <mergeCell ref="P145:R145"/>
    <mergeCell ref="F145:F146"/>
    <mergeCell ref="F67:O67"/>
    <mergeCell ref="G7:G8"/>
    <mergeCell ref="F152:L152"/>
    <mergeCell ref="F66:H66"/>
    <mergeCell ref="F70:Q70"/>
    <mergeCell ref="F12:G12"/>
    <mergeCell ref="F102:H102"/>
    <mergeCell ref="M145:O145"/>
    <mergeCell ref="F18:G18"/>
    <mergeCell ref="F131:N131"/>
    <mergeCell ref="H7:H8"/>
    <mergeCell ref="K30:N30"/>
    <mergeCell ref="Y145:AA145"/>
    <mergeCell ref="F163:G163"/>
    <mergeCell ref="F103:O103"/>
    <mergeCell ref="F130:H130"/>
    <mergeCell ref="F17:G17"/>
    <mergeCell ref="F117:H117"/>
    <mergeCell ref="F106:M106"/>
    <mergeCell ref="F159:M159"/>
    <mergeCell ref="F40:I40"/>
    <mergeCell ref="F9:F10"/>
    <mergeCell ref="L9:L10"/>
    <mergeCell ref="F91:P91"/>
    <mergeCell ref="K21:N21"/>
    <mergeCell ref="F118:L118"/>
    <mergeCell ref="J145:L145"/>
    <mergeCell ref="F30:I30"/>
    <mergeCell ref="F21:I21"/>
    <mergeCell ref="K7:K8"/>
    <mergeCell ref="V145:X145"/>
    <mergeCell ref="F87:H87"/>
    <mergeCell ref="G9:G10"/>
    <mergeCell ref="K40:N40"/>
    <mergeCell ref="G145:I145"/>
    <mergeCell ref="K9:K10"/>
    <mergeCell ref="F48:P48"/>
    <mergeCell ref="S145:U145"/>
    <mergeCell ref="F2:L2"/>
    <mergeCell ref="F144:AA144"/>
    <mergeCell ref="F7:F8"/>
    <mergeCell ref="L7:L8"/>
    <mergeCell ref="F134:L134"/>
    <mergeCell ref="F139:K139"/>
    <mergeCell ref="F121:O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2:AA1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27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1384</v>
      </c>
      <c r="K5" s="75" t="n">
        <v>1384</v>
      </c>
      <c r="L5" s="76" t="n">
        <v>1016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3637</v>
      </c>
      <c r="K6" s="79" t="n">
        <v>3637</v>
      </c>
      <c r="L6" s="112" t="n">
        <v>-337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1239</v>
      </c>
      <c r="K7" s="75" t="n">
        <v>1299</v>
      </c>
      <c r="L7" s="112" t="n">
        <v>-699</v>
      </c>
    </row>
    <row r="8" ht="18" customHeight="1">
      <c r="F8" s="135" t="n"/>
      <c r="G8" s="135" t="n"/>
      <c r="H8" s="135" t="n"/>
      <c r="I8" s="74" t="inlineStr">
        <is>
          <t>Providencia</t>
        </is>
      </c>
      <c r="J8" s="73" t="n">
        <v>60</v>
      </c>
      <c r="K8" s="135" t="n"/>
      <c r="L8" s="135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1268.94</v>
      </c>
      <c r="K9" s="79" t="n">
        <v>1268.94</v>
      </c>
      <c r="L9" s="76" t="n">
        <v>1131.06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2396</v>
      </c>
      <c r="K10" s="75" t="n">
        <v>2396</v>
      </c>
      <c r="L10" s="76" t="n">
        <v>604</v>
      </c>
    </row>
    <row r="11" ht="20" customHeight="1">
      <c r="F11" s="80" t="inlineStr">
        <is>
          <t>SUBTOTAL (6 DÍAS):</t>
        </is>
      </c>
      <c r="G11" s="132" t="n"/>
      <c r="H11" s="80" t="n">
        <v>11700</v>
      </c>
      <c r="I11" s="15" t="n"/>
      <c r="J11" s="80" t="n">
        <v>9984.940000000001</v>
      </c>
      <c r="K11" s="80" t="n">
        <v>9984.940000000001</v>
      </c>
      <c r="L11" s="80" t="n">
        <v>1715.06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Providencia</t>
        </is>
      </c>
      <c r="J15" s="73" t="n">
        <v>289</v>
      </c>
      <c r="K15" s="75" t="n">
        <v>289</v>
      </c>
      <c r="L15" s="112" t="n">
        <v>-289</v>
      </c>
    </row>
    <row r="16" ht="20" customHeight="1">
      <c r="F16" s="80" t="inlineStr">
        <is>
          <t>SUBTOTAL (5 DÍAS):</t>
        </is>
      </c>
      <c r="G16" s="132" t="n"/>
      <c r="H16" s="80" t="inlineStr"/>
      <c r="I16" s="15" t="n"/>
      <c r="J16" s="80" t="n">
        <v>289</v>
      </c>
      <c r="K16" s="80" t="n">
        <v>289</v>
      </c>
      <c r="L16" s="80" t="n">
        <v>-289</v>
      </c>
    </row>
    <row r="17" ht="22" customHeight="1">
      <c r="F17" s="80" t="inlineStr">
        <is>
          <t>TOTAL GENERAL:</t>
        </is>
      </c>
      <c r="G17" s="132" t="n"/>
      <c r="H17" s="80" t="n">
        <v>11700</v>
      </c>
      <c r="I17" s="15" t="n"/>
      <c r="J17" s="80" t="n">
        <v>10273.94</v>
      </c>
      <c r="K17" s="80" t="n">
        <v>10273.94</v>
      </c>
      <c r="L17" s="80" t="n">
        <v>1426.06</v>
      </c>
    </row>
    <row r="20" ht="20" customHeight="1">
      <c r="F20" s="3" t="inlineStr">
        <is>
          <t>▶  Bacheo Toluca</t>
        </is>
      </c>
      <c r="G20" s="131" t="n"/>
      <c r="H20" s="131" t="n"/>
      <c r="I20" s="132" t="n"/>
      <c r="K20" s="3" t="inlineStr">
        <is>
          <t>▶  Lerma - Tres Marías</t>
        </is>
      </c>
      <c r="L20" s="131" t="n"/>
      <c r="M20" s="131" t="n"/>
      <c r="N20" s="132" t="n"/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29-jun</t>
        </is>
      </c>
      <c r="G22" s="6" t="n">
        <v>45</v>
      </c>
      <c r="H22" s="7" t="n">
        <v>27</v>
      </c>
      <c r="I22" s="8" t="n">
        <v>1215</v>
      </c>
      <c r="K22" s="5" t="inlineStr">
        <is>
          <t>Lun 29-jun</t>
        </is>
      </c>
      <c r="L22" s="6" t="n">
        <v>369</v>
      </c>
      <c r="M22" s="7" t="n">
        <v>27</v>
      </c>
      <c r="N22" s="8" t="n">
        <v>9963</v>
      </c>
    </row>
    <row r="23" ht="18" customHeight="1">
      <c r="F23" s="9" t="inlineStr">
        <is>
          <t>Mié 01-jul</t>
        </is>
      </c>
      <c r="G23" s="10" t="n">
        <v>76</v>
      </c>
      <c r="H23" s="11" t="n">
        <v>27</v>
      </c>
      <c r="I23" s="12" t="n">
        <v>2052</v>
      </c>
      <c r="K23" s="9" t="inlineStr">
        <is>
          <t>Mar 30-jun</t>
        </is>
      </c>
      <c r="L23" s="10" t="n">
        <v>459</v>
      </c>
      <c r="M23" s="11" t="n">
        <v>27</v>
      </c>
      <c r="N23" s="12" t="n">
        <v>12393</v>
      </c>
    </row>
    <row r="24" ht="18" customHeight="1">
      <c r="F24" s="5" t="inlineStr">
        <is>
          <t>Jue 02-jul</t>
        </is>
      </c>
      <c r="G24" s="6" t="n">
        <v>908</v>
      </c>
      <c r="H24" s="7" t="n">
        <v>27</v>
      </c>
      <c r="I24" s="8" t="n">
        <v>24516</v>
      </c>
      <c r="K24" s="5" t="inlineStr">
        <is>
          <t>Mié 01-jul</t>
        </is>
      </c>
      <c r="L24" s="6" t="n">
        <v>200</v>
      </c>
      <c r="M24" s="7" t="n">
        <v>27</v>
      </c>
      <c r="N24" s="8" t="n">
        <v>5400</v>
      </c>
    </row>
    <row r="25" ht="18" customHeight="1">
      <c r="F25" s="9" t="inlineStr">
        <is>
          <t>Sáb 04-jul</t>
        </is>
      </c>
      <c r="G25" s="10" t="n">
        <v>210</v>
      </c>
      <c r="H25" s="11" t="n">
        <v>27</v>
      </c>
      <c r="I25" s="12" t="n">
        <v>5670</v>
      </c>
      <c r="K25" s="9" t="inlineStr">
        <is>
          <t>Jue 02-jul</t>
        </is>
      </c>
      <c r="L25" s="10" t="n">
        <v>356</v>
      </c>
      <c r="M25" s="11" t="n">
        <v>27</v>
      </c>
      <c r="N25" s="12" t="n">
        <v>9612</v>
      </c>
    </row>
    <row r="26" ht="20" customHeight="1">
      <c r="F26" s="80" t="inlineStr">
        <is>
          <t>TOTAL — Bacheo Toluca</t>
        </is>
      </c>
      <c r="G26" s="14" t="n">
        <v>1239</v>
      </c>
      <c r="H26" s="15" t="n"/>
      <c r="I26" s="16" t="n">
        <v>33453</v>
      </c>
      <c r="K26" s="80" t="inlineStr">
        <is>
          <t>TOTAL — Lerma - Tres Marías</t>
        </is>
      </c>
      <c r="L26" s="14" t="n">
        <v>1384</v>
      </c>
      <c r="M26" s="15" t="n"/>
      <c r="N26" s="16" t="n">
        <v>37368</v>
      </c>
    </row>
    <row r="28" ht="20" customHeight="1">
      <c r="F28" s="3" t="inlineStr">
        <is>
          <t>▶  México - Toluca</t>
        </is>
      </c>
      <c r="G28" s="131" t="n"/>
      <c r="H28" s="131" t="n"/>
      <c r="I28" s="132" t="n"/>
      <c r="K28" s="3" t="inlineStr">
        <is>
          <t>▶  Planta Huixquilucan</t>
        </is>
      </c>
      <c r="L28" s="131" t="n"/>
      <c r="M28" s="131" t="n"/>
      <c r="N28" s="132" t="n"/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29-jun</t>
        </is>
      </c>
      <c r="G30" s="6" t="n">
        <v>373</v>
      </c>
      <c r="H30" s="7" t="n">
        <v>27</v>
      </c>
      <c r="I30" s="8" t="n">
        <v>10071</v>
      </c>
      <c r="K30" s="5" t="inlineStr">
        <is>
          <t>Lun 29-jun</t>
        </is>
      </c>
      <c r="L30" s="6" t="n">
        <v>580</v>
      </c>
      <c r="M30" s="7" t="n">
        <v>27</v>
      </c>
      <c r="N30" s="8" t="n">
        <v>15660</v>
      </c>
    </row>
    <row r="31" ht="18" customHeight="1">
      <c r="F31" s="9" t="inlineStr">
        <is>
          <t>Mar 30-jun</t>
        </is>
      </c>
      <c r="G31" s="10" t="n">
        <v>853</v>
      </c>
      <c r="H31" s="11" t="n">
        <v>27</v>
      </c>
      <c r="I31" s="12" t="n">
        <v>23031</v>
      </c>
      <c r="K31" s="9" t="inlineStr">
        <is>
          <t>Mar 30-jun</t>
        </is>
      </c>
      <c r="L31" s="10" t="n">
        <v>100</v>
      </c>
      <c r="M31" s="11" t="n">
        <v>27</v>
      </c>
      <c r="N31" s="12" t="n">
        <v>2700</v>
      </c>
    </row>
    <row r="32" ht="18" customHeight="1">
      <c r="F32" s="5" t="inlineStr">
        <is>
          <t>Mié 01-jul</t>
        </is>
      </c>
      <c r="G32" s="6" t="n">
        <v>350</v>
      </c>
      <c r="H32" s="7" t="n">
        <v>27</v>
      </c>
      <c r="I32" s="8" t="n">
        <v>9450</v>
      </c>
      <c r="K32" s="5" t="inlineStr">
        <is>
          <t>Mié 01-jul</t>
        </is>
      </c>
      <c r="L32" s="6" t="n">
        <v>600</v>
      </c>
      <c r="M32" s="7" t="n">
        <v>27</v>
      </c>
      <c r="N32" s="8" t="n">
        <v>16200</v>
      </c>
    </row>
    <row r="33" ht="18" customHeight="1">
      <c r="F33" s="9" t="inlineStr">
        <is>
          <t>Jue 02-jul</t>
        </is>
      </c>
      <c r="G33" s="10" t="n">
        <v>352</v>
      </c>
      <c r="H33" s="11" t="n">
        <v>27</v>
      </c>
      <c r="I33" s="12" t="n">
        <v>9504</v>
      </c>
      <c r="K33" s="9" t="inlineStr">
        <is>
          <t>Jue 02-jul</t>
        </is>
      </c>
      <c r="L33" s="10" t="n">
        <v>336</v>
      </c>
      <c r="M33" s="11" t="n">
        <v>27</v>
      </c>
      <c r="N33" s="12" t="n">
        <v>9072</v>
      </c>
    </row>
    <row r="34" ht="18" customHeight="1">
      <c r="F34" s="5" t="inlineStr">
        <is>
          <t>Vie 03-jul</t>
        </is>
      </c>
      <c r="G34" s="6" t="n">
        <v>1392</v>
      </c>
      <c r="H34" s="7" t="n">
        <v>27</v>
      </c>
      <c r="I34" s="8" t="n">
        <v>37584</v>
      </c>
      <c r="K34" s="5" t="inlineStr">
        <is>
          <t>Vie 03-jul</t>
        </is>
      </c>
      <c r="L34" s="6" t="n">
        <v>500</v>
      </c>
      <c r="M34" s="7" t="n">
        <v>27</v>
      </c>
      <c r="N34" s="8" t="n">
        <v>13500</v>
      </c>
    </row>
    <row r="35" ht="18" customHeight="1">
      <c r="F35" s="9" t="inlineStr">
        <is>
          <t>Sáb 04-jul</t>
        </is>
      </c>
      <c r="G35" s="10" t="n">
        <v>317</v>
      </c>
      <c r="H35" s="11" t="n">
        <v>27</v>
      </c>
      <c r="I35" s="12" t="n">
        <v>8559</v>
      </c>
      <c r="K35" s="9" t="inlineStr">
        <is>
          <t>Sáb 04-jul</t>
        </is>
      </c>
      <c r="L35" s="10" t="n">
        <v>280</v>
      </c>
      <c r="M35" s="11" t="n">
        <v>27</v>
      </c>
      <c r="N35" s="12" t="n">
        <v>7560</v>
      </c>
    </row>
    <row r="36" ht="20" customHeight="1">
      <c r="F36" s="80" t="inlineStr">
        <is>
          <t>TOTAL — México - Toluca</t>
        </is>
      </c>
      <c r="G36" s="14" t="n">
        <v>3637</v>
      </c>
      <c r="H36" s="15" t="n"/>
      <c r="I36" s="16" t="n">
        <v>98199</v>
      </c>
      <c r="K36" s="80" t="inlineStr">
        <is>
          <t>TOTAL — Planta Huixquilucan</t>
        </is>
      </c>
      <c r="L36" s="14" t="n">
        <v>2396</v>
      </c>
      <c r="M36" s="15" t="n"/>
      <c r="N36" s="16" t="n">
        <v>64692</v>
      </c>
    </row>
    <row r="38" ht="20" customHeight="1">
      <c r="F38" s="3" t="inlineStr">
        <is>
          <t>▶  Planta Pegaso</t>
        </is>
      </c>
      <c r="G38" s="131" t="n"/>
      <c r="H38" s="131" t="n"/>
      <c r="I38" s="132" t="n"/>
      <c r="K38" s="3" t="inlineStr">
        <is>
          <t>▶  Providencia</t>
        </is>
      </c>
      <c r="L38" s="131" t="n"/>
      <c r="M38" s="131" t="n"/>
      <c r="N38" s="132" t="n"/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29-jun</t>
        </is>
      </c>
      <c r="G40" s="6" t="n">
        <v>510</v>
      </c>
      <c r="H40" s="7" t="n">
        <v>27</v>
      </c>
      <c r="I40" s="8" t="n">
        <v>13770</v>
      </c>
      <c r="K40" s="5" t="inlineStr">
        <is>
          <t>Lun 29-jun</t>
        </is>
      </c>
      <c r="L40" s="6" t="n">
        <v>60</v>
      </c>
      <c r="M40" s="7" t="n">
        <v>27</v>
      </c>
      <c r="N40" s="8" t="n">
        <v>1620</v>
      </c>
    </row>
    <row r="41" ht="18" customHeight="1">
      <c r="F41" s="9" t="inlineStr">
        <is>
          <t>Mié 01-jul</t>
        </is>
      </c>
      <c r="G41" s="10" t="n">
        <v>844</v>
      </c>
      <c r="H41" s="11" t="n">
        <v>27</v>
      </c>
      <c r="I41" s="12" t="n">
        <v>22788</v>
      </c>
      <c r="K41" s="9" t="inlineStr">
        <is>
          <t>Mar 30-jun</t>
        </is>
      </c>
      <c r="L41" s="10" t="n">
        <v>200</v>
      </c>
      <c r="M41" s="11" t="n">
        <v>27</v>
      </c>
      <c r="N41" s="12" t="n">
        <v>5400</v>
      </c>
    </row>
    <row r="42" ht="18" customHeight="1">
      <c r="F42" s="5" t="inlineStr">
        <is>
          <t>Jue 02-jul</t>
        </is>
      </c>
      <c r="G42" s="6" t="n">
        <v>-85.06</v>
      </c>
      <c r="H42" s="7" t="n">
        <v>27</v>
      </c>
      <c r="I42" s="8" t="n">
        <v>-2296.62</v>
      </c>
      <c r="K42" s="5" t="inlineStr">
        <is>
          <t>Jue 02-jul</t>
        </is>
      </c>
      <c r="L42" s="6" t="n">
        <v>89</v>
      </c>
      <c r="M42" s="7" t="n">
        <v>27</v>
      </c>
      <c r="N42" s="8" t="n">
        <v>2403</v>
      </c>
    </row>
    <row r="43" ht="20" customHeight="1">
      <c r="F43" s="80" t="inlineStr">
        <is>
          <t>TOTAL — Planta Pegaso</t>
        </is>
      </c>
      <c r="G43" s="14" t="n">
        <v>1268.94</v>
      </c>
      <c r="H43" s="15" t="n"/>
      <c r="I43" s="16" t="n">
        <v>34261.38</v>
      </c>
      <c r="K43" s="80" t="inlineStr">
        <is>
          <t>TOTAL — Providencia</t>
        </is>
      </c>
      <c r="L43" s="14" t="n">
        <v>349</v>
      </c>
      <c r="M43" s="15" t="n"/>
      <c r="N43" s="16" t="n">
        <v>9423</v>
      </c>
    </row>
    <row r="46" ht="22" customHeight="1">
      <c r="F46" s="81" t="inlineStr">
        <is>
          <t>APOLINAR</t>
        </is>
      </c>
      <c r="G46" s="131" t="n"/>
      <c r="H46" s="131" t="n"/>
      <c r="I46" s="131" t="n"/>
      <c r="J46" s="131" t="n"/>
      <c r="K46" s="131" t="n"/>
      <c r="L46" s="131" t="n"/>
      <c r="M46" s="131" t="n"/>
      <c r="N46" s="131" t="n"/>
      <c r="O46" s="132" t="n"/>
    </row>
    <row r="47" ht="28" customHeight="1">
      <c r="F47" s="4" t="inlineStr">
        <is>
          <t>#</t>
        </is>
      </c>
      <c r="G47" s="4" t="inlineStr">
        <is>
          <t>EQUIPO / MAQUINARIA</t>
        </is>
      </c>
      <c r="H47" s="4" t="inlineStr">
        <is>
          <t>LTS. SEM.
AUT.</t>
        </is>
      </c>
      <c r="I47" s="4" t="inlineStr">
        <is>
          <t>Lun
29/06</t>
        </is>
      </c>
      <c r="J47" s="4" t="inlineStr">
        <is>
          <t>Mar
30/06</t>
        </is>
      </c>
      <c r="K47" s="4" t="inlineStr">
        <is>
          <t>Mié
01/07</t>
        </is>
      </c>
      <c r="L47" s="4" t="inlineStr">
        <is>
          <t>Jue
02/07</t>
        </is>
      </c>
      <c r="M47" s="4" t="inlineStr">
        <is>
          <t>LITROS
TOTAL</t>
        </is>
      </c>
      <c r="N47" s="4" t="inlineStr">
        <is>
          <t>PRECIO
UNIT.</t>
        </is>
      </c>
      <c r="O47" s="4" t="inlineStr">
        <is>
          <t>TOTAL $</t>
        </is>
      </c>
    </row>
    <row r="48" ht="22" customHeight="1">
      <c r="F48" s="82" t="n"/>
      <c r="G48" s="83" t="inlineStr">
        <is>
          <t>OBRA DESTINO</t>
        </is>
      </c>
      <c r="H48" s="82" t="n"/>
      <c r="I48" s="84" t="inlineStr">
        <is>
          <t>Lerma - Tres Marías</t>
        </is>
      </c>
      <c r="J48" s="84" t="inlineStr">
        <is>
          <t>Lerma - Tres Marías</t>
        </is>
      </c>
      <c r="K48" s="84" t="inlineStr">
        <is>
          <t>Lerma - Tres Marías</t>
        </is>
      </c>
      <c r="L48" s="84" t="inlineStr">
        <is>
          <t>Lerma - Tres Marías</t>
        </is>
      </c>
      <c r="M48" s="82" t="n"/>
      <c r="N48" s="82" t="n"/>
      <c r="O48" s="82" t="n"/>
    </row>
    <row r="49" ht="18" customHeight="1">
      <c r="F49" s="85" t="n">
        <v>1</v>
      </c>
      <c r="G49" s="86" t="inlineStr">
        <is>
          <t>AJUSTE DIESEL</t>
        </is>
      </c>
      <c r="H49" s="87" t="n">
        <v>2800</v>
      </c>
      <c r="I49" s="85" t="n"/>
      <c r="J49" s="85" t="n"/>
      <c r="K49" s="85" t="n"/>
      <c r="L49" s="85" t="n">
        <v>-218</v>
      </c>
      <c r="M49" s="88" t="n">
        <v>-218</v>
      </c>
      <c r="N49" s="55" t="n">
        <v>27</v>
      </c>
      <c r="O49" s="89" t="n">
        <v>-5886</v>
      </c>
    </row>
    <row r="50" ht="18" customHeight="1">
      <c r="F50" s="90" t="n">
        <v>2</v>
      </c>
      <c r="G50" s="91" t="inlineStr">
        <is>
          <t>BARREDORA LAYMOR SM400</t>
        </is>
      </c>
      <c r="H50" s="92" t="n"/>
      <c r="I50" s="90" t="n"/>
      <c r="J50" s="90" t="n">
        <v>30</v>
      </c>
      <c r="K50" s="90" t="n"/>
      <c r="L50" s="90" t="n">
        <v>30</v>
      </c>
      <c r="M50" s="93" t="n">
        <v>60</v>
      </c>
      <c r="N50" s="94" t="n">
        <v>27</v>
      </c>
      <c r="O50" s="95" t="n">
        <v>1620</v>
      </c>
    </row>
    <row r="51" ht="18" customHeight="1">
      <c r="F51" s="85" t="n">
        <v>3</v>
      </c>
      <c r="G51" s="86" t="inlineStr">
        <is>
          <t>BIDONES</t>
        </is>
      </c>
      <c r="H51" s="96" t="n"/>
      <c r="I51" s="85" t="n"/>
      <c r="J51" s="85" t="n"/>
      <c r="K51" s="85" t="n"/>
      <c r="L51" s="85" t="n">
        <v>50</v>
      </c>
      <c r="M51" s="88" t="n">
        <v>50</v>
      </c>
      <c r="N51" s="55" t="n">
        <v>27</v>
      </c>
      <c r="O51" s="89" t="n">
        <v>1350</v>
      </c>
    </row>
    <row r="52" ht="18" customHeight="1">
      <c r="F52" s="90" t="n">
        <v>4</v>
      </c>
      <c r="G52" s="91" t="inlineStr">
        <is>
          <t>COMPRESOR  SULLIVAN PALATEK D2010</t>
        </is>
      </c>
      <c r="H52" s="92" t="n"/>
      <c r="I52" s="90" t="n"/>
      <c r="J52" s="90" t="n"/>
      <c r="K52" s="90" t="n"/>
      <c r="L52" s="90" t="n">
        <v>60</v>
      </c>
      <c r="M52" s="93" t="n">
        <v>60</v>
      </c>
      <c r="N52" s="94" t="n">
        <v>27</v>
      </c>
      <c r="O52" s="95" t="n">
        <v>1620</v>
      </c>
    </row>
    <row r="53" ht="18" customHeight="1">
      <c r="F53" s="85" t="n">
        <v>5</v>
      </c>
      <c r="G53" s="86" t="inlineStr">
        <is>
          <t>LIMPIEZA</t>
        </is>
      </c>
      <c r="H53" s="96" t="n"/>
      <c r="I53" s="85" t="n"/>
      <c r="J53" s="85" t="n">
        <v>29</v>
      </c>
      <c r="K53" s="85" t="n"/>
      <c r="L53" s="85" t="n"/>
      <c r="M53" s="88" t="n">
        <v>29</v>
      </c>
      <c r="N53" s="55" t="n">
        <v>27</v>
      </c>
      <c r="O53" s="89" t="n">
        <v>783</v>
      </c>
    </row>
    <row r="54" ht="18" customHeight="1">
      <c r="F54" s="90" t="n">
        <v>6</v>
      </c>
      <c r="G54" s="91" t="inlineStr">
        <is>
          <t>NEUMATICO / COMPACTADOR DE NEUMATICOS DINAPAC CP271</t>
        </is>
      </c>
      <c r="H54" s="92" t="n"/>
      <c r="I54" s="90" t="n"/>
      <c r="J54" s="90" t="n"/>
      <c r="K54" s="90" t="n">
        <v>50</v>
      </c>
      <c r="L54" s="90" t="n">
        <v>40</v>
      </c>
      <c r="M54" s="93" t="n">
        <v>90</v>
      </c>
      <c r="N54" s="94" t="n">
        <v>27</v>
      </c>
      <c r="O54" s="95" t="n">
        <v>2430</v>
      </c>
    </row>
    <row r="55" ht="18" customHeight="1">
      <c r="F55" s="85" t="n">
        <v>7</v>
      </c>
      <c r="G55" s="86" t="inlineStr">
        <is>
          <t>PAVIMENTADORA  VOGELE 1800-3 i</t>
        </is>
      </c>
      <c r="H55" s="96" t="n"/>
      <c r="I55" s="85" t="n"/>
      <c r="J55" s="85" t="n"/>
      <c r="K55" s="85" t="n">
        <v>100</v>
      </c>
      <c r="L55" s="85" t="n"/>
      <c r="M55" s="88" t="n">
        <v>100</v>
      </c>
      <c r="N55" s="55" t="n">
        <v>27</v>
      </c>
      <c r="O55" s="89" t="n">
        <v>2700</v>
      </c>
    </row>
    <row r="56" ht="18" customHeight="1">
      <c r="F56" s="90" t="n">
        <v>8</v>
      </c>
      <c r="G56" s="91" t="inlineStr">
        <is>
          <t>PAVIMENTADORA VOGELE SJ 1800-3</t>
        </is>
      </c>
      <c r="H56" s="92" t="n"/>
      <c r="I56" s="90" t="n">
        <v>178</v>
      </c>
      <c r="J56" s="90" t="n"/>
      <c r="K56" s="90" t="n"/>
      <c r="L56" s="90" t="n"/>
      <c r="M56" s="93" t="n">
        <v>178</v>
      </c>
      <c r="N56" s="94" t="n">
        <v>27</v>
      </c>
      <c r="O56" s="95" t="n">
        <v>4806</v>
      </c>
    </row>
    <row r="57" ht="18" customHeight="1">
      <c r="F57" s="85" t="n">
        <v>9</v>
      </c>
      <c r="G57" s="86" t="inlineStr">
        <is>
          <t>PERFILADORA RODATEC RX600E</t>
        </is>
      </c>
      <c r="H57" s="96" t="n"/>
      <c r="I57" s="85" t="n"/>
      <c r="J57" s="85" t="n">
        <v>400</v>
      </c>
      <c r="K57" s="85" t="n"/>
      <c r="L57" s="85" t="n">
        <v>250</v>
      </c>
      <c r="M57" s="88" t="n">
        <v>650</v>
      </c>
      <c r="N57" s="55" t="n">
        <v>27</v>
      </c>
      <c r="O57" s="89" t="n">
        <v>17550</v>
      </c>
    </row>
    <row r="58" ht="18" customHeight="1">
      <c r="F58" s="90" t="n">
        <v>10</v>
      </c>
      <c r="G58" s="91" t="inlineStr">
        <is>
          <t>PETROLIZADORA (IMPACTO 04) FORD F800</t>
        </is>
      </c>
      <c r="H58" s="92" t="n"/>
      <c r="I58" s="90" t="n">
        <v>59</v>
      </c>
      <c r="J58" s="90" t="n"/>
      <c r="K58" s="90" t="n"/>
      <c r="L58" s="90" t="n"/>
      <c r="M58" s="93" t="n">
        <v>59</v>
      </c>
      <c r="N58" s="94" t="n">
        <v>27</v>
      </c>
      <c r="O58" s="95" t="n">
        <v>1593</v>
      </c>
    </row>
    <row r="59" ht="18" customHeight="1">
      <c r="F59" s="85" t="n">
        <v>11</v>
      </c>
      <c r="G59" s="86" t="inlineStr">
        <is>
          <t>PIPA DE AGUA (IMPACTO 01) FORD</t>
        </is>
      </c>
      <c r="H59" s="96" t="n"/>
      <c r="I59" s="85" t="n">
        <v>94</v>
      </c>
      <c r="J59" s="85" t="n"/>
      <c r="K59" s="85" t="n"/>
      <c r="L59" s="85" t="n">
        <v>60</v>
      </c>
      <c r="M59" s="88" t="n">
        <v>154</v>
      </c>
      <c r="N59" s="55" t="n">
        <v>27</v>
      </c>
      <c r="O59" s="89" t="n">
        <v>4158</v>
      </c>
    </row>
    <row r="60" ht="18" customHeight="1">
      <c r="F60" s="90" t="n">
        <v>12</v>
      </c>
      <c r="G60" s="91" t="inlineStr">
        <is>
          <t>RETROEXCAVADORA CASE 580 N</t>
        </is>
      </c>
      <c r="H60" s="92" t="n"/>
      <c r="I60" s="90" t="n"/>
      <c r="J60" s="90" t="n"/>
      <c r="K60" s="90" t="n"/>
      <c r="L60" s="90" t="n">
        <v>50</v>
      </c>
      <c r="M60" s="93" t="n">
        <v>50</v>
      </c>
      <c r="N60" s="94" t="n">
        <v>27</v>
      </c>
      <c r="O60" s="95" t="n">
        <v>1350</v>
      </c>
    </row>
    <row r="61" ht="18" customHeight="1">
      <c r="F61" s="85" t="n">
        <v>13</v>
      </c>
      <c r="G61" s="86" t="inlineStr">
        <is>
          <t>TANDEM DOBLE RODILLO / VIBROCOMPACTOR RODILLO CAT CB54</t>
        </is>
      </c>
      <c r="H61" s="96" t="n"/>
      <c r="I61" s="85" t="n"/>
      <c r="J61" s="85" t="n"/>
      <c r="K61" s="85" t="n">
        <v>50</v>
      </c>
      <c r="L61" s="85" t="n">
        <v>34</v>
      </c>
      <c r="M61" s="88" t="n">
        <v>84</v>
      </c>
      <c r="N61" s="55" t="n">
        <v>27</v>
      </c>
      <c r="O61" s="89" t="n">
        <v>2268</v>
      </c>
    </row>
    <row r="62" ht="18" customHeight="1">
      <c r="F62" s="90" t="n">
        <v>14</v>
      </c>
      <c r="G62" s="91" t="inlineStr">
        <is>
          <t>VIBROCOMPACTADOR CATERPILLAR CB66B</t>
        </is>
      </c>
      <c r="H62" s="92" t="n"/>
      <c r="I62" s="90" t="n">
        <v>38</v>
      </c>
      <c r="J62" s="90" t="n"/>
      <c r="K62" s="90" t="n"/>
      <c r="L62" s="90" t="n"/>
      <c r="M62" s="93" t="n">
        <v>38</v>
      </c>
      <c r="N62" s="94" t="n">
        <v>27</v>
      </c>
      <c r="O62" s="95" t="n">
        <v>1026</v>
      </c>
    </row>
    <row r="63" ht="20" customHeight="1">
      <c r="F63" s="80" t="inlineStr">
        <is>
          <t>TOTAL LITROS</t>
        </is>
      </c>
      <c r="G63" s="131" t="n"/>
      <c r="H63" s="132" t="n"/>
      <c r="I63" s="97" t="n">
        <v>369</v>
      </c>
      <c r="J63" s="98" t="n">
        <v>459</v>
      </c>
      <c r="K63" s="97" t="n">
        <v>200</v>
      </c>
      <c r="L63" s="97" t="n">
        <v>356</v>
      </c>
      <c r="M63" s="80" t="n">
        <v>1384</v>
      </c>
      <c r="N63" s="15" t="n"/>
      <c r="O63" s="16" t="n">
        <v>37368</v>
      </c>
    </row>
    <row r="64" ht="20" customHeight="1">
      <c r="F64" s="99" t="inlineStr">
        <is>
          <t>IMPORTE SEMANAL AUTORIZADO: $75,600.00  (Litros aut.: 2,800.00 L)</t>
        </is>
      </c>
      <c r="G64" s="131" t="n"/>
      <c r="H64" s="131" t="n"/>
      <c r="I64" s="131" t="n"/>
      <c r="J64" s="131" t="n"/>
      <c r="K64" s="131" t="n"/>
      <c r="L64" s="131" t="n"/>
      <c r="M64" s="131" t="n"/>
      <c r="N64" s="132" t="n"/>
      <c r="O64" s="101" t="n">
        <v>37368</v>
      </c>
    </row>
    <row r="67" ht="22" customHeight="1">
      <c r="F67" s="81" t="inlineStr">
        <is>
          <t>FRANCISCO JAVIER</t>
        </is>
      </c>
      <c r="G67" s="131" t="n"/>
      <c r="H67" s="131" t="n"/>
      <c r="I67" s="131" t="n"/>
      <c r="J67" s="131" t="n"/>
      <c r="K67" s="131" t="n"/>
      <c r="L67" s="131" t="n"/>
      <c r="M67" s="131" t="n"/>
      <c r="N67" s="131" t="n"/>
      <c r="O67" s="131" t="n"/>
      <c r="P67" s="131" t="n"/>
      <c r="Q67" s="132" t="n"/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29/06</t>
        </is>
      </c>
      <c r="J68" s="4" t="inlineStr">
        <is>
          <t>Mar
30/06</t>
        </is>
      </c>
      <c r="K68" s="4" t="inlineStr">
        <is>
          <t>Mié
01/07</t>
        </is>
      </c>
      <c r="L68" s="4" t="inlineStr">
        <is>
          <t>Jue
02/07</t>
        </is>
      </c>
      <c r="M68" s="4" t="inlineStr">
        <is>
          <t>Vie
03/07</t>
        </is>
      </c>
      <c r="N68" s="4" t="inlineStr">
        <is>
          <t>Sáb
04/07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352</v>
      </c>
      <c r="M70" s="85" t="n"/>
      <c r="N70" s="85" t="n"/>
      <c r="O70" s="88" t="n">
        <v>352</v>
      </c>
      <c r="P70" s="55" t="n">
        <v>27</v>
      </c>
      <c r="Q70" s="89" t="n">
        <v>9504</v>
      </c>
    </row>
    <row r="71" ht="18" customHeight="1">
      <c r="F71" s="90" t="n">
        <v>2</v>
      </c>
      <c r="G71" s="91" t="inlineStr">
        <is>
          <t>BARREDORA BROCE RJ350</t>
        </is>
      </c>
      <c r="H71" s="92" t="n"/>
      <c r="I71" s="90" t="n"/>
      <c r="J71" s="90" t="n">
        <v>30</v>
      </c>
      <c r="K71" s="90" t="n"/>
      <c r="L71" s="90" t="n"/>
      <c r="M71" s="90" t="n"/>
      <c r="N71" s="90" t="n"/>
      <c r="O71" s="93" t="n">
        <v>30</v>
      </c>
      <c r="P71" s="94" t="n">
        <v>27</v>
      </c>
      <c r="Q71" s="95" t="n">
        <v>810</v>
      </c>
    </row>
    <row r="72" ht="18" customHeight="1">
      <c r="F72" s="85" t="n">
        <v>3</v>
      </c>
      <c r="G72" s="86" t="inlineStr">
        <is>
          <t>BARREDORA SUPERIOR BROOM DT80J</t>
        </is>
      </c>
      <c r="H72" s="96" t="n"/>
      <c r="I72" s="85" t="n"/>
      <c r="J72" s="85" t="n"/>
      <c r="K72" s="85" t="n"/>
      <c r="L72" s="85" t="n"/>
      <c r="M72" s="85" t="n">
        <v>28</v>
      </c>
      <c r="N72" s="85" t="n"/>
      <c r="O72" s="88" t="n">
        <v>28</v>
      </c>
      <c r="P72" s="55" t="n">
        <v>27</v>
      </c>
      <c r="Q72" s="89" t="n">
        <v>756</v>
      </c>
    </row>
    <row r="73" ht="18" customHeight="1">
      <c r="F73" s="90" t="n">
        <v>4</v>
      </c>
      <c r="G73" s="91" t="inlineStr">
        <is>
          <t>DOBLE RODILLO/VIBROCOMPACTADOR DE RODILLOS HAMM 120HD VV</t>
        </is>
      </c>
      <c r="H73" s="92" t="n"/>
      <c r="I73" s="90" t="n">
        <v>41</v>
      </c>
      <c r="J73" s="90" t="n">
        <v>33</v>
      </c>
      <c r="K73" s="90" t="n"/>
      <c r="L73" s="90" t="n"/>
      <c r="M73" s="90" t="n">
        <v>50</v>
      </c>
      <c r="N73" s="90" t="n"/>
      <c r="O73" s="93" t="n">
        <v>124</v>
      </c>
      <c r="P73" s="94" t="n">
        <v>27</v>
      </c>
      <c r="Q73" s="95" t="n">
        <v>3348</v>
      </c>
    </row>
    <row r="74" ht="18" customHeight="1">
      <c r="F74" s="85" t="n">
        <v>5</v>
      </c>
      <c r="G74" s="86" t="inlineStr">
        <is>
          <t>DOBLE RODILLO/VIBROCOMPACTADOR DE RODILLOS HAMM 140HD</t>
        </is>
      </c>
      <c r="H74" s="96" t="n"/>
      <c r="I74" s="85" t="n">
        <v>23</v>
      </c>
      <c r="J74" s="85" t="n">
        <v>40</v>
      </c>
      <c r="K74" s="85" t="n"/>
      <c r="L74" s="85" t="n"/>
      <c r="M74" s="85" t="n">
        <v>50</v>
      </c>
      <c r="N74" s="85" t="n"/>
      <c r="O74" s="88" t="n">
        <v>113</v>
      </c>
      <c r="P74" s="55" t="n">
        <v>27</v>
      </c>
      <c r="Q74" s="89" t="n">
        <v>3051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/>
      <c r="J75" s="90" t="n">
        <v>40</v>
      </c>
      <c r="K75" s="90" t="n"/>
      <c r="L75" s="90" t="n"/>
      <c r="M75" s="90" t="n">
        <v>40</v>
      </c>
      <c r="N75" s="90" t="n">
        <v>31</v>
      </c>
      <c r="O75" s="93" t="n">
        <v>111</v>
      </c>
      <c r="P75" s="94" t="n">
        <v>27</v>
      </c>
      <c r="Q75" s="95" t="n">
        <v>2997</v>
      </c>
    </row>
    <row r="76" ht="18" customHeight="1">
      <c r="F76" s="85" t="n">
        <v>7</v>
      </c>
      <c r="G76" s="86" t="inlineStr">
        <is>
          <t>NEUMATICO VOLVO PT-240R</t>
        </is>
      </c>
      <c r="H76" s="96" t="n"/>
      <c r="I76" s="85" t="n"/>
      <c r="J76" s="85" t="n">
        <v>40</v>
      </c>
      <c r="K76" s="85" t="n"/>
      <c r="L76" s="85" t="n"/>
      <c r="M76" s="85" t="n"/>
      <c r="N76" s="85" t="n"/>
      <c r="O76" s="88" t="n">
        <v>40</v>
      </c>
      <c r="P76" s="55" t="n">
        <v>27</v>
      </c>
      <c r="Q76" s="89" t="n">
        <v>1080</v>
      </c>
    </row>
    <row r="77" ht="18" customHeight="1">
      <c r="F77" s="90" t="n">
        <v>8</v>
      </c>
      <c r="G77" s="91" t="inlineStr">
        <is>
          <t>PAVIMENTADORA  VOGELE SJ 1800-3</t>
        </is>
      </c>
      <c r="H77" s="92" t="n"/>
      <c r="I77" s="90" t="n">
        <v>102</v>
      </c>
      <c r="J77" s="90" t="n"/>
      <c r="K77" s="90" t="n"/>
      <c r="L77" s="90" t="n"/>
      <c r="M77" s="90" t="n">
        <v>267</v>
      </c>
      <c r="N77" s="90" t="n"/>
      <c r="O77" s="93" t="n">
        <v>369</v>
      </c>
      <c r="P77" s="94" t="n">
        <v>27</v>
      </c>
      <c r="Q77" s="95" t="n">
        <v>9963</v>
      </c>
    </row>
    <row r="78" ht="18" customHeight="1">
      <c r="F78" s="85" t="n">
        <v>9</v>
      </c>
      <c r="G78" s="86" t="inlineStr">
        <is>
          <t>PAVIMENTADORA VOGELE SJ 1800-3</t>
        </is>
      </c>
      <c r="H78" s="96" t="n"/>
      <c r="I78" s="85" t="n"/>
      <c r="J78" s="85" t="n">
        <v>120</v>
      </c>
      <c r="K78" s="85" t="n"/>
      <c r="L78" s="85" t="n"/>
      <c r="M78" s="85" t="n"/>
      <c r="N78" s="85" t="n"/>
      <c r="O78" s="88" t="n">
        <v>120</v>
      </c>
      <c r="P78" s="55" t="n">
        <v>27</v>
      </c>
      <c r="Q78" s="89" t="n">
        <v>3240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97</v>
      </c>
      <c r="J79" s="90" t="n"/>
      <c r="K79" s="90" t="n"/>
      <c r="L79" s="90" t="n"/>
      <c r="M79" s="90" t="n"/>
      <c r="N79" s="90" t="n"/>
      <c r="O79" s="93" t="n">
        <v>97</v>
      </c>
      <c r="P79" s="94" t="n">
        <v>27</v>
      </c>
      <c r="Q79" s="95" t="n">
        <v>2619</v>
      </c>
    </row>
    <row r="80" ht="18" customHeight="1">
      <c r="F80" s="85" t="n">
        <v>11</v>
      </c>
      <c r="G80" s="86" t="inlineStr">
        <is>
          <t>PERFILADORA(RENTADA)</t>
        </is>
      </c>
      <c r="H80" s="96" t="n"/>
      <c r="I80" s="85" t="n"/>
      <c r="J80" s="85" t="n"/>
      <c r="K80" s="85" t="n">
        <v>250</v>
      </c>
      <c r="L80" s="85" t="n"/>
      <c r="M80" s="85" t="n">
        <v>907</v>
      </c>
      <c r="N80" s="85" t="n"/>
      <c r="O80" s="88" t="n">
        <v>1157</v>
      </c>
      <c r="P80" s="55" t="n">
        <v>27</v>
      </c>
      <c r="Q80" s="89" t="n">
        <v>31239</v>
      </c>
    </row>
    <row r="81" ht="18" customHeight="1">
      <c r="F81" s="90" t="n">
        <v>12</v>
      </c>
      <c r="G81" s="91" t="inlineStr">
        <is>
          <t>PETROLIZADORA    INTERNATIONAL</t>
        </is>
      </c>
      <c r="H81" s="92" t="n"/>
      <c r="I81" s="90" t="n"/>
      <c r="J81" s="90" t="n"/>
      <c r="K81" s="90" t="n"/>
      <c r="L81" s="90" t="n"/>
      <c r="M81" s="90" t="n"/>
      <c r="N81" s="90" t="n">
        <v>156</v>
      </c>
      <c r="O81" s="93" t="n">
        <v>156</v>
      </c>
      <c r="P81" s="94" t="n">
        <v>27</v>
      </c>
      <c r="Q81" s="95" t="n">
        <v>4212</v>
      </c>
    </row>
    <row r="82" ht="18" customHeight="1">
      <c r="F82" s="85" t="n">
        <v>13</v>
      </c>
      <c r="G82" s="86" t="inlineStr">
        <is>
          <t>PETROLIZADORA (IMPACTO 04) FORD F800</t>
        </is>
      </c>
      <c r="H82" s="96" t="n"/>
      <c r="I82" s="85" t="n">
        <v>50</v>
      </c>
      <c r="J82" s="85" t="n"/>
      <c r="K82" s="85" t="n">
        <v>50</v>
      </c>
      <c r="L82" s="85" t="n"/>
      <c r="M82" s="85" t="n">
        <v>50</v>
      </c>
      <c r="N82" s="85" t="n"/>
      <c r="O82" s="88" t="n">
        <v>150</v>
      </c>
      <c r="P82" s="55" t="n">
        <v>27</v>
      </c>
      <c r="Q82" s="89" t="n">
        <v>4050</v>
      </c>
    </row>
    <row r="83" ht="18" customHeight="1">
      <c r="F83" s="90" t="n">
        <v>14</v>
      </c>
      <c r="G83" s="91" t="inlineStr">
        <is>
          <t>Perfiladora(Rentada)</t>
        </is>
      </c>
      <c r="H83" s="92" t="n"/>
      <c r="I83" s="90" t="n"/>
      <c r="J83" s="90" t="n">
        <v>500</v>
      </c>
      <c r="K83" s="90" t="n"/>
      <c r="L83" s="90" t="n"/>
      <c r="M83" s="90" t="n"/>
      <c r="N83" s="90" t="n"/>
      <c r="O83" s="93" t="n">
        <v>500</v>
      </c>
      <c r="P83" s="94" t="n">
        <v>27</v>
      </c>
      <c r="Q83" s="95" t="n">
        <v>13500</v>
      </c>
    </row>
    <row r="84" ht="18" customHeight="1">
      <c r="F84" s="85" t="n">
        <v>15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/>
      <c r="M84" s="85" t="n"/>
      <c r="N84" s="85" t="n">
        <v>130</v>
      </c>
      <c r="O84" s="88" t="n">
        <v>130</v>
      </c>
      <c r="P84" s="55" t="n">
        <v>27</v>
      </c>
      <c r="Q84" s="89" t="n">
        <v>3510</v>
      </c>
    </row>
    <row r="85" ht="18" customHeight="1">
      <c r="F85" s="90" t="n">
        <v>16</v>
      </c>
      <c r="G85" s="91" t="inlineStr">
        <is>
          <t>RETROEXCAVADORA JHONDEREE 310SK</t>
        </is>
      </c>
      <c r="H85" s="92" t="n"/>
      <c r="I85" s="90" t="n">
        <v>60</v>
      </c>
      <c r="J85" s="90" t="n">
        <v>50</v>
      </c>
      <c r="K85" s="90" t="n">
        <v>50</v>
      </c>
      <c r="L85" s="90" t="n"/>
      <c r="M85" s="90" t="n"/>
      <c r="N85" s="90" t="n"/>
      <c r="O85" s="93" t="n">
        <v>160</v>
      </c>
      <c r="P85" s="94" t="n">
        <v>27</v>
      </c>
      <c r="Q85" s="95" t="n">
        <v>4320</v>
      </c>
    </row>
    <row r="86" ht="20" customHeight="1">
      <c r="F86" s="80" t="inlineStr">
        <is>
          <t>TOTAL LITROS</t>
        </is>
      </c>
      <c r="G86" s="131" t="n"/>
      <c r="H86" s="132" t="n"/>
      <c r="I86" s="97" t="n">
        <v>373</v>
      </c>
      <c r="J86" s="98" t="n">
        <v>853</v>
      </c>
      <c r="K86" s="97" t="n">
        <v>350</v>
      </c>
      <c r="L86" s="97" t="n">
        <v>352</v>
      </c>
      <c r="M86" s="98" t="n">
        <v>1392</v>
      </c>
      <c r="N86" s="97" t="n">
        <v>317</v>
      </c>
      <c r="O86" s="80" t="n">
        <v>3637</v>
      </c>
      <c r="P86" s="15" t="n"/>
      <c r="Q86" s="16" t="n">
        <v>98199</v>
      </c>
    </row>
    <row r="87" ht="20" customHeight="1">
      <c r="F87" s="99" t="inlineStr">
        <is>
          <t>IMPORTE SEMANAL AUTORIZADO: $103,950.00  (Litros aut.: 3,850.00 L)</t>
        </is>
      </c>
      <c r="G87" s="131" t="n"/>
      <c r="H87" s="131" t="n"/>
      <c r="I87" s="131" t="n"/>
      <c r="J87" s="131" t="n"/>
      <c r="K87" s="131" t="n"/>
      <c r="L87" s="131" t="n"/>
      <c r="M87" s="131" t="n"/>
      <c r="N87" s="131" t="n"/>
      <c r="O87" s="131" t="n"/>
      <c r="P87" s="132" t="n"/>
      <c r="Q87" s="101" t="n">
        <v>98199</v>
      </c>
    </row>
    <row r="90" ht="22" customHeight="1">
      <c r="F90" s="81" t="inlineStr">
        <is>
          <t>ING. DIEGO CARREOLA</t>
        </is>
      </c>
      <c r="G90" s="131" t="n"/>
      <c r="H90" s="131" t="n"/>
      <c r="I90" s="131" t="n"/>
      <c r="J90" s="131" t="n"/>
      <c r="K90" s="131" t="n"/>
      <c r="L90" s="131" t="n"/>
      <c r="M90" s="131" t="n"/>
      <c r="N90" s="131" t="n"/>
      <c r="O90" s="132" t="n"/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29/06</t>
        </is>
      </c>
      <c r="J91" s="4" t="inlineStr">
        <is>
          <t>Mié
01/07</t>
        </is>
      </c>
      <c r="K91" s="4" t="inlineStr">
        <is>
          <t>Jue
02/07</t>
        </is>
      </c>
      <c r="L91" s="4" t="inlineStr">
        <is>
          <t>Sáb
04/07</t>
        </is>
      </c>
      <c r="M91" s="4" t="inlineStr">
        <is>
          <t>LITROS
TOTAL</t>
        </is>
      </c>
      <c r="N91" s="4" t="inlineStr">
        <is>
          <t>PRECIO
UNIT.</t>
        </is>
      </c>
      <c r="O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Providencia</t>
        </is>
      </c>
      <c r="J92" s="84" t="inlineStr">
        <is>
          <t>Bacheo Toluca</t>
        </is>
      </c>
      <c r="K92" s="84" t="inlineStr">
        <is>
          <t>Bacheo Toluca</t>
        </is>
      </c>
      <c r="L92" s="84" t="inlineStr">
        <is>
          <t>Bacheo Toluca</t>
        </is>
      </c>
      <c r="M92" s="82" t="n"/>
      <c r="N92" s="82" t="n"/>
      <c r="O92" s="82" t="n"/>
    </row>
    <row r="93" ht="18" customHeight="1">
      <c r="F93" s="85" t="n">
        <v>1</v>
      </c>
      <c r="G93" s="86" t="inlineStr">
        <is>
          <t>AJUSTE DIESEL</t>
        </is>
      </c>
      <c r="H93" s="87" t="n">
        <v>700</v>
      </c>
      <c r="I93" s="85" t="n"/>
      <c r="J93" s="85" t="n"/>
      <c r="K93" s="85" t="n">
        <v>564</v>
      </c>
      <c r="L93" s="85" t="n"/>
      <c r="M93" s="88" t="n">
        <v>564</v>
      </c>
      <c r="N93" s="55" t="n">
        <v>27</v>
      </c>
      <c r="O93" s="89" t="n">
        <v>15228</v>
      </c>
    </row>
    <row r="94" ht="18" customHeight="1">
      <c r="F94" s="90" t="n">
        <v>2</v>
      </c>
      <c r="G94" s="91" t="inlineStr">
        <is>
          <t>BIDONES</t>
        </is>
      </c>
      <c r="H94" s="92" t="n"/>
      <c r="I94" s="90" t="n"/>
      <c r="J94" s="90" t="n">
        <v>76</v>
      </c>
      <c r="K94" s="90" t="n">
        <v>45</v>
      </c>
      <c r="L94" s="90" t="n"/>
      <c r="M94" s="93" t="n">
        <v>121</v>
      </c>
      <c r="N94" s="94" t="n">
        <v>27</v>
      </c>
      <c r="O94" s="95" t="n">
        <v>3267</v>
      </c>
    </row>
    <row r="95" ht="18" customHeight="1">
      <c r="F95" s="85" t="n">
        <v>3</v>
      </c>
      <c r="G95" s="86" t="inlineStr">
        <is>
          <t>MOTOCONFORMADORA RENTADA</t>
        </is>
      </c>
      <c r="H95" s="96" t="n"/>
      <c r="I95" s="85" t="n"/>
      <c r="J95" s="85" t="n"/>
      <c r="K95" s="85" t="n">
        <v>62</v>
      </c>
      <c r="L95" s="85" t="n"/>
      <c r="M95" s="88" t="n">
        <v>62</v>
      </c>
      <c r="N95" s="55" t="n">
        <v>27</v>
      </c>
      <c r="O95" s="89" t="n">
        <v>1674</v>
      </c>
    </row>
    <row r="96" ht="18" customHeight="1">
      <c r="F96" s="90" t="n">
        <v>4</v>
      </c>
      <c r="G96" s="91" t="inlineStr">
        <is>
          <t>NEUMATICO / COMPACTADOR DE NEUMATICOS DINAPAC CP271</t>
        </is>
      </c>
      <c r="H96" s="92" t="n"/>
      <c r="I96" s="90" t="n"/>
      <c r="J96" s="90" t="n"/>
      <c r="K96" s="90" t="n">
        <v>59</v>
      </c>
      <c r="L96" s="90" t="n">
        <v>50</v>
      </c>
      <c r="M96" s="93" t="n">
        <v>109</v>
      </c>
      <c r="N96" s="94" t="n">
        <v>27</v>
      </c>
      <c r="O96" s="95" t="n">
        <v>2943</v>
      </c>
    </row>
    <row r="97" ht="18" customHeight="1">
      <c r="F97" s="85" t="n">
        <v>5</v>
      </c>
      <c r="G97" s="86" t="inlineStr">
        <is>
          <t>PAVIMENTADORA  VOGELE 1800-2 SJ</t>
        </is>
      </c>
      <c r="H97" s="96" t="n"/>
      <c r="I97" s="85" t="n"/>
      <c r="J97" s="85" t="n"/>
      <c r="K97" s="85" t="n"/>
      <c r="L97" s="85" t="n">
        <v>110</v>
      </c>
      <c r="M97" s="88" t="n">
        <v>110</v>
      </c>
      <c r="N97" s="55" t="n">
        <v>27</v>
      </c>
      <c r="O97" s="89" t="n">
        <v>2970</v>
      </c>
    </row>
    <row r="98" ht="18" customHeight="1">
      <c r="F98" s="90" t="n">
        <v>6</v>
      </c>
      <c r="G98" s="91" t="inlineStr">
        <is>
          <t>PETROLIZADORA    INTERNATIONAL</t>
        </is>
      </c>
      <c r="H98" s="92" t="n"/>
      <c r="I98" s="90" t="n">
        <v>60</v>
      </c>
      <c r="J98" s="90" t="n"/>
      <c r="K98" s="90" t="n"/>
      <c r="L98" s="90" t="n"/>
      <c r="M98" s="93" t="n">
        <v>60</v>
      </c>
      <c r="N98" s="94" t="n">
        <v>27</v>
      </c>
      <c r="O98" s="95" t="n">
        <v>1620</v>
      </c>
    </row>
    <row r="99" ht="18" customHeight="1">
      <c r="F99" s="85" t="n">
        <v>7</v>
      </c>
      <c r="G99" s="86" t="inlineStr">
        <is>
          <t>RETROEXCAVADORA CASE 580 N</t>
        </is>
      </c>
      <c r="H99" s="96" t="n"/>
      <c r="I99" s="85" t="n"/>
      <c r="J99" s="85" t="n"/>
      <c r="K99" s="85" t="n">
        <v>128</v>
      </c>
      <c r="L99" s="85" t="n"/>
      <c r="M99" s="88" t="n">
        <v>128</v>
      </c>
      <c r="N99" s="55" t="n">
        <v>27</v>
      </c>
      <c r="O99" s="89" t="n">
        <v>3456</v>
      </c>
    </row>
    <row r="100" ht="18" customHeight="1">
      <c r="F100" s="90" t="n">
        <v>8</v>
      </c>
      <c r="G100" s="91" t="inlineStr">
        <is>
          <t>RETROEXCAVADORA JHONDEREE 310SK</t>
        </is>
      </c>
      <c r="H100" s="92" t="n"/>
      <c r="I100" s="90" t="n">
        <v>45</v>
      </c>
      <c r="J100" s="90" t="n"/>
      <c r="K100" s="90" t="n"/>
      <c r="L100" s="90" t="n"/>
      <c r="M100" s="93" t="n">
        <v>45</v>
      </c>
      <c r="N100" s="94" t="n">
        <v>27</v>
      </c>
      <c r="O100" s="95" t="n">
        <v>1215</v>
      </c>
    </row>
    <row r="101" ht="18" customHeight="1">
      <c r="F101" s="85" t="n">
        <v>9</v>
      </c>
      <c r="G101" s="86" t="inlineStr">
        <is>
          <t>TANDEM DOBLE RODILLO / VIBROCOMPACTOR RODILLO CAT CB54</t>
        </is>
      </c>
      <c r="H101" s="96" t="n"/>
      <c r="I101" s="85" t="n"/>
      <c r="J101" s="85" t="n"/>
      <c r="K101" s="85" t="n"/>
      <c r="L101" s="85" t="n">
        <v>50</v>
      </c>
      <c r="M101" s="88" t="n">
        <v>50</v>
      </c>
      <c r="N101" s="55" t="n">
        <v>27</v>
      </c>
      <c r="O101" s="89" t="n">
        <v>1350</v>
      </c>
    </row>
    <row r="102" ht="18" customHeight="1">
      <c r="F102" s="90" t="n">
        <v>10</v>
      </c>
      <c r="G102" s="91" t="inlineStr">
        <is>
          <t>VIBROCOMPACTADOR CATERPILLAR CB66B</t>
        </is>
      </c>
      <c r="H102" s="92" t="n"/>
      <c r="I102" s="90" t="n"/>
      <c r="J102" s="90" t="n"/>
      <c r="K102" s="90" t="n">
        <v>50</v>
      </c>
      <c r="L102" s="90" t="n"/>
      <c r="M102" s="93" t="n">
        <v>50</v>
      </c>
      <c r="N102" s="94" t="n">
        <v>27</v>
      </c>
      <c r="O102" s="95" t="n">
        <v>1350</v>
      </c>
    </row>
    <row r="103" ht="20" customHeight="1">
      <c r="F103" s="80" t="inlineStr">
        <is>
          <t>TOTAL LITROS</t>
        </is>
      </c>
      <c r="G103" s="131" t="n"/>
      <c r="H103" s="132" t="n"/>
      <c r="I103" s="98" t="n">
        <v>105</v>
      </c>
      <c r="J103" s="97" t="n">
        <v>76</v>
      </c>
      <c r="K103" s="98" t="n">
        <v>908</v>
      </c>
      <c r="L103" s="98" t="n">
        <v>210</v>
      </c>
      <c r="M103" s="80" t="n">
        <v>1299</v>
      </c>
      <c r="N103" s="15" t="n"/>
      <c r="O103" s="16" t="n">
        <v>35073</v>
      </c>
    </row>
    <row r="104" ht="20" customHeight="1">
      <c r="F104" s="99" t="inlineStr">
        <is>
          <t>IMPORTE SEMANAL AUTORIZADO: $18,900.00  (Litros aut.: 700.00 L)</t>
        </is>
      </c>
      <c r="G104" s="131" t="n"/>
      <c r="H104" s="131" t="n"/>
      <c r="I104" s="131" t="n"/>
      <c r="J104" s="131" t="n"/>
      <c r="K104" s="131" t="n"/>
      <c r="L104" s="131" t="n"/>
      <c r="M104" s="131" t="n"/>
      <c r="N104" s="132" t="n"/>
      <c r="O104" s="130" t="n">
        <v>35073</v>
      </c>
    </row>
    <row r="107" ht="22" customHeight="1">
      <c r="F107" s="81" t="inlineStr">
        <is>
          <t>JACK</t>
        </is>
      </c>
      <c r="G107" s="131" t="n"/>
      <c r="H107" s="131" t="n"/>
      <c r="I107" s="131" t="n"/>
      <c r="J107" s="131" t="n"/>
      <c r="K107" s="131" t="n"/>
      <c r="L107" s="131" t="n"/>
      <c r="M107" s="131" t="n"/>
      <c r="N107" s="132" t="n"/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29/06</t>
        </is>
      </c>
      <c r="J108" s="4" t="inlineStr">
        <is>
          <t>Mié
01/07</t>
        </is>
      </c>
      <c r="K108" s="4" t="inlineStr">
        <is>
          <t>Jue
02/07</t>
        </is>
      </c>
      <c r="L108" s="4" t="inlineStr">
        <is>
          <t>LITROS
TOTAL</t>
        </is>
      </c>
      <c r="M108" s="4" t="inlineStr">
        <is>
          <t>PRECIO
UNIT.</t>
        </is>
      </c>
      <c r="N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Pegaso</t>
        </is>
      </c>
      <c r="J109" s="84" t="inlineStr">
        <is>
          <t>Planta Pegaso</t>
        </is>
      </c>
      <c r="K109" s="84" t="inlineStr">
        <is>
          <t>Planta Pegaso</t>
        </is>
      </c>
      <c r="L109" s="82" t="n"/>
      <c r="M109" s="82" t="n"/>
      <c r="N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-634.0599999999999</v>
      </c>
      <c r="L110" s="88" t="n">
        <v>-634.0599999999999</v>
      </c>
      <c r="M110" s="55" t="n">
        <v>27</v>
      </c>
      <c r="N110" s="89" t="n">
        <v>-17119.62</v>
      </c>
    </row>
    <row r="111" ht="18" customHeight="1">
      <c r="F111" s="90" t="n">
        <v>2</v>
      </c>
      <c r="G111" s="91" t="inlineStr">
        <is>
          <t>CALDERA TECNO</t>
        </is>
      </c>
      <c r="H111" s="92" t="n"/>
      <c r="I111" s="90" t="n"/>
      <c r="J111" s="90" t="n">
        <v>500</v>
      </c>
      <c r="K111" s="90" t="n">
        <v>289</v>
      </c>
      <c r="L111" s="93" t="n">
        <v>789</v>
      </c>
      <c r="M111" s="94" t="n">
        <v>27</v>
      </c>
      <c r="N111" s="95" t="n">
        <v>21303</v>
      </c>
    </row>
    <row r="112" ht="18" customHeight="1">
      <c r="F112" s="85" t="n">
        <v>3</v>
      </c>
      <c r="G112" s="86" t="inlineStr">
        <is>
          <t>CALDERA TRIASO</t>
        </is>
      </c>
      <c r="H112" s="96" t="n"/>
      <c r="I112" s="85" t="n">
        <v>300</v>
      </c>
      <c r="J112" s="85" t="n"/>
      <c r="K112" s="85" t="n"/>
      <c r="L112" s="88" t="n">
        <v>300</v>
      </c>
      <c r="M112" s="55" t="n">
        <v>27</v>
      </c>
      <c r="N112" s="89" t="n">
        <v>8100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/>
      <c r="J113" s="90" t="n">
        <v>74</v>
      </c>
      <c r="K113" s="90" t="n">
        <v>97</v>
      </c>
      <c r="L113" s="93" t="n">
        <v>171</v>
      </c>
      <c r="M113" s="94" t="n">
        <v>27</v>
      </c>
      <c r="N113" s="95" t="n">
        <v>4617</v>
      </c>
    </row>
    <row r="114" ht="18" customHeight="1">
      <c r="F114" s="85" t="n">
        <v>5</v>
      </c>
      <c r="G114" s="86" t="inlineStr">
        <is>
          <t>Payloder 644k</t>
        </is>
      </c>
      <c r="H114" s="96" t="n"/>
      <c r="I114" s="85" t="n">
        <v>210</v>
      </c>
      <c r="J114" s="85" t="n">
        <v>127</v>
      </c>
      <c r="K114" s="85" t="n">
        <v>91</v>
      </c>
      <c r="L114" s="88" t="n">
        <v>428</v>
      </c>
      <c r="M114" s="55" t="n">
        <v>27</v>
      </c>
      <c r="N114" s="89" t="n">
        <v>11556</v>
      </c>
    </row>
    <row r="115" ht="18" customHeight="1">
      <c r="F115" s="90" t="n">
        <v>6</v>
      </c>
      <c r="G115" s="91" t="inlineStr">
        <is>
          <t>Payloder 930K</t>
        </is>
      </c>
      <c r="H115" s="92" t="n"/>
      <c r="I115" s="90" t="n"/>
      <c r="J115" s="90" t="n">
        <v>143</v>
      </c>
      <c r="K115" s="90" t="n">
        <v>72</v>
      </c>
      <c r="L115" s="93" t="n">
        <v>215</v>
      </c>
      <c r="M115" s="94" t="n">
        <v>27</v>
      </c>
      <c r="N115" s="95" t="n">
        <v>5805</v>
      </c>
    </row>
    <row r="116" ht="20" customHeight="1">
      <c r="F116" s="80" t="inlineStr">
        <is>
          <t>TOTAL LITROS</t>
        </is>
      </c>
      <c r="G116" s="131" t="n"/>
      <c r="H116" s="132" t="n"/>
      <c r="I116" s="98" t="n">
        <v>510</v>
      </c>
      <c r="J116" s="98" t="n">
        <v>844</v>
      </c>
      <c r="K116" s="97" t="n">
        <v>-85.06</v>
      </c>
      <c r="L116" s="80" t="n">
        <v>1268.94</v>
      </c>
      <c r="M116" s="15" t="n"/>
      <c r="N116" s="16" t="n">
        <v>34261.38</v>
      </c>
    </row>
    <row r="117" ht="20" customHeight="1">
      <c r="F117" s="99" t="inlineStr">
        <is>
          <t>IMPORTE SEMANAL AUTORIZADO: $75,600.00  (Litros aut.: 2,800.00 L)</t>
        </is>
      </c>
      <c r="G117" s="131" t="n"/>
      <c r="H117" s="131" t="n"/>
      <c r="I117" s="131" t="n"/>
      <c r="J117" s="131" t="n"/>
      <c r="K117" s="131" t="n"/>
      <c r="L117" s="131" t="n"/>
      <c r="M117" s="132" t="n"/>
      <c r="N117" s="101" t="n">
        <v>34261.38</v>
      </c>
    </row>
    <row r="120" ht="22" customHeight="1">
      <c r="F120" s="81" t="inlineStr">
        <is>
          <t>LUIS</t>
        </is>
      </c>
      <c r="G120" s="131" t="n"/>
      <c r="H120" s="131" t="n"/>
      <c r="I120" s="131" t="n"/>
      <c r="J120" s="131" t="n"/>
      <c r="K120" s="131" t="n"/>
      <c r="L120" s="131" t="n"/>
      <c r="M120" s="131" t="n"/>
      <c r="N120" s="131" t="n"/>
      <c r="O120" s="131" t="n"/>
      <c r="P120" s="131" t="n"/>
      <c r="Q120" s="132" t="n"/>
    </row>
    <row r="121" ht="28" customHeight="1">
      <c r="F121" s="4" t="inlineStr">
        <is>
          <t>#</t>
        </is>
      </c>
      <c r="G121" s="4" t="inlineStr">
        <is>
          <t>EQUIPO / MAQUINARIA</t>
        </is>
      </c>
      <c r="H121" s="4" t="inlineStr">
        <is>
          <t>LTS. SEM.
AUT.</t>
        </is>
      </c>
      <c r="I121" s="4" t="inlineStr">
        <is>
          <t>Lun
29/06</t>
        </is>
      </c>
      <c r="J121" s="4" t="inlineStr">
        <is>
          <t>Mar
30/06</t>
        </is>
      </c>
      <c r="K121" s="4" t="inlineStr">
        <is>
          <t>Mié
01/07</t>
        </is>
      </c>
      <c r="L121" s="4" t="inlineStr">
        <is>
          <t>Jue
02/07</t>
        </is>
      </c>
      <c r="M121" s="4" t="inlineStr">
        <is>
          <t>Vie
03/07</t>
        </is>
      </c>
      <c r="N121" s="4" t="inlineStr">
        <is>
          <t>Sáb
04/07</t>
        </is>
      </c>
      <c r="O121" s="4" t="inlineStr">
        <is>
          <t>LITROS
TOTAL</t>
        </is>
      </c>
      <c r="P121" s="4" t="inlineStr">
        <is>
          <t>PRECIO
UNIT.</t>
        </is>
      </c>
      <c r="Q121" s="4" t="inlineStr">
        <is>
          <t>TOTAL $</t>
        </is>
      </c>
    </row>
    <row r="122" ht="22" customHeight="1">
      <c r="F122" s="82" t="n"/>
      <c r="G122" s="83" t="inlineStr">
        <is>
          <t>OBRA DESTINO</t>
        </is>
      </c>
      <c r="H122" s="82" t="n"/>
      <c r="I122" s="84" t="inlineStr">
        <is>
          <t>Planta Huixquilucan</t>
        </is>
      </c>
      <c r="J122" s="84" t="inlineStr">
        <is>
          <t>Planta Huixquilucan</t>
        </is>
      </c>
      <c r="K122" s="84" t="inlineStr">
        <is>
          <t>Planta Huixquilucan</t>
        </is>
      </c>
      <c r="L122" s="84" t="inlineStr">
        <is>
          <t>Planta Huixquilucan</t>
        </is>
      </c>
      <c r="M122" s="84" t="inlineStr">
        <is>
          <t>Planta Huixquilucan</t>
        </is>
      </c>
      <c r="N122" s="84" t="inlineStr">
        <is>
          <t>Planta Huixquilucan</t>
        </is>
      </c>
      <c r="O122" s="82" t="n"/>
      <c r="P122" s="82" t="n"/>
      <c r="Q122" s="82" t="n"/>
    </row>
    <row r="123" ht="18" customHeight="1">
      <c r="F123" s="85" t="n">
        <v>1</v>
      </c>
      <c r="G123" s="86" t="inlineStr">
        <is>
          <t>AJUSTE DIESEL</t>
        </is>
      </c>
      <c r="H123" s="87" t="n">
        <v>3500</v>
      </c>
      <c r="I123" s="85" t="n"/>
      <c r="J123" s="85" t="n"/>
      <c r="K123" s="85" t="n"/>
      <c r="L123" s="85" t="n">
        <v>136</v>
      </c>
      <c r="M123" s="85" t="n"/>
      <c r="N123" s="85" t="n"/>
      <c r="O123" s="88" t="n">
        <v>136</v>
      </c>
      <c r="P123" s="55" t="n">
        <v>27</v>
      </c>
      <c r="Q123" s="89" t="n">
        <v>3672</v>
      </c>
    </row>
    <row r="124" ht="18" customHeight="1">
      <c r="F124" s="90" t="n">
        <v>2</v>
      </c>
      <c r="G124" s="91" t="inlineStr">
        <is>
          <t>CALDERA TRIASO</t>
        </is>
      </c>
      <c r="H124" s="92" t="n"/>
      <c r="I124" s="90" t="n"/>
      <c r="J124" s="90" t="n"/>
      <c r="K124" s="90" t="n"/>
      <c r="L124" s="90" t="n"/>
      <c r="M124" s="90" t="n">
        <v>200</v>
      </c>
      <c r="N124" s="90" t="n"/>
      <c r="O124" s="93" t="n">
        <v>200</v>
      </c>
      <c r="P124" s="94" t="n">
        <v>27</v>
      </c>
      <c r="Q124" s="95" t="n">
        <v>5400</v>
      </c>
    </row>
    <row r="125" ht="18" customHeight="1">
      <c r="F125" s="85" t="n">
        <v>3</v>
      </c>
      <c r="G125" s="86" t="inlineStr">
        <is>
          <t>CRIBA ROJA</t>
        </is>
      </c>
      <c r="H125" s="96" t="n"/>
      <c r="I125" s="85" t="n"/>
      <c r="J125" s="85" t="n"/>
      <c r="K125" s="85" t="n">
        <v>120</v>
      </c>
      <c r="L125" s="85" t="n"/>
      <c r="M125" s="85" t="n"/>
      <c r="N125" s="85" t="n">
        <v>80</v>
      </c>
      <c r="O125" s="88" t="n">
        <v>200</v>
      </c>
      <c r="P125" s="55" t="n">
        <v>27</v>
      </c>
      <c r="Q125" s="89" t="n">
        <v>5400</v>
      </c>
    </row>
    <row r="126" ht="18" customHeight="1">
      <c r="F126" s="90" t="n">
        <v>4</v>
      </c>
      <c r="G126" s="91" t="inlineStr">
        <is>
          <t>GENERADOR</t>
        </is>
      </c>
      <c r="H126" s="92" t="n"/>
      <c r="I126" s="90" t="n">
        <v>300</v>
      </c>
      <c r="J126" s="90" t="n"/>
      <c r="K126" s="90" t="n"/>
      <c r="L126" s="90" t="n">
        <v>200</v>
      </c>
      <c r="M126" s="90" t="n">
        <v>200</v>
      </c>
      <c r="N126" s="90" t="n"/>
      <c r="O126" s="93" t="n">
        <v>700</v>
      </c>
      <c r="P126" s="94" t="n">
        <v>27</v>
      </c>
      <c r="Q126" s="95" t="n">
        <v>18900</v>
      </c>
    </row>
    <row r="127" ht="18" customHeight="1">
      <c r="F127" s="85" t="n">
        <v>5</v>
      </c>
      <c r="G127" s="86" t="inlineStr">
        <is>
          <t>GENERADOR AMMANN</t>
        </is>
      </c>
      <c r="H127" s="96" t="n"/>
      <c r="I127" s="85" t="n">
        <v>280</v>
      </c>
      <c r="J127" s="85" t="n">
        <v>100</v>
      </c>
      <c r="K127" s="85" t="n">
        <v>300</v>
      </c>
      <c r="L127" s="85" t="n"/>
      <c r="M127" s="85" t="n"/>
      <c r="N127" s="85" t="n">
        <v>200</v>
      </c>
      <c r="O127" s="88" t="n">
        <v>880</v>
      </c>
      <c r="P127" s="55" t="n">
        <v>27</v>
      </c>
      <c r="Q127" s="89" t="n">
        <v>23760</v>
      </c>
    </row>
    <row r="128" ht="18" customHeight="1">
      <c r="F128" s="90" t="n">
        <v>6</v>
      </c>
      <c r="G128" s="91" t="inlineStr">
        <is>
          <t>PAYLODER</t>
        </is>
      </c>
      <c r="H128" s="92" t="n"/>
      <c r="I128" s="90" t="n"/>
      <c r="J128" s="90" t="n"/>
      <c r="K128" s="90" t="n">
        <v>180</v>
      </c>
      <c r="L128" s="90" t="n"/>
      <c r="M128" s="90" t="n">
        <v>100</v>
      </c>
      <c r="N128" s="90" t="n"/>
      <c r="O128" s="93" t="n">
        <v>280</v>
      </c>
      <c r="P128" s="94" t="n">
        <v>27</v>
      </c>
      <c r="Q128" s="95" t="n">
        <v>7560</v>
      </c>
    </row>
    <row r="129" ht="20" customHeight="1">
      <c r="F129" s="80" t="inlineStr">
        <is>
          <t>TOTAL LITROS</t>
        </is>
      </c>
      <c r="G129" s="131" t="n"/>
      <c r="H129" s="132" t="n"/>
      <c r="I129" s="98" t="n">
        <v>580</v>
      </c>
      <c r="J129" s="97" t="n">
        <v>100</v>
      </c>
      <c r="K129" s="98" t="n">
        <v>600</v>
      </c>
      <c r="L129" s="97" t="n">
        <v>336</v>
      </c>
      <c r="M129" s="97" t="n">
        <v>500</v>
      </c>
      <c r="N129" s="97" t="n">
        <v>280</v>
      </c>
      <c r="O129" s="80" t="n">
        <v>2396</v>
      </c>
      <c r="P129" s="15" t="n"/>
      <c r="Q129" s="16" t="n">
        <v>64692</v>
      </c>
    </row>
    <row r="130" ht="20" customHeight="1">
      <c r="F130" s="99" t="inlineStr">
        <is>
          <t>IMPORTE SEMANAL AUTORIZADO: $94,500.00  (Litros aut.: 3,500.00 L)</t>
        </is>
      </c>
      <c r="G130" s="131" t="n"/>
      <c r="H130" s="131" t="n"/>
      <c r="I130" s="131" t="n"/>
      <c r="J130" s="131" t="n"/>
      <c r="K130" s="131" t="n"/>
      <c r="L130" s="131" t="n"/>
      <c r="M130" s="131" t="n"/>
      <c r="N130" s="131" t="n"/>
      <c r="O130" s="131" t="n"/>
      <c r="P130" s="132" t="n"/>
      <c r="Q130" s="101" t="n">
        <v>64692</v>
      </c>
    </row>
    <row r="133" ht="22" customHeight="1">
      <c r="F133" s="81" t="inlineStr">
        <is>
          <t>SAMUEL</t>
        </is>
      </c>
      <c r="G133" s="131" t="n"/>
      <c r="H133" s="131" t="n"/>
      <c r="I133" s="131" t="n"/>
      <c r="J133" s="131" t="n"/>
      <c r="K133" s="131" t="n"/>
      <c r="L133" s="131" t="n"/>
      <c r="M133" s="132" t="n"/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Mar
30/06</t>
        </is>
      </c>
      <c r="J134" s="4" t="inlineStr">
        <is>
          <t>Jue
02/07</t>
        </is>
      </c>
      <c r="K134" s="4" t="inlineStr">
        <is>
          <t>LITROS
TOTAL</t>
        </is>
      </c>
      <c r="L134" s="4" t="inlineStr">
        <is>
          <t>PRECIO
UNIT.</t>
        </is>
      </c>
      <c r="M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Providencia</t>
        </is>
      </c>
      <c r="J135" s="84" t="inlineStr">
        <is>
          <t>Providencia</t>
        </is>
      </c>
      <c r="K135" s="82" t="n"/>
      <c r="L135" s="82" t="n"/>
      <c r="M135" s="82" t="n"/>
    </row>
    <row r="136" ht="18" customHeight="1">
      <c r="F136" s="85" t="n">
        <v>1</v>
      </c>
      <c r="G136" s="86" t="inlineStr">
        <is>
          <t>AJUSTE DIESEL</t>
        </is>
      </c>
      <c r="H136" s="96" t="n"/>
      <c r="I136" s="85" t="n"/>
      <c r="J136" s="85" t="n">
        <v>-264</v>
      </c>
      <c r="K136" s="88" t="n">
        <v>-264</v>
      </c>
      <c r="L136" s="55" t="n">
        <v>27</v>
      </c>
      <c r="M136" s="89" t="n">
        <v>-7128</v>
      </c>
    </row>
    <row r="137" ht="18" customHeight="1">
      <c r="F137" s="90" t="n">
        <v>2</v>
      </c>
      <c r="G137" s="91" t="inlineStr">
        <is>
          <t>BARREDORA BROCE RJ350</t>
        </is>
      </c>
      <c r="H137" s="92" t="n"/>
      <c r="I137" s="90" t="n"/>
      <c r="J137" s="90" t="n">
        <v>70</v>
      </c>
      <c r="K137" s="93" t="n">
        <v>70</v>
      </c>
      <c r="L137" s="94" t="n">
        <v>27</v>
      </c>
      <c r="M137" s="95" t="n">
        <v>1890</v>
      </c>
    </row>
    <row r="138" ht="18" customHeight="1">
      <c r="F138" s="85" t="n">
        <v>3</v>
      </c>
      <c r="G138" s="86" t="inlineStr">
        <is>
          <t>BIDONES</t>
        </is>
      </c>
      <c r="H138" s="96" t="n"/>
      <c r="I138" s="85" t="n"/>
      <c r="J138" s="85" t="n">
        <v>25</v>
      </c>
      <c r="K138" s="88" t="n">
        <v>25</v>
      </c>
      <c r="L138" s="55" t="n">
        <v>27</v>
      </c>
      <c r="M138" s="89" t="n">
        <v>675</v>
      </c>
    </row>
    <row r="139" ht="18" customHeight="1">
      <c r="F139" s="90" t="n">
        <v>4</v>
      </c>
      <c r="G139" s="91" t="inlineStr">
        <is>
          <t>CAMION DE SELLO</t>
        </is>
      </c>
      <c r="H139" s="92" t="n"/>
      <c r="I139" s="90" t="n">
        <v>100</v>
      </c>
      <c r="J139" s="90" t="n"/>
      <c r="K139" s="93" t="n">
        <v>100</v>
      </c>
      <c r="L139" s="94" t="n">
        <v>27</v>
      </c>
      <c r="M139" s="95" t="n">
        <v>2700</v>
      </c>
    </row>
    <row r="140" ht="18" customHeight="1">
      <c r="F140" s="85" t="n">
        <v>5</v>
      </c>
      <c r="G140" s="86" t="inlineStr">
        <is>
          <t>ESPARCIDOR DE SELLO</t>
        </is>
      </c>
      <c r="H140" s="96" t="n"/>
      <c r="I140" s="85" t="n"/>
      <c r="J140" s="85" t="n">
        <v>150</v>
      </c>
      <c r="K140" s="88" t="n">
        <v>150</v>
      </c>
      <c r="L140" s="55" t="n">
        <v>27</v>
      </c>
      <c r="M140" s="89" t="n">
        <v>4050</v>
      </c>
    </row>
    <row r="141" ht="18" customHeight="1">
      <c r="F141" s="90" t="n">
        <v>6</v>
      </c>
      <c r="G141" s="91" t="inlineStr">
        <is>
          <t>NEUMATICO / COMPACTADOR DE NEUMATICOS DINAPAC CP271</t>
        </is>
      </c>
      <c r="H141" s="92" t="n"/>
      <c r="I141" s="90" t="n">
        <v>50</v>
      </c>
      <c r="J141" s="90" t="n"/>
      <c r="K141" s="93" t="n">
        <v>50</v>
      </c>
      <c r="L141" s="94" t="n">
        <v>27</v>
      </c>
      <c r="M141" s="95" t="n">
        <v>1350</v>
      </c>
    </row>
    <row r="142" ht="18" customHeight="1">
      <c r="F142" s="85" t="n">
        <v>7</v>
      </c>
      <c r="G142" s="86" t="inlineStr">
        <is>
          <t>NEUMATICO BOMAG</t>
        </is>
      </c>
      <c r="H142" s="96" t="n"/>
      <c r="I142" s="85" t="n"/>
      <c r="J142" s="85" t="n">
        <v>78</v>
      </c>
      <c r="K142" s="88" t="n">
        <v>78</v>
      </c>
      <c r="L142" s="55" t="n">
        <v>27</v>
      </c>
      <c r="M142" s="89" t="n">
        <v>2106</v>
      </c>
    </row>
    <row r="143" ht="18" customHeight="1">
      <c r="F143" s="90" t="n">
        <v>8</v>
      </c>
      <c r="G143" s="91" t="inlineStr">
        <is>
          <t>NEUMATICO VOLVO PT-125R</t>
        </is>
      </c>
      <c r="H143" s="92" t="n"/>
      <c r="I143" s="90" t="n">
        <v>50</v>
      </c>
      <c r="J143" s="90" t="n"/>
      <c r="K143" s="93" t="n">
        <v>50</v>
      </c>
      <c r="L143" s="94" t="n">
        <v>27</v>
      </c>
      <c r="M143" s="95" t="n">
        <v>1350</v>
      </c>
    </row>
    <row r="144" ht="18" customHeight="1">
      <c r="F144" s="85" t="n">
        <v>9</v>
      </c>
      <c r="G144" s="86" t="inlineStr">
        <is>
          <t>RETROEXCAVADORA CASE 580 N</t>
        </is>
      </c>
      <c r="H144" s="96" t="n"/>
      <c r="I144" s="85" t="n"/>
      <c r="J144" s="85" t="n">
        <v>30</v>
      </c>
      <c r="K144" s="88" t="n">
        <v>30</v>
      </c>
      <c r="L144" s="55" t="n">
        <v>27</v>
      </c>
      <c r="M144" s="89" t="n">
        <v>810</v>
      </c>
    </row>
    <row r="145" ht="20" customHeight="1">
      <c r="F145" s="80" t="inlineStr">
        <is>
          <t>TOTAL LITROS</t>
        </is>
      </c>
      <c r="G145" s="131" t="n"/>
      <c r="H145" s="132" t="n"/>
      <c r="I145" s="97" t="n">
        <v>200</v>
      </c>
      <c r="J145" s="97" t="n">
        <v>89</v>
      </c>
      <c r="K145" s="80" t="n">
        <v>289</v>
      </c>
      <c r="L145" s="15" t="n"/>
      <c r="M145" s="16" t="n">
        <v>7803</v>
      </c>
    </row>
    <row r="146" ht="20" customHeight="1">
      <c r="F146" s="99" t="inlineStr">
        <is>
          <t>IMPORTE SEMANAL AUTORIZADO: $0.00  (Litros aut.: 0.00 L)</t>
        </is>
      </c>
      <c r="G146" s="131" t="n"/>
      <c r="H146" s="131" t="n"/>
      <c r="I146" s="131" t="n"/>
      <c r="J146" s="131" t="n"/>
      <c r="K146" s="131" t="n"/>
      <c r="L146" s="132" t="n"/>
      <c r="M146" s="130" t="n">
        <v>7803</v>
      </c>
    </row>
    <row r="151" ht="24" customHeight="1">
      <c r="F151" s="102" t="inlineStr">
        <is>
          <t>▶ FACTURADO POR OBRA Y DÍA — DIESEL (FOLIOS, MONTOS CON IVA Y LITROS — SEMANA 27)</t>
        </is>
      </c>
      <c r="G151" s="131" t="n"/>
      <c r="H151" s="131" t="n"/>
      <c r="I151" s="131" t="n"/>
      <c r="J151" s="131" t="n"/>
      <c r="K151" s="131" t="n"/>
      <c r="L151" s="131" t="n"/>
      <c r="M151" s="131" t="n"/>
      <c r="N151" s="131" t="n"/>
      <c r="O151" s="131" t="n"/>
      <c r="P151" s="131" t="n"/>
      <c r="Q151" s="131" t="n"/>
      <c r="R151" s="131" t="n"/>
      <c r="S151" s="131" t="n"/>
      <c r="T151" s="131" t="n"/>
      <c r="U151" s="131" t="n"/>
      <c r="V151" s="131" t="n"/>
      <c r="W151" s="131" t="n"/>
      <c r="X151" s="131" t="n"/>
      <c r="Y151" s="131" t="n"/>
      <c r="Z151" s="131" t="n"/>
      <c r="AA151" s="132" t="n"/>
    </row>
    <row r="152" ht="20" customHeight="1">
      <c r="F152" s="4" t="inlineStr">
        <is>
          <t>OBRA / DESTINO</t>
        </is>
      </c>
      <c r="G152" s="4" t="inlineStr">
        <is>
          <t>LUN 29-JUN</t>
        </is>
      </c>
      <c r="H152" s="131" t="n"/>
      <c r="I152" s="132" t="n"/>
      <c r="J152" s="4" t="inlineStr">
        <is>
          <t>MAR 30-JUN</t>
        </is>
      </c>
      <c r="K152" s="131" t="n"/>
      <c r="L152" s="132" t="n"/>
      <c r="M152" s="4" t="inlineStr">
        <is>
          <t>MIÉ 01-JUL</t>
        </is>
      </c>
      <c r="N152" s="131" t="n"/>
      <c r="O152" s="132" t="n"/>
      <c r="P152" s="4" t="inlineStr">
        <is>
          <t>JUE 02-JUL</t>
        </is>
      </c>
      <c r="Q152" s="131" t="n"/>
      <c r="R152" s="132" t="n"/>
      <c r="S152" s="4" t="inlineStr">
        <is>
          <t>VIE 03-JUL</t>
        </is>
      </c>
      <c r="T152" s="131" t="n"/>
      <c r="U152" s="132" t="n"/>
      <c r="V152" s="4" t="inlineStr">
        <is>
          <t>SÁB 04-JUL</t>
        </is>
      </c>
      <c r="W152" s="131" t="n"/>
      <c r="X152" s="132" t="n"/>
      <c r="Y152" s="4" t="inlineStr">
        <is>
          <t>TOTALES ACUMULADOS</t>
        </is>
      </c>
      <c r="Z152" s="131" t="n"/>
      <c r="AA152" s="132" t="n"/>
    </row>
    <row r="153" ht="20" customHeight="1">
      <c r="F153" s="135" t="n"/>
      <c r="G153" s="4" t="inlineStr">
        <is>
          <t>FACTURA</t>
        </is>
      </c>
      <c r="H153" s="4" t="inlineStr">
        <is>
          <t>MONTO ($)</t>
        </is>
      </c>
      <c r="I153" s="4" t="inlineStr">
        <is>
          <t>LITROS</t>
        </is>
      </c>
      <c r="J153" s="4" t="inlineStr">
        <is>
          <t>FACTURA</t>
        </is>
      </c>
      <c r="K153" s="4" t="inlineStr">
        <is>
          <t>MONTO ($)</t>
        </is>
      </c>
      <c r="L153" s="4" t="inlineStr">
        <is>
          <t>LITROS</t>
        </is>
      </c>
      <c r="M153" s="4" t="inlineStr">
        <is>
          <t>FACTURA</t>
        </is>
      </c>
      <c r="N153" s="4" t="inlineStr">
        <is>
          <t>MONTO ($)</t>
        </is>
      </c>
      <c r="O153" s="4" t="inlineStr">
        <is>
          <t>LITROS</t>
        </is>
      </c>
      <c r="P153" s="4" t="inlineStr">
        <is>
          <t>FACTURA</t>
        </is>
      </c>
      <c r="Q153" s="4" t="inlineStr">
        <is>
          <t>MONTO ($)</t>
        </is>
      </c>
      <c r="R153" s="4" t="inlineStr">
        <is>
          <t>LITROS</t>
        </is>
      </c>
      <c r="S153" s="4" t="inlineStr">
        <is>
          <t>FACTURA</t>
        </is>
      </c>
      <c r="T153" s="4" t="inlineStr">
        <is>
          <t>MONTO ($)</t>
        </is>
      </c>
      <c r="U153" s="4" t="inlineStr">
        <is>
          <t>LITROS</t>
        </is>
      </c>
      <c r="V153" s="4" t="inlineStr">
        <is>
          <t>FACTURA</t>
        </is>
      </c>
      <c r="W153" s="4" t="inlineStr">
        <is>
          <t>MONTO ($)</t>
        </is>
      </c>
      <c r="X153" s="4" t="inlineStr">
        <is>
          <t>LITROS</t>
        </is>
      </c>
      <c r="Y153" s="4" t="inlineStr">
        <is>
          <t>TOTAL FACTURAS</t>
        </is>
      </c>
      <c r="Z153" s="4" t="inlineStr">
        <is>
          <t>TOTAL MONTO</t>
        </is>
      </c>
      <c r="AA153" s="4" t="inlineStr">
        <is>
          <t>TOTAL LITROS</t>
        </is>
      </c>
    </row>
    <row r="154" ht="20" customHeight="1">
      <c r="F154" s="5" t="inlineStr">
        <is>
          <t>Bacheo Toluca</t>
        </is>
      </c>
      <c r="G154" s="119" t="inlineStr">
        <is>
          <t>-</t>
        </is>
      </c>
      <c r="H154" s="120" t="inlineStr">
        <is>
          <t>-</t>
        </is>
      </c>
      <c r="I154" s="120" t="inlineStr">
        <is>
          <t>-</t>
        </is>
      </c>
      <c r="J154" s="119" t="inlineStr">
        <is>
          <t>-</t>
        </is>
      </c>
      <c r="K154" s="120" t="inlineStr">
        <is>
          <t>-</t>
        </is>
      </c>
      <c r="L154" s="120" t="inlineStr">
        <is>
          <t>-</t>
        </is>
      </c>
      <c r="M154" s="116" t="inlineStr">
        <is>
          <t>A10323</t>
        </is>
      </c>
      <c r="N154" s="117" t="n">
        <v>10800.1</v>
      </c>
      <c r="O154" s="118" t="n">
        <v>400</v>
      </c>
      <c r="P154" s="116" t="inlineStr">
        <is>
          <t>A10332</t>
        </is>
      </c>
      <c r="Q154" s="117" t="n">
        <v>6480.03</v>
      </c>
      <c r="R154" s="118" t="n">
        <v>240</v>
      </c>
      <c r="S154" s="116" t="inlineStr">
        <is>
          <t>A10350</t>
        </is>
      </c>
      <c r="T154" s="117" t="n">
        <v>16470.05</v>
      </c>
      <c r="U154" s="118" t="n">
        <v>610</v>
      </c>
      <c r="V154" s="119" t="inlineStr">
        <is>
          <t>-</t>
        </is>
      </c>
      <c r="W154" s="120" t="inlineStr">
        <is>
          <t>-</t>
        </is>
      </c>
      <c r="X154" s="120" t="inlineStr">
        <is>
          <t>-</t>
        </is>
      </c>
      <c r="Y154" s="121" t="inlineStr">
        <is>
          <t>3 Factura(s)</t>
        </is>
      </c>
      <c r="Z154" s="122" t="n">
        <v>33750.18</v>
      </c>
      <c r="AA154" s="123" t="n">
        <v>1250</v>
      </c>
    </row>
    <row r="155" ht="20" customHeight="1">
      <c r="F155" s="9" t="inlineStr">
        <is>
          <t>Lerma - Tres Marías</t>
        </is>
      </c>
      <c r="G155" s="124" t="inlineStr">
        <is>
          <t>-</t>
        </is>
      </c>
      <c r="H155" s="125" t="inlineStr">
        <is>
          <t>-</t>
        </is>
      </c>
      <c r="I155" s="125" t="inlineStr">
        <is>
          <t>-</t>
        </is>
      </c>
      <c r="J155" s="116" t="inlineStr">
        <is>
          <t>A10286</t>
        </is>
      </c>
      <c r="K155" s="117" t="n">
        <v>11610.05</v>
      </c>
      <c r="L155" s="118" t="n">
        <v>430</v>
      </c>
      <c r="M155" s="116" t="inlineStr">
        <is>
          <t>A10320</t>
        </is>
      </c>
      <c r="N155" s="117" t="n">
        <v>5400.05</v>
      </c>
      <c r="O155" s="118" t="n">
        <v>200</v>
      </c>
      <c r="P155" s="116" t="inlineStr">
        <is>
          <t>A10331</t>
        </is>
      </c>
      <c r="Q155" s="117" t="n">
        <v>20520.09</v>
      </c>
      <c r="R155" s="118" t="n">
        <v>760</v>
      </c>
      <c r="S155" s="124" t="inlineStr">
        <is>
          <t>-</t>
        </is>
      </c>
      <c r="T155" s="125" t="inlineStr">
        <is>
          <t>-</t>
        </is>
      </c>
      <c r="U155" s="125" t="inlineStr">
        <is>
          <t>-</t>
        </is>
      </c>
      <c r="V155" s="124" t="inlineStr">
        <is>
          <t>-</t>
        </is>
      </c>
      <c r="W155" s="125" t="inlineStr">
        <is>
          <t>-</t>
        </is>
      </c>
      <c r="X155" s="125" t="inlineStr">
        <is>
          <t>-</t>
        </is>
      </c>
      <c r="Y155" s="126" t="inlineStr">
        <is>
          <t>3 Factura(s)</t>
        </is>
      </c>
      <c r="Z155" s="127" t="n">
        <v>37530.19</v>
      </c>
      <c r="AA155" s="128" t="n">
        <v>1390</v>
      </c>
    </row>
    <row r="156" ht="20" customHeight="1">
      <c r="F156" s="5" t="inlineStr">
        <is>
          <t>México - Toluca</t>
        </is>
      </c>
      <c r="G156" s="116" t="inlineStr">
        <is>
          <t>A10253</t>
        </is>
      </c>
      <c r="H156" s="117" t="n">
        <v>19170.03</v>
      </c>
      <c r="I156" s="118" t="n">
        <v>710</v>
      </c>
      <c r="J156" s="116" t="inlineStr">
        <is>
          <t>A10298</t>
        </is>
      </c>
      <c r="K156" s="117" t="n">
        <v>15660.1</v>
      </c>
      <c r="L156" s="118" t="n">
        <v>580</v>
      </c>
      <c r="M156" s="116" t="inlineStr">
        <is>
          <t>A10319</t>
        </is>
      </c>
      <c r="N156" s="117" t="n">
        <v>17820.08</v>
      </c>
      <c r="O156" s="118" t="n">
        <v>660</v>
      </c>
      <c r="P156" s="116" t="inlineStr">
        <is>
          <t>A10335</t>
        </is>
      </c>
      <c r="Q156" s="117" t="n">
        <v>41715.19</v>
      </c>
      <c r="R156" s="118" t="n">
        <v>1545</v>
      </c>
      <c r="S156" s="119" t="inlineStr">
        <is>
          <t>-</t>
        </is>
      </c>
      <c r="T156" s="120" t="inlineStr">
        <is>
          <t>-</t>
        </is>
      </c>
      <c r="U156" s="120" t="inlineStr">
        <is>
          <t>-</t>
        </is>
      </c>
      <c r="V156" s="116" t="inlineStr">
        <is>
          <t>A10351</t>
        </is>
      </c>
      <c r="W156" s="117" t="n">
        <v>4050.03</v>
      </c>
      <c r="X156" s="118" t="n">
        <v>150</v>
      </c>
      <c r="Y156" s="121" t="inlineStr">
        <is>
          <t>5 Factura(s)</t>
        </is>
      </c>
      <c r="Z156" s="122" t="n">
        <v>98415.42999999999</v>
      </c>
      <c r="AA156" s="123" t="n">
        <v>3645</v>
      </c>
    </row>
    <row r="157" ht="20" customHeight="1">
      <c r="F157" s="9" t="inlineStr">
        <is>
          <t>Planta Huixquilucan</t>
        </is>
      </c>
      <c r="G157" s="116" t="inlineStr">
        <is>
          <t>A10254</t>
        </is>
      </c>
      <c r="H157" s="117" t="n">
        <v>18900.06</v>
      </c>
      <c r="I157" s="118" t="n">
        <v>700</v>
      </c>
      <c r="J157" s="124" t="inlineStr">
        <is>
          <t>-</t>
        </is>
      </c>
      <c r="K157" s="125" t="inlineStr">
        <is>
          <t>-</t>
        </is>
      </c>
      <c r="L157" s="125" t="inlineStr">
        <is>
          <t>-</t>
        </is>
      </c>
      <c r="M157" s="116" t="inlineStr">
        <is>
          <t>A10324</t>
        </is>
      </c>
      <c r="N157" s="117" t="n">
        <v>16200.1</v>
      </c>
      <c r="O157" s="118" t="n">
        <v>600</v>
      </c>
      <c r="P157" s="116" t="inlineStr">
        <is>
          <t>A10333</t>
        </is>
      </c>
      <c r="Q157" s="117" t="n">
        <v>10800.13</v>
      </c>
      <c r="R157" s="118" t="n">
        <v>400</v>
      </c>
      <c r="S157" s="116" t="inlineStr">
        <is>
          <t>A10336</t>
        </is>
      </c>
      <c r="T157" s="117" t="n">
        <v>8100.05</v>
      </c>
      <c r="U157" s="118" t="n">
        <v>300</v>
      </c>
      <c r="V157" s="116" t="inlineStr">
        <is>
          <t>A10349</t>
        </is>
      </c>
      <c r="W157" s="117" t="n">
        <v>10800.1</v>
      </c>
      <c r="X157" s="118" t="n">
        <v>400</v>
      </c>
      <c r="Y157" s="126" t="inlineStr">
        <is>
          <t>5 Factura(s)</t>
        </is>
      </c>
      <c r="Z157" s="127" t="n">
        <v>64800.44000000001</v>
      </c>
      <c r="AA157" s="128" t="n">
        <v>2400</v>
      </c>
    </row>
    <row r="158" ht="20" customHeight="1">
      <c r="F158" s="5" t="inlineStr">
        <is>
          <t>Planta Pegaso</t>
        </is>
      </c>
      <c r="G158" s="119" t="inlineStr">
        <is>
          <t>-</t>
        </is>
      </c>
      <c r="H158" s="120" t="inlineStr">
        <is>
          <t>-</t>
        </is>
      </c>
      <c r="I158" s="120" t="inlineStr">
        <is>
          <t>-</t>
        </is>
      </c>
      <c r="J158" s="119" t="inlineStr">
        <is>
          <t>-</t>
        </is>
      </c>
      <c r="K158" s="120" t="inlineStr">
        <is>
          <t>-</t>
        </is>
      </c>
      <c r="L158" s="120" t="inlineStr">
        <is>
          <t>-</t>
        </is>
      </c>
      <c r="M158" s="116" t="inlineStr">
        <is>
          <t>A23783095</t>
        </is>
      </c>
      <c r="N158" s="117" t="n">
        <v>10800.13</v>
      </c>
      <c r="O158" s="118" t="n">
        <v>400</v>
      </c>
      <c r="P158" s="119" t="inlineStr">
        <is>
          <t>-</t>
        </is>
      </c>
      <c r="Q158" s="120" t="inlineStr">
        <is>
          <t>-</t>
        </is>
      </c>
      <c r="R158" s="120" t="inlineStr">
        <is>
          <t>-</t>
        </is>
      </c>
      <c r="S158" s="116" t="inlineStr">
        <is>
          <t>A10339</t>
        </is>
      </c>
      <c r="T158" s="117" t="n">
        <v>17251.41</v>
      </c>
      <c r="U158" s="118" t="n">
        <v>638.9400000000001</v>
      </c>
      <c r="V158" s="116" t="inlineStr">
        <is>
          <t>A10352</t>
        </is>
      </c>
      <c r="W158" s="117" t="n">
        <v>6480.03</v>
      </c>
      <c r="X158" s="118" t="n">
        <v>240</v>
      </c>
      <c r="Y158" s="121" t="inlineStr">
        <is>
          <t>3 Factura(s)</t>
        </is>
      </c>
      <c r="Z158" s="122" t="n">
        <v>34531.57</v>
      </c>
      <c r="AA158" s="123" t="n">
        <v>1278.94</v>
      </c>
    </row>
    <row r="159" ht="20" customHeight="1">
      <c r="F159" s="9" t="inlineStr">
        <is>
          <t>Providencia</t>
        </is>
      </c>
      <c r="G159" s="124" t="inlineStr">
        <is>
          <t>-</t>
        </is>
      </c>
      <c r="H159" s="125" t="inlineStr">
        <is>
          <t>-</t>
        </is>
      </c>
      <c r="I159" s="125" t="inlineStr">
        <is>
          <t>-</t>
        </is>
      </c>
      <c r="J159" s="124" t="inlineStr">
        <is>
          <t>-</t>
        </is>
      </c>
      <c r="K159" s="125" t="inlineStr">
        <is>
          <t>-</t>
        </is>
      </c>
      <c r="L159" s="125" t="inlineStr">
        <is>
          <t>-</t>
        </is>
      </c>
      <c r="M159" s="124" t="inlineStr">
        <is>
          <t>-</t>
        </is>
      </c>
      <c r="N159" s="125" t="inlineStr">
        <is>
          <t>-</t>
        </is>
      </c>
      <c r="O159" s="125" t="inlineStr">
        <is>
          <t>-</t>
        </is>
      </c>
      <c r="P159" s="124" t="inlineStr">
        <is>
          <t>-</t>
        </is>
      </c>
      <c r="Q159" s="125" t="inlineStr">
        <is>
          <t>-</t>
        </is>
      </c>
      <c r="R159" s="125" t="inlineStr">
        <is>
          <t>-</t>
        </is>
      </c>
      <c r="S159" s="116" t="inlineStr">
        <is>
          <t>A10338</t>
        </is>
      </c>
      <c r="T159" s="117" t="n">
        <v>9720.030000000001</v>
      </c>
      <c r="U159" s="118" t="n">
        <v>360</v>
      </c>
      <c r="V159" s="124" t="inlineStr">
        <is>
          <t>-</t>
        </is>
      </c>
      <c r="W159" s="125" t="inlineStr">
        <is>
          <t>-</t>
        </is>
      </c>
      <c r="X159" s="125" t="inlineStr">
        <is>
          <t>-</t>
        </is>
      </c>
      <c r="Y159" s="126" t="inlineStr">
        <is>
          <t>1 Factura(s)</t>
        </is>
      </c>
      <c r="Z159" s="127" t="n">
        <v>9720.030000000001</v>
      </c>
      <c r="AA159" s="128" t="n">
        <v>360</v>
      </c>
    </row>
    <row r="160" ht="22" customHeight="1">
      <c r="F160" s="80" t="inlineStr">
        <is>
          <t>TOTAL POR DÍA</t>
        </is>
      </c>
      <c r="G160" s="19" t="inlineStr">
        <is>
          <t>2 Factura(s)</t>
        </is>
      </c>
      <c r="H160" s="16" t="n">
        <v>38070.09</v>
      </c>
      <c r="I160" s="109" t="n">
        <v>1410</v>
      </c>
      <c r="J160" s="19" t="inlineStr">
        <is>
          <t>2 Factura(s)</t>
        </is>
      </c>
      <c r="K160" s="16" t="n">
        <v>27270.15</v>
      </c>
      <c r="L160" s="109" t="n">
        <v>1010</v>
      </c>
      <c r="M160" s="19" t="inlineStr">
        <is>
          <t>5 Factura(s)</t>
        </is>
      </c>
      <c r="N160" s="16" t="n">
        <v>61020.46000000001</v>
      </c>
      <c r="O160" s="109" t="n">
        <v>2260</v>
      </c>
      <c r="P160" s="19" t="inlineStr">
        <is>
          <t>4 Factura(s)</t>
        </is>
      </c>
      <c r="Q160" s="16" t="n">
        <v>79515.44</v>
      </c>
      <c r="R160" s="109" t="n">
        <v>2945</v>
      </c>
      <c r="S160" s="19" t="inlineStr">
        <is>
          <t>4 Factura(s)</t>
        </is>
      </c>
      <c r="T160" s="16" t="n">
        <v>51541.54</v>
      </c>
      <c r="U160" s="109" t="n">
        <v>1908.94</v>
      </c>
      <c r="V160" s="19" t="inlineStr">
        <is>
          <t>3 Factura(s)</t>
        </is>
      </c>
      <c r="W160" s="16" t="n">
        <v>21330.16</v>
      </c>
      <c r="X160" s="109" t="n">
        <v>790</v>
      </c>
      <c r="Y160" s="19" t="inlineStr">
        <is>
          <t>20 Factura(s)</t>
        </is>
      </c>
      <c r="Z160" s="16" t="n">
        <v>278747.84</v>
      </c>
      <c r="AA160" s="109" t="n">
        <v>10323.94</v>
      </c>
    </row>
    <row r="163" ht="24" customHeight="1">
      <c r="F163" s="102" t="inlineStr">
        <is>
          <t>▶ COMPARATIVA FACTURADO VS CONSUMIDO POR OBRA — SEMANA 27</t>
        </is>
      </c>
      <c r="G163" s="131" t="n"/>
      <c r="H163" s="131" t="n"/>
      <c r="I163" s="131" t="n"/>
      <c r="J163" s="131" t="n"/>
      <c r="K163" s="131" t="n"/>
      <c r="L163" s="132" t="n"/>
    </row>
    <row r="164" ht="22" customHeight="1">
      <c r="F164" s="4" t="inlineStr">
        <is>
          <t>OBRA / DESTINO</t>
        </is>
      </c>
      <c r="G164" s="4" t="inlineStr">
        <is>
          <t>LITROS FACTURADOS</t>
        </is>
      </c>
      <c r="H164" s="4" t="inlineStr">
        <is>
          <t>LITROS CONSUMIDOS</t>
        </is>
      </c>
      <c r="I164" s="4" t="inlineStr">
        <is>
          <t>MONTO FACTURADO ($)</t>
        </is>
      </c>
      <c r="J164" s="4" t="inlineStr">
        <is>
          <t>MONTO CONSUMIDO ($)</t>
        </is>
      </c>
      <c r="K164" s="4" t="inlineStr">
        <is>
          <t>VARIACIÓN (LTS)</t>
        </is>
      </c>
      <c r="L164" s="4" t="inlineStr">
        <is>
          <t>VARIACIÓN ($)</t>
        </is>
      </c>
    </row>
    <row r="165" ht="19" customHeight="1">
      <c r="F165" s="5" t="inlineStr">
        <is>
          <t>Bacheo Toluca</t>
        </is>
      </c>
      <c r="G165" s="32" t="n">
        <v>1250</v>
      </c>
      <c r="H165" s="32" t="n">
        <v>1239</v>
      </c>
      <c r="I165" s="33" t="n">
        <v>33750.18</v>
      </c>
      <c r="J165" s="33" t="n">
        <v>33453</v>
      </c>
      <c r="K165" s="103" t="n">
        <v>11</v>
      </c>
      <c r="L165" s="104" t="n">
        <v>297.1800000000003</v>
      </c>
    </row>
    <row r="166" ht="19" customHeight="1">
      <c r="F166" s="9" t="inlineStr">
        <is>
          <t>Lerma - Tres Marías</t>
        </is>
      </c>
      <c r="G166" s="105" t="n">
        <v>1390</v>
      </c>
      <c r="H166" s="105" t="n">
        <v>1384</v>
      </c>
      <c r="I166" s="106" t="n">
        <v>37530.19</v>
      </c>
      <c r="J166" s="106" t="n">
        <v>37368</v>
      </c>
      <c r="K166" s="107" t="n">
        <v>6</v>
      </c>
      <c r="L166" s="108" t="n">
        <v>162.1900000000023</v>
      </c>
    </row>
    <row r="167" ht="19" customHeight="1">
      <c r="F167" s="5" t="inlineStr">
        <is>
          <t>México - Toluca</t>
        </is>
      </c>
      <c r="G167" s="32" t="n">
        <v>3645</v>
      </c>
      <c r="H167" s="32" t="n">
        <v>3637</v>
      </c>
      <c r="I167" s="33" t="n">
        <v>98415.42999999999</v>
      </c>
      <c r="J167" s="33" t="n">
        <v>98199</v>
      </c>
      <c r="K167" s="103" t="n">
        <v>8</v>
      </c>
      <c r="L167" s="104" t="n">
        <v>216.429999999993</v>
      </c>
    </row>
    <row r="168" ht="19" customHeight="1">
      <c r="F168" s="9" t="inlineStr">
        <is>
          <t>Planta Huixquilucan</t>
        </is>
      </c>
      <c r="G168" s="105" t="n">
        <v>2400</v>
      </c>
      <c r="H168" s="105" t="n">
        <v>2396</v>
      </c>
      <c r="I168" s="106" t="n">
        <v>64800.44</v>
      </c>
      <c r="J168" s="106" t="n">
        <v>64692</v>
      </c>
      <c r="K168" s="107" t="n">
        <v>4</v>
      </c>
      <c r="L168" s="108" t="n">
        <v>108.4400000000023</v>
      </c>
    </row>
    <row r="169" ht="19" customHeight="1">
      <c r="F169" s="5" t="inlineStr">
        <is>
          <t>Planta Pegaso</t>
        </is>
      </c>
      <c r="G169" s="32" t="n">
        <v>1278.94</v>
      </c>
      <c r="H169" s="32" t="n">
        <v>1268.94</v>
      </c>
      <c r="I169" s="33" t="n">
        <v>34531.57</v>
      </c>
      <c r="J169" s="33" t="n">
        <v>34261.38</v>
      </c>
      <c r="K169" s="103" t="n">
        <v>10</v>
      </c>
      <c r="L169" s="104" t="n">
        <v>270.1900000000023</v>
      </c>
    </row>
    <row r="170" ht="19" customHeight="1">
      <c r="F170" s="9" t="inlineStr">
        <is>
          <t>Providencia</t>
        </is>
      </c>
      <c r="G170" s="105" t="n">
        <v>360</v>
      </c>
      <c r="H170" s="105" t="n">
        <v>349</v>
      </c>
      <c r="I170" s="106" t="n">
        <v>9720.030000000001</v>
      </c>
      <c r="J170" s="106" t="n">
        <v>9423</v>
      </c>
      <c r="K170" s="107" t="n">
        <v>11</v>
      </c>
      <c r="L170" s="108" t="n">
        <v>297.0300000000007</v>
      </c>
    </row>
    <row r="171" ht="22" customHeight="1">
      <c r="F171" s="80" t="inlineStr">
        <is>
          <t>TOTAL GENERAL POR OBRA:</t>
        </is>
      </c>
      <c r="G171" s="109">
        <f>SUM(G165:G170)</f>
        <v/>
      </c>
      <c r="H171" s="109">
        <f>SUM(H165:H170)</f>
        <v/>
      </c>
      <c r="I171" s="16">
        <f>SUM(I165:I170)</f>
        <v/>
      </c>
      <c r="J171" s="16">
        <f>SUM(J165:J170)</f>
        <v/>
      </c>
      <c r="K171" s="110">
        <f>SUM(K165:K170)</f>
        <v/>
      </c>
      <c r="L171" s="111">
        <f>SUM(L165:L170)</f>
        <v/>
      </c>
    </row>
    <row r="174" ht="24" customHeight="1">
      <c r="F174" s="102" t="inlineStr">
        <is>
          <t>▶ COMPARATIVA FACTURADO VS CONSUMIDO POR INGENIERO — SEMANA 27</t>
        </is>
      </c>
      <c r="G174" s="131" t="n"/>
      <c r="H174" s="131" t="n"/>
      <c r="I174" s="131" t="n"/>
      <c r="J174" s="131" t="n"/>
      <c r="K174" s="131" t="n"/>
      <c r="L174" s="131" t="n"/>
      <c r="M174" s="132" t="n"/>
    </row>
    <row r="175" ht="22" customHeight="1">
      <c r="F175" s="4" t="inlineStr">
        <is>
          <t>INGENIERO / RESPONSABLE</t>
        </is>
      </c>
      <c r="G175" s="4" t="inlineStr">
        <is>
          <t>OBRAS ASIGNADAS</t>
        </is>
      </c>
      <c r="H175" s="4" t="inlineStr">
        <is>
          <t>LITROS FACTURADOS</t>
        </is>
      </c>
      <c r="I175" s="4" t="inlineStr">
        <is>
          <t>LITROS CONSUMIDOS</t>
        </is>
      </c>
      <c r="J175" s="4" t="inlineStr">
        <is>
          <t>MONTO FACTURADO ($)</t>
        </is>
      </c>
      <c r="K175" s="4" t="inlineStr">
        <is>
          <t>MONTO CONSUMIDO ($)</t>
        </is>
      </c>
      <c r="L175" s="4" t="inlineStr">
        <is>
          <t>VARIACIÓN (LTS)</t>
        </is>
      </c>
      <c r="M175" s="4" t="inlineStr">
        <is>
          <t>VARIACIÓN ($)</t>
        </is>
      </c>
    </row>
    <row r="176" ht="19" customHeight="1">
      <c r="F176" s="5" t="inlineStr">
        <is>
          <t>Ing. Apolinar</t>
        </is>
      </c>
      <c r="G176" s="74" t="inlineStr">
        <is>
          <t>Lerma - Tres Marías</t>
        </is>
      </c>
      <c r="H176" s="32" t="n">
        <v>1390</v>
      </c>
      <c r="I176" s="32" t="n">
        <v>1384</v>
      </c>
      <c r="J176" s="33" t="n">
        <v>37530.19</v>
      </c>
      <c r="K176" s="33" t="n">
        <v>37368</v>
      </c>
      <c r="L176" s="103" t="n">
        <v>6</v>
      </c>
      <c r="M176" s="104" t="n">
        <v>162.1900000000023</v>
      </c>
    </row>
    <row r="177" ht="19" customHeight="1">
      <c r="F177" s="9" t="inlineStr">
        <is>
          <t>Ing. Diego Carreola</t>
        </is>
      </c>
      <c r="G177" s="78" t="inlineStr">
        <is>
          <t>Bacheo Toluca</t>
        </is>
      </c>
      <c r="H177" s="105" t="n">
        <v>1250</v>
      </c>
      <c r="I177" s="105" t="n">
        <v>1239</v>
      </c>
      <c r="J177" s="106" t="n">
        <v>33750.18</v>
      </c>
      <c r="K177" s="106" t="n">
        <v>33453</v>
      </c>
      <c r="L177" s="107" t="n">
        <v>11</v>
      </c>
      <c r="M177" s="108" t="n">
        <v>297.1800000000003</v>
      </c>
    </row>
    <row r="178" ht="19" customHeight="1">
      <c r="F178" s="5" t="inlineStr">
        <is>
          <t>Ing. Francisco Javier</t>
        </is>
      </c>
      <c r="G178" s="74" t="inlineStr">
        <is>
          <t>México - Toluca</t>
        </is>
      </c>
      <c r="H178" s="32" t="n">
        <v>3645</v>
      </c>
      <c r="I178" s="32" t="n">
        <v>3637</v>
      </c>
      <c r="J178" s="33" t="n">
        <v>98415.42999999999</v>
      </c>
      <c r="K178" s="33" t="n">
        <v>98199</v>
      </c>
      <c r="L178" s="103" t="n">
        <v>8</v>
      </c>
      <c r="M178" s="104" t="n">
        <v>216.429999999993</v>
      </c>
    </row>
    <row r="179" ht="19" customHeight="1">
      <c r="F179" s="9" t="inlineStr">
        <is>
          <t>Ing. Luis</t>
        </is>
      </c>
      <c r="G179" s="78" t="inlineStr">
        <is>
          <t>Planta Huixquilucan</t>
        </is>
      </c>
      <c r="H179" s="105" t="n">
        <v>2400</v>
      </c>
      <c r="I179" s="105" t="n">
        <v>2396</v>
      </c>
      <c r="J179" s="106" t="n">
        <v>64800.44</v>
      </c>
      <c r="K179" s="106" t="n">
        <v>64692</v>
      </c>
      <c r="L179" s="107" t="n">
        <v>4</v>
      </c>
      <c r="M179" s="108" t="n">
        <v>108.4400000000023</v>
      </c>
    </row>
    <row r="180" ht="19" customHeight="1">
      <c r="F180" s="5" t="inlineStr">
        <is>
          <t>Jack</t>
        </is>
      </c>
      <c r="G180" s="74" t="inlineStr">
        <is>
          <t>Planta Pegaso</t>
        </is>
      </c>
      <c r="H180" s="32" t="n">
        <v>1278.94</v>
      </c>
      <c r="I180" s="32" t="n">
        <v>1268.94</v>
      </c>
      <c r="J180" s="33" t="n">
        <v>34531.57</v>
      </c>
      <c r="K180" s="33" t="n">
        <v>34261.38</v>
      </c>
      <c r="L180" s="103" t="n">
        <v>10</v>
      </c>
      <c r="M180" s="104" t="n">
        <v>270.1900000000023</v>
      </c>
    </row>
    <row r="181" ht="19" customHeight="1">
      <c r="F181" s="9" t="inlineStr">
        <is>
          <t>Samuel</t>
        </is>
      </c>
      <c r="G181" s="78" t="inlineStr">
        <is>
          <t>Providencia</t>
        </is>
      </c>
      <c r="H181" s="105" t="n">
        <v>360</v>
      </c>
      <c r="I181" s="105" t="n">
        <v>349</v>
      </c>
      <c r="J181" s="106" t="n">
        <v>9720.030000000001</v>
      </c>
      <c r="K181" s="106" t="n">
        <v>9423</v>
      </c>
      <c r="L181" s="107" t="n">
        <v>11</v>
      </c>
      <c r="M181" s="108" t="n">
        <v>297.0300000000007</v>
      </c>
    </row>
    <row r="182" ht="22" customHeight="1">
      <c r="F182" s="80" t="inlineStr">
        <is>
          <t>TOTAL GENERAL POR INGENIERO:</t>
        </is>
      </c>
      <c r="G182" s="132" t="n"/>
      <c r="H182" s="109">
        <f>SUM(H176:H181)</f>
        <v/>
      </c>
      <c r="I182" s="109">
        <f>SUM(I176:I181)</f>
        <v/>
      </c>
      <c r="J182" s="16">
        <f>SUM(J176:J181)</f>
        <v/>
      </c>
      <c r="K182" s="16">
        <f>SUM(K176:K181)</f>
        <v/>
      </c>
      <c r="L182" s="110">
        <f>SUM(L176:L181)</f>
        <v/>
      </c>
      <c r="M182" s="111">
        <f>SUM(M176:M181)</f>
        <v/>
      </c>
    </row>
  </sheetData>
  <mergeCells count="45">
    <mergeCell ref="F11:G11"/>
    <mergeCell ref="F182:G182"/>
    <mergeCell ref="F46:O46"/>
    <mergeCell ref="F104:N104"/>
    <mergeCell ref="F145:H145"/>
    <mergeCell ref="F16:G16"/>
    <mergeCell ref="F87:P87"/>
    <mergeCell ref="F174:M174"/>
    <mergeCell ref="G7:G8"/>
    <mergeCell ref="K38:N38"/>
    <mergeCell ref="G152:I152"/>
    <mergeCell ref="F129:H129"/>
    <mergeCell ref="S152:U152"/>
    <mergeCell ref="K28:N28"/>
    <mergeCell ref="F151:AA151"/>
    <mergeCell ref="F133:M133"/>
    <mergeCell ref="H7:H8"/>
    <mergeCell ref="P152:R152"/>
    <mergeCell ref="F17:G17"/>
    <mergeCell ref="F67:Q67"/>
    <mergeCell ref="F146:L146"/>
    <mergeCell ref="F120:Q120"/>
    <mergeCell ref="F107:N107"/>
    <mergeCell ref="F152:F153"/>
    <mergeCell ref="K20:N20"/>
    <mergeCell ref="K7:K8"/>
    <mergeCell ref="F64:N64"/>
    <mergeCell ref="M152:O152"/>
    <mergeCell ref="F20:I20"/>
    <mergeCell ref="F116:H116"/>
    <mergeCell ref="F63:H63"/>
    <mergeCell ref="F103:H103"/>
    <mergeCell ref="Y152:AA152"/>
    <mergeCell ref="F163:L163"/>
    <mergeCell ref="F130:P130"/>
    <mergeCell ref="F117:M117"/>
    <mergeCell ref="F2:L2"/>
    <mergeCell ref="F38:I38"/>
    <mergeCell ref="V152:X152"/>
    <mergeCell ref="F7:F8"/>
    <mergeCell ref="L7:L8"/>
    <mergeCell ref="F86:H86"/>
    <mergeCell ref="J152:L152"/>
    <mergeCell ref="F90:O90"/>
    <mergeCell ref="F28:I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2:AD2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5" customWidth="1" min="26" max="26"/>
    <col width="13" customWidth="1" min="27" max="27"/>
    <col width="16" customWidth="1" min="28" max="28"/>
    <col width="18" customWidth="1" min="29" max="29"/>
    <col width="15" customWidth="1" min="30" max="30"/>
  </cols>
  <sheetData>
    <row r="2">
      <c r="F2" s="71" t="inlineStr">
        <is>
          <t>CONSUMO SEMANA 28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13</v>
      </c>
      <c r="K5" s="75" t="n">
        <v>1414.266</v>
      </c>
      <c r="L5" s="76" t="n">
        <v>985.7339999999999</v>
      </c>
    </row>
    <row r="6" ht="18" customHeight="1">
      <c r="F6" s="136" t="n"/>
      <c r="G6" s="136" t="n"/>
      <c r="H6" s="136" t="n"/>
      <c r="I6" s="74" t="inlineStr">
        <is>
          <t>Colegio Militar</t>
        </is>
      </c>
      <c r="J6" s="73" t="n">
        <v>-78</v>
      </c>
      <c r="K6" s="136" t="n"/>
      <c r="L6" s="136" t="n"/>
    </row>
    <row r="7" ht="18" customHeight="1">
      <c r="F7" s="135" t="n"/>
      <c r="G7" s="135" t="n"/>
      <c r="H7" s="135" t="n"/>
      <c r="I7" s="74" t="inlineStr">
        <is>
          <t>Lerma - Tres Marías</t>
        </is>
      </c>
      <c r="J7" s="73" t="n">
        <v>1479.266</v>
      </c>
      <c r="K7" s="135" t="n"/>
      <c r="L7" s="135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200</v>
      </c>
      <c r="K8" s="79" t="n">
        <v>1626</v>
      </c>
      <c r="L8" s="76" t="n">
        <v>1674</v>
      </c>
    </row>
    <row r="9" ht="18" customHeight="1">
      <c r="F9" s="135" t="n"/>
      <c r="G9" s="135" t="n"/>
      <c r="H9" s="135" t="n"/>
      <c r="I9" s="78" t="inlineStr">
        <is>
          <t>México - Toluca</t>
        </is>
      </c>
      <c r="J9" s="77" t="n">
        <v>1426</v>
      </c>
      <c r="K9" s="135" t="n"/>
      <c r="L9" s="135" t="n"/>
    </row>
    <row r="10" ht="18" customHeight="1">
      <c r="F10" s="72" t="inlineStr">
        <is>
          <t>ING. DIEGO CARREOLA</t>
        </is>
      </c>
      <c r="G10" s="73" t="n">
        <v>100</v>
      </c>
      <c r="H10" s="73" t="n">
        <v>600</v>
      </c>
      <c r="I10" s="74" t="inlineStr">
        <is>
          <t>Bacheo Toluca</t>
        </is>
      </c>
      <c r="J10" s="73" t="n">
        <v>1095</v>
      </c>
      <c r="K10" s="75" t="n">
        <v>2912.49</v>
      </c>
      <c r="L10" s="112" t="n">
        <v>-2312.49</v>
      </c>
    </row>
    <row r="11" ht="18" customHeight="1">
      <c r="F11" s="136" t="n"/>
      <c r="G11" s="136" t="n"/>
      <c r="H11" s="136" t="n"/>
      <c r="I11" s="74" t="inlineStr">
        <is>
          <t>Desasolve</t>
        </is>
      </c>
      <c r="J11" s="73" t="n">
        <v>1787.49</v>
      </c>
      <c r="K11" s="136" t="n"/>
      <c r="L11" s="136" t="n"/>
    </row>
    <row r="12" ht="18" customHeight="1">
      <c r="F12" s="136" t="n"/>
      <c r="G12" s="136" t="n"/>
      <c r="H12" s="136" t="n"/>
      <c r="I12" s="74" t="inlineStr">
        <is>
          <t>Providencia</t>
        </is>
      </c>
      <c r="J12" s="73" t="n">
        <v>30</v>
      </c>
      <c r="K12" s="136" t="n"/>
      <c r="L12" s="136" t="n"/>
    </row>
    <row r="13" ht="18" customHeight="1">
      <c r="F13" s="135" t="n"/>
      <c r="G13" s="135" t="n"/>
      <c r="H13" s="135" t="n"/>
      <c r="I13" s="74" t="inlineStr">
        <is>
          <t>Vicente Lombardo</t>
        </is>
      </c>
      <c r="J13" s="73" t="n"/>
      <c r="K13" s="135" t="n"/>
      <c r="L13" s="135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4007.07</v>
      </c>
      <c r="K14" s="79" t="n">
        <v>4007.07</v>
      </c>
      <c r="L14" s="112" t="n">
        <v>-1607.07</v>
      </c>
    </row>
    <row r="15" ht="18" customHeight="1">
      <c r="F15" s="72" t="inlineStr">
        <is>
          <t>LUIS</t>
        </is>
      </c>
      <c r="G15" s="73" t="n">
        <v>500</v>
      </c>
      <c r="H15" s="73" t="n">
        <v>3000</v>
      </c>
      <c r="I15" s="74" t="inlineStr">
        <is>
          <t>Colegio Militar</t>
        </is>
      </c>
      <c r="J15" s="73" t="n">
        <v>78</v>
      </c>
      <c r="K15" s="75" t="n">
        <v>1788</v>
      </c>
      <c r="L15" s="76" t="n">
        <v>1212</v>
      </c>
    </row>
    <row r="16" ht="18" customHeight="1">
      <c r="F16" s="135" t="n"/>
      <c r="G16" s="135" t="n"/>
      <c r="H16" s="135" t="n"/>
      <c r="I16" s="74" t="inlineStr">
        <is>
          <t>Planta Huixquilucan</t>
        </is>
      </c>
      <c r="J16" s="73" t="n">
        <v>1710</v>
      </c>
      <c r="K16" s="135" t="n"/>
      <c r="L16" s="135" t="n"/>
    </row>
    <row r="17" ht="20" customHeight="1">
      <c r="F17" s="80" t="inlineStr">
        <is>
          <t>SUBTOTAL (6 DÍAS):</t>
        </is>
      </c>
      <c r="G17" s="132" t="n"/>
      <c r="H17" s="80" t="n">
        <v>11700</v>
      </c>
      <c r="I17" s="15" t="n"/>
      <c r="J17" s="80" t="n">
        <v>11747.83</v>
      </c>
      <c r="K17" s="80" t="n">
        <v>11747.83</v>
      </c>
      <c r="L17" s="80" t="n">
        <v>-47.83</v>
      </c>
    </row>
    <row r="18">
      <c r="F18" s="4" t="inlineStr">
        <is>
          <t>RESPONSABLE</t>
        </is>
      </c>
      <c r="G18" s="4" t="inlineStr">
        <is>
          <t>AUTORIZADO DIARIO</t>
        </is>
      </c>
      <c r="H18" s="4" t="inlineStr">
        <is>
          <t>SEMANAL (5 DÍAS)</t>
        </is>
      </c>
      <c r="I18" s="4" t="inlineStr">
        <is>
          <t>OBRA</t>
        </is>
      </c>
      <c r="J18" s="4" t="inlineStr">
        <is>
          <t>CONSUMO POR OBRA</t>
        </is>
      </c>
      <c r="K18" s="4" t="inlineStr">
        <is>
          <t>CONSUMO POR INGENIERO</t>
        </is>
      </c>
      <c r="L18" s="4" t="inlineStr">
        <is>
          <t>REMANENTE POR INGENIERO</t>
        </is>
      </c>
    </row>
    <row r="19" ht="18" customHeight="1">
      <c r="F19" s="72" t="inlineStr">
        <is>
          <t>DAYANNE</t>
        </is>
      </c>
      <c r="G19" s="73" t="n"/>
      <c r="H19" s="73" t="n"/>
      <c r="I19" s="73" t="inlineStr">
        <is>
          <t>SIN CONSUMOS</t>
        </is>
      </c>
      <c r="J19" s="73" t="n"/>
      <c r="K19" s="75" t="n"/>
      <c r="L19" s="76" t="n"/>
    </row>
    <row r="20" ht="18" customHeight="1">
      <c r="F20" s="72" t="inlineStr">
        <is>
          <t>EDGAR</t>
        </is>
      </c>
      <c r="G20" s="77" t="n"/>
      <c r="H20" s="77" t="n"/>
      <c r="I20" s="77" t="inlineStr">
        <is>
          <t>SIN CONSUMOS</t>
        </is>
      </c>
      <c r="J20" s="77" t="n"/>
      <c r="K20" s="79" t="n"/>
      <c r="L20" s="76" t="n"/>
    </row>
    <row r="21" ht="18" customHeight="1">
      <c r="F21" s="72" t="inlineStr">
        <is>
          <t>SAMUEL</t>
        </is>
      </c>
      <c r="G21" s="73" t="n"/>
      <c r="H21" s="73" t="n"/>
      <c r="I21" s="74" t="inlineStr">
        <is>
          <t>Providencia</t>
        </is>
      </c>
      <c r="J21" s="73" t="n">
        <v>607</v>
      </c>
      <c r="K21" s="75" t="n">
        <v>607</v>
      </c>
      <c r="L21" s="112" t="n">
        <v>-607</v>
      </c>
    </row>
    <row r="22" ht="20" customHeight="1">
      <c r="F22" s="80" t="inlineStr">
        <is>
          <t>SUBTOTAL (5 DÍAS):</t>
        </is>
      </c>
      <c r="G22" s="132" t="n"/>
      <c r="H22" s="80" t="inlineStr"/>
      <c r="I22" s="15" t="n"/>
      <c r="J22" s="80" t="n">
        <v>607</v>
      </c>
      <c r="K22" s="80" t="n">
        <v>607</v>
      </c>
      <c r="L22" s="80" t="n">
        <v>-607</v>
      </c>
    </row>
    <row r="23" ht="22" customHeight="1">
      <c r="F23" s="80" t="inlineStr">
        <is>
          <t>TOTAL GENERAL:</t>
        </is>
      </c>
      <c r="G23" s="132" t="n"/>
      <c r="H23" s="80" t="n">
        <v>11700</v>
      </c>
      <c r="I23" s="15" t="n"/>
      <c r="J23" s="80" t="n">
        <v>12354.83</v>
      </c>
      <c r="K23" s="80" t="n">
        <v>12354.83</v>
      </c>
      <c r="L23" s="80" t="n">
        <v>-654.83</v>
      </c>
    </row>
    <row r="26" ht="20" customHeight="1">
      <c r="F26" s="3" t="inlineStr">
        <is>
          <t>▶  Alfredo del Mazo</t>
        </is>
      </c>
      <c r="G26" s="131" t="n"/>
      <c r="H26" s="131" t="n"/>
      <c r="I26" s="132" t="n"/>
      <c r="K26" s="3" t="inlineStr">
        <is>
          <t>▶  Bacheo Toluca</t>
        </is>
      </c>
      <c r="L26" s="131" t="n"/>
      <c r="M26" s="131" t="n"/>
      <c r="N26" s="132" t="n"/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Jue 09-jul</t>
        </is>
      </c>
      <c r="G28" s="6" t="n">
        <v>13</v>
      </c>
      <c r="H28" s="7" t="n">
        <v>27</v>
      </c>
      <c r="I28" s="8" t="n">
        <v>351</v>
      </c>
      <c r="K28" s="5" t="inlineStr">
        <is>
          <t>Lun 06-jul</t>
        </is>
      </c>
      <c r="L28" s="6" t="n">
        <v>140</v>
      </c>
      <c r="M28" s="7" t="n">
        <v>27</v>
      </c>
      <c r="N28" s="8" t="n">
        <v>3780</v>
      </c>
    </row>
    <row r="29" ht="18" customHeight="1">
      <c r="F29" s="9" t="inlineStr">
        <is>
          <t>Sáb 11-jul</t>
        </is>
      </c>
      <c r="G29" s="10" t="n">
        <v>200</v>
      </c>
      <c r="H29" s="11" t="n">
        <v>27</v>
      </c>
      <c r="I29" s="12" t="n">
        <v>5400</v>
      </c>
      <c r="K29" s="9" t="inlineStr">
        <is>
          <t>Mar 07-jul</t>
        </is>
      </c>
      <c r="L29" s="10" t="n">
        <v>280</v>
      </c>
      <c r="M29" s="11" t="n">
        <v>27</v>
      </c>
      <c r="N29" s="12" t="n">
        <v>7560</v>
      </c>
    </row>
    <row r="30" ht="18" customHeight="1">
      <c r="F30" s="80" t="inlineStr">
        <is>
          <t>TOTAL — Alfredo del Mazo</t>
        </is>
      </c>
      <c r="G30" s="14" t="n">
        <v>213</v>
      </c>
      <c r="H30" s="15" t="n"/>
      <c r="I30" s="16" t="n">
        <v>5751</v>
      </c>
      <c r="K30" s="5" t="inlineStr">
        <is>
          <t>Jue 09-jul</t>
        </is>
      </c>
      <c r="L30" s="6" t="n">
        <v>675</v>
      </c>
      <c r="M30" s="7" t="n">
        <v>27</v>
      </c>
      <c r="N30" s="8" t="n">
        <v>18225</v>
      </c>
    </row>
    <row r="31" ht="20" customHeight="1">
      <c r="K31" s="80" t="inlineStr">
        <is>
          <t>TOTAL — Bacheo Toluca</t>
        </is>
      </c>
      <c r="L31" s="14" t="n">
        <v>1095</v>
      </c>
      <c r="M31" s="15" t="n"/>
      <c r="N31" s="16" t="n">
        <v>29565</v>
      </c>
    </row>
    <row r="33" ht="20" customHeight="1">
      <c r="F33" s="3" t="inlineStr">
        <is>
          <t>▶  Colegio Militar</t>
        </is>
      </c>
      <c r="G33" s="131" t="n"/>
      <c r="H33" s="131" t="n"/>
      <c r="I33" s="132" t="n"/>
      <c r="K33" s="3" t="inlineStr">
        <is>
          <t>▶  Desasolve</t>
        </is>
      </c>
      <c r="L33" s="131" t="n"/>
      <c r="M33" s="131" t="n"/>
      <c r="N33" s="132" t="n"/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09-jul</t>
        </is>
      </c>
      <c r="G35" s="6" t="n">
        <v>-668</v>
      </c>
      <c r="H35" s="7" t="n">
        <v>27</v>
      </c>
      <c r="I35" s="8" t="n">
        <v>-18036</v>
      </c>
      <c r="K35" s="5" t="inlineStr">
        <is>
          <t>Jue 09-jul</t>
        </is>
      </c>
      <c r="L35" s="6" t="n">
        <v>13</v>
      </c>
      <c r="M35" s="7" t="n">
        <v>27</v>
      </c>
      <c r="N35" s="8" t="n">
        <v>351</v>
      </c>
    </row>
    <row r="36" ht="18" customHeight="1">
      <c r="F36" s="9" t="inlineStr">
        <is>
          <t>Sáb 11-jul</t>
        </is>
      </c>
      <c r="G36" s="10" t="n">
        <v>668</v>
      </c>
      <c r="H36" s="11" t="n">
        <v>27</v>
      </c>
      <c r="I36" s="12" t="n">
        <v>18036</v>
      </c>
      <c r="K36" s="9" t="inlineStr">
        <is>
          <t>Vie 10-jul</t>
        </is>
      </c>
      <c r="L36" s="10" t="n">
        <v>1774.49</v>
      </c>
      <c r="M36" s="11" t="n"/>
      <c r="N36" s="12" t="n"/>
    </row>
    <row r="37" ht="20" customHeight="1">
      <c r="F37" s="80" t="inlineStr">
        <is>
          <t>TOTAL — Colegio Militar</t>
        </is>
      </c>
      <c r="G37" s="14" t="n"/>
      <c r="H37" s="15" t="n"/>
      <c r="I37" s="16" t="n"/>
      <c r="K37" s="80" t="inlineStr">
        <is>
          <t>TOTAL — Desasolve</t>
        </is>
      </c>
      <c r="L37" s="14" t="n">
        <v>1787.49</v>
      </c>
      <c r="M37" s="15" t="n"/>
      <c r="N37" s="16" t="n">
        <v>351</v>
      </c>
    </row>
    <row r="39" ht="20" customHeight="1">
      <c r="F39" s="3" t="inlineStr">
        <is>
          <t>▶  Lerma - Tres Marías</t>
        </is>
      </c>
      <c r="G39" s="131" t="n"/>
      <c r="H39" s="131" t="n"/>
      <c r="I39" s="132" t="n"/>
      <c r="K39" s="3" t="inlineStr">
        <is>
          <t>▶  México - Toluca</t>
        </is>
      </c>
      <c r="L39" s="131" t="n"/>
      <c r="M39" s="131" t="n"/>
      <c r="N39" s="132" t="n"/>
    </row>
    <row r="40" ht="20" customHeight="1">
      <c r="F40" s="4" t="inlineStr">
        <is>
          <t>DÍA</t>
        </is>
      </c>
      <c r="G40" s="4" t="inlineStr">
        <is>
          <t>LITROS CONSUMIDOS</t>
        </is>
      </c>
      <c r="H40" s="4" t="inlineStr">
        <is>
          <t>PRECIO PROM. ($/L)</t>
        </is>
      </c>
      <c r="I40" s="4" t="inlineStr">
        <is>
          <t>IMPORTE TOTAL</t>
        </is>
      </c>
      <c r="K40" s="4" t="inlineStr">
        <is>
          <t>DÍA</t>
        </is>
      </c>
      <c r="L40" s="4" t="inlineStr">
        <is>
          <t>LITROS CONSUMIDOS</t>
        </is>
      </c>
      <c r="M40" s="4" t="inlineStr">
        <is>
          <t>PRECIO PROM. ($/L)</t>
        </is>
      </c>
      <c r="N40" s="4" t="inlineStr">
        <is>
          <t>IMPORTE TOTAL</t>
        </is>
      </c>
    </row>
    <row r="41" ht="18" customHeight="1">
      <c r="F41" s="5" t="inlineStr">
        <is>
          <t>Lun 06-jul</t>
        </is>
      </c>
      <c r="G41" s="6" t="n">
        <v>400</v>
      </c>
      <c r="H41" s="7" t="n">
        <v>27</v>
      </c>
      <c r="I41" s="8" t="n">
        <v>10800</v>
      </c>
      <c r="K41" s="5" t="inlineStr">
        <is>
          <t>Lun 06-jul</t>
        </is>
      </c>
      <c r="L41" s="6" t="n">
        <v>533</v>
      </c>
      <c r="M41" s="7" t="n">
        <v>27</v>
      </c>
      <c r="N41" s="8" t="n">
        <v>14364</v>
      </c>
    </row>
    <row r="42" ht="18" customHeight="1">
      <c r="F42" s="9" t="inlineStr">
        <is>
          <t>Mar 07-jul</t>
        </is>
      </c>
      <c r="G42" s="10" t="n">
        <v>445</v>
      </c>
      <c r="H42" s="11" t="n">
        <v>27</v>
      </c>
      <c r="I42" s="12" t="n">
        <v>12015</v>
      </c>
      <c r="K42" s="9" t="inlineStr">
        <is>
          <t>Mar 07-jul</t>
        </is>
      </c>
      <c r="L42" s="10" t="n">
        <v>20</v>
      </c>
      <c r="M42" s="11" t="n">
        <v>27</v>
      </c>
      <c r="N42" s="12" t="n">
        <v>540</v>
      </c>
    </row>
    <row r="43" ht="18" customHeight="1">
      <c r="F43" s="5" t="inlineStr">
        <is>
          <t>Jue 09-jul</t>
        </is>
      </c>
      <c r="G43" s="6" t="n">
        <v>316</v>
      </c>
      <c r="H43" s="7" t="n">
        <v>27</v>
      </c>
      <c r="I43" s="8" t="n">
        <v>8532</v>
      </c>
      <c r="K43" s="5" t="inlineStr">
        <is>
          <t>Jue 09-jul</t>
        </is>
      </c>
      <c r="L43" s="6" t="n">
        <v>873</v>
      </c>
      <c r="M43" s="7" t="n">
        <v>27</v>
      </c>
      <c r="N43" s="8" t="n">
        <v>23571</v>
      </c>
    </row>
    <row r="44" ht="20" customHeight="1">
      <c r="F44" s="9" t="inlineStr">
        <is>
          <t>Vie 10-jul</t>
        </is>
      </c>
      <c r="G44" s="10" t="n">
        <v>318.266</v>
      </c>
      <c r="H44" s="11" t="n">
        <v>27</v>
      </c>
      <c r="I44" s="12" t="n">
        <v>8593.18</v>
      </c>
      <c r="K44" s="80" t="inlineStr">
        <is>
          <t>TOTAL — México - Toluca</t>
        </is>
      </c>
      <c r="L44" s="14" t="n">
        <v>1426</v>
      </c>
      <c r="M44" s="15" t="n"/>
      <c r="N44" s="16" t="n">
        <v>38475</v>
      </c>
    </row>
    <row r="45" ht="20" customHeight="1">
      <c r="F45" s="80" t="inlineStr">
        <is>
          <t>TOTAL — Lerma - Tres Marías</t>
        </is>
      </c>
      <c r="G45" s="14" t="n">
        <v>1479.266</v>
      </c>
      <c r="H45" s="15" t="n"/>
      <c r="I45" s="16" t="n">
        <v>39940.18</v>
      </c>
    </row>
    <row r="47" ht="20" customHeight="1">
      <c r="F47" s="3" t="inlineStr">
        <is>
          <t>▶  Planta Huixquilucan</t>
        </is>
      </c>
      <c r="G47" s="131" t="n"/>
      <c r="H47" s="131" t="n"/>
      <c r="I47" s="132" t="n"/>
      <c r="K47" s="3" t="inlineStr">
        <is>
          <t>▶  Planta Pegaso</t>
        </is>
      </c>
      <c r="L47" s="131" t="n"/>
      <c r="M47" s="131" t="n"/>
      <c r="N47" s="132" t="n"/>
    </row>
    <row r="48" ht="20" customHeight="1">
      <c r="F48" s="4" t="inlineStr">
        <is>
          <t>DÍA</t>
        </is>
      </c>
      <c r="G48" s="4" t="inlineStr">
        <is>
          <t>LITROS CONSUMIDOS</t>
        </is>
      </c>
      <c r="H48" s="4" t="inlineStr">
        <is>
          <t>PRECIO PROM. ($/L)</t>
        </is>
      </c>
      <c r="I48" s="4" t="inlineStr">
        <is>
          <t>IMPORTE TOTAL</t>
        </is>
      </c>
      <c r="K48" s="4" t="inlineStr">
        <is>
          <t>DÍA</t>
        </is>
      </c>
      <c r="L48" s="4" t="inlineStr">
        <is>
          <t>LITROS CONSUMIDOS</t>
        </is>
      </c>
      <c r="M48" s="4" t="inlineStr">
        <is>
          <t>PRECIO PROM. ($/L)</t>
        </is>
      </c>
      <c r="N48" s="4" t="inlineStr">
        <is>
          <t>IMPORTE TOTAL</t>
        </is>
      </c>
    </row>
    <row r="49" ht="18" customHeight="1">
      <c r="F49" s="5" t="inlineStr">
        <is>
          <t>Lun 06-jul</t>
        </is>
      </c>
      <c r="G49" s="6" t="n">
        <v>600</v>
      </c>
      <c r="H49" s="7" t="n">
        <v>27</v>
      </c>
      <c r="I49" s="8" t="n">
        <v>16200</v>
      </c>
      <c r="K49" s="5" t="inlineStr">
        <is>
          <t>Dom 26-jul</t>
        </is>
      </c>
      <c r="L49" s="6" t="n">
        <v>241</v>
      </c>
      <c r="M49" s="7" t="n">
        <v>27</v>
      </c>
      <c r="N49" s="8" t="n">
        <v>6507</v>
      </c>
    </row>
    <row r="50" ht="18" customHeight="1">
      <c r="F50" s="9" t="inlineStr">
        <is>
          <t>Mar 07-jul</t>
        </is>
      </c>
      <c r="G50" s="10" t="n">
        <v>600</v>
      </c>
      <c r="H50" s="11" t="n">
        <v>27</v>
      </c>
      <c r="I50" s="12" t="n">
        <v>16200</v>
      </c>
      <c r="K50" s="9" t="inlineStr">
        <is>
          <t>Lun 06-jul</t>
        </is>
      </c>
      <c r="L50" s="10" t="n">
        <v>466</v>
      </c>
      <c r="M50" s="11" t="n">
        <v>27</v>
      </c>
      <c r="N50" s="12" t="n">
        <v>12582</v>
      </c>
    </row>
    <row r="51" ht="18" customHeight="1">
      <c r="F51" s="5" t="inlineStr">
        <is>
          <t>Mié 08-jul</t>
        </is>
      </c>
      <c r="G51" s="6" t="n">
        <v>300</v>
      </c>
      <c r="H51" s="7" t="n">
        <v>27</v>
      </c>
      <c r="I51" s="8" t="n">
        <v>8100</v>
      </c>
      <c r="K51" s="5" t="inlineStr">
        <is>
          <t>Mar 07-jul</t>
        </is>
      </c>
      <c r="L51" s="6" t="n">
        <v>391</v>
      </c>
      <c r="M51" s="7" t="n">
        <v>27</v>
      </c>
      <c r="N51" s="8" t="n">
        <v>10557</v>
      </c>
    </row>
    <row r="52" ht="18" customHeight="1">
      <c r="F52" s="9" t="inlineStr">
        <is>
          <t>Jue 09-jul</t>
        </is>
      </c>
      <c r="G52" s="10" t="n">
        <v>-290</v>
      </c>
      <c r="H52" s="11" t="n">
        <v>27</v>
      </c>
      <c r="I52" s="12" t="n">
        <v>-7830</v>
      </c>
      <c r="K52" s="9" t="inlineStr">
        <is>
          <t>Jue 09-jul</t>
        </is>
      </c>
      <c r="L52" s="10" t="n">
        <v>1909.07</v>
      </c>
      <c r="M52" s="11" t="n">
        <v>27</v>
      </c>
      <c r="N52" s="12" t="n">
        <v>51544.89</v>
      </c>
    </row>
    <row r="53" ht="18" customHeight="1">
      <c r="F53" s="5" t="inlineStr">
        <is>
          <t>Sáb 11-jul</t>
        </is>
      </c>
      <c r="G53" s="6" t="n">
        <v>500</v>
      </c>
      <c r="H53" s="7" t="n">
        <v>27</v>
      </c>
      <c r="I53" s="8" t="n">
        <v>13500</v>
      </c>
      <c r="K53" s="5" t="inlineStr">
        <is>
          <t>Vie 10-jul</t>
        </is>
      </c>
      <c r="L53" s="6" t="n">
        <v>200</v>
      </c>
      <c r="M53" s="7" t="n">
        <v>13.5</v>
      </c>
      <c r="N53" s="8" t="n">
        <v>2727</v>
      </c>
    </row>
    <row r="54" ht="18" customHeight="1">
      <c r="F54" s="80" t="inlineStr">
        <is>
          <t>TOTAL — Planta Huixquilucan</t>
        </is>
      </c>
      <c r="G54" s="14" t="n">
        <v>1710</v>
      </c>
      <c r="H54" s="15" t="n"/>
      <c r="I54" s="16" t="n">
        <v>46170</v>
      </c>
      <c r="K54" s="9" t="inlineStr">
        <is>
          <t>Sáb 11-jul</t>
        </is>
      </c>
      <c r="L54" s="10" t="n">
        <v>800</v>
      </c>
      <c r="M54" s="11" t="n">
        <v>27</v>
      </c>
      <c r="N54" s="12" t="n">
        <v>21600</v>
      </c>
    </row>
    <row r="55" ht="20" customHeight="1">
      <c r="K55" s="80" t="inlineStr">
        <is>
          <t>TOTAL — Planta Pegaso</t>
        </is>
      </c>
      <c r="L55" s="14" t="n">
        <v>4007.07</v>
      </c>
      <c r="M55" s="15" t="n"/>
      <c r="N55" s="16" t="n">
        <v>105517.89</v>
      </c>
    </row>
    <row r="57" ht="20" customHeight="1">
      <c r="F57" s="3" t="inlineStr">
        <is>
          <t>▶  Providencia</t>
        </is>
      </c>
      <c r="G57" s="131" t="n"/>
      <c r="H57" s="131" t="n"/>
      <c r="I57" s="132" t="n"/>
      <c r="K57" s="3" t="inlineStr">
        <is>
          <t>▶  Vicente Lombardo</t>
        </is>
      </c>
      <c r="L57" s="131" t="n"/>
      <c r="M57" s="131" t="n"/>
      <c r="N57" s="132" t="n"/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06-jul</t>
        </is>
      </c>
      <c r="G59" s="6" t="n">
        <v>319</v>
      </c>
      <c r="H59" s="7" t="n">
        <v>27</v>
      </c>
      <c r="I59" s="8" t="n">
        <v>8613</v>
      </c>
      <c r="K59" s="5" t="inlineStr">
        <is>
          <t>Mar 07-jul</t>
        </is>
      </c>
      <c r="L59" s="6" t="n">
        <v>500</v>
      </c>
      <c r="M59" s="7" t="n">
        <v>27</v>
      </c>
      <c r="N59" s="8" t="n">
        <v>13500</v>
      </c>
    </row>
    <row r="60" ht="18" customHeight="1">
      <c r="F60" s="9" t="inlineStr">
        <is>
          <t>Mar 07-jul</t>
        </is>
      </c>
      <c r="G60" s="10" t="n">
        <v>50</v>
      </c>
      <c r="H60" s="11" t="n">
        <v>27</v>
      </c>
      <c r="I60" s="12" t="n">
        <v>1350</v>
      </c>
      <c r="K60" s="9" t="inlineStr">
        <is>
          <t>Jue 09-jul</t>
        </is>
      </c>
      <c r="L60" s="10" t="n">
        <v>-1695</v>
      </c>
      <c r="M60" s="11" t="n">
        <v>27</v>
      </c>
      <c r="N60" s="12" t="n">
        <v>-45765</v>
      </c>
    </row>
    <row r="61" ht="18" customHeight="1">
      <c r="F61" s="5" t="inlineStr">
        <is>
          <t>Jue 09-jul</t>
        </is>
      </c>
      <c r="G61" s="6" t="n">
        <v>268</v>
      </c>
      <c r="H61" s="7" t="n">
        <v>27</v>
      </c>
      <c r="I61" s="8" t="n">
        <v>7236</v>
      </c>
      <c r="K61" s="5" t="inlineStr">
        <is>
          <t>Vie 10-jul</t>
        </is>
      </c>
      <c r="L61" s="6" t="n">
        <v>400</v>
      </c>
      <c r="M61" s="7" t="n">
        <v>27</v>
      </c>
      <c r="N61" s="8" t="n">
        <v>10800</v>
      </c>
    </row>
    <row r="62" ht="18" customHeight="1">
      <c r="F62" s="80" t="inlineStr">
        <is>
          <t>TOTAL — Providencia</t>
        </is>
      </c>
      <c r="G62" s="14" t="n">
        <v>637</v>
      </c>
      <c r="H62" s="15" t="n"/>
      <c r="I62" s="16" t="n">
        <v>17199</v>
      </c>
      <c r="K62" s="9" t="inlineStr">
        <is>
          <t>Sáb 11-jul</t>
        </is>
      </c>
      <c r="L62" s="10" t="n">
        <v>795</v>
      </c>
      <c r="M62" s="11" t="n">
        <v>27</v>
      </c>
      <c r="N62" s="12" t="n">
        <v>21465</v>
      </c>
    </row>
    <row r="63" ht="20" customHeight="1">
      <c r="K63" s="80" t="inlineStr">
        <is>
          <t>TOTAL — Vicente Lombardo</t>
        </is>
      </c>
      <c r="L63" s="14" t="n"/>
      <c r="M63" s="15" t="n"/>
      <c r="N63" s="16" t="n"/>
    </row>
    <row r="66" ht="22" customHeight="1">
      <c r="F66" s="81" t="inlineStr">
        <is>
          <t>APOLINAR</t>
        </is>
      </c>
      <c r="G66" s="131" t="n"/>
      <c r="H66" s="131" t="n"/>
      <c r="I66" s="131" t="n"/>
      <c r="J66" s="131" t="n"/>
      <c r="K66" s="131" t="n"/>
      <c r="L66" s="131" t="n"/>
      <c r="M66" s="131" t="n"/>
      <c r="N66" s="131" t="n"/>
      <c r="O66" s="131" t="n"/>
      <c r="P66" s="132" t="n"/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06/07</t>
        </is>
      </c>
      <c r="J67" s="4" t="inlineStr">
        <is>
          <t>Mar
07/07</t>
        </is>
      </c>
      <c r="K67" s="4" t="inlineStr">
        <is>
          <t>Jue
09/07</t>
        </is>
      </c>
      <c r="L67" s="4" t="inlineStr">
        <is>
          <t>Vie
10/07</t>
        </is>
      </c>
      <c r="M67" s="4" t="inlineStr">
        <is>
          <t>Sáb
11/07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Colegio Militar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-339</v>
      </c>
      <c r="L69" s="85" t="n"/>
      <c r="M69" s="85" t="n"/>
      <c r="N69" s="88" t="n">
        <v>-339</v>
      </c>
      <c r="O69" s="55" t="n">
        <v>27</v>
      </c>
      <c r="P69" s="89" t="n">
        <v>-9153</v>
      </c>
    </row>
    <row r="70" ht="18" customHeight="1">
      <c r="F70" s="90" t="n">
        <v>2</v>
      </c>
      <c r="G70" s="91" t="inlineStr">
        <is>
          <t>BARREDORA BROCE RJ350</t>
        </is>
      </c>
      <c r="H70" s="92" t="n"/>
      <c r="I70" s="90" t="n"/>
      <c r="J70" s="90" t="n">
        <v>30</v>
      </c>
      <c r="K70" s="90" t="n"/>
      <c r="L70" s="90" t="n"/>
      <c r="M70" s="90" t="n"/>
      <c r="N70" s="93" t="n">
        <v>30</v>
      </c>
      <c r="O70" s="94" t="n">
        <v>27</v>
      </c>
      <c r="P70" s="95" t="n">
        <v>810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/>
      <c r="J71" s="85" t="n"/>
      <c r="K71" s="85" t="n"/>
      <c r="L71" s="85" t="n"/>
      <c r="M71" s="85" t="n">
        <v>40</v>
      </c>
      <c r="N71" s="88" t="n">
        <v>40</v>
      </c>
      <c r="O71" s="55" t="n">
        <v>27</v>
      </c>
      <c r="P71" s="89" t="n">
        <v>1080</v>
      </c>
    </row>
    <row r="72" ht="18" customHeight="1">
      <c r="F72" s="90" t="n">
        <v>4</v>
      </c>
      <c r="G72" s="91" t="inlineStr">
        <is>
          <t>COMPRESOR  SULLIVAN PALATEK D2010</t>
        </is>
      </c>
      <c r="H72" s="92" t="n"/>
      <c r="I72" s="90" t="n"/>
      <c r="J72" s="90" t="n">
        <v>54</v>
      </c>
      <c r="K72" s="90" t="n"/>
      <c r="L72" s="90" t="n"/>
      <c r="M72" s="90" t="n">
        <v>60</v>
      </c>
      <c r="N72" s="93" t="n">
        <v>114</v>
      </c>
      <c r="O72" s="94" t="n">
        <v>27</v>
      </c>
      <c r="P72" s="95" t="n">
        <v>3078</v>
      </c>
    </row>
    <row r="73" ht="18" customHeight="1">
      <c r="F73" s="85" t="n">
        <v>5</v>
      </c>
      <c r="G73" s="86" t="inlineStr">
        <is>
          <t>IMPACTO FORD 4300</t>
        </is>
      </c>
      <c r="H73" s="96" t="n"/>
      <c r="I73" s="85" t="n"/>
      <c r="J73" s="85" t="n">
        <v>30</v>
      </c>
      <c r="K73" s="85" t="n"/>
      <c r="L73" s="85" t="n"/>
      <c r="M73" s="85" t="n"/>
      <c r="N73" s="88" t="n">
        <v>30</v>
      </c>
      <c r="O73" s="55" t="n">
        <v>27</v>
      </c>
      <c r="P73" s="89" t="n">
        <v>810</v>
      </c>
    </row>
    <row r="74" ht="18" customHeight="1">
      <c r="F74" s="90" t="n">
        <v>6</v>
      </c>
      <c r="G74" s="91" t="inlineStr">
        <is>
          <t>NEUMATICO / COMPACTADOR DE NEUMATICOS DINAPAC CP271</t>
        </is>
      </c>
      <c r="H74" s="92" t="n"/>
      <c r="I74" s="90" t="n"/>
      <c r="J74" s="90" t="n">
        <v>33</v>
      </c>
      <c r="K74" s="90" t="n"/>
      <c r="L74" s="90" t="n"/>
      <c r="M74" s="90" t="n">
        <v>50</v>
      </c>
      <c r="N74" s="93" t="n">
        <v>83</v>
      </c>
      <c r="O74" s="94" t="n">
        <v>27</v>
      </c>
      <c r="P74" s="95" t="n">
        <v>2241</v>
      </c>
    </row>
    <row r="75" ht="18" customHeight="1">
      <c r="F75" s="85" t="n">
        <v>7</v>
      </c>
      <c r="G75" s="86" t="inlineStr">
        <is>
          <t>PAVIMENTADORA  VOGELE 1800-3 i</t>
        </is>
      </c>
      <c r="H75" s="96" t="n"/>
      <c r="I75" s="85" t="n"/>
      <c r="J75" s="85" t="n">
        <v>90</v>
      </c>
      <c r="K75" s="85" t="n"/>
      <c r="L75" s="85" t="n"/>
      <c r="M75" s="85" t="n">
        <v>80</v>
      </c>
      <c r="N75" s="88" t="n">
        <v>170</v>
      </c>
      <c r="O75" s="55" t="n">
        <v>27</v>
      </c>
      <c r="P75" s="89" t="n">
        <v>4590</v>
      </c>
    </row>
    <row r="76" ht="18" customHeight="1">
      <c r="F76" s="90" t="n">
        <v>8</v>
      </c>
      <c r="G76" s="91" t="inlineStr">
        <is>
          <t>PERFILADORA RODATEC RX600E</t>
        </is>
      </c>
      <c r="H76" s="92" t="n"/>
      <c r="I76" s="90" t="n">
        <v>350</v>
      </c>
      <c r="J76" s="90" t="n"/>
      <c r="K76" s="90" t="n"/>
      <c r="L76" s="90" t="n"/>
      <c r="M76" s="90" t="n"/>
      <c r="N76" s="93" t="n">
        <v>350</v>
      </c>
      <c r="O76" s="94" t="n">
        <v>27</v>
      </c>
      <c r="P76" s="95" t="n">
        <v>9450</v>
      </c>
    </row>
    <row r="77" ht="18" customHeight="1">
      <c r="F77" s="85" t="n">
        <v>9</v>
      </c>
      <c r="G77" s="86" t="inlineStr">
        <is>
          <t>PETROLIZADORA    INTERNATIONAL</t>
        </is>
      </c>
      <c r="H77" s="96" t="n"/>
      <c r="I77" s="85" t="n"/>
      <c r="J77" s="85" t="n">
        <v>50</v>
      </c>
      <c r="K77" s="85" t="n"/>
      <c r="L77" s="85" t="n"/>
      <c r="M77" s="85" t="n">
        <v>70</v>
      </c>
      <c r="N77" s="88" t="n">
        <v>120</v>
      </c>
      <c r="O77" s="55" t="n">
        <v>27</v>
      </c>
      <c r="P77" s="89" t="n">
        <v>3240</v>
      </c>
    </row>
    <row r="78" ht="18" customHeight="1">
      <c r="F78" s="90" t="n">
        <v>10</v>
      </c>
      <c r="G78" s="91" t="inlineStr">
        <is>
          <t>PIPA DE AGUA (IMPACTO 01) FORD</t>
        </is>
      </c>
      <c r="H78" s="92" t="n"/>
      <c r="I78" s="90" t="n"/>
      <c r="J78" s="90" t="n">
        <v>60</v>
      </c>
      <c r="K78" s="90" t="n"/>
      <c r="L78" s="90" t="n"/>
      <c r="M78" s="90" t="n"/>
      <c r="N78" s="93" t="n">
        <v>60</v>
      </c>
      <c r="O78" s="94" t="n">
        <v>27</v>
      </c>
      <c r="P78" s="95" t="n">
        <v>1620</v>
      </c>
    </row>
    <row r="79" ht="18" customHeight="1">
      <c r="F79" s="85" t="n">
        <v>11</v>
      </c>
      <c r="G79" s="86" t="inlineStr">
        <is>
          <t>RETROEXCAVADORA CASE 580 N</t>
        </is>
      </c>
      <c r="H79" s="96" t="n"/>
      <c r="I79" s="85" t="n"/>
      <c r="J79" s="85" t="n"/>
      <c r="K79" s="85" t="n"/>
      <c r="L79" s="85" t="n"/>
      <c r="M79" s="85" t="n">
        <v>70</v>
      </c>
      <c r="N79" s="88" t="n">
        <v>70</v>
      </c>
      <c r="O79" s="55" t="n">
        <v>27</v>
      </c>
      <c r="P79" s="89" t="n">
        <v>1890</v>
      </c>
    </row>
    <row r="80" ht="18" customHeight="1">
      <c r="F80" s="90" t="n">
        <v>12</v>
      </c>
      <c r="G80" s="91" t="inlineStr">
        <is>
          <t>RETROEXCAVADORA JHONDEREE 310SK</t>
        </is>
      </c>
      <c r="H80" s="92" t="n"/>
      <c r="I80" s="90" t="n">
        <v>50</v>
      </c>
      <c r="J80" s="90" t="n">
        <v>50</v>
      </c>
      <c r="K80" s="90" t="n"/>
      <c r="L80" s="90" t="n"/>
      <c r="M80" s="90" t="n">
        <v>110</v>
      </c>
      <c r="N80" s="93" t="n">
        <v>210</v>
      </c>
      <c r="O80" s="94" t="n">
        <v>27</v>
      </c>
      <c r="P80" s="95" t="n">
        <v>5670</v>
      </c>
    </row>
    <row r="81" ht="18" customHeight="1">
      <c r="F81" s="85" t="n">
        <v>13</v>
      </c>
      <c r="G81" s="86" t="inlineStr">
        <is>
          <t>SIN EQUIPO</t>
        </is>
      </c>
      <c r="H81" s="96" t="n"/>
      <c r="I81" s="85" t="n"/>
      <c r="J81" s="85" t="n"/>
      <c r="K81" s="85" t="n"/>
      <c r="L81" s="85" t="n">
        <v>318.266</v>
      </c>
      <c r="M81" s="85" t="n"/>
      <c r="N81" s="88" t="n">
        <v>318.27</v>
      </c>
      <c r="O81" s="55" t="n">
        <v>27</v>
      </c>
      <c r="P81" s="89" t="n">
        <v>8593.18</v>
      </c>
    </row>
    <row r="82" ht="18" customHeight="1">
      <c r="F82" s="90" t="n">
        <v>14</v>
      </c>
      <c r="G82" s="91" t="inlineStr">
        <is>
          <t>TANDEM DOBLE RODILLO / VIBROCOMPACTOR RODILLO CAT CB54</t>
        </is>
      </c>
      <c r="H82" s="92" t="n"/>
      <c r="I82" s="90" t="n"/>
      <c r="J82" s="90" t="n">
        <v>48</v>
      </c>
      <c r="K82" s="90" t="n"/>
      <c r="L82" s="90" t="n"/>
      <c r="M82" s="90" t="n">
        <v>110</v>
      </c>
      <c r="N82" s="93" t="n">
        <v>158</v>
      </c>
      <c r="O82" s="94" t="n">
        <v>27</v>
      </c>
      <c r="P82" s="95" t="n">
        <v>4266</v>
      </c>
    </row>
    <row r="83" ht="20" customHeight="1">
      <c r="F83" s="80" t="inlineStr">
        <is>
          <t>TOTAL LITROS</t>
        </is>
      </c>
      <c r="G83" s="131" t="n"/>
      <c r="H83" s="132" t="n"/>
      <c r="I83" s="97" t="n">
        <v>400</v>
      </c>
      <c r="J83" s="98" t="n">
        <v>445</v>
      </c>
      <c r="K83" s="97" t="n">
        <v>-339</v>
      </c>
      <c r="L83" s="97" t="n">
        <v>318.27</v>
      </c>
      <c r="M83" s="98" t="n">
        <v>590</v>
      </c>
      <c r="N83" s="80" t="n">
        <v>1414.27</v>
      </c>
      <c r="O83" s="15" t="n"/>
      <c r="P83" s="16" t="n">
        <v>38185.18</v>
      </c>
    </row>
    <row r="84" ht="20" customHeight="1">
      <c r="F84" s="99" t="inlineStr">
        <is>
          <t>IMPORTE SEMANAL AUTORIZADO: $75,600.00  (Litros aut.: 2,800.00 L)</t>
        </is>
      </c>
      <c r="G84" s="131" t="n"/>
      <c r="H84" s="131" t="n"/>
      <c r="I84" s="131" t="n"/>
      <c r="J84" s="131" t="n"/>
      <c r="K84" s="131" t="n"/>
      <c r="L84" s="131" t="n"/>
      <c r="M84" s="131" t="n"/>
      <c r="N84" s="131" t="n"/>
      <c r="O84" s="132" t="n"/>
      <c r="P84" s="101" t="n">
        <v>38185.18</v>
      </c>
    </row>
    <row r="87" ht="22" customHeight="1">
      <c r="F87" s="81" t="inlineStr">
        <is>
          <t>FRANCISCO JAVIER</t>
        </is>
      </c>
      <c r="G87" s="131" t="n"/>
      <c r="H87" s="131" t="n"/>
      <c r="I87" s="131" t="n"/>
      <c r="J87" s="131" t="n"/>
      <c r="K87" s="131" t="n"/>
      <c r="L87" s="131" t="n"/>
      <c r="M87" s="131" t="n"/>
      <c r="N87" s="131" t="n"/>
      <c r="O87" s="132" t="n"/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Lun
06/07</t>
        </is>
      </c>
      <c r="J88" s="4" t="inlineStr">
        <is>
          <t>Mar
07/07</t>
        </is>
      </c>
      <c r="K88" s="4" t="inlineStr">
        <is>
          <t>Jue
09/07</t>
        </is>
      </c>
      <c r="L88" s="4" t="inlineStr">
        <is>
          <t>Sáb
11/07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México - Toluca</t>
        </is>
      </c>
      <c r="J89" s="84" t="inlineStr">
        <is>
          <t>México - Toluca</t>
        </is>
      </c>
      <c r="K89" s="84" t="inlineStr">
        <is>
          <t>México - Toluca</t>
        </is>
      </c>
      <c r="L89" s="84" t="inlineStr">
        <is>
          <t>Alfredo del Mazo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3850</v>
      </c>
      <c r="I90" s="85" t="n"/>
      <c r="J90" s="85" t="n"/>
      <c r="K90" s="85" t="n">
        <v>873</v>
      </c>
      <c r="L90" s="85" t="n"/>
      <c r="M90" s="88" t="n">
        <v>873</v>
      </c>
      <c r="N90" s="55" t="n">
        <v>27</v>
      </c>
      <c r="O90" s="89" t="n">
        <v>23571</v>
      </c>
    </row>
    <row r="91" ht="18" customHeight="1">
      <c r="F91" s="90" t="n">
        <v>2</v>
      </c>
      <c r="G91" s="91" t="inlineStr">
        <is>
          <t>BARREDORA BROCE RJ350</t>
        </is>
      </c>
      <c r="H91" s="92" t="n"/>
      <c r="I91" s="90" t="n">
        <v>25</v>
      </c>
      <c r="J91" s="90" t="n"/>
      <c r="K91" s="90" t="n"/>
      <c r="L91" s="90" t="n">
        <v>20</v>
      </c>
      <c r="M91" s="93" t="n">
        <v>45</v>
      </c>
      <c r="N91" s="94" t="n">
        <v>27</v>
      </c>
      <c r="O91" s="95" t="n">
        <v>1215</v>
      </c>
    </row>
    <row r="92" ht="18" customHeight="1">
      <c r="F92" s="85" t="n">
        <v>3</v>
      </c>
      <c r="G92" s="86" t="inlineStr">
        <is>
          <t>DOBLE RODILLO/VIBROCOMPACTADOR DE RODILLOS HAMM 120HD VV</t>
        </is>
      </c>
      <c r="H92" s="96" t="n"/>
      <c r="I92" s="85" t="n">
        <v>38</v>
      </c>
      <c r="J92" s="85" t="n"/>
      <c r="K92" s="85" t="n"/>
      <c r="L92" s="85" t="n"/>
      <c r="M92" s="88" t="n">
        <v>38</v>
      </c>
      <c r="N92" s="55" t="n">
        <v>27</v>
      </c>
      <c r="O92" s="89" t="n">
        <v>1026</v>
      </c>
    </row>
    <row r="93" ht="18" customHeight="1">
      <c r="F93" s="90" t="n">
        <v>4</v>
      </c>
      <c r="G93" s="91" t="inlineStr">
        <is>
          <t>DOBLE RODILLO/VIBROCOMPACTADOR DE RODILLOS HAMM 140HD</t>
        </is>
      </c>
      <c r="H93" s="92" t="n"/>
      <c r="I93" s="90" t="n">
        <v>70</v>
      </c>
      <c r="J93" s="90" t="n"/>
      <c r="K93" s="90" t="n"/>
      <c r="L93" s="90" t="n"/>
      <c r="M93" s="93" t="n">
        <v>70</v>
      </c>
      <c r="N93" s="94" t="n">
        <v>27</v>
      </c>
      <c r="O93" s="95" t="n">
        <v>1890</v>
      </c>
    </row>
    <row r="94" ht="18" customHeight="1">
      <c r="F94" s="85" t="n">
        <v>5</v>
      </c>
      <c r="G94" s="86" t="inlineStr">
        <is>
          <t>LIMPIEZA</t>
        </is>
      </c>
      <c r="H94" s="96" t="n"/>
      <c r="I94" s="85" t="n"/>
      <c r="J94" s="85" t="n">
        <v>20</v>
      </c>
      <c r="K94" s="85" t="n"/>
      <c r="L94" s="85" t="n"/>
      <c r="M94" s="88" t="n">
        <v>20</v>
      </c>
      <c r="N94" s="55" t="n">
        <v>27</v>
      </c>
      <c r="O94" s="89" t="n">
        <v>540</v>
      </c>
    </row>
    <row r="95" ht="18" customHeight="1">
      <c r="F95" s="90" t="n">
        <v>6</v>
      </c>
      <c r="G95" s="91" t="inlineStr">
        <is>
          <t>NEUMATICO / COMPACTADOR DE NEUMATICOS DINAPAC CP271</t>
        </is>
      </c>
      <c r="H95" s="92" t="n"/>
      <c r="I95" s="90" t="n">
        <v>20</v>
      </c>
      <c r="J95" s="90" t="n"/>
      <c r="K95" s="90" t="n"/>
      <c r="L95" s="90" t="n">
        <v>30</v>
      </c>
      <c r="M95" s="93" t="n">
        <v>50</v>
      </c>
      <c r="N95" s="94" t="n">
        <v>27</v>
      </c>
      <c r="O95" s="95" t="n">
        <v>1350</v>
      </c>
    </row>
    <row r="96" ht="18" customHeight="1">
      <c r="F96" s="85" t="n">
        <v>7</v>
      </c>
      <c r="G96" s="86" t="inlineStr">
        <is>
          <t>NEUMATICO VOLVO PT-240R</t>
        </is>
      </c>
      <c r="H96" s="96" t="n"/>
      <c r="I96" s="85" t="n">
        <v>70</v>
      </c>
      <c r="J96" s="85" t="n"/>
      <c r="K96" s="85" t="n"/>
      <c r="L96" s="85" t="n"/>
      <c r="M96" s="88" t="n">
        <v>70</v>
      </c>
      <c r="N96" s="55" t="n">
        <v>27</v>
      </c>
      <c r="O96" s="89" t="n">
        <v>1890</v>
      </c>
    </row>
    <row r="97" ht="18" customHeight="1">
      <c r="F97" s="90" t="n">
        <v>8</v>
      </c>
      <c r="G97" s="91" t="inlineStr">
        <is>
          <t>PAVIMENTADORA  VOGELE 1800-3 i</t>
        </is>
      </c>
      <c r="H97" s="92" t="n"/>
      <c r="I97" s="90" t="n"/>
      <c r="J97" s="90" t="n"/>
      <c r="K97" s="90" t="n"/>
      <c r="L97" s="90" t="n">
        <v>90</v>
      </c>
      <c r="M97" s="93" t="n">
        <v>90</v>
      </c>
      <c r="N97" s="94" t="n">
        <v>27</v>
      </c>
      <c r="O97" s="95" t="n">
        <v>2430</v>
      </c>
    </row>
    <row r="98" ht="18" customHeight="1">
      <c r="F98" s="85" t="n">
        <v>9</v>
      </c>
      <c r="G98" s="86" t="inlineStr">
        <is>
          <t>PAVIMENTADORA  VOGELE SJ 1800-3</t>
        </is>
      </c>
      <c r="H98" s="96" t="n"/>
      <c r="I98" s="85" t="n">
        <v>160</v>
      </c>
      <c r="J98" s="85" t="n"/>
      <c r="K98" s="85" t="n"/>
      <c r="L98" s="85" t="n"/>
      <c r="M98" s="88" t="n">
        <v>160</v>
      </c>
      <c r="N98" s="55" t="n">
        <v>27</v>
      </c>
      <c r="O98" s="89" t="n">
        <v>4320</v>
      </c>
    </row>
    <row r="99" ht="18" customHeight="1">
      <c r="F99" s="90" t="n">
        <v>10</v>
      </c>
      <c r="G99" s="91" t="inlineStr">
        <is>
          <t>PERFILADORA(RENTADA)</t>
        </is>
      </c>
      <c r="H99" s="92" t="n"/>
      <c r="I99" s="90" t="n">
        <v>150</v>
      </c>
      <c r="J99" s="90" t="n"/>
      <c r="K99" s="90" t="n"/>
      <c r="L99" s="90" t="n"/>
      <c r="M99" s="93" t="n">
        <v>150</v>
      </c>
      <c r="N99" s="94" t="n">
        <v>27</v>
      </c>
      <c r="O99" s="95" t="n">
        <v>4050</v>
      </c>
    </row>
    <row r="100" ht="18" customHeight="1">
      <c r="F100" s="85" t="n">
        <v>11</v>
      </c>
      <c r="G100" s="86" t="inlineStr">
        <is>
          <t>RETROEXCAVADORA JHONDEREE 310SK</t>
        </is>
      </c>
      <c r="H100" s="96" t="n"/>
      <c r="I100" s="85" t="n"/>
      <c r="J100" s="85" t="n"/>
      <c r="K100" s="85" t="n"/>
      <c r="L100" s="85" t="n">
        <v>30</v>
      </c>
      <c r="M100" s="88" t="n">
        <v>30</v>
      </c>
      <c r="N100" s="55" t="n">
        <v>27</v>
      </c>
      <c r="O100" s="89" t="n">
        <v>810</v>
      </c>
    </row>
    <row r="101" ht="18" customHeight="1">
      <c r="F101" s="90" t="n">
        <v>12</v>
      </c>
      <c r="G101" s="91" t="inlineStr">
        <is>
          <t>TANDEM DOBLE RODILLO / VIBROCOMPACTOR RODILLO CAT CB54</t>
        </is>
      </c>
      <c r="H101" s="92" t="n"/>
      <c r="I101" s="90" t="n"/>
      <c r="J101" s="90" t="n"/>
      <c r="K101" s="90" t="n"/>
      <c r="L101" s="90" t="n">
        <v>30</v>
      </c>
      <c r="M101" s="93" t="n">
        <v>30</v>
      </c>
      <c r="N101" s="94" t="n">
        <v>27</v>
      </c>
      <c r="O101" s="95" t="n">
        <v>810</v>
      </c>
    </row>
    <row r="102" ht="20" customHeight="1">
      <c r="F102" s="80" t="inlineStr">
        <is>
          <t>TOTAL LITROS</t>
        </is>
      </c>
      <c r="G102" s="131" t="n"/>
      <c r="H102" s="132" t="n"/>
      <c r="I102" s="97" t="n">
        <v>533</v>
      </c>
      <c r="J102" s="97" t="n">
        <v>20</v>
      </c>
      <c r="K102" s="98" t="n">
        <v>873</v>
      </c>
      <c r="L102" s="97" t="n">
        <v>200</v>
      </c>
      <c r="M102" s="80" t="n">
        <v>1626</v>
      </c>
      <c r="N102" s="15" t="n"/>
      <c r="O102" s="16" t="n">
        <v>43902</v>
      </c>
    </row>
    <row r="103" ht="20" customHeight="1">
      <c r="F103" s="99" t="inlineStr">
        <is>
          <t>IMPORTE SEMANAL AUTORIZADO: $103,950.00  (Litros aut.: 3,850.00 L)</t>
        </is>
      </c>
      <c r="G103" s="131" t="n"/>
      <c r="H103" s="131" t="n"/>
      <c r="I103" s="131" t="n"/>
      <c r="J103" s="131" t="n"/>
      <c r="K103" s="131" t="n"/>
      <c r="L103" s="131" t="n"/>
      <c r="M103" s="131" t="n"/>
      <c r="N103" s="132" t="n"/>
      <c r="O103" s="101" t="n">
        <v>43902</v>
      </c>
    </row>
    <row r="106" ht="22" customHeight="1">
      <c r="F106" s="81" t="inlineStr">
        <is>
          <t>ING. DIEGO CARREOLA</t>
        </is>
      </c>
      <c r="G106" s="131" t="n"/>
      <c r="H106" s="131" t="n"/>
      <c r="I106" s="131" t="n"/>
      <c r="J106" s="131" t="n"/>
      <c r="K106" s="131" t="n"/>
      <c r="L106" s="131" t="n"/>
      <c r="M106" s="131" t="n"/>
      <c r="N106" s="131" t="n"/>
      <c r="O106" s="131" t="n"/>
      <c r="P106" s="132" t="n"/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Lun
06/07</t>
        </is>
      </c>
      <c r="J107" s="4" t="inlineStr">
        <is>
          <t>Mar
07/07</t>
        </is>
      </c>
      <c r="K107" s="4" t="inlineStr">
        <is>
          <t>Jue
09/07</t>
        </is>
      </c>
      <c r="L107" s="4" t="inlineStr">
        <is>
          <t>Vie
10/07</t>
        </is>
      </c>
      <c r="M107" s="4" t="inlineStr">
        <is>
          <t>Sáb
11/07</t>
        </is>
      </c>
      <c r="N107" s="4" t="inlineStr">
        <is>
          <t>LITROS
TOTAL</t>
        </is>
      </c>
      <c r="O107" s="4" t="inlineStr">
        <is>
          <t>PRECIO
UNIT.</t>
        </is>
      </c>
      <c r="P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Bacheo Toluca</t>
        </is>
      </c>
      <c r="J108" s="84" t="inlineStr">
        <is>
          <t>Vicente Lombardo</t>
        </is>
      </c>
      <c r="K108" s="84" t="inlineStr">
        <is>
          <t>Bacheo Toluca</t>
        </is>
      </c>
      <c r="L108" s="84" t="inlineStr">
        <is>
          <t>Vicente Lombardo</t>
        </is>
      </c>
      <c r="M108" s="84" t="inlineStr">
        <is>
          <t>Vicente Lombardo</t>
        </is>
      </c>
      <c r="N108" s="82" t="n"/>
      <c r="O108" s="82" t="n"/>
      <c r="P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700</v>
      </c>
      <c r="I109" s="85" t="n"/>
      <c r="J109" s="85" t="n"/>
      <c r="K109" s="85" t="n">
        <v>-1467</v>
      </c>
      <c r="L109" s="85" t="n"/>
      <c r="M109" s="85" t="n"/>
      <c r="N109" s="88" t="n">
        <v>-1467</v>
      </c>
      <c r="O109" s="55" t="n">
        <v>27</v>
      </c>
      <c r="P109" s="89" t="n">
        <v>-39609</v>
      </c>
    </row>
    <row r="110" ht="18" customHeight="1">
      <c r="F110" s="90" t="n">
        <v>2</v>
      </c>
      <c r="G110" s="91" t="inlineStr">
        <is>
          <t>EXCAVADORA 320 CAT</t>
        </is>
      </c>
      <c r="H110" s="92" t="n"/>
      <c r="I110" s="90" t="n"/>
      <c r="J110" s="90" t="n">
        <v>500</v>
      </c>
      <c r="K110" s="90" t="n">
        <v>360</v>
      </c>
      <c r="L110" s="90" t="n">
        <v>400</v>
      </c>
      <c r="M110" s="90" t="n">
        <v>720</v>
      </c>
      <c r="N110" s="93" t="n">
        <v>1980</v>
      </c>
      <c r="O110" s="94" t="n">
        <v>27</v>
      </c>
      <c r="P110" s="95" t="n">
        <v>53460</v>
      </c>
    </row>
    <row r="111" ht="18" customHeight="1">
      <c r="F111" s="85" t="n">
        <v>3</v>
      </c>
      <c r="G111" s="86" t="inlineStr">
        <is>
          <t>MOTOCONFORMADORA</t>
        </is>
      </c>
      <c r="H111" s="96" t="n"/>
      <c r="I111" s="85" t="n"/>
      <c r="J111" s="85" t="n">
        <v>170</v>
      </c>
      <c r="K111" s="85" t="n"/>
      <c r="L111" s="85" t="n"/>
      <c r="M111" s="85" t="n"/>
      <c r="N111" s="88" t="n">
        <v>170</v>
      </c>
      <c r="O111" s="55" t="n">
        <v>27</v>
      </c>
      <c r="P111" s="89" t="n">
        <v>4590</v>
      </c>
    </row>
    <row r="112" ht="18" customHeight="1">
      <c r="F112" s="90" t="n">
        <v>4</v>
      </c>
      <c r="G112" s="91" t="inlineStr">
        <is>
          <t>MOTOCONFORMADORA RENTADA</t>
        </is>
      </c>
      <c r="H112" s="92" t="n"/>
      <c r="I112" s="90" t="n">
        <v>30</v>
      </c>
      <c r="J112" s="90" t="n"/>
      <c r="K112" s="90" t="n"/>
      <c r="L112" s="90" t="n"/>
      <c r="M112" s="90" t="n"/>
      <c r="N112" s="93" t="n">
        <v>30</v>
      </c>
      <c r="O112" s="94" t="n">
        <v>27</v>
      </c>
      <c r="P112" s="95" t="n">
        <v>810</v>
      </c>
    </row>
    <row r="113" ht="18" customHeight="1">
      <c r="F113" s="85" t="n">
        <v>5</v>
      </c>
      <c r="G113" s="86" t="inlineStr">
        <is>
          <t>PETROLIZADORA    INTERNATIONAL</t>
        </is>
      </c>
      <c r="H113" s="96" t="n"/>
      <c r="I113" s="85" t="n"/>
      <c r="J113" s="85" t="n">
        <v>30</v>
      </c>
      <c r="K113" s="85" t="n"/>
      <c r="L113" s="85" t="n"/>
      <c r="M113" s="85" t="n"/>
      <c r="N113" s="88" t="n">
        <v>30</v>
      </c>
      <c r="O113" s="55" t="n">
        <v>27</v>
      </c>
      <c r="P113" s="89" t="n">
        <v>810</v>
      </c>
    </row>
    <row r="114" ht="18" customHeight="1">
      <c r="F114" s="90" t="n">
        <v>6</v>
      </c>
      <c r="G114" s="91" t="inlineStr">
        <is>
          <t>RETROEXCAVADORA CASE 420DN</t>
        </is>
      </c>
      <c r="H114" s="92" t="n"/>
      <c r="I114" s="90" t="n"/>
      <c r="J114" s="90" t="n"/>
      <c r="K114" s="90" t="n">
        <v>100</v>
      </c>
      <c r="L114" s="90" t="n"/>
      <c r="M114" s="90" t="n"/>
      <c r="N114" s="93" t="n">
        <v>100</v>
      </c>
      <c r="O114" s="94" t="n">
        <v>27</v>
      </c>
      <c r="P114" s="95" t="n">
        <v>2700</v>
      </c>
    </row>
    <row r="115" ht="18" customHeight="1">
      <c r="F115" s="85" t="n">
        <v>7</v>
      </c>
      <c r="G115" s="86" t="inlineStr">
        <is>
          <t>RETROEXCAVADORA CASE 580 N</t>
        </is>
      </c>
      <c r="H115" s="96" t="n"/>
      <c r="I115" s="85" t="n">
        <v>50</v>
      </c>
      <c r="J115" s="85" t="n">
        <v>110</v>
      </c>
      <c r="K115" s="85" t="n"/>
      <c r="L115" s="85" t="n"/>
      <c r="M115" s="85" t="n"/>
      <c r="N115" s="88" t="n">
        <v>160</v>
      </c>
      <c r="O115" s="55" t="n">
        <v>27</v>
      </c>
      <c r="P115" s="89" t="n">
        <v>4320</v>
      </c>
    </row>
    <row r="116" ht="18" customHeight="1">
      <c r="F116" s="90" t="n">
        <v>8</v>
      </c>
      <c r="G116" s="91" t="inlineStr">
        <is>
          <t>RETROEXCAVADORA CAT</t>
        </is>
      </c>
      <c r="H116" s="92" t="n"/>
      <c r="I116" s="90" t="n"/>
      <c r="J116" s="90" t="n"/>
      <c r="K116" s="90" t="n"/>
      <c r="L116" s="90" t="n"/>
      <c r="M116" s="90" t="n">
        <v>75</v>
      </c>
      <c r="N116" s="93" t="n">
        <v>75</v>
      </c>
      <c r="O116" s="94" t="n">
        <v>27</v>
      </c>
      <c r="P116" s="95" t="n">
        <v>2025</v>
      </c>
    </row>
    <row r="117" ht="18" customHeight="1">
      <c r="F117" s="85" t="n">
        <v>9</v>
      </c>
      <c r="G117" s="86" t="inlineStr">
        <is>
          <t>SIN EQUIPO</t>
        </is>
      </c>
      <c r="H117" s="96" t="n"/>
      <c r="I117" s="85" t="n"/>
      <c r="J117" s="85" t="n"/>
      <c r="K117" s="85" t="n"/>
      <c r="L117" s="85" t="n">
        <v>1774.49</v>
      </c>
      <c r="M117" s="85" t="n"/>
      <c r="N117" s="88" t="n">
        <v>1774.49</v>
      </c>
      <c r="O117" s="55" t="n">
        <v>27</v>
      </c>
      <c r="P117" s="89" t="n">
        <v>47911.23</v>
      </c>
    </row>
    <row r="118" ht="18" customHeight="1">
      <c r="F118" s="90" t="n">
        <v>10</v>
      </c>
      <c r="G118" s="91" t="inlineStr">
        <is>
          <t>VIBRO COMPACTADOR</t>
        </is>
      </c>
      <c r="H118" s="92" t="n"/>
      <c r="I118" s="90" t="n">
        <v>60</v>
      </c>
      <c r="J118" s="90" t="n"/>
      <c r="K118" s="90" t="n"/>
      <c r="L118" s="90" t="n"/>
      <c r="M118" s="90" t="n"/>
      <c r="N118" s="93" t="n">
        <v>60</v>
      </c>
      <c r="O118" s="94" t="n">
        <v>27</v>
      </c>
      <c r="P118" s="95" t="n">
        <v>1620</v>
      </c>
    </row>
    <row r="119" ht="20" customHeight="1">
      <c r="F119" s="80" t="inlineStr">
        <is>
          <t>TOTAL LITROS</t>
        </is>
      </c>
      <c r="G119" s="131" t="n"/>
      <c r="H119" s="132" t="n"/>
      <c r="I119" s="98" t="n">
        <v>140</v>
      </c>
      <c r="J119" s="98" t="n">
        <v>810</v>
      </c>
      <c r="K119" s="97" t="n">
        <v>-1007</v>
      </c>
      <c r="L119" s="98" t="n">
        <v>2174.49</v>
      </c>
      <c r="M119" s="98" t="n">
        <v>795</v>
      </c>
      <c r="N119" s="80" t="n">
        <v>2912.49</v>
      </c>
      <c r="O119" s="15" t="n"/>
      <c r="P119" s="16" t="n">
        <v>78637.23</v>
      </c>
    </row>
    <row r="120" ht="20" customHeight="1">
      <c r="F120" s="99" t="inlineStr">
        <is>
          <t>IMPORTE SEMANAL AUTORIZADO: $18,900.00  (Litros aut.: 700.00 L)</t>
        </is>
      </c>
      <c r="G120" s="131" t="n"/>
      <c r="H120" s="131" t="n"/>
      <c r="I120" s="131" t="n"/>
      <c r="J120" s="131" t="n"/>
      <c r="K120" s="131" t="n"/>
      <c r="L120" s="131" t="n"/>
      <c r="M120" s="131" t="n"/>
      <c r="N120" s="131" t="n"/>
      <c r="O120" s="132" t="n"/>
      <c r="P120" s="130" t="n">
        <v>78637.23</v>
      </c>
    </row>
    <row r="123" ht="22" customHeight="1">
      <c r="F123" s="81" t="inlineStr">
        <is>
          <t>JACK</t>
        </is>
      </c>
      <c r="G123" s="131" t="n"/>
      <c r="H123" s="131" t="n"/>
      <c r="I123" s="131" t="n"/>
      <c r="J123" s="131" t="n"/>
      <c r="K123" s="131" t="n"/>
      <c r="L123" s="131" t="n"/>
      <c r="M123" s="131" t="n"/>
      <c r="N123" s="131" t="n"/>
      <c r="O123" s="131" t="n"/>
      <c r="P123" s="131" t="n"/>
      <c r="Q123" s="132" t="n"/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Dom
26/07</t>
        </is>
      </c>
      <c r="J124" s="4" t="inlineStr">
        <is>
          <t>Lun
06/07</t>
        </is>
      </c>
      <c r="K124" s="4" t="inlineStr">
        <is>
          <t>Mar
07/07</t>
        </is>
      </c>
      <c r="L124" s="4" t="inlineStr">
        <is>
          <t>Jue
09/07</t>
        </is>
      </c>
      <c r="M124" s="4" t="inlineStr">
        <is>
          <t>Vie
10/07</t>
        </is>
      </c>
      <c r="N124" s="4" t="inlineStr">
        <is>
          <t>Sáb
11/07</t>
        </is>
      </c>
      <c r="O124" s="4" t="inlineStr">
        <is>
          <t>LITROS
TOTAL</t>
        </is>
      </c>
      <c r="P124" s="4" t="inlineStr">
        <is>
          <t>PRECIO
UNIT.</t>
        </is>
      </c>
      <c r="Q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Planta Pegaso</t>
        </is>
      </c>
      <c r="J125" s="84" t="inlineStr">
        <is>
          <t>Planta Pegaso</t>
        </is>
      </c>
      <c r="K125" s="84" t="inlineStr">
        <is>
          <t>Planta Pegaso</t>
        </is>
      </c>
      <c r="L125" s="84" t="inlineStr">
        <is>
          <t>Planta Pegaso</t>
        </is>
      </c>
      <c r="M125" s="84" t="inlineStr">
        <is>
          <t>Planta Pegaso</t>
        </is>
      </c>
      <c r="N125" s="84" t="inlineStr">
        <is>
          <t>Planta Pegaso</t>
        </is>
      </c>
      <c r="O125" s="82" t="n"/>
      <c r="P125" s="82" t="n"/>
      <c r="Q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1009.07</v>
      </c>
      <c r="M126" s="85" t="n"/>
      <c r="N126" s="85" t="n"/>
      <c r="O126" s="88" t="n">
        <v>1009.07</v>
      </c>
      <c r="P126" s="55" t="n">
        <v>27</v>
      </c>
      <c r="Q126" s="89" t="n">
        <v>27244.89</v>
      </c>
    </row>
    <row r="127" ht="18" customHeight="1">
      <c r="F127" s="90" t="n">
        <v>2</v>
      </c>
      <c r="G127" s="91" t="inlineStr">
        <is>
          <t>BR-05 - BARREDORA BROCE BROOM KR350</t>
        </is>
      </c>
      <c r="H127" s="92" t="n"/>
      <c r="I127" s="90" t="n">
        <v>45</v>
      </c>
      <c r="J127" s="90" t="n"/>
      <c r="K127" s="90" t="n"/>
      <c r="L127" s="90" t="n"/>
      <c r="M127" s="90" t="n"/>
      <c r="N127" s="90" t="n"/>
      <c r="O127" s="93" t="n">
        <v>45</v>
      </c>
      <c r="P127" s="94" t="n">
        <v>27</v>
      </c>
      <c r="Q127" s="95" t="n">
        <v>1215</v>
      </c>
    </row>
    <row r="128" ht="18" customHeight="1">
      <c r="F128" s="85" t="n">
        <v>3</v>
      </c>
      <c r="G128" s="86" t="inlineStr">
        <is>
          <t>CALDERA TECNO</t>
        </is>
      </c>
      <c r="H128" s="96" t="n"/>
      <c r="I128" s="85" t="n"/>
      <c r="J128" s="85" t="n"/>
      <c r="K128" s="85" t="n"/>
      <c r="L128" s="85" t="n"/>
      <c r="M128" s="85" t="n"/>
      <c r="N128" s="85" t="n">
        <v>600</v>
      </c>
      <c r="O128" s="88" t="n">
        <v>600</v>
      </c>
      <c r="P128" s="55" t="n">
        <v>27</v>
      </c>
      <c r="Q128" s="89" t="n">
        <v>16200</v>
      </c>
    </row>
    <row r="129" ht="18" customHeight="1">
      <c r="F129" s="90" t="n">
        <v>4</v>
      </c>
      <c r="G129" s="91" t="inlineStr">
        <is>
          <t>CALDERA TRIASO</t>
        </is>
      </c>
      <c r="H129" s="92" t="n"/>
      <c r="I129" s="90" t="n"/>
      <c r="J129" s="90" t="n">
        <v>200</v>
      </c>
      <c r="K129" s="90" t="n"/>
      <c r="L129" s="90" t="n">
        <v>400</v>
      </c>
      <c r="M129" s="90" t="n"/>
      <c r="N129" s="90" t="n"/>
      <c r="O129" s="93" t="n">
        <v>600</v>
      </c>
      <c r="P129" s="94" t="n">
        <v>27</v>
      </c>
      <c r="Q129" s="95" t="n">
        <v>16200</v>
      </c>
    </row>
    <row r="130" ht="18" customHeight="1">
      <c r="F130" s="85" t="n">
        <v>5</v>
      </c>
      <c r="G130" s="86" t="inlineStr">
        <is>
          <t>CS-01 - CAMION DE SELLO</t>
        </is>
      </c>
      <c r="H130" s="96" t="n"/>
      <c r="I130" s="85" t="n">
        <v>50</v>
      </c>
      <c r="J130" s="85" t="n"/>
      <c r="K130" s="85" t="n"/>
      <c r="L130" s="85" t="n"/>
      <c r="M130" s="85" t="n"/>
      <c r="N130" s="85" t="n"/>
      <c r="O130" s="88" t="n">
        <v>50</v>
      </c>
      <c r="P130" s="55" t="n">
        <v>27</v>
      </c>
      <c r="Q130" s="89" t="n">
        <v>1350</v>
      </c>
    </row>
    <row r="131" ht="18" customHeight="1">
      <c r="F131" s="90" t="n">
        <v>6</v>
      </c>
      <c r="G131" s="91" t="inlineStr">
        <is>
          <t>Criba Mobil</t>
        </is>
      </c>
      <c r="H131" s="92" t="n"/>
      <c r="I131" s="90" t="n"/>
      <c r="J131" s="90" t="n"/>
      <c r="K131" s="90" t="n">
        <v>268</v>
      </c>
      <c r="L131" s="90" t="n">
        <v>150</v>
      </c>
      <c r="M131" s="90" t="n"/>
      <c r="N131" s="90" t="n"/>
      <c r="O131" s="93" t="n">
        <v>418</v>
      </c>
      <c r="P131" s="94" t="n">
        <v>27</v>
      </c>
      <c r="Q131" s="95" t="n">
        <v>11286</v>
      </c>
    </row>
    <row r="132" ht="18" customHeight="1">
      <c r="F132" s="85" t="n">
        <v>7</v>
      </c>
      <c r="G132" s="86" t="inlineStr">
        <is>
          <t>NM-06 - NEUMATICO INGERSOL</t>
        </is>
      </c>
      <c r="H132" s="96" t="n"/>
      <c r="I132" s="85" t="n">
        <v>21</v>
      </c>
      <c r="J132" s="85" t="n"/>
      <c r="K132" s="85" t="n"/>
      <c r="L132" s="85" t="n"/>
      <c r="M132" s="85" t="n"/>
      <c r="N132" s="85" t="n"/>
      <c r="O132" s="88" t="n">
        <v>21</v>
      </c>
      <c r="P132" s="55" t="n">
        <v>27</v>
      </c>
      <c r="Q132" s="89" t="n">
        <v>567</v>
      </c>
    </row>
    <row r="133" ht="18" customHeight="1">
      <c r="F133" s="90" t="n">
        <v>8</v>
      </c>
      <c r="G133" s="91" t="inlineStr">
        <is>
          <t>NM-07 - NEUMATICO BOMANG</t>
        </is>
      </c>
      <c r="H133" s="92" t="n"/>
      <c r="I133" s="90" t="n">
        <v>50</v>
      </c>
      <c r="J133" s="90" t="n"/>
      <c r="K133" s="90" t="n"/>
      <c r="L133" s="90" t="n"/>
      <c r="M133" s="90" t="n"/>
      <c r="N133" s="90" t="n"/>
      <c r="O133" s="93" t="n">
        <v>50</v>
      </c>
      <c r="P133" s="94" t="n">
        <v>27</v>
      </c>
      <c r="Q133" s="95" t="n">
        <v>1350</v>
      </c>
    </row>
    <row r="134" ht="18" customHeight="1">
      <c r="F134" s="85" t="n">
        <v>9</v>
      </c>
      <c r="G134" s="86" t="inlineStr">
        <is>
          <t>PATA DE CABRA</t>
        </is>
      </c>
      <c r="H134" s="96" t="n"/>
      <c r="I134" s="85" t="n"/>
      <c r="J134" s="85" t="n"/>
      <c r="K134" s="85" t="n"/>
      <c r="L134" s="85" t="n"/>
      <c r="M134" s="85" t="n">
        <v>200</v>
      </c>
      <c r="N134" s="85" t="n"/>
      <c r="O134" s="88" t="n">
        <v>200</v>
      </c>
      <c r="P134" s="55" t="n">
        <v>27</v>
      </c>
      <c r="Q134" s="89" t="n">
        <v>5400</v>
      </c>
    </row>
    <row r="135" ht="18" customHeight="1">
      <c r="F135" s="90" t="n">
        <v>10</v>
      </c>
      <c r="G135" s="91" t="inlineStr">
        <is>
          <t>Payloder 644k</t>
        </is>
      </c>
      <c r="H135" s="92" t="n"/>
      <c r="I135" s="90" t="n"/>
      <c r="J135" s="90" t="n">
        <v>266</v>
      </c>
      <c r="K135" s="90" t="n"/>
      <c r="L135" s="90" t="n">
        <v>200</v>
      </c>
      <c r="M135" s="90" t="n"/>
      <c r="N135" s="90" t="n">
        <v>200</v>
      </c>
      <c r="O135" s="93" t="n">
        <v>666</v>
      </c>
      <c r="P135" s="94" t="n">
        <v>27</v>
      </c>
      <c r="Q135" s="95" t="n">
        <v>17982</v>
      </c>
    </row>
    <row r="136" ht="18" customHeight="1">
      <c r="F136" s="85" t="n">
        <v>11</v>
      </c>
      <c r="G136" s="86" t="inlineStr">
        <is>
          <t>Payloder 930K</t>
        </is>
      </c>
      <c r="H136" s="96" t="n"/>
      <c r="I136" s="85" t="n"/>
      <c r="J136" s="85" t="n"/>
      <c r="K136" s="85" t="n">
        <v>123</v>
      </c>
      <c r="L136" s="85" t="n">
        <v>150</v>
      </c>
      <c r="M136" s="85" t="n"/>
      <c r="N136" s="85" t="n"/>
      <c r="O136" s="88" t="n">
        <v>273</v>
      </c>
      <c r="P136" s="55" t="n">
        <v>27</v>
      </c>
      <c r="Q136" s="89" t="n">
        <v>7371</v>
      </c>
    </row>
    <row r="137" ht="18" customHeight="1">
      <c r="F137" s="90" t="n">
        <v>12</v>
      </c>
      <c r="G137" s="91" t="inlineStr">
        <is>
          <t>RT-01 - RETROEXCAVADORA CASE 580 N</t>
        </is>
      </c>
      <c r="H137" s="92" t="n"/>
      <c r="I137" s="90" t="n">
        <v>75</v>
      </c>
      <c r="J137" s="90" t="n"/>
      <c r="K137" s="90" t="n"/>
      <c r="L137" s="90" t="n"/>
      <c r="M137" s="90" t="n"/>
      <c r="N137" s="90" t="n"/>
      <c r="O137" s="93" t="n">
        <v>75</v>
      </c>
      <c r="P137" s="94" t="n">
        <v>27</v>
      </c>
      <c r="Q137" s="95" t="n">
        <v>2025</v>
      </c>
    </row>
    <row r="138" ht="20" customHeight="1">
      <c r="F138" s="80" t="inlineStr">
        <is>
          <t>TOTAL LITROS</t>
        </is>
      </c>
      <c r="G138" s="131" t="n"/>
      <c r="H138" s="132" t="n"/>
      <c r="I138" s="97" t="n">
        <v>241</v>
      </c>
      <c r="J138" s="98" t="n">
        <v>466</v>
      </c>
      <c r="K138" s="97" t="n">
        <v>391</v>
      </c>
      <c r="L138" s="98" t="n">
        <v>1909.07</v>
      </c>
      <c r="M138" s="97" t="n">
        <v>200</v>
      </c>
      <c r="N138" s="98" t="n">
        <v>800</v>
      </c>
      <c r="O138" s="80" t="n">
        <v>4007.07</v>
      </c>
      <c r="P138" s="15" t="n"/>
      <c r="Q138" s="16" t="n">
        <v>108190.89</v>
      </c>
    </row>
    <row r="139" ht="20" customHeight="1">
      <c r="F139" s="99" t="inlineStr">
        <is>
          <t>IMPORTE SEMANAL AUTORIZADO: $75,600.00  (Litros aut.: 2,800.00 L)</t>
        </is>
      </c>
      <c r="G139" s="131" t="n"/>
      <c r="H139" s="131" t="n"/>
      <c r="I139" s="131" t="n"/>
      <c r="J139" s="131" t="n"/>
      <c r="K139" s="131" t="n"/>
      <c r="L139" s="131" t="n"/>
      <c r="M139" s="131" t="n"/>
      <c r="N139" s="131" t="n"/>
      <c r="O139" s="131" t="n"/>
      <c r="P139" s="132" t="n"/>
      <c r="Q139" s="130" t="n">
        <v>108190.89</v>
      </c>
    </row>
    <row r="142" ht="22" customHeight="1">
      <c r="F142" s="81" t="inlineStr">
        <is>
          <t>LUIS</t>
        </is>
      </c>
      <c r="G142" s="131" t="n"/>
      <c r="H142" s="131" t="n"/>
      <c r="I142" s="131" t="n"/>
      <c r="J142" s="131" t="n"/>
      <c r="K142" s="131" t="n"/>
      <c r="L142" s="131" t="n"/>
      <c r="M142" s="131" t="n"/>
      <c r="N142" s="131" t="n"/>
      <c r="O142" s="131" t="n"/>
      <c r="P142" s="132" t="n"/>
    </row>
    <row r="143" ht="28" customHeight="1">
      <c r="F143" s="4" t="inlineStr">
        <is>
          <t>#</t>
        </is>
      </c>
      <c r="G143" s="4" t="inlineStr">
        <is>
          <t>EQUIPO / MAQUINARIA</t>
        </is>
      </c>
      <c r="H143" s="4" t="inlineStr">
        <is>
          <t>LTS. SEM.
AUT.</t>
        </is>
      </c>
      <c r="I143" s="4" t="inlineStr">
        <is>
          <t>Lun
06/07</t>
        </is>
      </c>
      <c r="J143" s="4" t="inlineStr">
        <is>
          <t>Mar
07/07</t>
        </is>
      </c>
      <c r="K143" s="4" t="inlineStr">
        <is>
          <t>Mié
08/07</t>
        </is>
      </c>
      <c r="L143" s="4" t="inlineStr">
        <is>
          <t>Jue
09/07</t>
        </is>
      </c>
      <c r="M143" s="4" t="inlineStr">
        <is>
          <t>Sáb
11/07</t>
        </is>
      </c>
      <c r="N143" s="4" t="inlineStr">
        <is>
          <t>LITROS
TOTAL</t>
        </is>
      </c>
      <c r="O143" s="4" t="inlineStr">
        <is>
          <t>PRECIO
UNIT.</t>
        </is>
      </c>
      <c r="P143" s="4" t="inlineStr">
        <is>
          <t>TOTAL $</t>
        </is>
      </c>
    </row>
    <row r="144" ht="22" customHeight="1">
      <c r="F144" s="82" t="n"/>
      <c r="G144" s="83" t="inlineStr">
        <is>
          <t>OBRA DESTINO</t>
        </is>
      </c>
      <c r="H144" s="82" t="n"/>
      <c r="I144" s="84" t="inlineStr">
        <is>
          <t>Planta Huixquilucan</t>
        </is>
      </c>
      <c r="J144" s="84" t="inlineStr">
        <is>
          <t>Planta Huixquilucan</t>
        </is>
      </c>
      <c r="K144" s="84" t="inlineStr">
        <is>
          <t>Planta Huixquilucan</t>
        </is>
      </c>
      <c r="L144" s="84" t="inlineStr">
        <is>
          <t>Planta Huixquilucan</t>
        </is>
      </c>
      <c r="M144" s="84" t="inlineStr">
        <is>
          <t>Planta Huixquilucan</t>
        </is>
      </c>
      <c r="N144" s="82" t="n"/>
      <c r="O144" s="82" t="n"/>
      <c r="P144" s="82" t="n"/>
    </row>
    <row r="145" ht="18" customHeight="1">
      <c r="F145" s="85" t="n">
        <v>1</v>
      </c>
      <c r="G145" s="86" t="inlineStr">
        <is>
          <t>AJUSTE DIESEL</t>
        </is>
      </c>
      <c r="H145" s="87" t="n">
        <v>3500</v>
      </c>
      <c r="I145" s="85" t="n"/>
      <c r="J145" s="85" t="n"/>
      <c r="K145" s="85" t="n"/>
      <c r="L145" s="85" t="n">
        <v>-290</v>
      </c>
      <c r="M145" s="85" t="n"/>
      <c r="N145" s="88" t="n">
        <v>-290</v>
      </c>
      <c r="O145" s="55" t="n">
        <v>27</v>
      </c>
      <c r="P145" s="89" t="n">
        <v>-7830</v>
      </c>
    </row>
    <row r="146" ht="18" customHeight="1">
      <c r="F146" s="90" t="n">
        <v>2</v>
      </c>
      <c r="G146" s="91" t="inlineStr">
        <is>
          <t>Generador</t>
        </is>
      </c>
      <c r="H146" s="92" t="n"/>
      <c r="I146" s="90" t="n">
        <v>300</v>
      </c>
      <c r="J146" s="90" t="n">
        <v>300</v>
      </c>
      <c r="K146" s="90" t="n">
        <v>200</v>
      </c>
      <c r="L146" s="90" t="n"/>
      <c r="M146" s="90" t="n">
        <v>200</v>
      </c>
      <c r="N146" s="93" t="n">
        <v>1000</v>
      </c>
      <c r="O146" s="94" t="n">
        <v>27</v>
      </c>
      <c r="P146" s="95" t="n">
        <v>27000</v>
      </c>
    </row>
    <row r="147" ht="18" customHeight="1">
      <c r="F147" s="85" t="n">
        <v>3</v>
      </c>
      <c r="G147" s="86" t="inlineStr">
        <is>
          <t>PAYLOADER</t>
        </is>
      </c>
      <c r="H147" s="96" t="n"/>
      <c r="I147" s="85" t="n">
        <v>100</v>
      </c>
      <c r="J147" s="85" t="n">
        <v>100</v>
      </c>
      <c r="K147" s="85" t="n">
        <v>100</v>
      </c>
      <c r="L147" s="85" t="n"/>
      <c r="M147" s="85" t="n">
        <v>100</v>
      </c>
      <c r="N147" s="88" t="n">
        <v>400</v>
      </c>
      <c r="O147" s="55" t="n">
        <v>27</v>
      </c>
      <c r="P147" s="89" t="n">
        <v>10800</v>
      </c>
    </row>
    <row r="148" ht="18" customHeight="1">
      <c r="F148" s="90" t="n">
        <v>4</v>
      </c>
      <c r="G148" s="91" t="inlineStr">
        <is>
          <t>PETROLIZADORA    INTERNATIONAL</t>
        </is>
      </c>
      <c r="H148" s="92" t="n"/>
      <c r="I148" s="90" t="n"/>
      <c r="J148" s="90" t="n"/>
      <c r="K148" s="90" t="n"/>
      <c r="L148" s="90" t="n"/>
      <c r="M148" s="90" t="n">
        <v>78</v>
      </c>
      <c r="N148" s="93" t="n">
        <v>78</v>
      </c>
      <c r="O148" s="94" t="n">
        <v>27</v>
      </c>
      <c r="P148" s="95" t="n">
        <v>2106</v>
      </c>
    </row>
    <row r="149" ht="18" customHeight="1">
      <c r="F149" s="85" t="n">
        <v>5</v>
      </c>
      <c r="G149" s="86" t="inlineStr">
        <is>
          <t>Tanque Triaso</t>
        </is>
      </c>
      <c r="H149" s="96" t="n"/>
      <c r="I149" s="85" t="n"/>
      <c r="J149" s="85" t="n">
        <v>100</v>
      </c>
      <c r="K149" s="85" t="n"/>
      <c r="L149" s="85" t="n"/>
      <c r="M149" s="85" t="n">
        <v>200</v>
      </c>
      <c r="N149" s="88" t="n">
        <v>300</v>
      </c>
      <c r="O149" s="55" t="n">
        <v>27</v>
      </c>
      <c r="P149" s="89" t="n">
        <v>8100</v>
      </c>
    </row>
    <row r="150" ht="18" customHeight="1">
      <c r="F150" s="90" t="n">
        <v>6</v>
      </c>
      <c r="G150" s="91" t="inlineStr">
        <is>
          <t>Tanque de Pipa</t>
        </is>
      </c>
      <c r="H150" s="92" t="n"/>
      <c r="I150" s="90" t="n">
        <v>200</v>
      </c>
      <c r="J150" s="90" t="n"/>
      <c r="K150" s="90" t="n"/>
      <c r="L150" s="90" t="n"/>
      <c r="M150" s="90" t="n"/>
      <c r="N150" s="93" t="n">
        <v>200</v>
      </c>
      <c r="O150" s="94" t="n">
        <v>27</v>
      </c>
      <c r="P150" s="95" t="n">
        <v>5400</v>
      </c>
    </row>
    <row r="151" ht="18" customHeight="1">
      <c r="F151" s="85" t="n">
        <v>7</v>
      </c>
      <c r="G151" s="86" t="inlineStr">
        <is>
          <t>Torre de Luces Maxilight</t>
        </is>
      </c>
      <c r="H151" s="96" t="n"/>
      <c r="I151" s="85" t="n"/>
      <c r="J151" s="85" t="n">
        <v>100</v>
      </c>
      <c r="K151" s="85" t="n"/>
      <c r="L151" s="85" t="n"/>
      <c r="M151" s="85" t="n"/>
      <c r="N151" s="88" t="n">
        <v>100</v>
      </c>
      <c r="O151" s="55" t="n">
        <v>27</v>
      </c>
      <c r="P151" s="89" t="n">
        <v>2700</v>
      </c>
    </row>
    <row r="152" ht="20" customHeight="1">
      <c r="F152" s="80" t="inlineStr">
        <is>
          <t>TOTAL LITROS</t>
        </is>
      </c>
      <c r="G152" s="131" t="n"/>
      <c r="H152" s="132" t="n"/>
      <c r="I152" s="98" t="n">
        <v>600</v>
      </c>
      <c r="J152" s="98" t="n">
        <v>600</v>
      </c>
      <c r="K152" s="97" t="n">
        <v>300</v>
      </c>
      <c r="L152" s="97" t="n">
        <v>-290</v>
      </c>
      <c r="M152" s="98" t="n">
        <v>578</v>
      </c>
      <c r="N152" s="80" t="n">
        <v>1788</v>
      </c>
      <c r="O152" s="15" t="n"/>
      <c r="P152" s="16" t="n">
        <v>48276</v>
      </c>
    </row>
    <row r="153" ht="20" customHeight="1">
      <c r="F153" s="99" t="inlineStr">
        <is>
          <t>IMPORTE SEMANAL AUTORIZADO: $94,500.00  (Litros aut.: 3,500.00 L)</t>
        </is>
      </c>
      <c r="G153" s="131" t="n"/>
      <c r="H153" s="131" t="n"/>
      <c r="I153" s="131" t="n"/>
      <c r="J153" s="131" t="n"/>
      <c r="K153" s="131" t="n"/>
      <c r="L153" s="131" t="n"/>
      <c r="M153" s="131" t="n"/>
      <c r="N153" s="131" t="n"/>
      <c r="O153" s="132" t="n"/>
      <c r="P153" s="101" t="n">
        <v>48276</v>
      </c>
    </row>
    <row r="156" ht="22" customHeight="1">
      <c r="F156" s="81" t="inlineStr">
        <is>
          <t>SAMUEL</t>
        </is>
      </c>
      <c r="G156" s="131" t="n"/>
      <c r="H156" s="131" t="n"/>
      <c r="I156" s="131" t="n"/>
      <c r="J156" s="131" t="n"/>
      <c r="K156" s="131" t="n"/>
      <c r="L156" s="131" t="n"/>
      <c r="M156" s="131" t="n"/>
      <c r="N156" s="132" t="n"/>
    </row>
    <row r="157" ht="28" customHeight="1">
      <c r="F157" s="4" t="inlineStr">
        <is>
          <t>#</t>
        </is>
      </c>
      <c r="G157" s="4" t="inlineStr">
        <is>
          <t>EQUIPO / MAQUINARIA</t>
        </is>
      </c>
      <c r="H157" s="4" t="inlineStr">
        <is>
          <t>LTS. SEM.
AUT.</t>
        </is>
      </c>
      <c r="I157" s="4" t="inlineStr">
        <is>
          <t>Lun
06/07</t>
        </is>
      </c>
      <c r="J157" s="4" t="inlineStr">
        <is>
          <t>Mar
07/07</t>
        </is>
      </c>
      <c r="K157" s="4" t="inlineStr">
        <is>
          <t>Jue
09/07</t>
        </is>
      </c>
      <c r="L157" s="4" t="inlineStr">
        <is>
          <t>LITROS
TOTAL</t>
        </is>
      </c>
      <c r="M157" s="4" t="inlineStr">
        <is>
          <t>PRECIO
UNIT.</t>
        </is>
      </c>
      <c r="N157" s="4" t="inlineStr">
        <is>
          <t>TOTAL $</t>
        </is>
      </c>
    </row>
    <row r="158" ht="22" customHeight="1">
      <c r="F158" s="82" t="n"/>
      <c r="G158" s="83" t="inlineStr">
        <is>
          <t>OBRA DESTINO</t>
        </is>
      </c>
      <c r="H158" s="82" t="n"/>
      <c r="I158" s="84" t="inlineStr">
        <is>
          <t>Providencia</t>
        </is>
      </c>
      <c r="J158" s="84" t="inlineStr">
        <is>
          <t>Providencia</t>
        </is>
      </c>
      <c r="K158" s="84" t="inlineStr">
        <is>
          <t>Providencia</t>
        </is>
      </c>
      <c r="L158" s="82" t="n"/>
      <c r="M158" s="82" t="n"/>
      <c r="N158" s="82" t="n"/>
    </row>
    <row r="159" ht="18" customHeight="1">
      <c r="F159" s="85" t="n">
        <v>1</v>
      </c>
      <c r="G159" s="86" t="inlineStr">
        <is>
          <t>AJUSTE DIESEL</t>
        </is>
      </c>
      <c r="H159" s="96" t="n"/>
      <c r="I159" s="85" t="n"/>
      <c r="J159" s="85" t="n"/>
      <c r="K159" s="85" t="n">
        <v>268</v>
      </c>
      <c r="L159" s="88" t="n">
        <v>268</v>
      </c>
      <c r="M159" s="55" t="n">
        <v>27</v>
      </c>
      <c r="N159" s="89" t="n">
        <v>7236</v>
      </c>
    </row>
    <row r="160" ht="18" customHeight="1">
      <c r="F160" s="90" t="n">
        <v>2</v>
      </c>
      <c r="G160" s="91" t="inlineStr">
        <is>
          <t>BARREDORA LAYMOR SM400</t>
        </is>
      </c>
      <c r="H160" s="92" t="n"/>
      <c r="I160" s="90" t="n">
        <v>44</v>
      </c>
      <c r="J160" s="90" t="n"/>
      <c r="K160" s="90" t="n"/>
      <c r="L160" s="93" t="n">
        <v>44</v>
      </c>
      <c r="M160" s="94" t="n">
        <v>27</v>
      </c>
      <c r="N160" s="95" t="n">
        <v>1188</v>
      </c>
    </row>
    <row r="161" ht="18" customHeight="1">
      <c r="F161" s="85" t="n">
        <v>3</v>
      </c>
      <c r="G161" s="86" t="inlineStr">
        <is>
          <t>CAMION DE SELLO</t>
        </is>
      </c>
      <c r="H161" s="96" t="n"/>
      <c r="I161" s="85" t="n">
        <v>150</v>
      </c>
      <c r="J161" s="85" t="n"/>
      <c r="K161" s="85" t="n"/>
      <c r="L161" s="88" t="n">
        <v>150</v>
      </c>
      <c r="M161" s="55" t="n">
        <v>27</v>
      </c>
      <c r="N161" s="89" t="n">
        <v>4050</v>
      </c>
    </row>
    <row r="162" ht="18" customHeight="1">
      <c r="F162" s="90" t="n">
        <v>4</v>
      </c>
      <c r="G162" s="91" t="inlineStr">
        <is>
          <t>NEUMATICO BOMAG</t>
        </is>
      </c>
      <c r="H162" s="92" t="n"/>
      <c r="I162" s="90" t="n">
        <v>75</v>
      </c>
      <c r="J162" s="90" t="n"/>
      <c r="K162" s="90" t="n"/>
      <c r="L162" s="93" t="n">
        <v>75</v>
      </c>
      <c r="M162" s="94" t="n">
        <v>27</v>
      </c>
      <c r="N162" s="95" t="n">
        <v>2025</v>
      </c>
    </row>
    <row r="163" ht="18" customHeight="1">
      <c r="F163" s="85" t="n">
        <v>5</v>
      </c>
      <c r="G163" s="86" t="inlineStr">
        <is>
          <t>PETROLIZADORA    INTERNATIONAL</t>
        </is>
      </c>
      <c r="H163" s="96" t="n"/>
      <c r="I163" s="85" t="n"/>
      <c r="J163" s="85" t="n">
        <v>20</v>
      </c>
      <c r="K163" s="85" t="n"/>
      <c r="L163" s="88" t="n">
        <v>20</v>
      </c>
      <c r="M163" s="55" t="n">
        <v>27</v>
      </c>
      <c r="N163" s="89" t="n">
        <v>540</v>
      </c>
    </row>
    <row r="164" ht="18" customHeight="1">
      <c r="F164" s="90" t="n">
        <v>6</v>
      </c>
      <c r="G164" s="91" t="inlineStr">
        <is>
          <t>RETROEXCAVADORA CASE 580 N</t>
        </is>
      </c>
      <c r="H164" s="92" t="n"/>
      <c r="I164" s="90" t="n">
        <v>50</v>
      </c>
      <c r="J164" s="90" t="n"/>
      <c r="K164" s="90" t="n"/>
      <c r="L164" s="93" t="n">
        <v>50</v>
      </c>
      <c r="M164" s="94" t="n">
        <v>27</v>
      </c>
      <c r="N164" s="95" t="n">
        <v>1350</v>
      </c>
    </row>
    <row r="165" ht="20" customHeight="1">
      <c r="F165" s="80" t="inlineStr">
        <is>
          <t>TOTAL LITROS</t>
        </is>
      </c>
      <c r="G165" s="131" t="n"/>
      <c r="H165" s="132" t="n"/>
      <c r="I165" s="97" t="n">
        <v>319</v>
      </c>
      <c r="J165" s="97" t="n">
        <v>20</v>
      </c>
      <c r="K165" s="97" t="n">
        <v>268</v>
      </c>
      <c r="L165" s="80" t="n">
        <v>607</v>
      </c>
      <c r="M165" s="15" t="n"/>
      <c r="N165" s="16" t="n">
        <v>16389</v>
      </c>
    </row>
    <row r="166" ht="20" customHeight="1">
      <c r="F166" s="99" t="inlineStr">
        <is>
          <t>IMPORTE SEMANAL AUTORIZADO: $0.00  (Litros aut.: 0.00 L)</t>
        </is>
      </c>
      <c r="G166" s="131" t="n"/>
      <c r="H166" s="131" t="n"/>
      <c r="I166" s="131" t="n"/>
      <c r="J166" s="131" t="n"/>
      <c r="K166" s="131" t="n"/>
      <c r="L166" s="131" t="n"/>
      <c r="M166" s="132" t="n"/>
      <c r="N166" s="130" t="n">
        <v>16389</v>
      </c>
    </row>
    <row r="171" ht="24" customHeight="1">
      <c r="F171" s="102" t="inlineStr">
        <is>
          <t>▶ FACTURADO POR OBRA Y DÍA — DIESEL (FOLIOS, MONTOS CON IVA Y LITROS — SEMANA 28)</t>
        </is>
      </c>
      <c r="G171" s="131" t="n"/>
      <c r="H171" s="131" t="n"/>
      <c r="I171" s="131" t="n"/>
      <c r="J171" s="131" t="n"/>
      <c r="K171" s="131" t="n"/>
      <c r="L171" s="131" t="n"/>
      <c r="M171" s="131" t="n"/>
      <c r="N171" s="131" t="n"/>
      <c r="O171" s="131" t="n"/>
      <c r="P171" s="131" t="n"/>
      <c r="Q171" s="131" t="n"/>
      <c r="R171" s="131" t="n"/>
      <c r="S171" s="131" t="n"/>
      <c r="T171" s="131" t="n"/>
      <c r="U171" s="131" t="n"/>
      <c r="V171" s="131" t="n"/>
      <c r="W171" s="131" t="n"/>
      <c r="X171" s="131" t="n"/>
      <c r="Y171" s="131" t="n"/>
      <c r="Z171" s="131" t="n"/>
      <c r="AA171" s="131" t="n"/>
      <c r="AB171" s="131" t="n"/>
      <c r="AC171" s="131" t="n"/>
      <c r="AD171" s="132" t="n"/>
    </row>
    <row r="172" ht="20" customHeight="1">
      <c r="F172" s="4" t="inlineStr">
        <is>
          <t>OBRA / DESTINO</t>
        </is>
      </c>
      <c r="G172" s="4" t="inlineStr">
        <is>
          <t>LUN 06-JUL</t>
        </is>
      </c>
      <c r="H172" s="131" t="n"/>
      <c r="I172" s="132" t="n"/>
      <c r="J172" s="4" t="inlineStr">
        <is>
          <t>MAR 07-JUL</t>
        </is>
      </c>
      <c r="K172" s="131" t="n"/>
      <c r="L172" s="132" t="n"/>
      <c r="M172" s="4" t="inlineStr">
        <is>
          <t>MIÉ 08-JUL</t>
        </is>
      </c>
      <c r="N172" s="131" t="n"/>
      <c r="O172" s="132" t="n"/>
      <c r="P172" s="4" t="inlineStr">
        <is>
          <t>JUE 09-JUL</t>
        </is>
      </c>
      <c r="Q172" s="131" t="n"/>
      <c r="R172" s="132" t="n"/>
      <c r="S172" s="4" t="inlineStr">
        <is>
          <t>VIE 10-JUL</t>
        </is>
      </c>
      <c r="T172" s="131" t="n"/>
      <c r="U172" s="132" t="n"/>
      <c r="V172" s="4" t="inlineStr">
        <is>
          <t>SÁB 11-JUL</t>
        </is>
      </c>
      <c r="W172" s="131" t="n"/>
      <c r="X172" s="132" t="n"/>
      <c r="Y172" s="4" t="inlineStr">
        <is>
          <t>DOM 12-JUL</t>
        </is>
      </c>
      <c r="Z172" s="131" t="n"/>
      <c r="AA172" s="132" t="n"/>
      <c r="AB172" s="4" t="inlineStr">
        <is>
          <t>TOTALES ACUMULADOS</t>
        </is>
      </c>
      <c r="AC172" s="131" t="n"/>
      <c r="AD172" s="132" t="n"/>
    </row>
    <row r="173" ht="20" customHeight="1">
      <c r="F173" s="135" t="n"/>
      <c r="G173" s="4" t="inlineStr">
        <is>
          <t>FACTURA</t>
        </is>
      </c>
      <c r="H173" s="4" t="inlineStr">
        <is>
          <t>MONTO ($)</t>
        </is>
      </c>
      <c r="I173" s="4" t="inlineStr">
        <is>
          <t>LITROS</t>
        </is>
      </c>
      <c r="J173" s="4" t="inlineStr">
        <is>
          <t>FACTURA</t>
        </is>
      </c>
      <c r="K173" s="4" t="inlineStr">
        <is>
          <t>MONTO ($)</t>
        </is>
      </c>
      <c r="L173" s="4" t="inlineStr">
        <is>
          <t>LITROS</t>
        </is>
      </c>
      <c r="M173" s="4" t="inlineStr">
        <is>
          <t>FACTURA</t>
        </is>
      </c>
      <c r="N173" s="4" t="inlineStr">
        <is>
          <t>MONTO ($)</t>
        </is>
      </c>
      <c r="O173" s="4" t="inlineStr">
        <is>
          <t>LITROS</t>
        </is>
      </c>
      <c r="P173" s="4" t="inlineStr">
        <is>
          <t>FACTURA</t>
        </is>
      </c>
      <c r="Q173" s="4" t="inlineStr">
        <is>
          <t>MONTO ($)</t>
        </is>
      </c>
      <c r="R173" s="4" t="inlineStr">
        <is>
          <t>LITROS</t>
        </is>
      </c>
      <c r="S173" s="4" t="inlineStr">
        <is>
          <t>FACTURA</t>
        </is>
      </c>
      <c r="T173" s="4" t="inlineStr">
        <is>
          <t>MONTO ($)</t>
        </is>
      </c>
      <c r="U173" s="4" t="inlineStr">
        <is>
          <t>LITROS</t>
        </is>
      </c>
      <c r="V173" s="4" t="inlineStr">
        <is>
          <t>FACTURA</t>
        </is>
      </c>
      <c r="W173" s="4" t="inlineStr">
        <is>
          <t>MONTO ($)</t>
        </is>
      </c>
      <c r="X173" s="4" t="inlineStr">
        <is>
          <t>LITROS</t>
        </is>
      </c>
      <c r="Y173" s="4" t="inlineStr">
        <is>
          <t>FACTURA</t>
        </is>
      </c>
      <c r="Z173" s="4" t="inlineStr">
        <is>
          <t>MONTO ($)</t>
        </is>
      </c>
      <c r="AA173" s="4" t="inlineStr">
        <is>
          <t>LITROS</t>
        </is>
      </c>
      <c r="AB173" s="4" t="inlineStr">
        <is>
          <t>TOTAL FACTURAS</t>
        </is>
      </c>
      <c r="AC173" s="4" t="inlineStr">
        <is>
          <t>TOTAL MONTO</t>
        </is>
      </c>
      <c r="AD173" s="4" t="inlineStr">
        <is>
          <t>TOTAL LITROS</t>
        </is>
      </c>
    </row>
    <row r="174" ht="20" customHeight="1">
      <c r="F174" s="5" t="inlineStr">
        <is>
          <t>Alfredo del Mazo</t>
        </is>
      </c>
      <c r="G174" s="119" t="inlineStr">
        <is>
          <t>-</t>
        </is>
      </c>
      <c r="H174" s="120" t="inlineStr">
        <is>
          <t>-</t>
        </is>
      </c>
      <c r="I174" s="120" t="inlineStr">
        <is>
          <t>-</t>
        </is>
      </c>
      <c r="J174" s="119" t="inlineStr">
        <is>
          <t>-</t>
        </is>
      </c>
      <c r="K174" s="120" t="inlineStr">
        <is>
          <t>-</t>
        </is>
      </c>
      <c r="L174" s="120" t="inlineStr">
        <is>
          <t>-</t>
        </is>
      </c>
      <c r="M174" s="119" t="inlineStr">
        <is>
          <t>-</t>
        </is>
      </c>
      <c r="N174" s="120" t="inlineStr">
        <is>
          <t>-</t>
        </is>
      </c>
      <c r="O174" s="120" t="inlineStr">
        <is>
          <t>-</t>
        </is>
      </c>
      <c r="P174" s="119" t="inlineStr">
        <is>
          <t>-</t>
        </is>
      </c>
      <c r="Q174" s="120" t="inlineStr">
        <is>
          <t>-</t>
        </is>
      </c>
      <c r="R174" s="120" t="inlineStr">
        <is>
          <t>-</t>
        </is>
      </c>
      <c r="S174" s="116" t="inlineStr">
        <is>
          <t>A10893</t>
        </is>
      </c>
      <c r="T174" s="117" t="n">
        <v>5400.05</v>
      </c>
      <c r="U174" s="118" t="n">
        <v>200</v>
      </c>
      <c r="V174" s="119" t="inlineStr">
        <is>
          <t>-</t>
        </is>
      </c>
      <c r="W174" s="120" t="inlineStr">
        <is>
          <t>-</t>
        </is>
      </c>
      <c r="X174" s="120" t="inlineStr">
        <is>
          <t>-</t>
        </is>
      </c>
      <c r="Y174" s="119" t="inlineStr">
        <is>
          <t>-</t>
        </is>
      </c>
      <c r="Z174" s="120" t="inlineStr">
        <is>
          <t>-</t>
        </is>
      </c>
      <c r="AA174" s="120" t="inlineStr">
        <is>
          <t>-</t>
        </is>
      </c>
      <c r="AB174" s="121" t="inlineStr">
        <is>
          <t>1 Factura(s)</t>
        </is>
      </c>
      <c r="AC174" s="122" t="n">
        <v>5400.05</v>
      </c>
      <c r="AD174" s="123" t="n">
        <v>200</v>
      </c>
    </row>
    <row r="175" ht="20" customHeight="1">
      <c r="F175" s="9" t="inlineStr">
        <is>
          <t>Bacheo Toluca</t>
        </is>
      </c>
      <c r="G175" s="116" t="inlineStr">
        <is>
          <t>A10366</t>
        </is>
      </c>
      <c r="H175" s="117" t="n">
        <v>7695.05</v>
      </c>
      <c r="I175" s="118" t="n">
        <v>285</v>
      </c>
      <c r="J175" s="116" t="inlineStr">
        <is>
          <t>A10387</t>
        </is>
      </c>
      <c r="K175" s="117" t="n">
        <v>21600.15</v>
      </c>
      <c r="L175" s="118" t="n">
        <v>800</v>
      </c>
      <c r="M175" s="124" t="inlineStr">
        <is>
          <t>-</t>
        </is>
      </c>
      <c r="N175" s="125" t="inlineStr">
        <is>
          <t>-</t>
        </is>
      </c>
      <c r="O175" s="125" t="inlineStr">
        <is>
          <t>-</t>
        </is>
      </c>
      <c r="P175" s="124" t="inlineStr">
        <is>
          <t>-</t>
        </is>
      </c>
      <c r="Q175" s="125" t="inlineStr">
        <is>
          <t>-</t>
        </is>
      </c>
      <c r="R175" s="125" t="inlineStr">
        <is>
          <t>-</t>
        </is>
      </c>
      <c r="S175" s="124" t="inlineStr">
        <is>
          <t>-</t>
        </is>
      </c>
      <c r="T175" s="125" t="inlineStr">
        <is>
          <t>-</t>
        </is>
      </c>
      <c r="U175" s="125" t="inlineStr">
        <is>
          <t>-</t>
        </is>
      </c>
      <c r="V175" s="124" t="inlineStr">
        <is>
          <t>-</t>
        </is>
      </c>
      <c r="W175" s="125" t="inlineStr">
        <is>
          <t>-</t>
        </is>
      </c>
      <c r="X175" s="125" t="inlineStr">
        <is>
          <t>-</t>
        </is>
      </c>
      <c r="Y175" s="124" t="inlineStr">
        <is>
          <t>-</t>
        </is>
      </c>
      <c r="Z175" s="125" t="inlineStr">
        <is>
          <t>-</t>
        </is>
      </c>
      <c r="AA175" s="125" t="inlineStr">
        <is>
          <t>-</t>
        </is>
      </c>
      <c r="AB175" s="126" t="inlineStr">
        <is>
          <t>2 Factura(s)</t>
        </is>
      </c>
      <c r="AC175" s="127" t="n">
        <v>29295.2</v>
      </c>
      <c r="AD175" s="128" t="n">
        <v>1085</v>
      </c>
    </row>
    <row r="176" ht="20" customHeight="1">
      <c r="F176" s="5" t="inlineStr">
        <is>
          <t>Desasolve</t>
        </is>
      </c>
      <c r="G176" s="119" t="inlineStr">
        <is>
          <t>-</t>
        </is>
      </c>
      <c r="H176" s="120" t="inlineStr">
        <is>
          <t>-</t>
        </is>
      </c>
      <c r="I176" s="120" t="inlineStr">
        <is>
          <t>-</t>
        </is>
      </c>
      <c r="J176" s="119" t="inlineStr">
        <is>
          <t>-</t>
        </is>
      </c>
      <c r="K176" s="120" t="inlineStr">
        <is>
          <t>-</t>
        </is>
      </c>
      <c r="L176" s="120" t="inlineStr">
        <is>
          <t>-</t>
        </is>
      </c>
      <c r="M176" s="116" t="inlineStr">
        <is>
          <t>A10409</t>
        </is>
      </c>
      <c r="N176" s="117" t="n">
        <v>23206.21</v>
      </c>
      <c r="O176" s="118" t="n">
        <v>859.49</v>
      </c>
      <c r="P176" s="119" t="inlineStr">
        <is>
          <t>-</t>
        </is>
      </c>
      <c r="Q176" s="120" t="inlineStr">
        <is>
          <t>-</t>
        </is>
      </c>
      <c r="R176" s="120" t="inlineStr">
        <is>
          <t>-</t>
        </is>
      </c>
      <c r="S176" s="116" t="inlineStr">
        <is>
          <t>A10900</t>
        </is>
      </c>
      <c r="T176" s="117" t="n">
        <v>24705.06</v>
      </c>
      <c r="U176" s="118" t="n">
        <v>915</v>
      </c>
      <c r="V176" s="119" t="inlineStr">
        <is>
          <t>-</t>
        </is>
      </c>
      <c r="W176" s="120" t="inlineStr">
        <is>
          <t>-</t>
        </is>
      </c>
      <c r="X176" s="120" t="inlineStr">
        <is>
          <t>-</t>
        </is>
      </c>
      <c r="Y176" s="119" t="inlineStr">
        <is>
          <t>-</t>
        </is>
      </c>
      <c r="Z176" s="120" t="inlineStr">
        <is>
          <t>-</t>
        </is>
      </c>
      <c r="AA176" s="120" t="inlineStr">
        <is>
          <t>-</t>
        </is>
      </c>
      <c r="AB176" s="121" t="inlineStr">
        <is>
          <t>2 Factura(s)</t>
        </is>
      </c>
      <c r="AC176" s="122" t="n">
        <v>47911.27</v>
      </c>
      <c r="AD176" s="123" t="n">
        <v>1774.49</v>
      </c>
    </row>
    <row r="177" ht="20" customHeight="1">
      <c r="F177" s="9" t="inlineStr">
        <is>
          <t>Lerma - Tres Marías</t>
        </is>
      </c>
      <c r="G177" s="124" t="inlineStr">
        <is>
          <t>-</t>
        </is>
      </c>
      <c r="H177" s="125" t="inlineStr">
        <is>
          <t>-</t>
        </is>
      </c>
      <c r="I177" s="125" t="inlineStr">
        <is>
          <t>-</t>
        </is>
      </c>
      <c r="J177" s="116" t="inlineStr">
        <is>
          <t>A10381, A10388</t>
        </is>
      </c>
      <c r="K177" s="117" t="n">
        <v>21600.14</v>
      </c>
      <c r="L177" s="118" t="n">
        <v>800</v>
      </c>
      <c r="M177" s="124" t="inlineStr">
        <is>
          <t>-</t>
        </is>
      </c>
      <c r="N177" s="125" t="inlineStr">
        <is>
          <t>-</t>
        </is>
      </c>
      <c r="O177" s="125" t="inlineStr">
        <is>
          <t>-</t>
        </is>
      </c>
      <c r="P177" s="124" t="inlineStr">
        <is>
          <t>-</t>
        </is>
      </c>
      <c r="Q177" s="125" t="inlineStr">
        <is>
          <t>-</t>
        </is>
      </c>
      <c r="R177" s="125" t="inlineStr">
        <is>
          <t>-</t>
        </is>
      </c>
      <c r="S177" s="116" t="inlineStr">
        <is>
          <t>A10894</t>
        </is>
      </c>
      <c r="T177" s="117" t="n">
        <v>18043.21</v>
      </c>
      <c r="U177" s="118" t="n">
        <v>668.27</v>
      </c>
      <c r="V177" s="124" t="inlineStr">
        <is>
          <t>-</t>
        </is>
      </c>
      <c r="W177" s="125" t="inlineStr">
        <is>
          <t>-</t>
        </is>
      </c>
      <c r="X177" s="125" t="inlineStr">
        <is>
          <t>-</t>
        </is>
      </c>
      <c r="Y177" s="124" t="inlineStr">
        <is>
          <t>-</t>
        </is>
      </c>
      <c r="Z177" s="125" t="inlineStr">
        <is>
          <t>-</t>
        </is>
      </c>
      <c r="AA177" s="125" t="inlineStr">
        <is>
          <t>-</t>
        </is>
      </c>
      <c r="AB177" s="126" t="inlineStr">
        <is>
          <t>3 Factura(s)</t>
        </is>
      </c>
      <c r="AC177" s="127" t="n">
        <v>39643.35</v>
      </c>
      <c r="AD177" s="128" t="n">
        <v>1468.27</v>
      </c>
    </row>
    <row r="178" ht="20" customHeight="1">
      <c r="F178" s="5" t="inlineStr">
        <is>
          <t>México - Toluca</t>
        </is>
      </c>
      <c r="G178" s="116" t="inlineStr">
        <is>
          <t>A10367</t>
        </is>
      </c>
      <c r="H178" s="117" t="n">
        <v>19305.1</v>
      </c>
      <c r="I178" s="118" t="n">
        <v>715</v>
      </c>
      <c r="J178" s="116" t="inlineStr">
        <is>
          <t>A10389</t>
        </is>
      </c>
      <c r="K178" s="117" t="n">
        <v>2700.08</v>
      </c>
      <c r="L178" s="118" t="n">
        <v>100</v>
      </c>
      <c r="M178" s="116" t="inlineStr">
        <is>
          <t>A10398</t>
        </is>
      </c>
      <c r="N178" s="117" t="n">
        <v>16200.1</v>
      </c>
      <c r="O178" s="118" t="n">
        <v>600</v>
      </c>
      <c r="P178" s="119" t="inlineStr">
        <is>
          <t>-</t>
        </is>
      </c>
      <c r="Q178" s="120" t="inlineStr">
        <is>
          <t>-</t>
        </is>
      </c>
      <c r="R178" s="120" t="inlineStr">
        <is>
          <t>-</t>
        </is>
      </c>
      <c r="S178" s="119" t="inlineStr">
        <is>
          <t>-</t>
        </is>
      </c>
      <c r="T178" s="120" t="inlineStr">
        <is>
          <t>-</t>
        </is>
      </c>
      <c r="U178" s="120" t="inlineStr">
        <is>
          <t>-</t>
        </is>
      </c>
      <c r="V178" s="119" t="inlineStr">
        <is>
          <t>-</t>
        </is>
      </c>
      <c r="W178" s="120" t="inlineStr">
        <is>
          <t>-</t>
        </is>
      </c>
      <c r="X178" s="120" t="inlineStr">
        <is>
          <t>-</t>
        </is>
      </c>
      <c r="Y178" s="119" t="inlineStr">
        <is>
          <t>-</t>
        </is>
      </c>
      <c r="Z178" s="120" t="inlineStr">
        <is>
          <t>-</t>
        </is>
      </c>
      <c r="AA178" s="120" t="inlineStr">
        <is>
          <t>-</t>
        </is>
      </c>
      <c r="AB178" s="121" t="inlineStr">
        <is>
          <t>3 Factura(s)</t>
        </is>
      </c>
      <c r="AC178" s="122" t="n">
        <v>38205.28</v>
      </c>
      <c r="AD178" s="123" t="n">
        <v>1415</v>
      </c>
    </row>
    <row r="179" ht="20" customHeight="1">
      <c r="F179" s="9" t="inlineStr">
        <is>
          <t>Planta Huixquilucan</t>
        </is>
      </c>
      <c r="G179" s="116" t="inlineStr">
        <is>
          <t>A10365, A10368</t>
        </is>
      </c>
      <c r="H179" s="117" t="n">
        <v>27000.2</v>
      </c>
      <c r="I179" s="118" t="n">
        <v>1000</v>
      </c>
      <c r="J179" s="124" t="inlineStr">
        <is>
          <t>-</t>
        </is>
      </c>
      <c r="K179" s="125" t="inlineStr">
        <is>
          <t>-</t>
        </is>
      </c>
      <c r="L179" s="125" t="inlineStr">
        <is>
          <t>-</t>
        </is>
      </c>
      <c r="M179" s="116" t="inlineStr">
        <is>
          <t>A10405, A10406</t>
        </is>
      </c>
      <c r="N179" s="117" t="n">
        <v>18900.15</v>
      </c>
      <c r="O179" s="118" t="n">
        <v>700</v>
      </c>
      <c r="P179" s="124" t="inlineStr">
        <is>
          <t>-</t>
        </is>
      </c>
      <c r="Q179" s="125" t="inlineStr">
        <is>
          <t>-</t>
        </is>
      </c>
      <c r="R179" s="125" t="inlineStr">
        <is>
          <t>-</t>
        </is>
      </c>
      <c r="S179" s="124" t="inlineStr">
        <is>
          <t>-</t>
        </is>
      </c>
      <c r="T179" s="125" t="inlineStr">
        <is>
          <t>-</t>
        </is>
      </c>
      <c r="U179" s="125" t="inlineStr">
        <is>
          <t>-</t>
        </is>
      </c>
      <c r="V179" s="124" t="inlineStr">
        <is>
          <t>-</t>
        </is>
      </c>
      <c r="W179" s="125" t="inlineStr">
        <is>
          <t>-</t>
        </is>
      </c>
      <c r="X179" s="125" t="inlineStr">
        <is>
          <t>-</t>
        </is>
      </c>
      <c r="Y179" s="124" t="inlineStr">
        <is>
          <t>-</t>
        </is>
      </c>
      <c r="Z179" s="125" t="inlineStr">
        <is>
          <t>-</t>
        </is>
      </c>
      <c r="AA179" s="125" t="inlineStr">
        <is>
          <t>-</t>
        </is>
      </c>
      <c r="AB179" s="126" t="inlineStr">
        <is>
          <t>4 Factura(s)</t>
        </is>
      </c>
      <c r="AC179" s="127" t="n">
        <v>45900.35000000001</v>
      </c>
      <c r="AD179" s="128" t="n">
        <v>1700</v>
      </c>
    </row>
    <row r="180" ht="20" customHeight="1">
      <c r="F180" s="5" t="inlineStr">
        <is>
          <t>Planta Pegaso</t>
        </is>
      </c>
      <c r="G180" s="116" t="inlineStr">
        <is>
          <t>A10361</t>
        </is>
      </c>
      <c r="H180" s="117" t="n">
        <v>8100.05</v>
      </c>
      <c r="I180" s="118" t="n">
        <v>300</v>
      </c>
      <c r="J180" s="116" t="inlineStr">
        <is>
          <t>A10380, A10884</t>
        </is>
      </c>
      <c r="K180" s="117" t="n">
        <v>24300.15</v>
      </c>
      <c r="L180" s="118" t="n">
        <v>900</v>
      </c>
      <c r="M180" s="116" t="inlineStr">
        <is>
          <t>A10408</t>
        </is>
      </c>
      <c r="N180" s="117" t="n">
        <v>8100.05</v>
      </c>
      <c r="O180" s="118" t="n">
        <v>300</v>
      </c>
      <c r="P180" s="116" t="inlineStr">
        <is>
          <t>A10886, A10888</t>
        </is>
      </c>
      <c r="Q180" s="117" t="n">
        <v>18901.88</v>
      </c>
      <c r="R180" s="118" t="n">
        <v>700.0700000000001</v>
      </c>
      <c r="S180" s="116" t="inlineStr">
        <is>
          <t>A10899</t>
        </is>
      </c>
      <c r="T180" s="117" t="n">
        <v>27000.11</v>
      </c>
      <c r="U180" s="118" t="n">
        <v>1000</v>
      </c>
      <c r="V180" s="116" t="inlineStr">
        <is>
          <t>A10904</t>
        </is>
      </c>
      <c r="W180" s="117" t="n">
        <v>13500.06</v>
      </c>
      <c r="X180" s="118" t="n">
        <v>500</v>
      </c>
      <c r="Y180" s="116" t="inlineStr">
        <is>
          <t>A10912</t>
        </is>
      </c>
      <c r="Z180" s="117" t="n">
        <v>8100.05</v>
      </c>
      <c r="AA180" s="118" t="n">
        <v>300</v>
      </c>
      <c r="AB180" s="121" t="inlineStr">
        <is>
          <t>9 Factura(s)</t>
        </is>
      </c>
      <c r="AC180" s="122" t="n">
        <v>108002.35</v>
      </c>
      <c r="AD180" s="123" t="n">
        <v>4000.07</v>
      </c>
    </row>
    <row r="181" ht="20" customHeight="1">
      <c r="F181" s="9" t="inlineStr">
        <is>
          <t>Providencia</t>
        </is>
      </c>
      <c r="G181" s="116" t="inlineStr">
        <is>
          <t>A10362</t>
        </is>
      </c>
      <c r="H181" s="117" t="n">
        <v>6291</v>
      </c>
      <c r="I181" s="118" t="n">
        <v>233</v>
      </c>
      <c r="J181" s="124" t="inlineStr">
        <is>
          <t>-</t>
        </is>
      </c>
      <c r="K181" s="125" t="inlineStr">
        <is>
          <t>-</t>
        </is>
      </c>
      <c r="L181" s="125" t="inlineStr">
        <is>
          <t>-</t>
        </is>
      </c>
      <c r="M181" s="124" t="inlineStr">
        <is>
          <t>-</t>
        </is>
      </c>
      <c r="N181" s="125" t="inlineStr">
        <is>
          <t>-</t>
        </is>
      </c>
      <c r="O181" s="125" t="inlineStr">
        <is>
          <t>-</t>
        </is>
      </c>
      <c r="P181" s="116" t="inlineStr">
        <is>
          <t>A10887</t>
        </is>
      </c>
      <c r="Q181" s="117" t="n">
        <v>10800.1</v>
      </c>
      <c r="R181" s="118" t="n">
        <v>400</v>
      </c>
      <c r="S181" s="124" t="inlineStr">
        <is>
          <t>-</t>
        </is>
      </c>
      <c r="T181" s="125" t="inlineStr">
        <is>
          <t>-</t>
        </is>
      </c>
      <c r="U181" s="125" t="inlineStr">
        <is>
          <t>-</t>
        </is>
      </c>
      <c r="V181" s="124" t="inlineStr">
        <is>
          <t>-</t>
        </is>
      </c>
      <c r="W181" s="125" t="inlineStr">
        <is>
          <t>-</t>
        </is>
      </c>
      <c r="X181" s="125" t="inlineStr">
        <is>
          <t>-</t>
        </is>
      </c>
      <c r="Y181" s="124" t="inlineStr">
        <is>
          <t>-</t>
        </is>
      </c>
      <c r="Z181" s="125" t="inlineStr">
        <is>
          <t>-</t>
        </is>
      </c>
      <c r="AA181" s="125" t="inlineStr">
        <is>
          <t>-</t>
        </is>
      </c>
      <c r="AB181" s="126" t="inlineStr">
        <is>
          <t>2 Factura(s)</t>
        </is>
      </c>
      <c r="AC181" s="127" t="n">
        <v>17091.1</v>
      </c>
      <c r="AD181" s="128" t="n">
        <v>633</v>
      </c>
    </row>
    <row r="182" ht="22" customHeight="1">
      <c r="F182" s="80" t="inlineStr">
        <is>
          <t>TOTAL POR DÍA</t>
        </is>
      </c>
      <c r="G182" s="19" t="inlineStr">
        <is>
          <t>6 Factura(s)</t>
        </is>
      </c>
      <c r="H182" s="16" t="n">
        <v>68391.39999999999</v>
      </c>
      <c r="I182" s="109" t="n">
        <v>2533</v>
      </c>
      <c r="J182" s="19" t="inlineStr">
        <is>
          <t>6 Factura(s)</t>
        </is>
      </c>
      <c r="K182" s="16" t="n">
        <v>70200.52</v>
      </c>
      <c r="L182" s="109" t="n">
        <v>2600</v>
      </c>
      <c r="M182" s="19" t="inlineStr">
        <is>
          <t>5 Factura(s)</t>
        </is>
      </c>
      <c r="N182" s="16" t="n">
        <v>66406.50999999999</v>
      </c>
      <c r="O182" s="109" t="n">
        <v>2459.49</v>
      </c>
      <c r="P182" s="19" t="inlineStr">
        <is>
          <t>3 Factura(s)</t>
        </is>
      </c>
      <c r="Q182" s="16" t="n">
        <v>29701.98</v>
      </c>
      <c r="R182" s="109" t="n">
        <v>1100.07</v>
      </c>
      <c r="S182" s="19" t="inlineStr">
        <is>
          <t>4 Factura(s)</t>
        </is>
      </c>
      <c r="T182" s="16" t="n">
        <v>75148.43000000001</v>
      </c>
      <c r="U182" s="109" t="n">
        <v>2783.27</v>
      </c>
      <c r="V182" s="19" t="inlineStr">
        <is>
          <t>1 Factura(s)</t>
        </is>
      </c>
      <c r="W182" s="16" t="n">
        <v>13500.06</v>
      </c>
      <c r="X182" s="109" t="n">
        <v>500</v>
      </c>
      <c r="Y182" s="19" t="inlineStr">
        <is>
          <t>1 Factura(s)</t>
        </is>
      </c>
      <c r="Z182" s="16" t="n">
        <v>8100.05</v>
      </c>
      <c r="AA182" s="109" t="n">
        <v>300</v>
      </c>
      <c r="AB182" s="19" t="inlineStr">
        <is>
          <t>26 Factura(s)</t>
        </is>
      </c>
      <c r="AC182" s="16" t="n">
        <v>331448.95</v>
      </c>
      <c r="AD182" s="109" t="n">
        <v>12275.83</v>
      </c>
    </row>
    <row r="185" ht="24" customHeight="1">
      <c r="F185" s="102" t="inlineStr">
        <is>
          <t>▶ COMPARATIVA FACTURADO VS CONSUMIDO POR OBRA — SEMANA 28</t>
        </is>
      </c>
      <c r="G185" s="131" t="n"/>
      <c r="H185" s="131" t="n"/>
      <c r="I185" s="131" t="n"/>
      <c r="J185" s="131" t="n"/>
      <c r="K185" s="131" t="n"/>
      <c r="L185" s="132" t="n"/>
    </row>
    <row r="186" ht="22" customHeight="1">
      <c r="F186" s="4" t="inlineStr">
        <is>
          <t>OBRA / DESTINO</t>
        </is>
      </c>
      <c r="G186" s="4" t="inlineStr">
        <is>
          <t>LITROS FACTURADOS</t>
        </is>
      </c>
      <c r="H186" s="4" t="inlineStr">
        <is>
          <t>LITROS CONSUMIDOS</t>
        </is>
      </c>
      <c r="I186" s="4" t="inlineStr">
        <is>
          <t>MONTO FACTURADO ($)</t>
        </is>
      </c>
      <c r="J186" s="4" t="inlineStr">
        <is>
          <t>MONTO CONSUMIDO ($)</t>
        </is>
      </c>
      <c r="K186" s="4" t="inlineStr">
        <is>
          <t>VARIACIÓN (LTS)</t>
        </is>
      </c>
      <c r="L186" s="4" t="inlineStr">
        <is>
          <t>VARIACIÓN ($)</t>
        </is>
      </c>
    </row>
    <row r="187" ht="19" customHeight="1">
      <c r="F187" s="5" t="inlineStr">
        <is>
          <t>Alfredo del Mazo</t>
        </is>
      </c>
      <c r="G187" s="32" t="n">
        <v>200</v>
      </c>
      <c r="H187" s="32" t="n">
        <v>213</v>
      </c>
      <c r="I187" s="33" t="n">
        <v>5400.05</v>
      </c>
      <c r="J187" s="33" t="n">
        <v>5751</v>
      </c>
      <c r="K187" s="103" t="n">
        <v>-13</v>
      </c>
      <c r="L187" s="104" t="n">
        <v>-350.9499999999998</v>
      </c>
    </row>
    <row r="188" ht="19" customHeight="1">
      <c r="F188" s="9" t="inlineStr">
        <is>
          <t>Bacheo Toluca</t>
        </is>
      </c>
      <c r="G188" s="105" t="n">
        <v>1085</v>
      </c>
      <c r="H188" s="105" t="n">
        <v>1095</v>
      </c>
      <c r="I188" s="106" t="n">
        <v>29295.2</v>
      </c>
      <c r="J188" s="106" t="n">
        <v>29565</v>
      </c>
      <c r="K188" s="107" t="n">
        <v>-10</v>
      </c>
      <c r="L188" s="108" t="n">
        <v>-269.7999999999993</v>
      </c>
    </row>
    <row r="189" ht="19" customHeight="1">
      <c r="F189" s="5" t="inlineStr">
        <is>
          <t>Desasolve</t>
        </is>
      </c>
      <c r="G189" s="32" t="n">
        <v>1774.49</v>
      </c>
      <c r="H189" s="32" t="n">
        <v>1787.49</v>
      </c>
      <c r="I189" s="33" t="n">
        <v>47911.27</v>
      </c>
      <c r="J189" s="33" t="n">
        <v>48262.23</v>
      </c>
      <c r="K189" s="103" t="n">
        <v>-13</v>
      </c>
      <c r="L189" s="104" t="n">
        <v>-350.9600000000064</v>
      </c>
    </row>
    <row r="190" ht="19" customHeight="1">
      <c r="F190" s="9" t="inlineStr">
        <is>
          <t>Lerma - Tres Marías</t>
        </is>
      </c>
      <c r="G190" s="105" t="n">
        <v>1468.27</v>
      </c>
      <c r="H190" s="105" t="n">
        <v>1479.266</v>
      </c>
      <c r="I190" s="106" t="n">
        <v>39643.35</v>
      </c>
      <c r="J190" s="106" t="n">
        <v>39940.182</v>
      </c>
      <c r="K190" s="107" t="n">
        <v>-10.99600000000009</v>
      </c>
      <c r="L190" s="108" t="n">
        <v>-296.8320000000022</v>
      </c>
    </row>
    <row r="191" ht="19" customHeight="1">
      <c r="F191" s="5" t="inlineStr">
        <is>
          <t>México - Toluca</t>
        </is>
      </c>
      <c r="G191" s="32" t="n">
        <v>1415</v>
      </c>
      <c r="H191" s="32" t="n">
        <v>1426</v>
      </c>
      <c r="I191" s="33" t="n">
        <v>38205.28</v>
      </c>
      <c r="J191" s="33" t="n">
        <v>38502</v>
      </c>
      <c r="K191" s="103" t="n">
        <v>-11</v>
      </c>
      <c r="L191" s="104" t="n">
        <v>-296.7200000000012</v>
      </c>
    </row>
    <row r="192" ht="19" customHeight="1">
      <c r="F192" s="9" t="inlineStr">
        <is>
          <t>Planta Huixquilucan</t>
        </is>
      </c>
      <c r="G192" s="105" t="n">
        <v>1700</v>
      </c>
      <c r="H192" s="105" t="n">
        <v>1710</v>
      </c>
      <c r="I192" s="106" t="n">
        <v>45900.35</v>
      </c>
      <c r="J192" s="106" t="n">
        <v>46170</v>
      </c>
      <c r="K192" s="107" t="n">
        <v>-10</v>
      </c>
      <c r="L192" s="108" t="n">
        <v>-269.6500000000015</v>
      </c>
    </row>
    <row r="193" ht="19" customHeight="1">
      <c r="F193" s="5" t="inlineStr">
        <is>
          <t>Planta Pegaso</t>
        </is>
      </c>
      <c r="G193" s="32" t="n">
        <v>4000.07</v>
      </c>
      <c r="H193" s="32" t="n">
        <v>4007.07</v>
      </c>
      <c r="I193" s="33" t="n">
        <v>108002.35</v>
      </c>
      <c r="J193" s="33" t="n">
        <v>108190.89</v>
      </c>
      <c r="K193" s="103" t="n">
        <v>-7</v>
      </c>
      <c r="L193" s="104" t="n">
        <v>-188.5399999999936</v>
      </c>
    </row>
    <row r="194" ht="19" customHeight="1">
      <c r="F194" s="9" t="inlineStr">
        <is>
          <t>Providencia</t>
        </is>
      </c>
      <c r="G194" s="105" t="n">
        <v>633</v>
      </c>
      <c r="H194" s="105" t="n">
        <v>637</v>
      </c>
      <c r="I194" s="106" t="n">
        <v>17091.1</v>
      </c>
      <c r="J194" s="106" t="n">
        <v>17199</v>
      </c>
      <c r="K194" s="107" t="n">
        <v>-4</v>
      </c>
      <c r="L194" s="108" t="n">
        <v>-107.9000000000015</v>
      </c>
    </row>
    <row r="195" ht="22" customHeight="1">
      <c r="F195" s="80" t="inlineStr">
        <is>
          <t>TOTAL GENERAL POR OBRA:</t>
        </is>
      </c>
      <c r="G195" s="109">
        <f>SUM(G187:G194)</f>
        <v/>
      </c>
      <c r="H195" s="109">
        <f>SUM(H187:H194)</f>
        <v/>
      </c>
      <c r="I195" s="16">
        <f>SUM(I187:I194)</f>
        <v/>
      </c>
      <c r="J195" s="16">
        <f>SUM(J187:J194)</f>
        <v/>
      </c>
      <c r="K195" s="110">
        <f>SUM(K187:K194)</f>
        <v/>
      </c>
      <c r="L195" s="111">
        <f>SUM(L187:L194)</f>
        <v/>
      </c>
    </row>
    <row r="198" ht="24" customHeight="1">
      <c r="F198" s="102" t="inlineStr">
        <is>
          <t>▶ COMPARATIVA FACTURADO VS CONSUMIDO POR INGENIERO — SEMANA 28</t>
        </is>
      </c>
      <c r="G198" s="131" t="n"/>
      <c r="H198" s="131" t="n"/>
      <c r="I198" s="131" t="n"/>
      <c r="J198" s="131" t="n"/>
      <c r="K198" s="131" t="n"/>
      <c r="L198" s="131" t="n"/>
      <c r="M198" s="132" t="n"/>
    </row>
    <row r="199" ht="22" customHeight="1">
      <c r="F199" s="4" t="inlineStr">
        <is>
          <t>INGENIERO / RESPONSABLE</t>
        </is>
      </c>
      <c r="G199" s="4" t="inlineStr">
        <is>
          <t>OBRAS ASIGNADAS</t>
        </is>
      </c>
      <c r="H199" s="4" t="inlineStr">
        <is>
          <t>LITROS FACTURADOS</t>
        </is>
      </c>
      <c r="I199" s="4" t="inlineStr">
        <is>
          <t>LITROS CONSUMIDOS</t>
        </is>
      </c>
      <c r="J199" s="4" t="inlineStr">
        <is>
          <t>MONTO FACTURADO ($)</t>
        </is>
      </c>
      <c r="K199" s="4" t="inlineStr">
        <is>
          <t>MONTO CONSUMIDO ($)</t>
        </is>
      </c>
      <c r="L199" s="4" t="inlineStr">
        <is>
          <t>VARIACIÓN (LTS)</t>
        </is>
      </c>
      <c r="M199" s="4" t="inlineStr">
        <is>
          <t>VARIACIÓN ($)</t>
        </is>
      </c>
    </row>
    <row r="200" ht="19" customHeight="1">
      <c r="F200" s="5" t="inlineStr">
        <is>
          <t>Ing. Apolinar</t>
        </is>
      </c>
      <c r="G200" s="74" t="inlineStr">
        <is>
          <t>Alfredo del Mazo, Lerma - Tres Marías</t>
        </is>
      </c>
      <c r="H200" s="32" t="n">
        <v>1668.27</v>
      </c>
      <c r="I200" s="32" t="n">
        <v>1692.266</v>
      </c>
      <c r="J200" s="33" t="n">
        <v>45043.4</v>
      </c>
      <c r="K200" s="33" t="n">
        <v>45691.182</v>
      </c>
      <c r="L200" s="103" t="n">
        <v>-23.99600000000009</v>
      </c>
      <c r="M200" s="104" t="n">
        <v>-647.7819999999992</v>
      </c>
    </row>
    <row r="201" ht="19" customHeight="1">
      <c r="F201" s="9" t="inlineStr">
        <is>
          <t>Ing. Diego Carreola</t>
        </is>
      </c>
      <c r="G201" s="78" t="inlineStr">
        <is>
          <t>Bacheo Toluca, Desasolve</t>
        </is>
      </c>
      <c r="H201" s="105" t="n">
        <v>2859.49</v>
      </c>
      <c r="I201" s="105" t="n">
        <v>2882.49</v>
      </c>
      <c r="J201" s="106" t="n">
        <v>77206.47</v>
      </c>
      <c r="K201" s="106" t="n">
        <v>77827.23000000001</v>
      </c>
      <c r="L201" s="107" t="n">
        <v>-23</v>
      </c>
      <c r="M201" s="108" t="n">
        <v>-620.7600000000093</v>
      </c>
    </row>
    <row r="202" ht="19" customHeight="1">
      <c r="F202" s="5" t="inlineStr">
        <is>
          <t>Ing. Francisco Javier</t>
        </is>
      </c>
      <c r="G202" s="74" t="inlineStr">
        <is>
          <t>México - Toluca</t>
        </is>
      </c>
      <c r="H202" s="32" t="n">
        <v>1415</v>
      </c>
      <c r="I202" s="32" t="n">
        <v>1426</v>
      </c>
      <c r="J202" s="33" t="n">
        <v>38205.28</v>
      </c>
      <c r="K202" s="33" t="n">
        <v>38502</v>
      </c>
      <c r="L202" s="103" t="n">
        <v>-11</v>
      </c>
      <c r="M202" s="104" t="n">
        <v>-296.7200000000012</v>
      </c>
    </row>
    <row r="203" ht="19" customHeight="1">
      <c r="F203" s="9" t="inlineStr">
        <is>
          <t>Ing. Luis</t>
        </is>
      </c>
      <c r="G203" s="78" t="inlineStr">
        <is>
          <t>Planta Huixquilucan</t>
        </is>
      </c>
      <c r="H203" s="105" t="n">
        <v>1700</v>
      </c>
      <c r="I203" s="105" t="n">
        <v>1710</v>
      </c>
      <c r="J203" s="106" t="n">
        <v>45900.35</v>
      </c>
      <c r="K203" s="106" t="n">
        <v>46170</v>
      </c>
      <c r="L203" s="107" t="n">
        <v>-10</v>
      </c>
      <c r="M203" s="108" t="n">
        <v>-269.6500000000015</v>
      </c>
    </row>
    <row r="204" ht="19" customHeight="1">
      <c r="F204" s="5" t="inlineStr">
        <is>
          <t>Jack</t>
        </is>
      </c>
      <c r="G204" s="74" t="inlineStr">
        <is>
          <t>Planta Pegaso</t>
        </is>
      </c>
      <c r="H204" s="32" t="n">
        <v>4000.07</v>
      </c>
      <c r="I204" s="32" t="n">
        <v>4007.07</v>
      </c>
      <c r="J204" s="33" t="n">
        <v>108002.35</v>
      </c>
      <c r="K204" s="33" t="n">
        <v>108190.89</v>
      </c>
      <c r="L204" s="103" t="n">
        <v>-7</v>
      </c>
      <c r="M204" s="104" t="n">
        <v>-188.5399999999936</v>
      </c>
    </row>
    <row r="205" ht="19" customHeight="1">
      <c r="F205" s="9" t="inlineStr">
        <is>
          <t>Samuel</t>
        </is>
      </c>
      <c r="G205" s="78" t="inlineStr">
        <is>
          <t>Providencia</t>
        </is>
      </c>
      <c r="H205" s="105" t="n">
        <v>633</v>
      </c>
      <c r="I205" s="105" t="n">
        <v>637</v>
      </c>
      <c r="J205" s="106" t="n">
        <v>17091.1</v>
      </c>
      <c r="K205" s="106" t="n">
        <v>17199</v>
      </c>
      <c r="L205" s="107" t="n">
        <v>-4</v>
      </c>
      <c r="M205" s="108" t="n">
        <v>-107.9000000000015</v>
      </c>
    </row>
    <row r="206" ht="22" customHeight="1">
      <c r="F206" s="80" t="inlineStr">
        <is>
          <t>TOTAL GENERAL POR INGENIERO:</t>
        </is>
      </c>
      <c r="G206" s="132" t="n"/>
      <c r="H206" s="109">
        <f>SUM(H200:H205)</f>
        <v/>
      </c>
      <c r="I206" s="109">
        <f>SUM(I200:I205)</f>
        <v/>
      </c>
      <c r="J206" s="16">
        <f>SUM(J200:J205)</f>
        <v/>
      </c>
      <c r="K206" s="16">
        <f>SUM(K200:K205)</f>
        <v/>
      </c>
      <c r="L206" s="110">
        <f>SUM(L200:L205)</f>
        <v/>
      </c>
      <c r="M206" s="111">
        <f>SUM(M200:M205)</f>
        <v/>
      </c>
    </row>
  </sheetData>
  <mergeCells count="65">
    <mergeCell ref="F15:F16"/>
    <mergeCell ref="F206:G206"/>
    <mergeCell ref="G172:I172"/>
    <mergeCell ref="M172:O172"/>
    <mergeCell ref="F138:H138"/>
    <mergeCell ref="Y172:AA172"/>
    <mergeCell ref="G8:G9"/>
    <mergeCell ref="K39:N39"/>
    <mergeCell ref="F39:I39"/>
    <mergeCell ref="H10:H13"/>
    <mergeCell ref="G5:G7"/>
    <mergeCell ref="L15:L16"/>
    <mergeCell ref="K57:N57"/>
    <mergeCell ref="F120:O120"/>
    <mergeCell ref="F156:N156"/>
    <mergeCell ref="G10:G13"/>
    <mergeCell ref="J172:L172"/>
    <mergeCell ref="F165:H165"/>
    <mergeCell ref="F57:I57"/>
    <mergeCell ref="F8:F9"/>
    <mergeCell ref="L8:L9"/>
    <mergeCell ref="P172:R172"/>
    <mergeCell ref="F102:H102"/>
    <mergeCell ref="F139:P139"/>
    <mergeCell ref="V172:X172"/>
    <mergeCell ref="F142:P142"/>
    <mergeCell ref="S172:U172"/>
    <mergeCell ref="F198:M198"/>
    <mergeCell ref="G15:G16"/>
    <mergeCell ref="F87:O87"/>
    <mergeCell ref="H5:H7"/>
    <mergeCell ref="K33:N33"/>
    <mergeCell ref="F152:H152"/>
    <mergeCell ref="F17:G17"/>
    <mergeCell ref="F171:AD171"/>
    <mergeCell ref="L10:L13"/>
    <mergeCell ref="F106:P106"/>
    <mergeCell ref="AB172:AD172"/>
    <mergeCell ref="F66:P66"/>
    <mergeCell ref="K26:N26"/>
    <mergeCell ref="F84:O84"/>
    <mergeCell ref="K8:K9"/>
    <mergeCell ref="F23:G23"/>
    <mergeCell ref="F119:H119"/>
    <mergeCell ref="F22:G22"/>
    <mergeCell ref="K47:N47"/>
    <mergeCell ref="F123:Q123"/>
    <mergeCell ref="K5:K7"/>
    <mergeCell ref="H15:H16"/>
    <mergeCell ref="F5:F7"/>
    <mergeCell ref="F33:I33"/>
    <mergeCell ref="K10:K13"/>
    <mergeCell ref="F26:I26"/>
    <mergeCell ref="F103:N103"/>
    <mergeCell ref="H8:H9"/>
    <mergeCell ref="F166:M166"/>
    <mergeCell ref="F153:O153"/>
    <mergeCell ref="F47:I47"/>
    <mergeCell ref="F2:L2"/>
    <mergeCell ref="K15:K16"/>
    <mergeCell ref="F83:H83"/>
    <mergeCell ref="F172:F173"/>
    <mergeCell ref="L5:L7"/>
    <mergeCell ref="F185:L185"/>
    <mergeCell ref="F10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2:AA2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29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746</v>
      </c>
      <c r="K5" s="75" t="n">
        <v>2397.42</v>
      </c>
      <c r="L5" s="76" t="n">
        <v>2.579999999999927</v>
      </c>
    </row>
    <row r="6" ht="18" customHeight="1">
      <c r="F6" s="136" t="n"/>
      <c r="G6" s="136" t="n"/>
      <c r="H6" s="136" t="n"/>
      <c r="I6" s="74" t="inlineStr">
        <is>
          <t>Colegio Militar</t>
        </is>
      </c>
      <c r="J6" s="73" t="n">
        <v>995</v>
      </c>
      <c r="K6" s="136" t="n"/>
      <c r="L6" s="136" t="n"/>
    </row>
    <row r="7" ht="18" customHeight="1">
      <c r="F7" s="135" t="n"/>
      <c r="G7" s="135" t="n"/>
      <c r="H7" s="135" t="n"/>
      <c r="I7" s="74" t="inlineStr">
        <is>
          <t>Lerma - Tres Marías</t>
        </is>
      </c>
      <c r="J7" s="73" t="n">
        <v>656.42</v>
      </c>
      <c r="K7" s="135" t="n"/>
      <c r="L7" s="135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810</v>
      </c>
      <c r="K8" s="79" t="n">
        <v>3105.77</v>
      </c>
      <c r="L8" s="76" t="n">
        <v>194.23</v>
      </c>
    </row>
    <row r="9" ht="18" customHeight="1">
      <c r="F9" s="135" t="n"/>
      <c r="G9" s="135" t="n"/>
      <c r="H9" s="135" t="n"/>
      <c r="I9" s="78" t="inlineStr">
        <is>
          <t>México - Toluca</t>
        </is>
      </c>
      <c r="J9" s="77" t="n">
        <v>2295.77</v>
      </c>
      <c r="K9" s="135" t="n"/>
      <c r="L9" s="135" t="n"/>
    </row>
    <row r="10" ht="18" customHeight="1">
      <c r="F10" s="72" t="inlineStr">
        <is>
          <t>ING. DIEGO CARREOLA</t>
        </is>
      </c>
      <c r="G10" s="73" t="n">
        <v>900</v>
      </c>
      <c r="H10" s="73" t="n">
        <v>5400</v>
      </c>
      <c r="I10" s="74" t="inlineStr">
        <is>
          <t>Bacheo Toluca</t>
        </is>
      </c>
      <c r="J10" s="73" t="n">
        <v>1000</v>
      </c>
      <c r="K10" s="75" t="n">
        <v>2421</v>
      </c>
      <c r="L10" s="76" t="n">
        <v>2979</v>
      </c>
    </row>
    <row r="11" ht="18" customHeight="1">
      <c r="F11" s="136" t="n"/>
      <c r="G11" s="136" t="n"/>
      <c r="H11" s="136" t="n"/>
      <c r="I11" s="74" t="inlineStr">
        <is>
          <t>Desasolve</t>
        </is>
      </c>
      <c r="J11" s="73" t="n">
        <v>1376</v>
      </c>
      <c r="K11" s="136" t="n"/>
      <c r="L11" s="136" t="n"/>
    </row>
    <row r="12" ht="18" customHeight="1">
      <c r="F12" s="136" t="n"/>
      <c r="G12" s="136" t="n"/>
      <c r="H12" s="136" t="n"/>
      <c r="I12" s="74" t="inlineStr">
        <is>
          <t>Providencia</t>
        </is>
      </c>
      <c r="J12" s="73" t="n">
        <v>45</v>
      </c>
      <c r="K12" s="136" t="n"/>
      <c r="L12" s="136" t="n"/>
    </row>
    <row r="13" ht="18" customHeight="1">
      <c r="F13" s="135" t="n"/>
      <c r="G13" s="135" t="n"/>
      <c r="H13" s="135" t="n"/>
      <c r="I13" s="74" t="inlineStr">
        <is>
          <t>Vicente Lombardo</t>
        </is>
      </c>
      <c r="J13" s="73" t="n"/>
      <c r="K13" s="135" t="n"/>
      <c r="L13" s="135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1589</v>
      </c>
      <c r="K14" s="79" t="n">
        <v>1589</v>
      </c>
      <c r="L14" s="76" t="n">
        <v>811</v>
      </c>
    </row>
    <row r="15" ht="18" customHeight="1">
      <c r="F15" s="72" t="inlineStr">
        <is>
          <t>LUIS</t>
        </is>
      </c>
      <c r="G15" s="73" t="n">
        <v>400</v>
      </c>
      <c r="H15" s="73" t="n">
        <v>2400</v>
      </c>
      <c r="I15" s="74" t="inlineStr">
        <is>
          <t>Planta Huixquilucan</t>
        </is>
      </c>
      <c r="J15" s="73" t="n">
        <v>1392.02</v>
      </c>
      <c r="K15" s="75" t="n">
        <v>1392.02</v>
      </c>
      <c r="L15" s="76" t="n">
        <v>1007.98</v>
      </c>
    </row>
    <row r="16" ht="20" customHeight="1">
      <c r="F16" s="80" t="inlineStr">
        <is>
          <t>SUBTOTAL (6 DÍAS):</t>
        </is>
      </c>
      <c r="G16" s="132" t="n"/>
      <c r="H16" s="80" t="n">
        <v>15900</v>
      </c>
      <c r="I16" s="15" t="n"/>
      <c r="J16" s="80" t="n">
        <v>10905.21</v>
      </c>
      <c r="K16" s="80" t="n">
        <v>10905.21</v>
      </c>
      <c r="L16" s="80" t="n">
        <v>4994.79</v>
      </c>
    </row>
    <row r="17">
      <c r="F17" s="4" t="inlineStr">
        <is>
          <t>RESPONSABLE</t>
        </is>
      </c>
      <c r="G17" s="4" t="inlineStr">
        <is>
          <t>AUTORIZADO DIARIO</t>
        </is>
      </c>
      <c r="H17" s="4" t="inlineStr">
        <is>
          <t>SEMANAL (5 DÍAS)</t>
        </is>
      </c>
      <c r="I17" s="4" t="inlineStr">
        <is>
          <t>OBRA</t>
        </is>
      </c>
      <c r="J17" s="4" t="inlineStr">
        <is>
          <t>CONSUMO POR OBRA</t>
        </is>
      </c>
      <c r="K17" s="4" t="inlineStr">
        <is>
          <t>CONSUMO POR INGENIERO</t>
        </is>
      </c>
      <c r="L17" s="4" t="inlineStr">
        <is>
          <t>REMANENTE POR INGENIERO</t>
        </is>
      </c>
    </row>
    <row r="18" ht="18" customHeight="1">
      <c r="F18" s="72" t="inlineStr">
        <is>
          <t>DAYANNE</t>
        </is>
      </c>
      <c r="G18" s="73" t="n"/>
      <c r="H18" s="73" t="n"/>
      <c r="I18" s="73" t="inlineStr">
        <is>
          <t>SIN CONSUMOS</t>
        </is>
      </c>
      <c r="J18" s="73" t="n"/>
      <c r="K18" s="75" t="n"/>
      <c r="L18" s="76" t="n"/>
    </row>
    <row r="19" ht="18" customHeight="1">
      <c r="F19" s="72" t="inlineStr">
        <is>
          <t>EDGAR</t>
        </is>
      </c>
      <c r="G19" s="77" t="n"/>
      <c r="H19" s="77" t="n"/>
      <c r="I19" s="78" t="inlineStr">
        <is>
          <t>Alfredo del Mazo</t>
        </is>
      </c>
      <c r="J19" s="77" t="n">
        <v>1000</v>
      </c>
      <c r="K19" s="79" t="n">
        <v>1000</v>
      </c>
      <c r="L19" s="112" t="n">
        <v>-1000</v>
      </c>
    </row>
    <row r="20" ht="18" customHeight="1">
      <c r="F20" s="72" t="inlineStr">
        <is>
          <t>SAMUEL</t>
        </is>
      </c>
      <c r="G20" s="73" t="n"/>
      <c r="H20" s="73" t="n"/>
      <c r="I20" s="74" t="inlineStr">
        <is>
          <t>Providencia</t>
        </is>
      </c>
      <c r="J20" s="73" t="n">
        <v>549</v>
      </c>
      <c r="K20" s="75" t="n">
        <v>549</v>
      </c>
      <c r="L20" s="112" t="n">
        <v>-549</v>
      </c>
    </row>
    <row r="21" ht="20" customHeight="1">
      <c r="F21" s="80" t="inlineStr">
        <is>
          <t>SUBTOTAL (5 DÍAS):</t>
        </is>
      </c>
      <c r="G21" s="132" t="n"/>
      <c r="H21" s="80" t="inlineStr"/>
      <c r="I21" s="15" t="n"/>
      <c r="J21" s="80" t="n">
        <v>1549</v>
      </c>
      <c r="K21" s="80" t="n">
        <v>1549</v>
      </c>
      <c r="L21" s="80" t="n">
        <v>-1549</v>
      </c>
    </row>
    <row r="22" ht="22" customHeight="1">
      <c r="F22" s="80" t="inlineStr">
        <is>
          <t>TOTAL GENERAL:</t>
        </is>
      </c>
      <c r="G22" s="132" t="n"/>
      <c r="H22" s="80" t="n">
        <v>15900</v>
      </c>
      <c r="I22" s="15" t="n"/>
      <c r="J22" s="80" t="n">
        <v>12454.21</v>
      </c>
      <c r="K22" s="80" t="n">
        <v>12454.21</v>
      </c>
      <c r="L22" s="80" t="n">
        <v>3445.79</v>
      </c>
    </row>
    <row r="25" ht="20" customHeight="1">
      <c r="F25" s="3" t="inlineStr">
        <is>
          <t>▶  Alfredo del Mazo</t>
        </is>
      </c>
      <c r="G25" s="131" t="n"/>
      <c r="H25" s="131" t="n"/>
      <c r="I25" s="132" t="n"/>
      <c r="K25" s="3" t="inlineStr">
        <is>
          <t>▶  Bacheo Toluca</t>
        </is>
      </c>
      <c r="L25" s="131" t="n"/>
      <c r="M25" s="131" t="n"/>
      <c r="N25" s="132" t="n"/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13-jul</t>
        </is>
      </c>
      <c r="G27" s="6" t="n">
        <v>810</v>
      </c>
      <c r="H27" s="7" t="n">
        <v>27</v>
      </c>
      <c r="I27" s="8" t="n">
        <v>21870</v>
      </c>
      <c r="K27" s="5" t="inlineStr">
        <is>
          <t>Lun 13-jul</t>
        </is>
      </c>
      <c r="L27" s="6" t="n">
        <v>510</v>
      </c>
      <c r="M27" s="7" t="n">
        <v>27</v>
      </c>
      <c r="N27" s="8" t="n">
        <v>13770</v>
      </c>
    </row>
    <row r="28" ht="18" customHeight="1">
      <c r="F28" s="9" t="inlineStr">
        <is>
          <t>Mié 15-jul</t>
        </is>
      </c>
      <c r="G28" s="10" t="n">
        <v>400</v>
      </c>
      <c r="H28" s="11" t="n"/>
      <c r="I28" s="12" t="n"/>
      <c r="K28" s="9" t="inlineStr">
        <is>
          <t>Jue 16-jul</t>
        </is>
      </c>
      <c r="L28" s="10" t="n">
        <v>490</v>
      </c>
      <c r="M28" s="11" t="n">
        <v>27</v>
      </c>
      <c r="N28" s="12" t="n">
        <v>13230</v>
      </c>
    </row>
    <row r="29" ht="20" customHeight="1">
      <c r="F29" s="5" t="inlineStr">
        <is>
          <t>Jue 16-jul</t>
        </is>
      </c>
      <c r="G29" s="6" t="n">
        <v>596</v>
      </c>
      <c r="H29" s="7" t="n">
        <v>27</v>
      </c>
      <c r="I29" s="8" t="n">
        <v>-108</v>
      </c>
      <c r="K29" s="80" t="inlineStr">
        <is>
          <t>TOTAL — Bacheo Toluca</t>
        </is>
      </c>
      <c r="L29" s="14" t="n">
        <v>1000</v>
      </c>
      <c r="M29" s="15" t="n"/>
      <c r="N29" s="16" t="n">
        <v>27000</v>
      </c>
    </row>
    <row r="30" ht="18" customHeight="1">
      <c r="F30" s="9" t="inlineStr">
        <is>
          <t>Sáb 18-jul</t>
        </is>
      </c>
      <c r="G30" s="10" t="n">
        <v>750</v>
      </c>
      <c r="H30" s="11" t="n">
        <v>27</v>
      </c>
      <c r="I30" s="12" t="n">
        <v>20250</v>
      </c>
    </row>
    <row r="31" ht="20" customHeight="1">
      <c r="F31" s="80" t="inlineStr">
        <is>
          <t>TOTAL — Alfredo del Mazo</t>
        </is>
      </c>
      <c r="G31" s="14" t="n">
        <v>2556</v>
      </c>
      <c r="H31" s="15" t="n"/>
      <c r="I31" s="16" t="n">
        <v>42012</v>
      </c>
    </row>
    <row r="33" ht="20" customHeight="1">
      <c r="F33" s="3" t="inlineStr">
        <is>
          <t>▶  Colegio Militar</t>
        </is>
      </c>
      <c r="G33" s="131" t="n"/>
      <c r="H33" s="131" t="n"/>
      <c r="I33" s="132" t="n"/>
      <c r="K33" s="3" t="inlineStr">
        <is>
          <t>▶  Desasolve</t>
        </is>
      </c>
      <c r="L33" s="131" t="n"/>
      <c r="M33" s="131" t="n"/>
      <c r="N33" s="132" t="n"/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16-jul</t>
        </is>
      </c>
      <c r="G35" s="6" t="n">
        <v>995</v>
      </c>
      <c r="H35" s="7" t="n">
        <v>27</v>
      </c>
      <c r="I35" s="8" t="n">
        <v>26865</v>
      </c>
      <c r="K35" s="5" t="inlineStr">
        <is>
          <t>Lun 13-jul</t>
        </is>
      </c>
      <c r="L35" s="6" t="n">
        <v>410</v>
      </c>
      <c r="M35" s="7" t="n">
        <v>27</v>
      </c>
      <c r="N35" s="8" t="n">
        <v>11070</v>
      </c>
    </row>
    <row r="36" ht="18" customHeight="1">
      <c r="F36" s="80" t="inlineStr">
        <is>
          <t>TOTAL — Colegio Militar</t>
        </is>
      </c>
      <c r="G36" s="14" t="n">
        <v>995</v>
      </c>
      <c r="H36" s="15" t="n"/>
      <c r="I36" s="16" t="n">
        <v>26865</v>
      </c>
      <c r="K36" s="9" t="inlineStr">
        <is>
          <t>Mié 15-jul</t>
        </is>
      </c>
      <c r="L36" s="10" t="n">
        <v>920</v>
      </c>
      <c r="M36" s="11" t="n">
        <v>27</v>
      </c>
      <c r="N36" s="12" t="n">
        <v>24840</v>
      </c>
    </row>
    <row r="37" ht="18" customHeight="1">
      <c r="K37" s="5" t="inlineStr">
        <is>
          <t>Jue 16-jul</t>
        </is>
      </c>
      <c r="L37" s="6" t="n">
        <v>-554</v>
      </c>
      <c r="M37" s="7" t="n">
        <v>27</v>
      </c>
      <c r="N37" s="8" t="n">
        <v>-14958</v>
      </c>
    </row>
    <row r="38" ht="18" customHeight="1">
      <c r="K38" s="9" t="inlineStr">
        <is>
          <t>Vie 17-jul</t>
        </is>
      </c>
      <c r="L38" s="10" t="n">
        <v>600</v>
      </c>
      <c r="M38" s="11" t="n">
        <v>27</v>
      </c>
      <c r="N38" s="12" t="n">
        <v>16200</v>
      </c>
    </row>
    <row r="39" ht="20" customHeight="1">
      <c r="K39" s="80" t="inlineStr">
        <is>
          <t>TOTAL — Desasolve</t>
        </is>
      </c>
      <c r="L39" s="14" t="n">
        <v>1376</v>
      </c>
      <c r="M39" s="15" t="n"/>
      <c r="N39" s="16" t="n">
        <v>37152</v>
      </c>
    </row>
    <row r="41" ht="20" customHeight="1">
      <c r="F41" s="3" t="inlineStr">
        <is>
          <t>▶  Lerma - Tres Marías</t>
        </is>
      </c>
      <c r="G41" s="131" t="n"/>
      <c r="H41" s="131" t="n"/>
      <c r="I41" s="132" t="n"/>
      <c r="K41" s="3" t="inlineStr">
        <is>
          <t>▶  México - Toluca</t>
        </is>
      </c>
      <c r="L41" s="131" t="n"/>
      <c r="M41" s="131" t="n"/>
      <c r="N41" s="132" t="n"/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Lun 13-jul</t>
        </is>
      </c>
      <c r="G43" s="6" t="n">
        <v>1342</v>
      </c>
      <c r="H43" s="7" t="n">
        <v>27</v>
      </c>
      <c r="I43" s="8" t="n">
        <v>18198</v>
      </c>
      <c r="K43" s="5" t="inlineStr">
        <is>
          <t>Mar 14-jul</t>
        </is>
      </c>
      <c r="L43" s="6" t="n">
        <v>1030</v>
      </c>
      <c r="M43" s="7" t="n"/>
      <c r="N43" s="8" t="n"/>
    </row>
    <row r="44" ht="18" customHeight="1">
      <c r="F44" s="9" t="inlineStr">
        <is>
          <t>Mar 14-jul</t>
        </is>
      </c>
      <c r="G44" s="10" t="n">
        <v>2005</v>
      </c>
      <c r="H44" s="11" t="n">
        <v>27</v>
      </c>
      <c r="I44" s="12" t="n">
        <v>26190</v>
      </c>
      <c r="K44" s="9" t="inlineStr">
        <is>
          <t>Mié 15-jul</t>
        </is>
      </c>
      <c r="L44" s="10" t="n">
        <v>1100</v>
      </c>
      <c r="M44" s="11" t="n">
        <v>27</v>
      </c>
      <c r="N44" s="12" t="n">
        <v>29700</v>
      </c>
    </row>
    <row r="45" ht="18" customHeight="1">
      <c r="F45" s="5" t="inlineStr">
        <is>
          <t>Jue 16-jul</t>
        </is>
      </c>
      <c r="G45" s="6" t="n">
        <v>-3803.58</v>
      </c>
      <c r="H45" s="7" t="n">
        <v>27</v>
      </c>
      <c r="I45" s="8" t="n">
        <v>-102696.66</v>
      </c>
      <c r="K45" s="5" t="inlineStr">
        <is>
          <t>Jue 16-jul</t>
        </is>
      </c>
      <c r="L45" s="6" t="n">
        <v>-1034.23</v>
      </c>
      <c r="M45" s="7" t="n">
        <v>27</v>
      </c>
      <c r="N45" s="8" t="n">
        <v>-27924.21</v>
      </c>
    </row>
    <row r="46" ht="18" customHeight="1">
      <c r="F46" s="9" t="inlineStr">
        <is>
          <t>Vie 17-jul</t>
        </is>
      </c>
      <c r="G46" s="10" t="n">
        <v>1113</v>
      </c>
      <c r="H46" s="11" t="n"/>
      <c r="I46" s="12" t="n"/>
      <c r="K46" s="9" t="inlineStr">
        <is>
          <t>Vie 17-jul</t>
        </is>
      </c>
      <c r="L46" s="10" t="n">
        <v>1200</v>
      </c>
      <c r="M46" s="11" t="n"/>
      <c r="N46" s="12" t="n"/>
    </row>
    <row r="47" ht="20" customHeight="1">
      <c r="F47" s="80" t="inlineStr">
        <is>
          <t>TOTAL — Lerma - Tres Marías</t>
        </is>
      </c>
      <c r="G47" s="14" t="n">
        <v>656.42</v>
      </c>
      <c r="H47" s="15" t="n"/>
      <c r="I47" s="16" t="n">
        <v>-58308.66</v>
      </c>
      <c r="K47" s="80" t="inlineStr">
        <is>
          <t>TOTAL — México - Toluca</t>
        </is>
      </c>
      <c r="L47" s="14" t="n">
        <v>2295.77</v>
      </c>
      <c r="M47" s="15" t="n"/>
      <c r="N47" s="16" t="n">
        <v>1775.79</v>
      </c>
    </row>
    <row r="49" ht="20" customHeight="1">
      <c r="F49" s="3" t="inlineStr">
        <is>
          <t>▶  Planta Huixquilucan</t>
        </is>
      </c>
      <c r="G49" s="131" t="n"/>
      <c r="H49" s="131" t="n"/>
      <c r="I49" s="132" t="n"/>
      <c r="K49" s="3" t="inlineStr">
        <is>
          <t>▶  Planta Pegaso</t>
        </is>
      </c>
      <c r="L49" s="131" t="n"/>
      <c r="M49" s="131" t="n"/>
      <c r="N49" s="132" t="n"/>
    </row>
    <row r="50" ht="20" customHeight="1">
      <c r="F50" s="4" t="inlineStr">
        <is>
          <t>DÍA</t>
        </is>
      </c>
      <c r="G50" s="4" t="inlineStr">
        <is>
          <t>LITROS CONSUMIDOS</t>
        </is>
      </c>
      <c r="H50" s="4" t="inlineStr">
        <is>
          <t>PRECIO PROM. ($/L)</t>
        </is>
      </c>
      <c r="I50" s="4" t="inlineStr">
        <is>
          <t>IMPORTE TOTAL</t>
        </is>
      </c>
      <c r="K50" s="4" t="inlineStr">
        <is>
          <t>DÍA</t>
        </is>
      </c>
      <c r="L50" s="4" t="inlineStr">
        <is>
          <t>LITROS CONSUMIDOS</t>
        </is>
      </c>
      <c r="M50" s="4" t="inlineStr">
        <is>
          <t>PRECIO PROM. ($/L)</t>
        </is>
      </c>
      <c r="N50" s="4" t="inlineStr">
        <is>
          <t>IMPORTE TOTAL</t>
        </is>
      </c>
    </row>
    <row r="51" ht="18" customHeight="1">
      <c r="F51" s="5" t="inlineStr">
        <is>
          <t>Mar 14-jul</t>
        </is>
      </c>
      <c r="G51" s="6" t="n">
        <v>600</v>
      </c>
      <c r="H51" s="7" t="n">
        <v>27</v>
      </c>
      <c r="I51" s="8" t="n">
        <v>16200</v>
      </c>
      <c r="K51" s="5" t="inlineStr">
        <is>
          <t>Mié 15-jul</t>
        </is>
      </c>
      <c r="L51" s="6" t="n">
        <v>200</v>
      </c>
      <c r="M51" s="7" t="n">
        <v>27</v>
      </c>
      <c r="N51" s="8" t="n">
        <v>5400</v>
      </c>
    </row>
    <row r="52" ht="18" customHeight="1">
      <c r="F52" s="9" t="inlineStr">
        <is>
          <t>Mié 15-jul</t>
        </is>
      </c>
      <c r="G52" s="10" t="n">
        <v>300</v>
      </c>
      <c r="H52" s="11" t="n">
        <v>27</v>
      </c>
      <c r="I52" s="12" t="n">
        <v>8100</v>
      </c>
      <c r="K52" s="9" t="inlineStr">
        <is>
          <t>Jue 16-jul</t>
        </is>
      </c>
      <c r="L52" s="10" t="n">
        <v>569</v>
      </c>
      <c r="M52" s="11" t="n">
        <v>27</v>
      </c>
      <c r="N52" s="12" t="n">
        <v>15363</v>
      </c>
    </row>
    <row r="53" ht="18" customHeight="1">
      <c r="F53" s="5" t="inlineStr">
        <is>
          <t>Jue 16-jul</t>
        </is>
      </c>
      <c r="G53" s="6" t="n">
        <v>-7.98</v>
      </c>
      <c r="H53" s="7" t="n">
        <v>27</v>
      </c>
      <c r="I53" s="8" t="n">
        <v>-215.46</v>
      </c>
      <c r="K53" s="5" t="inlineStr">
        <is>
          <t>Sáb 18-jul</t>
        </is>
      </c>
      <c r="L53" s="6" t="n">
        <v>420</v>
      </c>
      <c r="M53" s="7" t="n">
        <v>27</v>
      </c>
      <c r="N53" s="8" t="n">
        <v>11340</v>
      </c>
    </row>
    <row r="54" ht="18" customHeight="1">
      <c r="F54" s="9" t="inlineStr">
        <is>
          <t>Vie 17-jul</t>
        </is>
      </c>
      <c r="G54" s="10" t="n">
        <v>500</v>
      </c>
      <c r="H54" s="11" t="n">
        <v>27</v>
      </c>
      <c r="I54" s="12" t="n">
        <v>13500</v>
      </c>
      <c r="K54" s="9" t="inlineStr">
        <is>
          <t>Mar 18-ago</t>
        </is>
      </c>
      <c r="L54" s="10" t="n">
        <v>400</v>
      </c>
      <c r="M54" s="11" t="n">
        <v>27</v>
      </c>
      <c r="N54" s="12" t="n">
        <v>10800</v>
      </c>
    </row>
    <row r="55" ht="20" customHeight="1">
      <c r="F55" s="80" t="inlineStr">
        <is>
          <t>TOTAL — Planta Huixquilucan</t>
        </is>
      </c>
      <c r="G55" s="14" t="n">
        <v>1392.02</v>
      </c>
      <c r="H55" s="15" t="n"/>
      <c r="I55" s="16" t="n">
        <v>37584.54</v>
      </c>
      <c r="K55" s="80" t="inlineStr">
        <is>
          <t>TOTAL — Planta Pegaso</t>
        </is>
      </c>
      <c r="L55" s="14" t="n">
        <v>1589</v>
      </c>
      <c r="M55" s="15" t="n"/>
      <c r="N55" s="16" t="n">
        <v>42903</v>
      </c>
    </row>
    <row r="57" ht="20" customHeight="1">
      <c r="F57" s="3" t="inlineStr">
        <is>
          <t>▶  Providencia</t>
        </is>
      </c>
      <c r="G57" s="131" t="n"/>
      <c r="H57" s="131" t="n"/>
      <c r="I57" s="132" t="n"/>
      <c r="K57" s="3" t="inlineStr">
        <is>
          <t>▶  Vicente Lombardo</t>
        </is>
      </c>
      <c r="L57" s="131" t="n"/>
      <c r="M57" s="131" t="n"/>
      <c r="N57" s="132" t="n"/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13-jul</t>
        </is>
      </c>
      <c r="G59" s="6" t="n">
        <v>20</v>
      </c>
      <c r="H59" s="7" t="n">
        <v>27</v>
      </c>
      <c r="I59" s="8" t="n">
        <v>540</v>
      </c>
      <c r="K59" s="5" t="inlineStr">
        <is>
          <t>Mar 14-jul</t>
        </is>
      </c>
      <c r="L59" s="6" t="n">
        <v>100</v>
      </c>
      <c r="M59" s="7" t="n">
        <v>27</v>
      </c>
      <c r="N59" s="8" t="n">
        <v>2700</v>
      </c>
    </row>
    <row r="60" ht="18" customHeight="1">
      <c r="F60" s="9" t="inlineStr">
        <is>
          <t>Mar 14-jul</t>
        </is>
      </c>
      <c r="G60" s="10" t="n">
        <v>225</v>
      </c>
      <c r="H60" s="11" t="n">
        <v>27</v>
      </c>
      <c r="I60" s="12" t="n">
        <v>6075</v>
      </c>
      <c r="K60" s="9" t="inlineStr">
        <is>
          <t>Jue 16-jul</t>
        </is>
      </c>
      <c r="L60" s="10" t="n">
        <v>-100</v>
      </c>
      <c r="M60" s="11" t="n">
        <v>27</v>
      </c>
      <c r="N60" s="12" t="n">
        <v>-2700</v>
      </c>
    </row>
    <row r="61" ht="20" customHeight="1">
      <c r="F61" s="5" t="inlineStr">
        <is>
          <t>Jue 16-jul</t>
        </is>
      </c>
      <c r="G61" s="6" t="n">
        <v>275</v>
      </c>
      <c r="H61" s="7" t="n">
        <v>27</v>
      </c>
      <c r="I61" s="8" t="n">
        <v>7425</v>
      </c>
      <c r="K61" s="80" t="inlineStr">
        <is>
          <t>TOTAL — Vicente Lombardo</t>
        </is>
      </c>
      <c r="L61" s="14" t="n"/>
      <c r="M61" s="15" t="n"/>
      <c r="N61" s="16" t="n"/>
    </row>
    <row r="62" ht="18" customHeight="1">
      <c r="F62" s="9" t="inlineStr">
        <is>
          <t>Sáb 18-jul</t>
        </is>
      </c>
      <c r="G62" s="10" t="n">
        <v>74</v>
      </c>
      <c r="H62" s="11" t="n">
        <v>27</v>
      </c>
      <c r="I62" s="12" t="n">
        <v>1998</v>
      </c>
    </row>
    <row r="63" ht="20" customHeight="1">
      <c r="F63" s="80" t="inlineStr">
        <is>
          <t>TOTAL — Providencia</t>
        </is>
      </c>
      <c r="G63" s="14" t="n">
        <v>594</v>
      </c>
      <c r="H63" s="15" t="n"/>
      <c r="I63" s="16" t="n">
        <v>16038</v>
      </c>
    </row>
    <row r="66" ht="22" customHeight="1">
      <c r="F66" s="81" t="inlineStr">
        <is>
          <t>APOLINAR</t>
        </is>
      </c>
      <c r="G66" s="131" t="n"/>
      <c r="H66" s="131" t="n"/>
      <c r="I66" s="131" t="n"/>
      <c r="J66" s="131" t="n"/>
      <c r="K66" s="131" t="n"/>
      <c r="L66" s="131" t="n"/>
      <c r="M66" s="131" t="n"/>
      <c r="N66" s="131" t="n"/>
      <c r="O66" s="131" t="n"/>
      <c r="P66" s="132" t="n"/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13/07</t>
        </is>
      </c>
      <c r="J67" s="4" t="inlineStr">
        <is>
          <t>Mar
14/07</t>
        </is>
      </c>
      <c r="K67" s="4" t="inlineStr">
        <is>
          <t>Jue
16/07</t>
        </is>
      </c>
      <c r="L67" s="4" t="inlineStr">
        <is>
          <t>Vie
17/07</t>
        </is>
      </c>
      <c r="M67" s="4" t="inlineStr">
        <is>
          <t>Sáb
18/07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Alfredo del Mazo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-2812.58</v>
      </c>
      <c r="L69" s="85" t="n"/>
      <c r="M69" s="85" t="n"/>
      <c r="N69" s="88" t="n">
        <v>-2812.58</v>
      </c>
      <c r="O69" s="55" t="n">
        <v>27</v>
      </c>
      <c r="P69" s="89" t="n">
        <v>-75939.66</v>
      </c>
    </row>
    <row r="70" ht="18" customHeight="1">
      <c r="F70" s="90" t="n">
        <v>2</v>
      </c>
      <c r="G70" s="91" t="inlineStr">
        <is>
          <t>BARREDORA BROCE BROOM KR350</t>
        </is>
      </c>
      <c r="H70" s="92" t="n"/>
      <c r="I70" s="90" t="n">
        <v>28</v>
      </c>
      <c r="J70" s="90" t="n">
        <v>20</v>
      </c>
      <c r="K70" s="90" t="n"/>
      <c r="L70" s="90" t="n"/>
      <c r="M70" s="90" t="n"/>
      <c r="N70" s="93" t="n">
        <v>48</v>
      </c>
      <c r="O70" s="94" t="n">
        <v>27</v>
      </c>
      <c r="P70" s="95" t="n">
        <v>1296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>
        <v>20</v>
      </c>
      <c r="J71" s="85" t="n">
        <v>20</v>
      </c>
      <c r="K71" s="85" t="n"/>
      <c r="L71" s="85" t="n">
        <v>59</v>
      </c>
      <c r="M71" s="85" t="n"/>
      <c r="N71" s="88" t="n">
        <v>99</v>
      </c>
      <c r="O71" s="55" t="n">
        <v>27</v>
      </c>
      <c r="P71" s="89" t="n">
        <v>2673</v>
      </c>
    </row>
    <row r="72" ht="18" customHeight="1">
      <c r="F72" s="90" t="n">
        <v>4</v>
      </c>
      <c r="G72" s="91" t="inlineStr">
        <is>
          <t>Barredora Broce Broom</t>
        </is>
      </c>
      <c r="H72" s="92" t="n"/>
      <c r="I72" s="90" t="n"/>
      <c r="J72" s="90" t="n"/>
      <c r="K72" s="90" t="n"/>
      <c r="L72" s="90" t="n"/>
      <c r="M72" s="90" t="n">
        <v>50</v>
      </c>
      <c r="N72" s="93" t="n">
        <v>50</v>
      </c>
      <c r="O72" s="94" t="n">
        <v>27</v>
      </c>
      <c r="P72" s="95" t="n">
        <v>1350</v>
      </c>
    </row>
    <row r="73" ht="18" customHeight="1">
      <c r="F73" s="85" t="n">
        <v>5</v>
      </c>
      <c r="G73" s="86" t="inlineStr">
        <is>
          <t>COMPRESOR SULLIVAN PALATEK D2010</t>
        </is>
      </c>
      <c r="H73" s="96" t="n"/>
      <c r="I73" s="85" t="n">
        <v>94</v>
      </c>
      <c r="J73" s="85" t="n"/>
      <c r="K73" s="85" t="n"/>
      <c r="L73" s="85" t="n">
        <v>105</v>
      </c>
      <c r="M73" s="85" t="n"/>
      <c r="N73" s="88" t="n">
        <v>199</v>
      </c>
      <c r="O73" s="55" t="n">
        <v>27</v>
      </c>
      <c r="P73" s="89" t="n">
        <v>5373</v>
      </c>
    </row>
    <row r="74" ht="18" customHeight="1">
      <c r="F74" s="90" t="n">
        <v>6</v>
      </c>
      <c r="G74" s="91" t="inlineStr">
        <is>
          <t>Compresor Ingersoll Rand</t>
        </is>
      </c>
      <c r="H74" s="92" t="n"/>
      <c r="I74" s="90" t="n"/>
      <c r="J74" s="90" t="n"/>
      <c r="K74" s="90" t="n"/>
      <c r="L74" s="90" t="n"/>
      <c r="M74" s="90" t="n">
        <v>33</v>
      </c>
      <c r="N74" s="93" t="n">
        <v>33</v>
      </c>
      <c r="O74" s="94" t="n">
        <v>27</v>
      </c>
      <c r="P74" s="95" t="n">
        <v>891</v>
      </c>
    </row>
    <row r="75" ht="18" customHeight="1">
      <c r="F75" s="85" t="n">
        <v>7</v>
      </c>
      <c r="G75" s="86" t="inlineStr">
        <is>
          <t>DOBLE RODILLO/VIBROCOMPACTADOR DE RODILLOS HAMM 140HD</t>
        </is>
      </c>
      <c r="H75" s="96" t="n"/>
      <c r="I75" s="85" t="n">
        <v>50</v>
      </c>
      <c r="J75" s="85" t="n">
        <v>115</v>
      </c>
      <c r="K75" s="85" t="n"/>
      <c r="L75" s="85" t="n"/>
      <c r="M75" s="85" t="n"/>
      <c r="N75" s="88" t="n">
        <v>165</v>
      </c>
      <c r="O75" s="55" t="n">
        <v>27</v>
      </c>
      <c r="P75" s="89" t="n">
        <v>4455</v>
      </c>
    </row>
    <row r="76" ht="18" customHeight="1">
      <c r="F76" s="90" t="n">
        <v>8</v>
      </c>
      <c r="G76" s="91" t="inlineStr">
        <is>
          <t>IMPACTO FORD 4300</t>
        </is>
      </c>
      <c r="H76" s="92" t="n"/>
      <c r="I76" s="90" t="n">
        <v>50</v>
      </c>
      <c r="J76" s="90" t="n">
        <v>40</v>
      </c>
      <c r="K76" s="90" t="n"/>
      <c r="L76" s="90" t="n"/>
      <c r="M76" s="90" t="n"/>
      <c r="N76" s="93" t="n">
        <v>90</v>
      </c>
      <c r="O76" s="94" t="n">
        <v>27</v>
      </c>
      <c r="P76" s="95" t="n">
        <v>2430</v>
      </c>
    </row>
    <row r="77" ht="18" customHeight="1">
      <c r="F77" s="85" t="n">
        <v>9</v>
      </c>
      <c r="G77" s="86" t="inlineStr">
        <is>
          <t>IMPACTO FORD F800</t>
        </is>
      </c>
      <c r="H77" s="96" t="n"/>
      <c r="I77" s="85" t="n">
        <v>50</v>
      </c>
      <c r="J77" s="85" t="n">
        <v>40</v>
      </c>
      <c r="K77" s="85" t="n"/>
      <c r="L77" s="85" t="n"/>
      <c r="M77" s="85" t="n"/>
      <c r="N77" s="88" t="n">
        <v>90</v>
      </c>
      <c r="O77" s="55" t="n">
        <v>27</v>
      </c>
      <c r="P77" s="89" t="n">
        <v>2430</v>
      </c>
    </row>
    <row r="78" ht="18" customHeight="1">
      <c r="F78" s="90" t="n">
        <v>10</v>
      </c>
      <c r="G78" s="91" t="inlineStr">
        <is>
          <t>NEUMATICO / COMPACTADOR DE NEUMATICOS DINAPAC CP271</t>
        </is>
      </c>
      <c r="H78" s="92" t="n"/>
      <c r="I78" s="90" t="n"/>
      <c r="J78" s="90" t="n"/>
      <c r="K78" s="90" t="n"/>
      <c r="L78" s="90" t="n"/>
      <c r="M78" s="90" t="n">
        <v>40</v>
      </c>
      <c r="N78" s="93" t="n">
        <v>40</v>
      </c>
      <c r="O78" s="94" t="n">
        <v>27</v>
      </c>
      <c r="P78" s="95" t="n">
        <v>1080</v>
      </c>
    </row>
    <row r="79" ht="18" customHeight="1">
      <c r="F79" s="85" t="n">
        <v>11</v>
      </c>
      <c r="G79" s="86" t="inlineStr">
        <is>
          <t>NEUMATICO PF-300B</t>
        </is>
      </c>
      <c r="H79" s="96" t="n"/>
      <c r="I79" s="85" t="n">
        <v>50</v>
      </c>
      <c r="J79" s="85" t="n">
        <v>65</v>
      </c>
      <c r="K79" s="85" t="n"/>
      <c r="L79" s="85" t="n">
        <v>69</v>
      </c>
      <c r="M79" s="85" t="n"/>
      <c r="N79" s="88" t="n">
        <v>184</v>
      </c>
      <c r="O79" s="55" t="n">
        <v>27</v>
      </c>
      <c r="P79" s="89" t="n">
        <v>4968</v>
      </c>
    </row>
    <row r="80" ht="18" customHeight="1">
      <c r="F80" s="90" t="n">
        <v>12</v>
      </c>
      <c r="G80" s="91" t="inlineStr">
        <is>
          <t>NEUMATICO VOLVO PT-240R</t>
        </is>
      </c>
      <c r="H80" s="92" t="n"/>
      <c r="I80" s="90" t="n">
        <v>75</v>
      </c>
      <c r="J80" s="90" t="n">
        <v>75</v>
      </c>
      <c r="K80" s="90" t="n"/>
      <c r="L80" s="90" t="n"/>
      <c r="M80" s="90" t="n"/>
      <c r="N80" s="93" t="n">
        <v>150</v>
      </c>
      <c r="O80" s="94" t="n">
        <v>27</v>
      </c>
      <c r="P80" s="95" t="n">
        <v>4050</v>
      </c>
    </row>
    <row r="81" ht="18" customHeight="1">
      <c r="F81" s="85" t="n">
        <v>13</v>
      </c>
      <c r="G81" s="86" t="inlineStr">
        <is>
          <t>PAVIMENTADORA VOGELE SJ 1800-3</t>
        </is>
      </c>
      <c r="H81" s="96" t="n"/>
      <c r="I81" s="85" t="n">
        <v>390</v>
      </c>
      <c r="J81" s="85" t="n">
        <v>320</v>
      </c>
      <c r="K81" s="85" t="n"/>
      <c r="L81" s="85" t="n">
        <v>200</v>
      </c>
      <c r="M81" s="85" t="n">
        <v>198</v>
      </c>
      <c r="N81" s="88" t="n">
        <v>1108</v>
      </c>
      <c r="O81" s="55" t="n">
        <v>27</v>
      </c>
      <c r="P81" s="89" t="n">
        <v>29916</v>
      </c>
    </row>
    <row r="82" ht="18" customHeight="1">
      <c r="F82" s="90" t="n">
        <v>14</v>
      </c>
      <c r="G82" s="91" t="inlineStr">
        <is>
          <t>PERFILADORA RODATEC RX600-4-4008</t>
        </is>
      </c>
      <c r="H82" s="92" t="n"/>
      <c r="I82" s="90" t="n">
        <v>90</v>
      </c>
      <c r="J82" s="90" t="n">
        <v>500</v>
      </c>
      <c r="K82" s="90" t="n"/>
      <c r="L82" s="90" t="n">
        <v>290</v>
      </c>
      <c r="M82" s="90" t="n"/>
      <c r="N82" s="93" t="n">
        <v>880</v>
      </c>
      <c r="O82" s="94" t="n">
        <v>27</v>
      </c>
      <c r="P82" s="95" t="n">
        <v>23760</v>
      </c>
    </row>
    <row r="83" ht="18" customHeight="1">
      <c r="F83" s="85" t="n">
        <v>15</v>
      </c>
      <c r="G83" s="86" t="inlineStr">
        <is>
          <t>PERFILADORA RODATEC RX600E</t>
        </is>
      </c>
      <c r="H83" s="96" t="n"/>
      <c r="I83" s="85" t="n">
        <v>90</v>
      </c>
      <c r="J83" s="85" t="n">
        <v>500</v>
      </c>
      <c r="K83" s="85" t="n"/>
      <c r="L83" s="85" t="n"/>
      <c r="M83" s="85" t="n"/>
      <c r="N83" s="88" t="n">
        <v>590</v>
      </c>
      <c r="O83" s="55" t="n">
        <v>27</v>
      </c>
      <c r="P83" s="89" t="n">
        <v>15930</v>
      </c>
    </row>
    <row r="84" ht="18" customHeight="1">
      <c r="F84" s="90" t="n">
        <v>16</v>
      </c>
      <c r="G84" s="91" t="inlineStr">
        <is>
          <t>PETROLIZADORA (IMPACTO 04) FORD F800</t>
        </is>
      </c>
      <c r="H84" s="92" t="n"/>
      <c r="I84" s="90" t="n">
        <v>120</v>
      </c>
      <c r="J84" s="90" t="n">
        <v>125</v>
      </c>
      <c r="K84" s="90" t="n"/>
      <c r="L84" s="90" t="n">
        <v>139</v>
      </c>
      <c r="M84" s="90" t="n"/>
      <c r="N84" s="93" t="n">
        <v>384</v>
      </c>
      <c r="O84" s="94" t="n">
        <v>27</v>
      </c>
      <c r="P84" s="95" t="n">
        <v>10368</v>
      </c>
    </row>
    <row r="85" ht="18" customHeight="1">
      <c r="F85" s="85" t="n">
        <v>17</v>
      </c>
      <c r="G85" s="86" t="inlineStr">
        <is>
          <t>PIPA DE AGUA (IMPACTO 01) FORD</t>
        </is>
      </c>
      <c r="H85" s="96" t="n"/>
      <c r="I85" s="85" t="n">
        <v>50</v>
      </c>
      <c r="J85" s="85" t="n">
        <v>70</v>
      </c>
      <c r="K85" s="85" t="n"/>
      <c r="L85" s="85" t="n">
        <v>113</v>
      </c>
      <c r="M85" s="85" t="n"/>
      <c r="N85" s="88" t="n">
        <v>233</v>
      </c>
      <c r="O85" s="55" t="n">
        <v>27</v>
      </c>
      <c r="P85" s="89" t="n">
        <v>6291</v>
      </c>
    </row>
    <row r="86" ht="18" customHeight="1">
      <c r="F86" s="90" t="n">
        <v>18</v>
      </c>
      <c r="G86" s="91" t="inlineStr">
        <is>
          <t>PIPA DE AGUA (IMPACTO 01) FORD None</t>
        </is>
      </c>
      <c r="H86" s="92" t="n"/>
      <c r="I86" s="90" t="n">
        <v>35</v>
      </c>
      <c r="J86" s="90" t="n"/>
      <c r="K86" s="90" t="n"/>
      <c r="L86" s="90" t="n"/>
      <c r="M86" s="90" t="n">
        <v>46</v>
      </c>
      <c r="N86" s="93" t="n">
        <v>81</v>
      </c>
      <c r="O86" s="94" t="n">
        <v>27</v>
      </c>
      <c r="P86" s="95" t="n">
        <v>2187</v>
      </c>
    </row>
    <row r="87" ht="18" customHeight="1">
      <c r="F87" s="85" t="n">
        <v>19</v>
      </c>
      <c r="G87" s="86" t="inlineStr">
        <is>
          <t>Perfiladora Wirtgen W-200</t>
        </is>
      </c>
      <c r="H87" s="96" t="n"/>
      <c r="I87" s="85" t="n"/>
      <c r="J87" s="85" t="n"/>
      <c r="K87" s="85" t="n"/>
      <c r="L87" s="85" t="n"/>
      <c r="M87" s="85" t="n">
        <v>134</v>
      </c>
      <c r="N87" s="88" t="n">
        <v>134</v>
      </c>
      <c r="O87" s="55" t="n">
        <v>27</v>
      </c>
      <c r="P87" s="89" t="n">
        <v>3618</v>
      </c>
    </row>
    <row r="88" ht="18" customHeight="1">
      <c r="F88" s="90" t="n">
        <v>20</v>
      </c>
      <c r="G88" s="91" t="inlineStr">
        <is>
          <t>Petrolizadora</t>
        </is>
      </c>
      <c r="H88" s="92" t="n"/>
      <c r="I88" s="90" t="n"/>
      <c r="J88" s="90" t="n"/>
      <c r="K88" s="90" t="n"/>
      <c r="L88" s="90" t="n"/>
      <c r="M88" s="90" t="n">
        <v>60</v>
      </c>
      <c r="N88" s="93" t="n">
        <v>60</v>
      </c>
      <c r="O88" s="94" t="n">
        <v>27</v>
      </c>
      <c r="P88" s="95" t="n">
        <v>1620</v>
      </c>
    </row>
    <row r="89" ht="18" customHeight="1">
      <c r="F89" s="85" t="n">
        <v>21</v>
      </c>
      <c r="G89" s="86" t="inlineStr">
        <is>
          <t>RETROEXCAVADORA JHONDEREE 310 K</t>
        </is>
      </c>
      <c r="H89" s="96" t="n"/>
      <c r="I89" s="85" t="n">
        <v>50</v>
      </c>
      <c r="J89" s="85" t="n">
        <v>65</v>
      </c>
      <c r="K89" s="85" t="n"/>
      <c r="L89" s="85" t="n">
        <v>23</v>
      </c>
      <c r="M89" s="85" t="n"/>
      <c r="N89" s="88" t="n">
        <v>138</v>
      </c>
      <c r="O89" s="55" t="n">
        <v>27</v>
      </c>
      <c r="P89" s="89" t="n">
        <v>3726</v>
      </c>
    </row>
    <row r="90" ht="18" customHeight="1">
      <c r="F90" s="90" t="n">
        <v>22</v>
      </c>
      <c r="G90" s="91" t="inlineStr">
        <is>
          <t>RETROEXCAVADORA JHONDEREE 310SK</t>
        </is>
      </c>
      <c r="H90" s="92" t="n"/>
      <c r="I90" s="90" t="n">
        <v>50</v>
      </c>
      <c r="J90" s="90" t="n"/>
      <c r="K90" s="90" t="n"/>
      <c r="L90" s="90" t="n"/>
      <c r="M90" s="90" t="n"/>
      <c r="N90" s="93" t="n">
        <v>50</v>
      </c>
      <c r="O90" s="94" t="n">
        <v>27</v>
      </c>
      <c r="P90" s="95" t="n">
        <v>1350</v>
      </c>
    </row>
    <row r="91" ht="18" customHeight="1">
      <c r="F91" s="85" t="n">
        <v>23</v>
      </c>
      <c r="G91" s="86" t="inlineStr">
        <is>
          <t>Retroexcavadora CAT</t>
        </is>
      </c>
      <c r="H91" s="96" t="n"/>
      <c r="I91" s="85" t="n"/>
      <c r="J91" s="85" t="n"/>
      <c r="K91" s="85" t="n"/>
      <c r="L91" s="85" t="n"/>
      <c r="M91" s="85" t="n">
        <v>102</v>
      </c>
      <c r="N91" s="88" t="n">
        <v>102</v>
      </c>
      <c r="O91" s="55" t="n">
        <v>27</v>
      </c>
      <c r="P91" s="89" t="n">
        <v>2754</v>
      </c>
    </row>
    <row r="92" ht="18" customHeight="1">
      <c r="F92" s="90" t="n">
        <v>24</v>
      </c>
      <c r="G92" s="91" t="inlineStr">
        <is>
          <t>TANDEM DOBLE RODILLO / VIBROCOMPACTOR RODILLO CAT CB54</t>
        </is>
      </c>
      <c r="H92" s="92" t="n"/>
      <c r="I92" s="90" t="n"/>
      <c r="J92" s="90" t="n"/>
      <c r="K92" s="90" t="n"/>
      <c r="L92" s="90" t="n"/>
      <c r="M92" s="90" t="n">
        <v>87</v>
      </c>
      <c r="N92" s="93" t="n">
        <v>87</v>
      </c>
      <c r="O92" s="94" t="n">
        <v>27</v>
      </c>
      <c r="P92" s="95" t="n">
        <v>2349</v>
      </c>
    </row>
    <row r="93" ht="18" customHeight="1">
      <c r="F93" s="85" t="n">
        <v>25</v>
      </c>
      <c r="G93" s="86" t="inlineStr">
        <is>
          <t>VIBROCOMPACTADOR CATERPILLAR CB66B</t>
        </is>
      </c>
      <c r="H93" s="96" t="n"/>
      <c r="I93" s="85" t="n">
        <v>50</v>
      </c>
      <c r="J93" s="85" t="n">
        <v>50</v>
      </c>
      <c r="K93" s="85" t="n"/>
      <c r="L93" s="85" t="n">
        <v>115</v>
      </c>
      <c r="M93" s="85" t="n"/>
      <c r="N93" s="88" t="n">
        <v>215</v>
      </c>
      <c r="O93" s="55" t="n">
        <v>27</v>
      </c>
      <c r="P93" s="89" t="n">
        <v>5805</v>
      </c>
    </row>
    <row r="94" ht="20" customHeight="1">
      <c r="F94" s="80" t="inlineStr">
        <is>
          <t>TOTAL LITROS</t>
        </is>
      </c>
      <c r="G94" s="131" t="n"/>
      <c r="H94" s="132" t="n"/>
      <c r="I94" s="98" t="n">
        <v>1342</v>
      </c>
      <c r="J94" s="98" t="n">
        <v>2005</v>
      </c>
      <c r="K94" s="97" t="n">
        <v>-2812.58</v>
      </c>
      <c r="L94" s="98" t="n">
        <v>1113</v>
      </c>
      <c r="M94" s="98" t="n">
        <v>750</v>
      </c>
      <c r="N94" s="80" t="n">
        <v>2397.42</v>
      </c>
      <c r="O94" s="15" t="n"/>
      <c r="P94" s="16" t="n">
        <v>64730.34</v>
      </c>
    </row>
    <row r="95" ht="20" customHeight="1">
      <c r="F95" s="99" t="inlineStr">
        <is>
          <t>IMPORTE SEMANAL AUTORIZADO: $75,600.00  (Litros aut.: 2,800.00 L)</t>
        </is>
      </c>
      <c r="G95" s="131" t="n"/>
      <c r="H95" s="131" t="n"/>
      <c r="I95" s="131" t="n"/>
      <c r="J95" s="131" t="n"/>
      <c r="K95" s="131" t="n"/>
      <c r="L95" s="131" t="n"/>
      <c r="M95" s="131" t="n"/>
      <c r="N95" s="131" t="n"/>
      <c r="O95" s="132" t="n"/>
      <c r="P95" s="101" t="n">
        <v>64730.34</v>
      </c>
    </row>
    <row r="98" ht="22" customHeight="1">
      <c r="F98" s="81" t="inlineStr">
        <is>
          <t>EDGAR</t>
        </is>
      </c>
      <c r="G98" s="131" t="n"/>
      <c r="H98" s="131" t="n"/>
      <c r="I98" s="131" t="n"/>
      <c r="J98" s="131" t="n"/>
      <c r="K98" s="131" t="n"/>
      <c r="L98" s="131" t="n"/>
      <c r="M98" s="132" t="n"/>
    </row>
    <row r="99" ht="28" customHeight="1">
      <c r="F99" s="4" t="inlineStr">
        <is>
          <t>#</t>
        </is>
      </c>
      <c r="G99" s="4" t="inlineStr">
        <is>
          <t>EQUIPO / MAQUINARIA</t>
        </is>
      </c>
      <c r="H99" s="4" t="inlineStr">
        <is>
          <t>LTS. SEM.
AUT.</t>
        </is>
      </c>
      <c r="I99" s="4" t="inlineStr">
        <is>
          <t>Mié
15/07</t>
        </is>
      </c>
      <c r="J99" s="4" t="inlineStr">
        <is>
          <t>Jue
16/07</t>
        </is>
      </c>
      <c r="K99" s="4" t="inlineStr">
        <is>
          <t>LITROS
TOTAL</t>
        </is>
      </c>
      <c r="L99" s="4" t="inlineStr">
        <is>
          <t>PRECIO
UNIT.</t>
        </is>
      </c>
      <c r="M99" s="4" t="inlineStr">
        <is>
          <t>TOTAL $</t>
        </is>
      </c>
    </row>
    <row r="100" ht="22" customHeight="1">
      <c r="F100" s="82" t="n"/>
      <c r="G100" s="83" t="inlineStr">
        <is>
          <t>OBRA DESTINO</t>
        </is>
      </c>
      <c r="H100" s="82" t="n"/>
      <c r="I100" s="84" t="inlineStr">
        <is>
          <t>Alfredo del Mazo</t>
        </is>
      </c>
      <c r="J100" s="84" t="inlineStr">
        <is>
          <t>Alfredo del Mazo</t>
        </is>
      </c>
      <c r="K100" s="82" t="n"/>
      <c r="L100" s="82" t="n"/>
      <c r="M100" s="82" t="n"/>
    </row>
    <row r="101" ht="18" customHeight="1">
      <c r="F101" s="85" t="n">
        <v>1</v>
      </c>
      <c r="G101" s="86" t="inlineStr">
        <is>
          <t>BARREDORA BROCE BROOM KR350</t>
        </is>
      </c>
      <c r="H101" s="96" t="n"/>
      <c r="I101" s="85" t="n">
        <v>30</v>
      </c>
      <c r="J101" s="85" t="n">
        <v>51</v>
      </c>
      <c r="K101" s="88" t="n">
        <v>81</v>
      </c>
      <c r="L101" s="55" t="n">
        <v>27</v>
      </c>
      <c r="M101" s="89" t="n">
        <v>2187</v>
      </c>
    </row>
    <row r="102" ht="18" customHeight="1">
      <c r="F102" s="90" t="n">
        <v>2</v>
      </c>
      <c r="G102" s="91" t="inlineStr">
        <is>
          <t>NEUMATICO BOMAG</t>
        </is>
      </c>
      <c r="H102" s="92" t="n"/>
      <c r="I102" s="90" t="n">
        <v>50</v>
      </c>
      <c r="J102" s="90" t="n"/>
      <c r="K102" s="93" t="n">
        <v>50</v>
      </c>
      <c r="L102" s="94" t="n">
        <v>27</v>
      </c>
      <c r="M102" s="95" t="n">
        <v>1350</v>
      </c>
    </row>
    <row r="103" ht="18" customHeight="1">
      <c r="F103" s="85" t="n">
        <v>3</v>
      </c>
      <c r="G103" s="86" t="inlineStr">
        <is>
          <t>NEUMATICO VOLVO PT-240R</t>
        </is>
      </c>
      <c r="H103" s="96" t="n"/>
      <c r="I103" s="85" t="n"/>
      <c r="J103" s="85" t="n">
        <v>13</v>
      </c>
      <c r="K103" s="88" t="n">
        <v>13</v>
      </c>
      <c r="L103" s="55" t="n">
        <v>27</v>
      </c>
      <c r="M103" s="89" t="n">
        <v>351</v>
      </c>
    </row>
    <row r="104" ht="18" customHeight="1">
      <c r="F104" s="90" t="n">
        <v>4</v>
      </c>
      <c r="G104" s="91" t="inlineStr">
        <is>
          <t>PERFILADORA RODATEC RX600-4-4008</t>
        </is>
      </c>
      <c r="H104" s="92" t="n"/>
      <c r="I104" s="90" t="n">
        <v>220</v>
      </c>
      <c r="J104" s="90" t="n">
        <v>409</v>
      </c>
      <c r="K104" s="93" t="n">
        <v>629</v>
      </c>
      <c r="L104" s="94" t="n">
        <v>27</v>
      </c>
      <c r="M104" s="95" t="n">
        <v>16983</v>
      </c>
    </row>
    <row r="105" ht="18" customHeight="1">
      <c r="F105" s="85" t="n">
        <v>5</v>
      </c>
      <c r="G105" s="86" t="inlineStr">
        <is>
          <t>RETROEXCAVADORA CASE 580 N</t>
        </is>
      </c>
      <c r="H105" s="96" t="n"/>
      <c r="I105" s="85" t="n">
        <v>100</v>
      </c>
      <c r="J105" s="85" t="n"/>
      <c r="K105" s="88" t="n">
        <v>100</v>
      </c>
      <c r="L105" s="55" t="n">
        <v>27</v>
      </c>
      <c r="M105" s="89" t="n">
        <v>2700</v>
      </c>
    </row>
    <row r="106" ht="18" customHeight="1">
      <c r="F106" s="90" t="n">
        <v>6</v>
      </c>
      <c r="G106" s="91" t="inlineStr">
        <is>
          <t>RETROEXCAVADORA JHONDEREE 310SK</t>
        </is>
      </c>
      <c r="H106" s="92" t="n"/>
      <c r="I106" s="90" t="n"/>
      <c r="J106" s="90" t="n">
        <v>127</v>
      </c>
      <c r="K106" s="93" t="n">
        <v>127</v>
      </c>
      <c r="L106" s="94" t="n">
        <v>27</v>
      </c>
      <c r="M106" s="95" t="n">
        <v>3429</v>
      </c>
    </row>
    <row r="107" ht="20" customHeight="1">
      <c r="F107" s="80" t="inlineStr">
        <is>
          <t>TOTAL LITROS</t>
        </is>
      </c>
      <c r="G107" s="131" t="n"/>
      <c r="H107" s="132" t="n"/>
      <c r="I107" s="97" t="n">
        <v>400</v>
      </c>
      <c r="J107" s="97" t="n">
        <v>600</v>
      </c>
      <c r="K107" s="80" t="n">
        <v>1000</v>
      </c>
      <c r="L107" s="15" t="n"/>
      <c r="M107" s="16" t="n">
        <v>27000</v>
      </c>
    </row>
    <row r="108" ht="20" customHeight="1">
      <c r="F108" s="99" t="inlineStr">
        <is>
          <t>IMPORTE SEMANAL AUTORIZADO: $0.00  (Litros aut.: 0.00 L)</t>
        </is>
      </c>
      <c r="G108" s="131" t="n"/>
      <c r="H108" s="131" t="n"/>
      <c r="I108" s="131" t="n"/>
      <c r="J108" s="131" t="n"/>
      <c r="K108" s="131" t="n"/>
      <c r="L108" s="132" t="n"/>
      <c r="M108" s="130" t="n">
        <v>27000</v>
      </c>
    </row>
    <row r="111" ht="22" customHeight="1">
      <c r="F111" s="81" t="inlineStr">
        <is>
          <t>FRANCISCO JAVIER</t>
        </is>
      </c>
      <c r="G111" s="131" t="n"/>
      <c r="H111" s="131" t="n"/>
      <c r="I111" s="131" t="n"/>
      <c r="J111" s="131" t="n"/>
      <c r="K111" s="131" t="n"/>
      <c r="L111" s="131" t="n"/>
      <c r="M111" s="131" t="n"/>
      <c r="N111" s="131" t="n"/>
      <c r="O111" s="131" t="n"/>
      <c r="P111" s="132" t="n"/>
    </row>
    <row r="112" ht="28" customHeight="1">
      <c r="F112" s="4" t="inlineStr">
        <is>
          <t>#</t>
        </is>
      </c>
      <c r="G112" s="4" t="inlineStr">
        <is>
          <t>EQUIPO / MAQUINARIA</t>
        </is>
      </c>
      <c r="H112" s="4" t="inlineStr">
        <is>
          <t>LTS. SEM.
AUT.</t>
        </is>
      </c>
      <c r="I112" s="4" t="inlineStr">
        <is>
          <t>Lun
13/07</t>
        </is>
      </c>
      <c r="J112" s="4" t="inlineStr">
        <is>
          <t>Mar
14/07</t>
        </is>
      </c>
      <c r="K112" s="4" t="inlineStr">
        <is>
          <t>Mié
15/07</t>
        </is>
      </c>
      <c r="L112" s="4" t="inlineStr">
        <is>
          <t>Jue
16/07</t>
        </is>
      </c>
      <c r="M112" s="4" t="inlineStr">
        <is>
          <t>Vie
17/07</t>
        </is>
      </c>
      <c r="N112" s="4" t="inlineStr">
        <is>
          <t>LITROS
TOTAL</t>
        </is>
      </c>
      <c r="O112" s="4" t="inlineStr">
        <is>
          <t>PRECIO
UNIT.</t>
        </is>
      </c>
      <c r="P112" s="4" t="inlineStr">
        <is>
          <t>TOTAL $</t>
        </is>
      </c>
    </row>
    <row r="113" ht="22" customHeight="1">
      <c r="F113" s="82" t="n"/>
      <c r="G113" s="83" t="inlineStr">
        <is>
          <t>OBRA DESTINO</t>
        </is>
      </c>
      <c r="H113" s="82" t="n"/>
      <c r="I113" s="84" t="inlineStr">
        <is>
          <t>Alfredo del Mazo</t>
        </is>
      </c>
      <c r="J113" s="84" t="inlineStr">
        <is>
          <t>México - Toluca</t>
        </is>
      </c>
      <c r="K113" s="84" t="inlineStr">
        <is>
          <t>México - Toluca</t>
        </is>
      </c>
      <c r="L113" s="84" t="inlineStr">
        <is>
          <t>México - Toluca</t>
        </is>
      </c>
      <c r="M113" s="84" t="inlineStr">
        <is>
          <t>México - Toluca</t>
        </is>
      </c>
      <c r="N113" s="82" t="n"/>
      <c r="O113" s="82" t="n"/>
      <c r="P113" s="82" t="n"/>
    </row>
    <row r="114" ht="18" customHeight="1">
      <c r="F114" s="85" t="n">
        <v>1</v>
      </c>
      <c r="G114" s="86" t="inlineStr">
        <is>
          <t>AJUSTE DIESEL</t>
        </is>
      </c>
      <c r="H114" s="87" t="n">
        <v>3850</v>
      </c>
      <c r="I114" s="85" t="n"/>
      <c r="J114" s="85" t="n"/>
      <c r="K114" s="85" t="n"/>
      <c r="L114" s="85" t="n">
        <v>-1034.23</v>
      </c>
      <c r="M114" s="85" t="n"/>
      <c r="N114" s="88" t="n">
        <v>-1034.23</v>
      </c>
      <c r="O114" s="55" t="n">
        <v>27</v>
      </c>
      <c r="P114" s="89" t="n">
        <v>-27924.21</v>
      </c>
    </row>
    <row r="115" ht="18" customHeight="1">
      <c r="F115" s="90" t="n">
        <v>2</v>
      </c>
      <c r="G115" s="91" t="inlineStr">
        <is>
          <t>BARREDORA BROCE RJ350</t>
        </is>
      </c>
      <c r="H115" s="92" t="n"/>
      <c r="I115" s="90" t="n">
        <v>40</v>
      </c>
      <c r="J115" s="90" t="n">
        <v>40</v>
      </c>
      <c r="K115" s="90" t="n">
        <v>40</v>
      </c>
      <c r="L115" s="90" t="n"/>
      <c r="M115" s="90" t="n">
        <v>30</v>
      </c>
      <c r="N115" s="93" t="n">
        <v>150</v>
      </c>
      <c r="O115" s="94" t="n">
        <v>27</v>
      </c>
      <c r="P115" s="95" t="n">
        <v>4050</v>
      </c>
    </row>
    <row r="116" ht="18" customHeight="1">
      <c r="F116" s="85" t="n">
        <v>3</v>
      </c>
      <c r="G116" s="86" t="inlineStr">
        <is>
          <t>Compactador Neumático Dynapac</t>
        </is>
      </c>
      <c r="H116" s="96" t="n"/>
      <c r="I116" s="85" t="n">
        <v>30</v>
      </c>
      <c r="J116" s="85" t="n"/>
      <c r="K116" s="85" t="n"/>
      <c r="L116" s="85" t="n"/>
      <c r="M116" s="85" t="n"/>
      <c r="N116" s="88" t="n">
        <v>30</v>
      </c>
      <c r="O116" s="55" t="n">
        <v>27</v>
      </c>
      <c r="P116" s="89" t="n">
        <v>810</v>
      </c>
    </row>
    <row r="117" ht="18" customHeight="1">
      <c r="F117" s="90" t="n">
        <v>4</v>
      </c>
      <c r="G117" s="91" t="inlineStr">
        <is>
          <t>DOBLE RODILLO/VIBROCOMPACTADOR DE RODILLOS HAMM</t>
        </is>
      </c>
      <c r="H117" s="92" t="n"/>
      <c r="I117" s="90" t="n"/>
      <c r="J117" s="90" t="n"/>
      <c r="K117" s="90" t="n"/>
      <c r="L117" s="90" t="n"/>
      <c r="M117" s="90" t="n">
        <v>60</v>
      </c>
      <c r="N117" s="93" t="n">
        <v>60</v>
      </c>
      <c r="O117" s="94" t="n">
        <v>27</v>
      </c>
      <c r="P117" s="95" t="n">
        <v>1620</v>
      </c>
    </row>
    <row r="118" ht="18" customHeight="1">
      <c r="F118" s="85" t="n">
        <v>5</v>
      </c>
      <c r="G118" s="86" t="inlineStr">
        <is>
          <t>DOBLE RODILLO/VIBROCOMPACTADOR DE RODILLOS HAMM 140HD</t>
        </is>
      </c>
      <c r="H118" s="96" t="n"/>
      <c r="I118" s="85" t="n">
        <v>60</v>
      </c>
      <c r="J118" s="85" t="n"/>
      <c r="K118" s="85" t="n"/>
      <c r="L118" s="85" t="n"/>
      <c r="M118" s="85" t="n"/>
      <c r="N118" s="88" t="n">
        <v>60</v>
      </c>
      <c r="O118" s="55" t="n">
        <v>27</v>
      </c>
      <c r="P118" s="89" t="n">
        <v>1620</v>
      </c>
    </row>
    <row r="119" ht="18" customHeight="1">
      <c r="F119" s="90" t="n">
        <v>6</v>
      </c>
      <c r="G119" s="91" t="inlineStr">
        <is>
          <t>HAMM NUEVO</t>
        </is>
      </c>
      <c r="H119" s="92" t="n"/>
      <c r="I119" s="90" t="n"/>
      <c r="J119" s="90" t="n"/>
      <c r="K119" s="90" t="n"/>
      <c r="L119" s="90" t="n"/>
      <c r="M119" s="90" t="n">
        <v>50</v>
      </c>
      <c r="N119" s="93" t="n">
        <v>50</v>
      </c>
      <c r="O119" s="94" t="n">
        <v>27</v>
      </c>
      <c r="P119" s="95" t="n">
        <v>1350</v>
      </c>
    </row>
    <row r="120" ht="18" customHeight="1">
      <c r="F120" s="85" t="n">
        <v>7</v>
      </c>
      <c r="G120" s="86" t="inlineStr">
        <is>
          <t>NEUMATICO / COMPACTADOR DE NEUMATICOS</t>
        </is>
      </c>
      <c r="H120" s="96" t="n"/>
      <c r="I120" s="85" t="n"/>
      <c r="J120" s="85" t="n"/>
      <c r="K120" s="85" t="n"/>
      <c r="L120" s="85" t="n"/>
      <c r="M120" s="85" t="n">
        <v>40</v>
      </c>
      <c r="N120" s="88" t="n">
        <v>40</v>
      </c>
      <c r="O120" s="55" t="n">
        <v>27</v>
      </c>
      <c r="P120" s="89" t="n">
        <v>1080</v>
      </c>
    </row>
    <row r="121" ht="18" customHeight="1">
      <c r="F121" s="90" t="n">
        <v>8</v>
      </c>
      <c r="G121" s="91" t="inlineStr">
        <is>
          <t>NEUMATICO VOLVO PT-240R</t>
        </is>
      </c>
      <c r="H121" s="92" t="n"/>
      <c r="I121" s="90" t="n"/>
      <c r="J121" s="90" t="n">
        <v>20</v>
      </c>
      <c r="K121" s="90" t="n">
        <v>20</v>
      </c>
      <c r="L121" s="90" t="n"/>
      <c r="M121" s="90" t="n"/>
      <c r="N121" s="93" t="n">
        <v>40</v>
      </c>
      <c r="O121" s="94" t="n">
        <v>27</v>
      </c>
      <c r="P121" s="95" t="n">
        <v>1080</v>
      </c>
    </row>
    <row r="122" ht="18" customHeight="1">
      <c r="F122" s="85" t="n">
        <v>9</v>
      </c>
      <c r="G122" s="86" t="inlineStr">
        <is>
          <t>PAVIMENTADORA VOGELE 1800-3 I</t>
        </is>
      </c>
      <c r="H122" s="96" t="n"/>
      <c r="I122" s="85" t="n"/>
      <c r="J122" s="85" t="n">
        <v>180</v>
      </c>
      <c r="K122" s="85" t="n"/>
      <c r="L122" s="85" t="n"/>
      <c r="M122" s="85" t="n">
        <v>170</v>
      </c>
      <c r="N122" s="88" t="n">
        <v>350</v>
      </c>
      <c r="O122" s="55" t="n">
        <v>27</v>
      </c>
      <c r="P122" s="89" t="n">
        <v>9450</v>
      </c>
    </row>
    <row r="123" ht="18" customHeight="1">
      <c r="F123" s="90" t="n">
        <v>10</v>
      </c>
      <c r="G123" s="91" t="inlineStr">
        <is>
          <t>PAVIMENTADORA VOGELE 1800-3 i</t>
        </is>
      </c>
      <c r="H123" s="92" t="n"/>
      <c r="I123" s="90" t="n"/>
      <c r="J123" s="90" t="n"/>
      <c r="K123" s="90" t="n">
        <v>180</v>
      </c>
      <c r="L123" s="90" t="n"/>
      <c r="M123" s="90" t="n"/>
      <c r="N123" s="93" t="n">
        <v>180</v>
      </c>
      <c r="O123" s="94" t="n">
        <v>27</v>
      </c>
      <c r="P123" s="95" t="n">
        <v>4860</v>
      </c>
    </row>
    <row r="124" ht="18" customHeight="1">
      <c r="F124" s="85" t="n">
        <v>11</v>
      </c>
      <c r="G124" s="86" t="inlineStr">
        <is>
          <t>PAVIMENTADORA VOGELE SJ 1800-3</t>
        </is>
      </c>
      <c r="H124" s="96" t="n"/>
      <c r="I124" s="85" t="n">
        <v>160</v>
      </c>
      <c r="J124" s="85" t="n"/>
      <c r="K124" s="85" t="n"/>
      <c r="L124" s="85" t="n"/>
      <c r="M124" s="85" t="n"/>
      <c r="N124" s="88" t="n">
        <v>160</v>
      </c>
      <c r="O124" s="55" t="n">
        <v>27</v>
      </c>
      <c r="P124" s="89" t="n">
        <v>4320</v>
      </c>
    </row>
    <row r="125" ht="18" customHeight="1">
      <c r="F125" s="90" t="n">
        <v>12</v>
      </c>
      <c r="G125" s="91" t="inlineStr">
        <is>
          <t>PERFILADORA RENTADA</t>
        </is>
      </c>
      <c r="H125" s="92" t="n"/>
      <c r="I125" s="90" t="n"/>
      <c r="J125" s="90" t="n">
        <v>600</v>
      </c>
      <c r="K125" s="90" t="n"/>
      <c r="L125" s="90" t="n"/>
      <c r="M125" s="90" t="n">
        <v>690</v>
      </c>
      <c r="N125" s="93" t="n">
        <v>1290</v>
      </c>
      <c r="O125" s="94" t="n">
        <v>27</v>
      </c>
      <c r="P125" s="95" t="n">
        <v>34830</v>
      </c>
    </row>
    <row r="126" ht="18" customHeight="1">
      <c r="F126" s="85" t="n">
        <v>13</v>
      </c>
      <c r="G126" s="86" t="inlineStr">
        <is>
          <t>PETROLIZADORA (IMPACTO 04) FORD F800</t>
        </is>
      </c>
      <c r="H126" s="96" t="n"/>
      <c r="I126" s="85" t="n">
        <v>60</v>
      </c>
      <c r="J126" s="85" t="n">
        <v>60</v>
      </c>
      <c r="K126" s="85" t="n">
        <v>60</v>
      </c>
      <c r="L126" s="85" t="n"/>
      <c r="M126" s="85" t="n">
        <v>60</v>
      </c>
      <c r="N126" s="88" t="n">
        <v>240</v>
      </c>
      <c r="O126" s="55" t="n">
        <v>27</v>
      </c>
      <c r="P126" s="89" t="n">
        <v>6480</v>
      </c>
    </row>
    <row r="127" ht="18" customHeight="1">
      <c r="F127" s="90" t="n">
        <v>14</v>
      </c>
      <c r="G127" s="91" t="inlineStr">
        <is>
          <t>Perfiladora(Rentada)</t>
        </is>
      </c>
      <c r="H127" s="92" t="n"/>
      <c r="I127" s="90" t="n">
        <v>400</v>
      </c>
      <c r="J127" s="90" t="n"/>
      <c r="K127" s="90" t="n">
        <v>680</v>
      </c>
      <c r="L127" s="90" t="n"/>
      <c r="M127" s="90" t="n"/>
      <c r="N127" s="93" t="n">
        <v>1080</v>
      </c>
      <c r="O127" s="94" t="n">
        <v>27</v>
      </c>
      <c r="P127" s="95" t="n">
        <v>29160</v>
      </c>
    </row>
    <row r="128" ht="18" customHeight="1">
      <c r="F128" s="85" t="n">
        <v>15</v>
      </c>
      <c r="G128" s="86" t="inlineStr">
        <is>
          <t>RETROEXCAVADORA JHONDEREE 310SK</t>
        </is>
      </c>
      <c r="H128" s="96" t="n"/>
      <c r="I128" s="85" t="n">
        <v>60</v>
      </c>
      <c r="J128" s="85" t="n">
        <v>130</v>
      </c>
      <c r="K128" s="85" t="n">
        <v>120</v>
      </c>
      <c r="L128" s="85" t="n"/>
      <c r="M128" s="85" t="n">
        <v>100</v>
      </c>
      <c r="N128" s="88" t="n">
        <v>410</v>
      </c>
      <c r="O128" s="55" t="n">
        <v>27</v>
      </c>
      <c r="P128" s="89" t="n">
        <v>11070</v>
      </c>
    </row>
    <row r="129" ht="20" customHeight="1">
      <c r="F129" s="80" t="inlineStr">
        <is>
          <t>TOTAL LITROS</t>
        </is>
      </c>
      <c r="G129" s="131" t="n"/>
      <c r="H129" s="132" t="n"/>
      <c r="I129" s="98" t="n">
        <v>810</v>
      </c>
      <c r="J129" s="98" t="n">
        <v>1030</v>
      </c>
      <c r="K129" s="98" t="n">
        <v>1100</v>
      </c>
      <c r="L129" s="97" t="n">
        <v>-1034.23</v>
      </c>
      <c r="M129" s="98" t="n">
        <v>1200</v>
      </c>
      <c r="N129" s="80" t="n">
        <v>3105.77</v>
      </c>
      <c r="O129" s="15" t="n"/>
      <c r="P129" s="16" t="n">
        <v>83855.78999999999</v>
      </c>
    </row>
    <row r="130" ht="20" customHeight="1">
      <c r="F130" s="99" t="inlineStr">
        <is>
          <t>IMPORTE SEMANAL AUTORIZADO: $103,950.00  (Litros aut.: 3,850.00 L)</t>
        </is>
      </c>
      <c r="G130" s="131" t="n"/>
      <c r="H130" s="131" t="n"/>
      <c r="I130" s="131" t="n"/>
      <c r="J130" s="131" t="n"/>
      <c r="K130" s="131" t="n"/>
      <c r="L130" s="131" t="n"/>
      <c r="M130" s="131" t="n"/>
      <c r="N130" s="131" t="n"/>
      <c r="O130" s="132" t="n"/>
      <c r="P130" s="101" t="n">
        <v>83855.78999999999</v>
      </c>
    </row>
    <row r="133" ht="22" customHeight="1">
      <c r="F133" s="81" t="inlineStr">
        <is>
          <t>ING. DIEGO CARREOLA</t>
        </is>
      </c>
      <c r="G133" s="131" t="n"/>
      <c r="H133" s="131" t="n"/>
      <c r="I133" s="131" t="n"/>
      <c r="J133" s="131" t="n"/>
      <c r="K133" s="131" t="n"/>
      <c r="L133" s="131" t="n"/>
      <c r="M133" s="131" t="n"/>
      <c r="N133" s="131" t="n"/>
      <c r="O133" s="131" t="n"/>
      <c r="P133" s="132" t="n"/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Lun
13/07</t>
        </is>
      </c>
      <c r="J134" s="4" t="inlineStr">
        <is>
          <t>Mar
14/07</t>
        </is>
      </c>
      <c r="K134" s="4" t="inlineStr">
        <is>
          <t>Mié
15/07</t>
        </is>
      </c>
      <c r="L134" s="4" t="inlineStr">
        <is>
          <t>Jue
16/07</t>
        </is>
      </c>
      <c r="M134" s="4" t="inlineStr">
        <is>
          <t>Vie
17/07</t>
        </is>
      </c>
      <c r="N134" s="4" t="inlineStr">
        <is>
          <t>LITROS
TOTAL</t>
        </is>
      </c>
      <c r="O134" s="4" t="inlineStr">
        <is>
          <t>PRECIO
UNIT.</t>
        </is>
      </c>
      <c r="P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Bacheo Toluca</t>
        </is>
      </c>
      <c r="J135" s="84" t="inlineStr">
        <is>
          <t>Providencia</t>
        </is>
      </c>
      <c r="K135" s="84" t="inlineStr">
        <is>
          <t>Desasolve</t>
        </is>
      </c>
      <c r="L135" s="84" t="inlineStr">
        <is>
          <t>Desasolve</t>
        </is>
      </c>
      <c r="M135" s="84" t="inlineStr">
        <is>
          <t>Desasolve</t>
        </is>
      </c>
      <c r="N135" s="82" t="n"/>
      <c r="O135" s="82" t="n"/>
      <c r="P135" s="82" t="n"/>
    </row>
    <row r="136" ht="18" customHeight="1">
      <c r="F136" s="85" t="n">
        <v>1</v>
      </c>
      <c r="G136" s="86" t="inlineStr">
        <is>
          <t>AJUSTE DIESEL</t>
        </is>
      </c>
      <c r="H136" s="87" t="n">
        <v>6300</v>
      </c>
      <c r="I136" s="85" t="n"/>
      <c r="J136" s="85" t="n"/>
      <c r="K136" s="85" t="n"/>
      <c r="L136" s="85" t="n">
        <v>-214</v>
      </c>
      <c r="M136" s="85" t="n"/>
      <c r="N136" s="88" t="n">
        <v>-214</v>
      </c>
      <c r="O136" s="55" t="n">
        <v>27</v>
      </c>
      <c r="P136" s="89" t="n">
        <v>-5778</v>
      </c>
    </row>
    <row r="137" ht="18" customHeight="1">
      <c r="F137" s="90" t="n">
        <v>2</v>
      </c>
      <c r="G137" s="91" t="inlineStr">
        <is>
          <t>EXCAVADORA 320D2</t>
        </is>
      </c>
      <c r="H137" s="92" t="n"/>
      <c r="I137" s="90" t="n">
        <v>360</v>
      </c>
      <c r="J137" s="90" t="n"/>
      <c r="K137" s="90" t="n">
        <v>360</v>
      </c>
      <c r="L137" s="90" t="n"/>
      <c r="M137" s="90" t="n">
        <v>340</v>
      </c>
      <c r="N137" s="93" t="n">
        <v>1060</v>
      </c>
      <c r="O137" s="94" t="n">
        <v>27</v>
      </c>
      <c r="P137" s="95" t="n">
        <v>28620</v>
      </c>
    </row>
    <row r="138" ht="18" customHeight="1">
      <c r="F138" s="85" t="n">
        <v>3</v>
      </c>
      <c r="G138" s="86" t="inlineStr">
        <is>
          <t>Excavadora Cat 320 DRR</t>
        </is>
      </c>
      <c r="H138" s="96" t="n"/>
      <c r="I138" s="85" t="n">
        <v>180</v>
      </c>
      <c r="J138" s="85" t="n"/>
      <c r="K138" s="85" t="n">
        <v>200</v>
      </c>
      <c r="L138" s="85" t="n"/>
      <c r="M138" s="85" t="n"/>
      <c r="N138" s="88" t="n">
        <v>380</v>
      </c>
      <c r="O138" s="55" t="n">
        <v>27</v>
      </c>
      <c r="P138" s="89" t="n">
        <v>10260</v>
      </c>
    </row>
    <row r="139" ht="18" customHeight="1">
      <c r="F139" s="90" t="n">
        <v>4</v>
      </c>
      <c r="G139" s="91" t="inlineStr">
        <is>
          <t>Excavadora Cat 324DL</t>
        </is>
      </c>
      <c r="H139" s="92" t="n"/>
      <c r="I139" s="90" t="n">
        <v>180</v>
      </c>
      <c r="J139" s="90" t="n"/>
      <c r="K139" s="90" t="n">
        <v>180</v>
      </c>
      <c r="L139" s="90" t="n"/>
      <c r="M139" s="90" t="n">
        <v>50</v>
      </c>
      <c r="N139" s="93" t="n">
        <v>410</v>
      </c>
      <c r="O139" s="94" t="n">
        <v>27</v>
      </c>
      <c r="P139" s="95" t="n">
        <v>11070</v>
      </c>
    </row>
    <row r="140" ht="18" customHeight="1">
      <c r="F140" s="85" t="n">
        <v>5</v>
      </c>
      <c r="G140" s="86" t="inlineStr">
        <is>
          <t>PETROLIZADORA (IMPACTO 04) FORD F800</t>
        </is>
      </c>
      <c r="H140" s="96" t="n"/>
      <c r="I140" s="85" t="n">
        <v>20</v>
      </c>
      <c r="J140" s="85" t="n">
        <v>25</v>
      </c>
      <c r="K140" s="85" t="n"/>
      <c r="L140" s="85" t="n"/>
      <c r="M140" s="85" t="n"/>
      <c r="N140" s="88" t="n">
        <v>45</v>
      </c>
      <c r="O140" s="55" t="n">
        <v>27</v>
      </c>
      <c r="P140" s="89" t="n">
        <v>1215</v>
      </c>
    </row>
    <row r="141" ht="18" customHeight="1">
      <c r="F141" s="90" t="n">
        <v>6</v>
      </c>
      <c r="G141" s="91" t="inlineStr">
        <is>
          <t>RETROEXCAVADORA CASE 420DN</t>
        </is>
      </c>
      <c r="H141" s="92" t="n"/>
      <c r="I141" s="90" t="n">
        <v>100</v>
      </c>
      <c r="J141" s="90" t="n"/>
      <c r="K141" s="90" t="n">
        <v>100</v>
      </c>
      <c r="L141" s="90" t="n"/>
      <c r="M141" s="90" t="n">
        <v>210</v>
      </c>
      <c r="N141" s="93" t="n">
        <v>410</v>
      </c>
      <c r="O141" s="94" t="n">
        <v>27</v>
      </c>
      <c r="P141" s="95" t="n">
        <v>11070</v>
      </c>
    </row>
    <row r="142" ht="18" customHeight="1">
      <c r="F142" s="85" t="n">
        <v>7</v>
      </c>
      <c r="G142" s="86" t="inlineStr">
        <is>
          <t>RETROEXCAVADORA CASE 420E</t>
        </is>
      </c>
      <c r="H142" s="96" t="n"/>
      <c r="I142" s="85" t="n">
        <v>50</v>
      </c>
      <c r="J142" s="85" t="n"/>
      <c r="K142" s="85" t="n">
        <v>50</v>
      </c>
      <c r="L142" s="85" t="n"/>
      <c r="M142" s="85" t="n"/>
      <c r="N142" s="88" t="n">
        <v>100</v>
      </c>
      <c r="O142" s="55" t="n">
        <v>27</v>
      </c>
      <c r="P142" s="89" t="n">
        <v>2700</v>
      </c>
    </row>
    <row r="143" ht="18" customHeight="1">
      <c r="F143" s="90" t="n">
        <v>8</v>
      </c>
      <c r="G143" s="91" t="inlineStr">
        <is>
          <t>RETROEXCAVADORA CASE 580 N</t>
        </is>
      </c>
      <c r="H143" s="92" t="n"/>
      <c r="I143" s="90" t="n">
        <v>50</v>
      </c>
      <c r="J143" s="90" t="n">
        <v>100</v>
      </c>
      <c r="K143" s="90" t="n">
        <v>30</v>
      </c>
      <c r="L143" s="90" t="n">
        <v>50</v>
      </c>
      <c r="M143" s="90" t="n"/>
      <c r="N143" s="93" t="n">
        <v>230</v>
      </c>
      <c r="O143" s="94" t="n">
        <v>27</v>
      </c>
      <c r="P143" s="95" t="n">
        <v>6210</v>
      </c>
    </row>
    <row r="144" ht="20" customHeight="1">
      <c r="F144" s="80" t="inlineStr">
        <is>
          <t>TOTAL LITROS</t>
        </is>
      </c>
      <c r="G144" s="131" t="n"/>
      <c r="H144" s="132" t="n"/>
      <c r="I144" s="98" t="n">
        <v>940</v>
      </c>
      <c r="J144" s="97" t="n">
        <v>125</v>
      </c>
      <c r="K144" s="98" t="n">
        <v>920</v>
      </c>
      <c r="L144" s="97" t="n">
        <v>-164</v>
      </c>
      <c r="M144" s="97" t="n">
        <v>600</v>
      </c>
      <c r="N144" s="80" t="n">
        <v>2421</v>
      </c>
      <c r="O144" s="15" t="n"/>
      <c r="P144" s="16" t="n">
        <v>65367</v>
      </c>
    </row>
    <row r="145" ht="20" customHeight="1">
      <c r="F145" s="99" t="inlineStr">
        <is>
          <t>IMPORTE SEMANAL AUTORIZADO: $170,100.00  (Litros aut.: 6,300.00 L)</t>
        </is>
      </c>
      <c r="G145" s="131" t="n"/>
      <c r="H145" s="131" t="n"/>
      <c r="I145" s="131" t="n"/>
      <c r="J145" s="131" t="n"/>
      <c r="K145" s="131" t="n"/>
      <c r="L145" s="131" t="n"/>
      <c r="M145" s="131" t="n"/>
      <c r="N145" s="131" t="n"/>
      <c r="O145" s="132" t="n"/>
      <c r="P145" s="101" t="n">
        <v>65367</v>
      </c>
    </row>
    <row r="148" ht="22" customHeight="1">
      <c r="F148" s="81" t="inlineStr">
        <is>
          <t>JACK</t>
        </is>
      </c>
      <c r="G148" s="131" t="n"/>
      <c r="H148" s="131" t="n"/>
      <c r="I148" s="131" t="n"/>
      <c r="J148" s="131" t="n"/>
      <c r="K148" s="131" t="n"/>
      <c r="L148" s="131" t="n"/>
      <c r="M148" s="131" t="n"/>
      <c r="N148" s="131" t="n"/>
      <c r="O148" s="132" t="n"/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Mié
15/07</t>
        </is>
      </c>
      <c r="J149" s="4" t="inlineStr">
        <is>
          <t>Jue
16/07</t>
        </is>
      </c>
      <c r="K149" s="4" t="inlineStr">
        <is>
          <t>Sáb
18/07</t>
        </is>
      </c>
      <c r="L149" s="4" t="inlineStr">
        <is>
          <t>Mar
18/08</t>
        </is>
      </c>
      <c r="M149" s="4" t="inlineStr">
        <is>
          <t>LITROS
TOTAL</t>
        </is>
      </c>
      <c r="N149" s="4" t="inlineStr">
        <is>
          <t>PRECIO
UNIT.</t>
        </is>
      </c>
      <c r="O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Planta Pegaso</t>
        </is>
      </c>
      <c r="J150" s="84" t="inlineStr">
        <is>
          <t>Planta Pegaso</t>
        </is>
      </c>
      <c r="K150" s="84" t="inlineStr">
        <is>
          <t>Planta Pegaso</t>
        </is>
      </c>
      <c r="L150" s="84" t="inlineStr">
        <is>
          <t>Planta Pegaso</t>
        </is>
      </c>
      <c r="M150" s="82" t="n"/>
      <c r="N150" s="82" t="n"/>
      <c r="O150" s="82" t="n"/>
    </row>
    <row r="151" ht="18" customHeight="1">
      <c r="F151" s="85" t="n">
        <v>1</v>
      </c>
      <c r="G151" s="86" t="inlineStr">
        <is>
          <t>AJUSTE DIESEL</t>
        </is>
      </c>
      <c r="H151" s="87" t="n">
        <v>2800</v>
      </c>
      <c r="I151" s="85" t="n"/>
      <c r="J151" s="85" t="n">
        <v>569</v>
      </c>
      <c r="K151" s="85" t="n"/>
      <c r="L151" s="85" t="n"/>
      <c r="M151" s="88" t="n">
        <v>569</v>
      </c>
      <c r="N151" s="55" t="n">
        <v>27</v>
      </c>
      <c r="O151" s="89" t="n">
        <v>15363</v>
      </c>
    </row>
    <row r="152" ht="18" customHeight="1">
      <c r="F152" s="90" t="n">
        <v>2</v>
      </c>
      <c r="G152" s="91" t="inlineStr">
        <is>
          <t>CALDERA PEGASO</t>
        </is>
      </c>
      <c r="H152" s="92" t="n"/>
      <c r="I152" s="90" t="n"/>
      <c r="J152" s="90" t="n"/>
      <c r="K152" s="90" t="n"/>
      <c r="L152" s="90" t="n">
        <v>400</v>
      </c>
      <c r="M152" s="93" t="n">
        <v>400</v>
      </c>
      <c r="N152" s="94" t="n">
        <v>27</v>
      </c>
      <c r="O152" s="95" t="n">
        <v>10800</v>
      </c>
    </row>
    <row r="153" ht="18" customHeight="1">
      <c r="F153" s="85" t="n">
        <v>3</v>
      </c>
      <c r="G153" s="86" t="inlineStr">
        <is>
          <t>CALDERA TRIASO</t>
        </is>
      </c>
      <c r="H153" s="96" t="n"/>
      <c r="I153" s="85" t="n"/>
      <c r="J153" s="85" t="n"/>
      <c r="K153" s="85" t="n">
        <v>200</v>
      </c>
      <c r="L153" s="85" t="n"/>
      <c r="M153" s="88" t="n">
        <v>200</v>
      </c>
      <c r="N153" s="55" t="n">
        <v>27</v>
      </c>
      <c r="O153" s="89" t="n">
        <v>5400</v>
      </c>
    </row>
    <row r="154" ht="18" customHeight="1">
      <c r="F154" s="90" t="n">
        <v>4</v>
      </c>
      <c r="G154" s="91" t="inlineStr">
        <is>
          <t>Generador</t>
        </is>
      </c>
      <c r="H154" s="92" t="n"/>
      <c r="I154" s="90" t="n"/>
      <c r="J154" s="90" t="n"/>
      <c r="K154" s="90" t="n">
        <v>20</v>
      </c>
      <c r="L154" s="90" t="n"/>
      <c r="M154" s="93" t="n">
        <v>20</v>
      </c>
      <c r="N154" s="94" t="n">
        <v>27</v>
      </c>
      <c r="O154" s="95" t="n">
        <v>540</v>
      </c>
    </row>
    <row r="155" ht="18" customHeight="1">
      <c r="F155" s="85" t="n">
        <v>5</v>
      </c>
      <c r="G155" s="86" t="inlineStr">
        <is>
          <t>Payloder 644k</t>
        </is>
      </c>
      <c r="H155" s="96" t="n"/>
      <c r="I155" s="85" t="n">
        <v>200</v>
      </c>
      <c r="J155" s="85" t="n"/>
      <c r="K155" s="85" t="n">
        <v>200</v>
      </c>
      <c r="L155" s="85" t="n"/>
      <c r="M155" s="88" t="n">
        <v>400</v>
      </c>
      <c r="N155" s="55" t="n">
        <v>27</v>
      </c>
      <c r="O155" s="89" t="n">
        <v>10800</v>
      </c>
    </row>
    <row r="156" ht="20" customHeight="1">
      <c r="F156" s="80" t="inlineStr">
        <is>
          <t>TOTAL LITROS</t>
        </is>
      </c>
      <c r="G156" s="131" t="n"/>
      <c r="H156" s="132" t="n"/>
      <c r="I156" s="97" t="n">
        <v>200</v>
      </c>
      <c r="J156" s="98" t="n">
        <v>569</v>
      </c>
      <c r="K156" s="98" t="n">
        <v>420</v>
      </c>
      <c r="L156" s="97" t="n">
        <v>400</v>
      </c>
      <c r="M156" s="80" t="n">
        <v>1589</v>
      </c>
      <c r="N156" s="15" t="n"/>
      <c r="O156" s="16" t="n">
        <v>42903</v>
      </c>
    </row>
    <row r="157" ht="20" customHeight="1">
      <c r="F157" s="99" t="inlineStr">
        <is>
          <t>IMPORTE SEMANAL AUTORIZADO: $75,600.00  (Litros aut.: 2,800.00 L)</t>
        </is>
      </c>
      <c r="G157" s="131" t="n"/>
      <c r="H157" s="131" t="n"/>
      <c r="I157" s="131" t="n"/>
      <c r="J157" s="131" t="n"/>
      <c r="K157" s="131" t="n"/>
      <c r="L157" s="131" t="n"/>
      <c r="M157" s="131" t="n"/>
      <c r="N157" s="132" t="n"/>
      <c r="O157" s="101" t="n">
        <v>42903</v>
      </c>
    </row>
    <row r="160" ht="22" customHeight="1">
      <c r="F160" s="81" t="inlineStr">
        <is>
          <t>LUIS</t>
        </is>
      </c>
      <c r="G160" s="131" t="n"/>
      <c r="H160" s="131" t="n"/>
      <c r="I160" s="131" t="n"/>
      <c r="J160" s="131" t="n"/>
      <c r="K160" s="131" t="n"/>
      <c r="L160" s="131" t="n"/>
      <c r="M160" s="131" t="n"/>
      <c r="N160" s="131" t="n"/>
      <c r="O160" s="132" t="n"/>
    </row>
    <row r="161" ht="28" customHeight="1">
      <c r="F161" s="4" t="inlineStr">
        <is>
          <t>#</t>
        </is>
      </c>
      <c r="G161" s="4" t="inlineStr">
        <is>
          <t>EQUIPO / MAQUINARIA</t>
        </is>
      </c>
      <c r="H161" s="4" t="inlineStr">
        <is>
          <t>LTS. SEM.
AUT.</t>
        </is>
      </c>
      <c r="I161" s="4" t="inlineStr">
        <is>
          <t>Mar
14/07</t>
        </is>
      </c>
      <c r="J161" s="4" t="inlineStr">
        <is>
          <t>Mié
15/07</t>
        </is>
      </c>
      <c r="K161" s="4" t="inlineStr">
        <is>
          <t>Jue
16/07</t>
        </is>
      </c>
      <c r="L161" s="4" t="inlineStr">
        <is>
          <t>Vie
17/07</t>
        </is>
      </c>
      <c r="M161" s="4" t="inlineStr">
        <is>
          <t>LITROS
TOTAL</t>
        </is>
      </c>
      <c r="N161" s="4" t="inlineStr">
        <is>
          <t>PRECIO
UNIT.</t>
        </is>
      </c>
      <c r="O161" s="4" t="inlineStr">
        <is>
          <t>TOTAL $</t>
        </is>
      </c>
    </row>
    <row r="162" ht="22" customHeight="1">
      <c r="F162" s="82" t="n"/>
      <c r="G162" s="83" t="inlineStr">
        <is>
          <t>OBRA DESTINO</t>
        </is>
      </c>
      <c r="H162" s="82" t="n"/>
      <c r="I162" s="84" t="inlineStr">
        <is>
          <t>Planta Huixquilucan</t>
        </is>
      </c>
      <c r="J162" s="84" t="inlineStr">
        <is>
          <t>Planta Huixquilucan</t>
        </is>
      </c>
      <c r="K162" s="84" t="inlineStr">
        <is>
          <t>Planta Huixquilucan</t>
        </is>
      </c>
      <c r="L162" s="84" t="inlineStr">
        <is>
          <t>Planta Huixquilucan</t>
        </is>
      </c>
      <c r="M162" s="82" t="n"/>
      <c r="N162" s="82" t="n"/>
      <c r="O162" s="82" t="n"/>
    </row>
    <row r="163" ht="18" customHeight="1">
      <c r="F163" s="85" t="n">
        <v>1</v>
      </c>
      <c r="G163" s="86" t="inlineStr">
        <is>
          <t>AJUSTE DIESEL</t>
        </is>
      </c>
      <c r="H163" s="87" t="n">
        <v>2800</v>
      </c>
      <c r="I163" s="85" t="n"/>
      <c r="J163" s="85" t="n"/>
      <c r="K163" s="85" t="n">
        <v>-507.98</v>
      </c>
      <c r="L163" s="85" t="n"/>
      <c r="M163" s="88" t="n">
        <v>-507.98</v>
      </c>
      <c r="N163" s="55" t="n">
        <v>27</v>
      </c>
      <c r="O163" s="89" t="n">
        <v>-13715.46</v>
      </c>
    </row>
    <row r="164" ht="18" customHeight="1">
      <c r="F164" s="90" t="n">
        <v>2</v>
      </c>
      <c r="G164" s="91" t="inlineStr">
        <is>
          <t>CALDERA PLANTA  AH</t>
        </is>
      </c>
      <c r="H164" s="92" t="n"/>
      <c r="I164" s="90" t="n">
        <v>100</v>
      </c>
      <c r="J164" s="90" t="n"/>
      <c r="K164" s="90" t="n">
        <v>200</v>
      </c>
      <c r="L164" s="90" t="n"/>
      <c r="M164" s="93" t="n">
        <v>300</v>
      </c>
      <c r="N164" s="94" t="n">
        <v>27</v>
      </c>
      <c r="O164" s="95" t="n">
        <v>8100</v>
      </c>
    </row>
    <row r="165" ht="18" customHeight="1">
      <c r="F165" s="85" t="n">
        <v>3</v>
      </c>
      <c r="G165" s="86" t="inlineStr">
        <is>
          <t>Generador</t>
        </is>
      </c>
      <c r="H165" s="96" t="n"/>
      <c r="I165" s="85" t="n">
        <v>200</v>
      </c>
      <c r="J165" s="85" t="n">
        <v>200</v>
      </c>
      <c r="K165" s="85" t="n">
        <v>200</v>
      </c>
      <c r="L165" s="85" t="n">
        <v>500</v>
      </c>
      <c r="M165" s="88" t="n">
        <v>1100</v>
      </c>
      <c r="N165" s="55" t="n">
        <v>27</v>
      </c>
      <c r="O165" s="89" t="n">
        <v>29700</v>
      </c>
    </row>
    <row r="166" ht="18" customHeight="1">
      <c r="F166" s="90" t="n">
        <v>4</v>
      </c>
      <c r="G166" s="91" t="inlineStr">
        <is>
          <t>PAYLOADER</t>
        </is>
      </c>
      <c r="H166" s="92" t="n"/>
      <c r="I166" s="90" t="n">
        <v>200</v>
      </c>
      <c r="J166" s="90" t="n">
        <v>100</v>
      </c>
      <c r="K166" s="90" t="n">
        <v>100</v>
      </c>
      <c r="L166" s="90" t="n"/>
      <c r="M166" s="93" t="n">
        <v>400</v>
      </c>
      <c r="N166" s="94" t="n">
        <v>27</v>
      </c>
      <c r="O166" s="95" t="n">
        <v>10800</v>
      </c>
    </row>
    <row r="167" ht="18" customHeight="1">
      <c r="F167" s="85" t="n">
        <v>5</v>
      </c>
      <c r="G167" s="86" t="inlineStr">
        <is>
          <t>Torre de Luces Maxilight</t>
        </is>
      </c>
      <c r="H167" s="96" t="n"/>
      <c r="I167" s="85" t="n">
        <v>100</v>
      </c>
      <c r="J167" s="85" t="n"/>
      <c r="K167" s="85" t="n"/>
      <c r="L167" s="85" t="n"/>
      <c r="M167" s="88" t="n">
        <v>100</v>
      </c>
      <c r="N167" s="55" t="n">
        <v>27</v>
      </c>
      <c r="O167" s="89" t="n">
        <v>2700</v>
      </c>
    </row>
    <row r="168" ht="20" customHeight="1">
      <c r="F168" s="80" t="inlineStr">
        <is>
          <t>TOTAL LITROS</t>
        </is>
      </c>
      <c r="G168" s="131" t="n"/>
      <c r="H168" s="132" t="n"/>
      <c r="I168" s="98" t="n">
        <v>600</v>
      </c>
      <c r="J168" s="97" t="n">
        <v>300</v>
      </c>
      <c r="K168" s="97" t="n">
        <v>-7.98</v>
      </c>
      <c r="L168" s="98" t="n">
        <v>500</v>
      </c>
      <c r="M168" s="80" t="n">
        <v>1392.02</v>
      </c>
      <c r="N168" s="15" t="n"/>
      <c r="O168" s="16" t="n">
        <v>37584.54</v>
      </c>
    </row>
    <row r="169" ht="20" customHeight="1">
      <c r="F169" s="99" t="inlineStr">
        <is>
          <t>IMPORTE SEMANAL AUTORIZADO: $75,600.00  (Litros aut.: 2,800.00 L)</t>
        </is>
      </c>
      <c r="G169" s="131" t="n"/>
      <c r="H169" s="131" t="n"/>
      <c r="I169" s="131" t="n"/>
      <c r="J169" s="131" t="n"/>
      <c r="K169" s="131" t="n"/>
      <c r="L169" s="131" t="n"/>
      <c r="M169" s="131" t="n"/>
      <c r="N169" s="132" t="n"/>
      <c r="O169" s="101" t="n">
        <v>37584.54</v>
      </c>
    </row>
    <row r="172" ht="22" customHeight="1">
      <c r="F172" s="81" t="inlineStr">
        <is>
          <t>SAMUEL</t>
        </is>
      </c>
      <c r="G172" s="131" t="n"/>
      <c r="H172" s="131" t="n"/>
      <c r="I172" s="131" t="n"/>
      <c r="J172" s="131" t="n"/>
      <c r="K172" s="131" t="n"/>
      <c r="L172" s="131" t="n"/>
      <c r="M172" s="131" t="n"/>
      <c r="N172" s="132" t="n"/>
    </row>
    <row r="173" ht="28" customHeight="1">
      <c r="F173" s="4" t="inlineStr">
        <is>
          <t>#</t>
        </is>
      </c>
      <c r="G173" s="4" t="inlineStr">
        <is>
          <t>EQUIPO / MAQUINARIA</t>
        </is>
      </c>
      <c r="H173" s="4" t="inlineStr">
        <is>
          <t>LTS. SEM.
AUT.</t>
        </is>
      </c>
      <c r="I173" s="4" t="inlineStr">
        <is>
          <t>Mar
14/07</t>
        </is>
      </c>
      <c r="J173" s="4" t="inlineStr">
        <is>
          <t>Jue
16/07</t>
        </is>
      </c>
      <c r="K173" s="4" t="inlineStr">
        <is>
          <t>Sáb
18/07</t>
        </is>
      </c>
      <c r="L173" s="4" t="inlineStr">
        <is>
          <t>LITROS
TOTAL</t>
        </is>
      </c>
      <c r="M173" s="4" t="inlineStr">
        <is>
          <t>PRECIO
UNIT.</t>
        </is>
      </c>
      <c r="N173" s="4" t="inlineStr">
        <is>
          <t>TOTAL $</t>
        </is>
      </c>
    </row>
    <row r="174" ht="22" customHeight="1">
      <c r="F174" s="82" t="n"/>
      <c r="G174" s="83" t="inlineStr">
        <is>
          <t>OBRA DESTINO</t>
        </is>
      </c>
      <c r="H174" s="82" t="n"/>
      <c r="I174" s="84" t="inlineStr">
        <is>
          <t>Providencia</t>
        </is>
      </c>
      <c r="J174" s="84" t="inlineStr">
        <is>
          <t>Providencia</t>
        </is>
      </c>
      <c r="K174" s="84" t="inlineStr">
        <is>
          <t>Providencia</t>
        </is>
      </c>
      <c r="L174" s="82" t="n"/>
      <c r="M174" s="82" t="n"/>
      <c r="N174" s="82" t="n"/>
    </row>
    <row r="175" ht="18" customHeight="1">
      <c r="F175" s="85" t="n">
        <v>1</v>
      </c>
      <c r="G175" s="86" t="inlineStr">
        <is>
          <t>AJUSTE DIESEL</t>
        </is>
      </c>
      <c r="H175" s="96" t="n"/>
      <c r="I175" s="85" t="n"/>
      <c r="J175" s="85" t="n">
        <v>-139</v>
      </c>
      <c r="K175" s="85" t="n"/>
      <c r="L175" s="88" t="n">
        <v>-139</v>
      </c>
      <c r="M175" s="55" t="n">
        <v>27</v>
      </c>
      <c r="N175" s="89" t="n">
        <v>-3753</v>
      </c>
    </row>
    <row r="176" ht="18" customHeight="1">
      <c r="F176" s="90" t="n">
        <v>2</v>
      </c>
      <c r="G176" s="91" t="inlineStr">
        <is>
          <t>BARREDORA BROCE BROOM KR350</t>
        </is>
      </c>
      <c r="H176" s="92" t="n"/>
      <c r="I176" s="90" t="n"/>
      <c r="J176" s="90" t="n">
        <v>50</v>
      </c>
      <c r="K176" s="90" t="n"/>
      <c r="L176" s="93" t="n">
        <v>50</v>
      </c>
      <c r="M176" s="94" t="n">
        <v>27</v>
      </c>
      <c r="N176" s="95" t="n">
        <v>1350</v>
      </c>
    </row>
    <row r="177" ht="18" customHeight="1">
      <c r="F177" s="85" t="n">
        <v>3</v>
      </c>
      <c r="G177" s="86" t="inlineStr">
        <is>
          <t>CAMION DE SELLO</t>
        </is>
      </c>
      <c r="H177" s="96" t="n"/>
      <c r="I177" s="85" t="n">
        <v>100</v>
      </c>
      <c r="J177" s="85" t="n">
        <v>150</v>
      </c>
      <c r="K177" s="85" t="n"/>
      <c r="L177" s="88" t="n">
        <v>250</v>
      </c>
      <c r="M177" s="55" t="n">
        <v>27</v>
      </c>
      <c r="N177" s="89" t="n">
        <v>6750</v>
      </c>
    </row>
    <row r="178" ht="18" customHeight="1">
      <c r="F178" s="90" t="n">
        <v>4</v>
      </c>
      <c r="G178" s="91" t="inlineStr">
        <is>
          <t>NEUMATICO 1PT</t>
        </is>
      </c>
      <c r="H178" s="92" t="n"/>
      <c r="I178" s="90" t="n">
        <v>50</v>
      </c>
      <c r="J178" s="90" t="n"/>
      <c r="K178" s="90" t="n"/>
      <c r="L178" s="93" t="n">
        <v>50</v>
      </c>
      <c r="M178" s="94" t="n">
        <v>27</v>
      </c>
      <c r="N178" s="95" t="n">
        <v>1350</v>
      </c>
    </row>
    <row r="179" ht="18" customHeight="1">
      <c r="F179" s="85" t="n">
        <v>5</v>
      </c>
      <c r="G179" s="86" t="inlineStr">
        <is>
          <t>NEUMATICO BOMANG</t>
        </is>
      </c>
      <c r="H179" s="96" t="n"/>
      <c r="I179" s="85" t="n"/>
      <c r="J179" s="85" t="n">
        <v>50</v>
      </c>
      <c r="K179" s="85" t="n"/>
      <c r="L179" s="88" t="n">
        <v>50</v>
      </c>
      <c r="M179" s="55" t="n">
        <v>27</v>
      </c>
      <c r="N179" s="89" t="n">
        <v>1350</v>
      </c>
    </row>
    <row r="180" ht="18" customHeight="1">
      <c r="F180" s="90" t="n">
        <v>6</v>
      </c>
      <c r="G180" s="91" t="inlineStr">
        <is>
          <t>NEUMATICO INGERSOL</t>
        </is>
      </c>
      <c r="H180" s="92" t="n"/>
      <c r="I180" s="90" t="n"/>
      <c r="J180" s="90" t="n">
        <v>50</v>
      </c>
      <c r="K180" s="90" t="n"/>
      <c r="L180" s="93" t="n">
        <v>50</v>
      </c>
      <c r="M180" s="94" t="n">
        <v>27</v>
      </c>
      <c r="N180" s="95" t="n">
        <v>1350</v>
      </c>
    </row>
    <row r="181" ht="18" customHeight="1">
      <c r="F181" s="85" t="n">
        <v>7</v>
      </c>
      <c r="G181" s="86" t="inlineStr">
        <is>
          <t>NEUMATICO VOLVO PT-240R</t>
        </is>
      </c>
      <c r="H181" s="96" t="n"/>
      <c r="I181" s="85" t="n">
        <v>50</v>
      </c>
      <c r="J181" s="85" t="n"/>
      <c r="K181" s="85" t="n"/>
      <c r="L181" s="88" t="n">
        <v>50</v>
      </c>
      <c r="M181" s="55" t="n">
        <v>27</v>
      </c>
      <c r="N181" s="89" t="n">
        <v>1350</v>
      </c>
    </row>
    <row r="182" ht="18" customHeight="1">
      <c r="F182" s="90" t="n">
        <v>8</v>
      </c>
      <c r="G182" s="91" t="inlineStr">
        <is>
          <t>RETROEXCAVADORA CASE 580 N</t>
        </is>
      </c>
      <c r="H182" s="92" t="n"/>
      <c r="I182" s="90" t="n"/>
      <c r="J182" s="90" t="n">
        <v>114</v>
      </c>
      <c r="K182" s="90" t="n"/>
      <c r="L182" s="93" t="n">
        <v>114</v>
      </c>
      <c r="M182" s="94" t="n">
        <v>27</v>
      </c>
      <c r="N182" s="95" t="n">
        <v>3078</v>
      </c>
    </row>
    <row r="183" ht="18" customHeight="1">
      <c r="F183" s="85" t="n">
        <v>9</v>
      </c>
      <c r="G183" s="86" t="inlineStr">
        <is>
          <t>Retroexcavadora CAT</t>
        </is>
      </c>
      <c r="H183" s="96" t="n"/>
      <c r="I183" s="85" t="n"/>
      <c r="J183" s="85" t="n"/>
      <c r="K183" s="85" t="n">
        <v>74</v>
      </c>
      <c r="L183" s="88" t="n">
        <v>74</v>
      </c>
      <c r="M183" s="55" t="n">
        <v>27</v>
      </c>
      <c r="N183" s="89" t="n">
        <v>1998</v>
      </c>
    </row>
    <row r="184" ht="20" customHeight="1">
      <c r="F184" s="80" t="inlineStr">
        <is>
          <t>TOTAL LITROS</t>
        </is>
      </c>
      <c r="G184" s="131" t="n"/>
      <c r="H184" s="132" t="n"/>
      <c r="I184" s="97" t="n">
        <v>200</v>
      </c>
      <c r="J184" s="97" t="n">
        <v>275</v>
      </c>
      <c r="K184" s="97" t="n">
        <v>74</v>
      </c>
      <c r="L184" s="80" t="n">
        <v>549</v>
      </c>
      <c r="M184" s="15" t="n"/>
      <c r="N184" s="16" t="n">
        <v>14823</v>
      </c>
    </row>
    <row r="185" ht="20" customHeight="1">
      <c r="F185" s="99" t="inlineStr">
        <is>
          <t>IMPORTE SEMANAL AUTORIZADO: $0.00  (Litros aut.: 0.00 L)</t>
        </is>
      </c>
      <c r="G185" s="131" t="n"/>
      <c r="H185" s="131" t="n"/>
      <c r="I185" s="131" t="n"/>
      <c r="J185" s="131" t="n"/>
      <c r="K185" s="131" t="n"/>
      <c r="L185" s="131" t="n"/>
      <c r="M185" s="132" t="n"/>
      <c r="N185" s="130" t="n">
        <v>14823</v>
      </c>
    </row>
    <row r="190" ht="24" customHeight="1">
      <c r="F190" s="102" t="inlineStr">
        <is>
          <t>▶ FACTURADO POR OBRA Y DÍA — DIESEL (FOLIOS, MONTOS CON IVA Y LITROS — SEMANA 29)</t>
        </is>
      </c>
      <c r="G190" s="131" t="n"/>
      <c r="H190" s="131" t="n"/>
      <c r="I190" s="131" t="n"/>
      <c r="J190" s="131" t="n"/>
      <c r="K190" s="131" t="n"/>
      <c r="L190" s="131" t="n"/>
      <c r="M190" s="131" t="n"/>
      <c r="N190" s="131" t="n"/>
      <c r="O190" s="131" t="n"/>
      <c r="P190" s="131" t="n"/>
      <c r="Q190" s="131" t="n"/>
      <c r="R190" s="131" t="n"/>
      <c r="S190" s="131" t="n"/>
      <c r="T190" s="131" t="n"/>
      <c r="U190" s="131" t="n"/>
      <c r="V190" s="131" t="n"/>
      <c r="W190" s="131" t="n"/>
      <c r="X190" s="131" t="n"/>
      <c r="Y190" s="131" t="n"/>
      <c r="Z190" s="131" t="n"/>
      <c r="AA190" s="132" t="n"/>
    </row>
    <row r="191" ht="20" customHeight="1">
      <c r="F191" s="4" t="inlineStr">
        <is>
          <t>OBRA / DESTINO</t>
        </is>
      </c>
      <c r="G191" s="4" t="inlineStr">
        <is>
          <t>LUN 13-JUL</t>
        </is>
      </c>
      <c r="H191" s="131" t="n"/>
      <c r="I191" s="132" t="n"/>
      <c r="J191" s="4" t="inlineStr">
        <is>
          <t>MAR 14-JUL</t>
        </is>
      </c>
      <c r="K191" s="131" t="n"/>
      <c r="L191" s="132" t="n"/>
      <c r="M191" s="4" t="inlineStr">
        <is>
          <t>MIÉ 15-JUL</t>
        </is>
      </c>
      <c r="N191" s="131" t="n"/>
      <c r="O191" s="132" t="n"/>
      <c r="P191" s="4" t="inlineStr">
        <is>
          <t>JUE 16-JUL</t>
        </is>
      </c>
      <c r="Q191" s="131" t="n"/>
      <c r="R191" s="132" t="n"/>
      <c r="S191" s="4" t="inlineStr">
        <is>
          <t>VIE 17-JUL</t>
        </is>
      </c>
      <c r="T191" s="131" t="n"/>
      <c r="U191" s="132" t="n"/>
      <c r="V191" s="4" t="inlineStr">
        <is>
          <t>SÁB 18-JUL</t>
        </is>
      </c>
      <c r="W191" s="131" t="n"/>
      <c r="X191" s="132" t="n"/>
      <c r="Y191" s="4" t="inlineStr">
        <is>
          <t>TOTALES ACUMULADOS</t>
        </is>
      </c>
      <c r="Z191" s="131" t="n"/>
      <c r="AA191" s="132" t="n"/>
    </row>
    <row r="192" ht="20" customHeight="1">
      <c r="F192" s="135" t="n"/>
      <c r="G192" s="4" t="inlineStr">
        <is>
          <t>FACTURA</t>
        </is>
      </c>
      <c r="H192" s="4" t="inlineStr">
        <is>
          <t>MONTO ($)</t>
        </is>
      </c>
      <c r="I192" s="4" t="inlineStr">
        <is>
          <t>LITROS</t>
        </is>
      </c>
      <c r="J192" s="4" t="inlineStr">
        <is>
          <t>FACTURA</t>
        </is>
      </c>
      <c r="K192" s="4" t="inlineStr">
        <is>
          <t>MONTO ($)</t>
        </is>
      </c>
      <c r="L192" s="4" t="inlineStr">
        <is>
          <t>LITROS</t>
        </is>
      </c>
      <c r="M192" s="4" t="inlineStr">
        <is>
          <t>FACTURA</t>
        </is>
      </c>
      <c r="N192" s="4" t="inlineStr">
        <is>
          <t>MONTO ($)</t>
        </is>
      </c>
      <c r="O192" s="4" t="inlineStr">
        <is>
          <t>LITROS</t>
        </is>
      </c>
      <c r="P192" s="4" t="inlineStr">
        <is>
          <t>FACTURA</t>
        </is>
      </c>
      <c r="Q192" s="4" t="inlineStr">
        <is>
          <t>MONTO ($)</t>
        </is>
      </c>
      <c r="R192" s="4" t="inlineStr">
        <is>
          <t>LITROS</t>
        </is>
      </c>
      <c r="S192" s="4" t="inlineStr">
        <is>
          <t>FACTURA</t>
        </is>
      </c>
      <c r="T192" s="4" t="inlineStr">
        <is>
          <t>MONTO ($)</t>
        </is>
      </c>
      <c r="U192" s="4" t="inlineStr">
        <is>
          <t>LITROS</t>
        </is>
      </c>
      <c r="V192" s="4" t="inlineStr">
        <is>
          <t>FACTURA</t>
        </is>
      </c>
      <c r="W192" s="4" t="inlineStr">
        <is>
          <t>MONTO ($)</t>
        </is>
      </c>
      <c r="X192" s="4" t="inlineStr">
        <is>
          <t>LITROS</t>
        </is>
      </c>
      <c r="Y192" s="4" t="inlineStr">
        <is>
          <t>TOTAL FACTURAS</t>
        </is>
      </c>
      <c r="Z192" s="4" t="inlineStr">
        <is>
          <t>TOTAL MONTO</t>
        </is>
      </c>
      <c r="AA192" s="4" t="inlineStr">
        <is>
          <t>TOTAL LITROS</t>
        </is>
      </c>
    </row>
    <row r="193" ht="20" customHeight="1">
      <c r="F193" s="5" t="inlineStr">
        <is>
          <t>Alfredo del Mazo</t>
        </is>
      </c>
      <c r="G193" s="116" t="inlineStr">
        <is>
          <t>A10425</t>
        </is>
      </c>
      <c r="H193" s="117" t="n">
        <v>22652.97</v>
      </c>
      <c r="I193" s="118" t="n">
        <v>839</v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6" t="inlineStr">
        <is>
          <t>A10512</t>
        </is>
      </c>
      <c r="N193" s="117" t="n">
        <v>10800.13</v>
      </c>
      <c r="O193" s="118" t="n">
        <v>400</v>
      </c>
      <c r="P193" s="116" t="inlineStr">
        <is>
          <t>A10446</t>
        </is>
      </c>
      <c r="Q193" s="117" t="n">
        <v>16200.1</v>
      </c>
      <c r="R193" s="118" t="n">
        <v>600</v>
      </c>
      <c r="S193" s="119" t="inlineStr">
        <is>
          <t>-</t>
        </is>
      </c>
      <c r="T193" s="120" t="inlineStr">
        <is>
          <t>-</t>
        </is>
      </c>
      <c r="U193" s="120" t="inlineStr">
        <is>
          <t>-</t>
        </is>
      </c>
      <c r="V193" s="116" t="inlineStr">
        <is>
          <t>A10474</t>
        </is>
      </c>
      <c r="W193" s="117" t="n">
        <v>20250.13</v>
      </c>
      <c r="X193" s="118" t="n">
        <v>750</v>
      </c>
      <c r="Y193" s="121" t="inlineStr">
        <is>
          <t>4 Factura(s)</t>
        </is>
      </c>
      <c r="Z193" s="122" t="n">
        <v>69903.33</v>
      </c>
      <c r="AA193" s="123" t="n">
        <v>2589</v>
      </c>
    </row>
    <row r="194" ht="20" customHeight="1">
      <c r="F194" s="9" t="inlineStr">
        <is>
          <t>Bacheo Toluca</t>
        </is>
      </c>
      <c r="G194" s="116" t="inlineStr">
        <is>
          <t>A10422</t>
        </is>
      </c>
      <c r="H194" s="117" t="n">
        <v>14445.05</v>
      </c>
      <c r="I194" s="118" t="n">
        <v>535</v>
      </c>
      <c r="J194" s="116" t="inlineStr">
        <is>
          <t>A10499</t>
        </is>
      </c>
      <c r="K194" s="117" t="n">
        <v>11880</v>
      </c>
      <c r="L194" s="118" t="n">
        <v>440</v>
      </c>
      <c r="M194" s="124" t="inlineStr">
        <is>
          <t>-</t>
        </is>
      </c>
      <c r="N194" s="125" t="inlineStr">
        <is>
          <t>-</t>
        </is>
      </c>
      <c r="O194" s="125" t="inlineStr">
        <is>
          <t>-</t>
        </is>
      </c>
      <c r="P194" s="116" t="inlineStr">
        <is>
          <t>A10500</t>
        </is>
      </c>
      <c r="Q194" s="117" t="n">
        <v>11880</v>
      </c>
      <c r="R194" s="118" t="n">
        <v>440</v>
      </c>
      <c r="S194" s="124" t="inlineStr">
        <is>
          <t>-</t>
        </is>
      </c>
      <c r="T194" s="125" t="inlineStr">
        <is>
          <t>-</t>
        </is>
      </c>
      <c r="U194" s="125" t="inlineStr">
        <is>
          <t>-</t>
        </is>
      </c>
      <c r="V194" s="124" t="inlineStr">
        <is>
          <t>-</t>
        </is>
      </c>
      <c r="W194" s="125" t="inlineStr">
        <is>
          <t>-</t>
        </is>
      </c>
      <c r="X194" s="125" t="inlineStr">
        <is>
          <t>-</t>
        </is>
      </c>
      <c r="Y194" s="126" t="inlineStr">
        <is>
          <t>3 Factura(s)</t>
        </is>
      </c>
      <c r="Z194" s="127" t="n">
        <v>38205.05</v>
      </c>
      <c r="AA194" s="128" t="n">
        <v>1415</v>
      </c>
    </row>
    <row r="195" ht="20" customHeight="1">
      <c r="F195" s="5" t="inlineStr">
        <is>
          <t>Colegio Militar</t>
        </is>
      </c>
      <c r="G195" s="119" t="inlineStr">
        <is>
          <t>-</t>
        </is>
      </c>
      <c r="H195" s="120" t="inlineStr">
        <is>
          <t>-</t>
        </is>
      </c>
      <c r="I195" s="120" t="inlineStr">
        <is>
          <t>-</t>
        </is>
      </c>
      <c r="J195" s="116" t="inlineStr">
        <is>
          <t>A10496</t>
        </is>
      </c>
      <c r="K195" s="117" t="n">
        <v>27000.11</v>
      </c>
      <c r="L195" s="118" t="n">
        <v>1000</v>
      </c>
      <c r="M195" s="119" t="inlineStr">
        <is>
          <t>-</t>
        </is>
      </c>
      <c r="N195" s="120" t="inlineStr">
        <is>
          <t>-</t>
        </is>
      </c>
      <c r="O195" s="120" t="inlineStr">
        <is>
          <t>-</t>
        </is>
      </c>
      <c r="P195" s="119" t="inlineStr">
        <is>
          <t>-</t>
        </is>
      </c>
      <c r="Q195" s="120" t="inlineStr">
        <is>
          <t>-</t>
        </is>
      </c>
      <c r="R195" s="120" t="inlineStr">
        <is>
          <t>-</t>
        </is>
      </c>
      <c r="S195" s="119" t="inlineStr">
        <is>
          <t>-</t>
        </is>
      </c>
      <c r="T195" s="120" t="inlineStr">
        <is>
          <t>-</t>
        </is>
      </c>
      <c r="U195" s="120" t="inlineStr">
        <is>
          <t>-</t>
        </is>
      </c>
      <c r="V195" s="119" t="inlineStr">
        <is>
          <t>-</t>
        </is>
      </c>
      <c r="W195" s="120" t="inlineStr">
        <is>
          <t>-</t>
        </is>
      </c>
      <c r="X195" s="120" t="inlineStr">
        <is>
          <t>-</t>
        </is>
      </c>
      <c r="Y195" s="121" t="inlineStr">
        <is>
          <t>1 Factura(s)</t>
        </is>
      </c>
      <c r="Z195" s="122" t="n">
        <v>27000.11</v>
      </c>
      <c r="AA195" s="123" t="n">
        <v>1000</v>
      </c>
    </row>
    <row r="196" ht="20" customHeight="1">
      <c r="F196" s="9" t="inlineStr">
        <is>
          <t>Desasolve</t>
        </is>
      </c>
      <c r="G196" s="116" t="inlineStr">
        <is>
          <t>A10423</t>
        </is>
      </c>
      <c r="H196" s="117" t="n">
        <v>14445.05</v>
      </c>
      <c r="I196" s="118" t="n">
        <v>535</v>
      </c>
      <c r="J196" s="124" t="inlineStr">
        <is>
          <t>-</t>
        </is>
      </c>
      <c r="K196" s="125" t="inlineStr">
        <is>
          <t>-</t>
        </is>
      </c>
      <c r="L196" s="125" t="inlineStr">
        <is>
          <t>-</t>
        </is>
      </c>
      <c r="M196" s="124" t="inlineStr">
        <is>
          <t>-</t>
        </is>
      </c>
      <c r="N196" s="125" t="inlineStr">
        <is>
          <t>-</t>
        </is>
      </c>
      <c r="O196" s="125" t="inlineStr">
        <is>
          <t>-</t>
        </is>
      </c>
      <c r="P196" s="116" t="inlineStr">
        <is>
          <t>A10453</t>
        </is>
      </c>
      <c r="Q196" s="117" t="n">
        <v>22950.13</v>
      </c>
      <c r="R196" s="118" t="n">
        <v>850</v>
      </c>
      <c r="S196" s="124" t="inlineStr">
        <is>
          <t>-</t>
        </is>
      </c>
      <c r="T196" s="125" t="inlineStr">
        <is>
          <t>-</t>
        </is>
      </c>
      <c r="U196" s="125" t="inlineStr">
        <is>
          <t>-</t>
        </is>
      </c>
      <c r="V196" s="124" t="inlineStr">
        <is>
          <t>-</t>
        </is>
      </c>
      <c r="W196" s="125" t="inlineStr">
        <is>
          <t>-</t>
        </is>
      </c>
      <c r="X196" s="125" t="inlineStr">
        <is>
          <t>-</t>
        </is>
      </c>
      <c r="Y196" s="126" t="inlineStr">
        <is>
          <t>2 Factura(s)</t>
        </is>
      </c>
      <c r="Z196" s="127" t="n">
        <v>37395.18</v>
      </c>
      <c r="AA196" s="128" t="n">
        <v>1385</v>
      </c>
    </row>
    <row r="197" ht="20" customHeight="1">
      <c r="F197" s="5" t="inlineStr">
        <is>
          <t>Lerma - Tres Marías</t>
        </is>
      </c>
      <c r="G197" s="116" t="inlineStr">
        <is>
          <t>A10426</t>
        </is>
      </c>
      <c r="H197" s="117" t="n">
        <v>17804.45</v>
      </c>
      <c r="I197" s="118" t="n">
        <v>659.4200000000001</v>
      </c>
      <c r="J197" s="119" t="inlineStr">
        <is>
          <t>-</t>
        </is>
      </c>
      <c r="K197" s="120" t="inlineStr">
        <is>
          <t>-</t>
        </is>
      </c>
      <c r="L197" s="120" t="inlineStr">
        <is>
          <t>-</t>
        </is>
      </c>
      <c r="M197" s="119" t="inlineStr">
        <is>
          <t>-</t>
        </is>
      </c>
      <c r="N197" s="120" t="inlineStr">
        <is>
          <t>-</t>
        </is>
      </c>
      <c r="O197" s="120" t="inlineStr">
        <is>
          <t>-</t>
        </is>
      </c>
      <c r="P197" s="119" t="inlineStr">
        <is>
          <t>-</t>
        </is>
      </c>
      <c r="Q197" s="120" t="inlineStr">
        <is>
          <t>-</t>
        </is>
      </c>
      <c r="R197" s="120" t="inlineStr">
        <is>
          <t>-</t>
        </is>
      </c>
      <c r="S197" s="116" t="inlineStr">
        <is>
          <t>A10457</t>
        </is>
      </c>
      <c r="T197" s="117" t="n">
        <v>27000.11</v>
      </c>
      <c r="U197" s="118" t="n">
        <v>1000</v>
      </c>
      <c r="V197" s="119" t="inlineStr">
        <is>
          <t>-</t>
        </is>
      </c>
      <c r="W197" s="120" t="inlineStr">
        <is>
          <t>-</t>
        </is>
      </c>
      <c r="X197" s="120" t="inlineStr">
        <is>
          <t>-</t>
        </is>
      </c>
      <c r="Y197" s="121" t="inlineStr">
        <is>
          <t>2 Factura(s)</t>
        </is>
      </c>
      <c r="Z197" s="122" t="n">
        <v>44804.56</v>
      </c>
      <c r="AA197" s="123" t="n">
        <v>1659.42</v>
      </c>
    </row>
    <row r="198" ht="20" customHeight="1">
      <c r="F198" s="9" t="inlineStr">
        <is>
          <t>México - Toluca</t>
        </is>
      </c>
      <c r="G198" s="124" t="inlineStr">
        <is>
          <t>-</t>
        </is>
      </c>
      <c r="H198" s="125" t="inlineStr">
        <is>
          <t>-</t>
        </is>
      </c>
      <c r="I198" s="125" t="inlineStr">
        <is>
          <t>-</t>
        </is>
      </c>
      <c r="J198" s="124" t="inlineStr">
        <is>
          <t>-</t>
        </is>
      </c>
      <c r="K198" s="125" t="inlineStr">
        <is>
          <t>-</t>
        </is>
      </c>
      <c r="L198" s="125" t="inlineStr">
        <is>
          <t>-</t>
        </is>
      </c>
      <c r="M198" s="116" t="inlineStr">
        <is>
          <t>A10509</t>
        </is>
      </c>
      <c r="N198" s="117" t="n">
        <v>29693.92</v>
      </c>
      <c r="O198" s="118" t="n">
        <v>1099.77</v>
      </c>
      <c r="P198" s="124" t="inlineStr">
        <is>
          <t>-</t>
        </is>
      </c>
      <c r="Q198" s="125" t="inlineStr">
        <is>
          <t>-</t>
        </is>
      </c>
      <c r="R198" s="125" t="inlineStr">
        <is>
          <t>-</t>
        </is>
      </c>
      <c r="S198" s="116" t="inlineStr">
        <is>
          <t>A10459</t>
        </is>
      </c>
      <c r="T198" s="117" t="n">
        <v>32400.12</v>
      </c>
      <c r="U198" s="118" t="n">
        <v>1200</v>
      </c>
      <c r="V198" s="124" t="inlineStr">
        <is>
          <t>-</t>
        </is>
      </c>
      <c r="W198" s="125" t="inlineStr">
        <is>
          <t>-</t>
        </is>
      </c>
      <c r="X198" s="125" t="inlineStr">
        <is>
          <t>-</t>
        </is>
      </c>
      <c r="Y198" s="126" t="inlineStr">
        <is>
          <t>2 Factura(s)</t>
        </is>
      </c>
      <c r="Z198" s="127" t="n">
        <v>62094.04000000001</v>
      </c>
      <c r="AA198" s="128" t="n">
        <v>2299.77</v>
      </c>
    </row>
    <row r="199" ht="20" customHeight="1">
      <c r="F199" s="5" t="inlineStr">
        <is>
          <t>Planta Huixquilucan</t>
        </is>
      </c>
      <c r="G199" s="119" t="inlineStr">
        <is>
          <t>-</t>
        </is>
      </c>
      <c r="H199" s="120" t="inlineStr">
        <is>
          <t>-</t>
        </is>
      </c>
      <c r="I199" s="120" t="inlineStr">
        <is>
          <t>-</t>
        </is>
      </c>
      <c r="J199" s="116" t="inlineStr">
        <is>
          <t>A10495</t>
        </is>
      </c>
      <c r="K199" s="117" t="n">
        <v>16200.1</v>
      </c>
      <c r="L199" s="118" t="n">
        <v>600</v>
      </c>
      <c r="M199" s="116" t="inlineStr">
        <is>
          <t>A10438</t>
        </is>
      </c>
      <c r="N199" s="117" t="n">
        <v>8100.05</v>
      </c>
      <c r="O199" s="118" t="n">
        <v>300</v>
      </c>
      <c r="P199" s="116" t="inlineStr">
        <is>
          <t>A10449</t>
        </is>
      </c>
      <c r="Q199" s="117" t="n">
        <v>13500.55</v>
      </c>
      <c r="R199" s="118" t="n">
        <v>500.02</v>
      </c>
      <c r="S199" s="119" t="inlineStr">
        <is>
          <t>-</t>
        </is>
      </c>
      <c r="T199" s="120" t="inlineStr">
        <is>
          <t>-</t>
        </is>
      </c>
      <c r="U199" s="120" t="inlineStr">
        <is>
          <t>-</t>
        </is>
      </c>
      <c r="V199" s="119" t="inlineStr">
        <is>
          <t>-</t>
        </is>
      </c>
      <c r="W199" s="120" t="inlineStr">
        <is>
          <t>-</t>
        </is>
      </c>
      <c r="X199" s="120" t="inlineStr">
        <is>
          <t>-</t>
        </is>
      </c>
      <c r="Y199" s="121" t="inlineStr">
        <is>
          <t>3 Factura(s)</t>
        </is>
      </c>
      <c r="Z199" s="122" t="n">
        <v>37800.7</v>
      </c>
      <c r="AA199" s="123" t="n">
        <v>1400.02</v>
      </c>
    </row>
    <row r="200" ht="20" customHeight="1">
      <c r="F200" s="9" t="inlineStr">
        <is>
          <t>Planta Pegaso</t>
        </is>
      </c>
      <c r="G200" s="124" t="inlineStr">
        <is>
          <t>-</t>
        </is>
      </c>
      <c r="H200" s="125" t="inlineStr">
        <is>
          <t>-</t>
        </is>
      </c>
      <c r="I200" s="125" t="inlineStr">
        <is>
          <t>-</t>
        </is>
      </c>
      <c r="J200" s="124" t="inlineStr">
        <is>
          <t>-</t>
        </is>
      </c>
      <c r="K200" s="125" t="inlineStr">
        <is>
          <t>-</t>
        </is>
      </c>
      <c r="L200" s="125" t="inlineStr">
        <is>
          <t>-</t>
        </is>
      </c>
      <c r="M200" s="116" t="inlineStr">
        <is>
          <t>A10514</t>
        </is>
      </c>
      <c r="N200" s="117" t="n">
        <v>27000.11</v>
      </c>
      <c r="O200" s="118" t="n">
        <v>1000</v>
      </c>
      <c r="P200" s="124" t="inlineStr">
        <is>
          <t>-</t>
        </is>
      </c>
      <c r="Q200" s="125" t="inlineStr">
        <is>
          <t>-</t>
        </is>
      </c>
      <c r="R200" s="125" t="inlineStr">
        <is>
          <t>-</t>
        </is>
      </c>
      <c r="S200" s="116" t="inlineStr">
        <is>
          <t>A10458, A23783100</t>
        </is>
      </c>
      <c r="T200" s="117" t="n">
        <v>16200.11</v>
      </c>
      <c r="U200" s="118" t="n">
        <v>600</v>
      </c>
      <c r="V200" s="124" t="inlineStr">
        <is>
          <t>-</t>
        </is>
      </c>
      <c r="W200" s="125" t="inlineStr">
        <is>
          <t>-</t>
        </is>
      </c>
      <c r="X200" s="125" t="inlineStr">
        <is>
          <t>-</t>
        </is>
      </c>
      <c r="Y200" s="126" t="inlineStr">
        <is>
          <t>3 Factura(s)</t>
        </is>
      </c>
      <c r="Z200" s="127" t="n">
        <v>43200.22</v>
      </c>
      <c r="AA200" s="128" t="n">
        <v>1600</v>
      </c>
    </row>
    <row r="201" ht="20" customHeight="1">
      <c r="F201" s="5" t="inlineStr">
        <is>
          <t>Providencia</t>
        </is>
      </c>
      <c r="G201" s="119" t="inlineStr">
        <is>
          <t>-</t>
        </is>
      </c>
      <c r="H201" s="120" t="inlineStr">
        <is>
          <t>-</t>
        </is>
      </c>
      <c r="I201" s="120" t="inlineStr">
        <is>
          <t>-</t>
        </is>
      </c>
      <c r="J201" s="119" t="inlineStr">
        <is>
          <t>-</t>
        </is>
      </c>
      <c r="K201" s="120" t="inlineStr">
        <is>
          <t>-</t>
        </is>
      </c>
      <c r="L201" s="120" t="inlineStr">
        <is>
          <t>-</t>
        </is>
      </c>
      <c r="M201" s="116" t="inlineStr">
        <is>
          <t>A10513</t>
        </is>
      </c>
      <c r="N201" s="117" t="n">
        <v>5400.05</v>
      </c>
      <c r="O201" s="118" t="n">
        <v>200</v>
      </c>
      <c r="P201" s="116" t="inlineStr">
        <is>
          <t>A10447</t>
        </is>
      </c>
      <c r="Q201" s="117" t="n">
        <v>10800.1</v>
      </c>
      <c r="R201" s="118" t="n">
        <v>400</v>
      </c>
      <c r="S201" s="119" t="inlineStr">
        <is>
          <t>-</t>
        </is>
      </c>
      <c r="T201" s="120" t="inlineStr">
        <is>
          <t>-</t>
        </is>
      </c>
      <c r="U201" s="120" t="inlineStr">
        <is>
          <t>-</t>
        </is>
      </c>
      <c r="V201" s="119" t="inlineStr">
        <is>
          <t>-</t>
        </is>
      </c>
      <c r="W201" s="120" t="inlineStr">
        <is>
          <t>-</t>
        </is>
      </c>
      <c r="X201" s="120" t="inlineStr">
        <is>
          <t>-</t>
        </is>
      </c>
      <c r="Y201" s="121" t="inlineStr">
        <is>
          <t>2 Factura(s)</t>
        </is>
      </c>
      <c r="Z201" s="122" t="n">
        <v>16200.15</v>
      </c>
      <c r="AA201" s="123" t="n">
        <v>600</v>
      </c>
    </row>
    <row r="202" ht="22" customHeight="1">
      <c r="F202" s="80" t="inlineStr">
        <is>
          <t>TOTAL POR DÍA</t>
        </is>
      </c>
      <c r="G202" s="19" t="inlineStr">
        <is>
          <t>4 Factura(s)</t>
        </is>
      </c>
      <c r="H202" s="16" t="n">
        <v>69347.52</v>
      </c>
      <c r="I202" s="109" t="n">
        <v>2568.42</v>
      </c>
      <c r="J202" s="19" t="inlineStr">
        <is>
          <t>3 Factura(s)</t>
        </is>
      </c>
      <c r="K202" s="16" t="n">
        <v>55080.21</v>
      </c>
      <c r="L202" s="109" t="n">
        <v>2040</v>
      </c>
      <c r="M202" s="19" t="inlineStr">
        <is>
          <t>5 Factura(s)</t>
        </is>
      </c>
      <c r="N202" s="16" t="n">
        <v>80994.26000000001</v>
      </c>
      <c r="O202" s="109" t="n">
        <v>2999.77</v>
      </c>
      <c r="P202" s="19" t="inlineStr">
        <is>
          <t>5 Factura(s)</t>
        </is>
      </c>
      <c r="Q202" s="16" t="n">
        <v>75330.88</v>
      </c>
      <c r="R202" s="109" t="n">
        <v>2790.02</v>
      </c>
      <c r="S202" s="19" t="inlineStr">
        <is>
          <t>4 Factura(s)</t>
        </is>
      </c>
      <c r="T202" s="16" t="n">
        <v>75600.34</v>
      </c>
      <c r="U202" s="109" t="n">
        <v>2800</v>
      </c>
      <c r="V202" s="19" t="inlineStr">
        <is>
          <t>1 Factura(s)</t>
        </is>
      </c>
      <c r="W202" s="16" t="n">
        <v>20250.13</v>
      </c>
      <c r="X202" s="109" t="n">
        <v>750</v>
      </c>
      <c r="Y202" s="19" t="inlineStr">
        <is>
          <t>22 Factura(s)</t>
        </is>
      </c>
      <c r="Z202" s="16" t="n">
        <v>376603.34</v>
      </c>
      <c r="AA202" s="109" t="n">
        <v>13948.21</v>
      </c>
    </row>
    <row r="205" ht="24" customHeight="1">
      <c r="F205" s="102" t="inlineStr">
        <is>
          <t>▶ COMPARATIVA FACTURADO VS CONSUMIDO POR OBRA — SEMANA 29</t>
        </is>
      </c>
      <c r="G205" s="131" t="n"/>
      <c r="H205" s="131" t="n"/>
      <c r="I205" s="131" t="n"/>
      <c r="J205" s="131" t="n"/>
      <c r="K205" s="131" t="n"/>
      <c r="L205" s="132" t="n"/>
    </row>
    <row r="206" ht="22" customHeight="1">
      <c r="F206" s="4" t="inlineStr">
        <is>
          <t>OBRA / DESTINO</t>
        </is>
      </c>
      <c r="G206" s="4" t="inlineStr">
        <is>
          <t>LITROS FACTURADOS</t>
        </is>
      </c>
      <c r="H206" s="4" t="inlineStr">
        <is>
          <t>LITROS CONSUMIDOS</t>
        </is>
      </c>
      <c r="I206" s="4" t="inlineStr">
        <is>
          <t>MONTO FACTURADO ($)</t>
        </is>
      </c>
      <c r="J206" s="4" t="inlineStr">
        <is>
          <t>MONTO CONSUMIDO ($)</t>
        </is>
      </c>
      <c r="K206" s="4" t="inlineStr">
        <is>
          <t>VARIACIÓN (LTS)</t>
        </is>
      </c>
      <c r="L206" s="4" t="inlineStr">
        <is>
          <t>VARIACIÓN ($)</t>
        </is>
      </c>
    </row>
    <row r="207" ht="19" customHeight="1">
      <c r="F207" s="5" t="inlineStr">
        <is>
          <t>Alfredo del Mazo</t>
        </is>
      </c>
      <c r="G207" s="32" t="n">
        <v>2589</v>
      </c>
      <c r="H207" s="32" t="n">
        <v>2556</v>
      </c>
      <c r="I207" s="33" t="n">
        <v>69903.33</v>
      </c>
      <c r="J207" s="33" t="n">
        <v>69012</v>
      </c>
      <c r="K207" s="103" t="n">
        <v>33</v>
      </c>
      <c r="L207" s="104" t="n">
        <v>891.3300000000017</v>
      </c>
    </row>
    <row r="208" ht="19" customHeight="1">
      <c r="F208" s="9" t="inlineStr">
        <is>
          <t>Bacheo Toluca</t>
        </is>
      </c>
      <c r="G208" s="105" t="n">
        <v>1415</v>
      </c>
      <c r="H208" s="105" t="n">
        <v>1000</v>
      </c>
      <c r="I208" s="106" t="n">
        <v>38205.05</v>
      </c>
      <c r="J208" s="106" t="n">
        <v>27000</v>
      </c>
      <c r="K208" s="107" t="n">
        <v>415</v>
      </c>
      <c r="L208" s="108" t="n">
        <v>11205.05</v>
      </c>
    </row>
    <row r="209" ht="19" customHeight="1">
      <c r="F209" s="5" t="inlineStr">
        <is>
          <t>Colegio Militar</t>
        </is>
      </c>
      <c r="G209" s="32" t="n">
        <v>1000</v>
      </c>
      <c r="H209" s="32" t="n">
        <v>995</v>
      </c>
      <c r="I209" s="33" t="n">
        <v>27000.11</v>
      </c>
      <c r="J209" s="33" t="n">
        <v>26865</v>
      </c>
      <c r="K209" s="103" t="n">
        <v>5</v>
      </c>
      <c r="L209" s="104" t="n">
        <v>135.1100000000006</v>
      </c>
    </row>
    <row r="210" ht="19" customHeight="1">
      <c r="F210" s="9" t="inlineStr">
        <is>
          <t>Desasolve</t>
        </is>
      </c>
      <c r="G210" s="105" t="n">
        <v>1385</v>
      </c>
      <c r="H210" s="105" t="n">
        <v>1376</v>
      </c>
      <c r="I210" s="106" t="n">
        <v>37395.18</v>
      </c>
      <c r="J210" s="106" t="n">
        <v>37152</v>
      </c>
      <c r="K210" s="107" t="n">
        <v>9</v>
      </c>
      <c r="L210" s="108" t="n">
        <v>243.1800000000003</v>
      </c>
    </row>
    <row r="211" ht="19" customHeight="1">
      <c r="F211" s="5" t="inlineStr">
        <is>
          <t>Lerma - Tres Marías</t>
        </is>
      </c>
      <c r="G211" s="32" t="n">
        <v>1659.42</v>
      </c>
      <c r="H211" s="32" t="n">
        <v>656.42</v>
      </c>
      <c r="I211" s="33" t="n">
        <v>44804.56</v>
      </c>
      <c r="J211" s="33" t="n">
        <v>17723.34</v>
      </c>
      <c r="K211" s="103" t="n">
        <v>1003</v>
      </c>
      <c r="L211" s="104" t="n">
        <v>27081.22</v>
      </c>
    </row>
    <row r="212" ht="19" customHeight="1">
      <c r="F212" s="9" t="inlineStr">
        <is>
          <t>México - Toluca</t>
        </is>
      </c>
      <c r="G212" s="105" t="n">
        <v>2299.77</v>
      </c>
      <c r="H212" s="105" t="n">
        <v>2295.77</v>
      </c>
      <c r="I212" s="106" t="n">
        <v>62094.04000000001</v>
      </c>
      <c r="J212" s="106" t="n">
        <v>61985.79</v>
      </c>
      <c r="K212" s="107" t="n">
        <v>4</v>
      </c>
      <c r="L212" s="108" t="n">
        <v>108.2500000000073</v>
      </c>
    </row>
    <row r="213" ht="19" customHeight="1">
      <c r="F213" s="5" t="inlineStr">
        <is>
          <t>Planta Huixquilucan</t>
        </is>
      </c>
      <c r="G213" s="32" t="n">
        <v>1400.02</v>
      </c>
      <c r="H213" s="32" t="n">
        <v>1392.02</v>
      </c>
      <c r="I213" s="33" t="n">
        <v>37800.7</v>
      </c>
      <c r="J213" s="33" t="n">
        <v>37584.54</v>
      </c>
      <c r="K213" s="103" t="n">
        <v>8</v>
      </c>
      <c r="L213" s="104" t="n">
        <v>216.1599999999962</v>
      </c>
    </row>
    <row r="214" ht="19" customHeight="1">
      <c r="F214" s="9" t="inlineStr">
        <is>
          <t>Planta Pegaso</t>
        </is>
      </c>
      <c r="G214" s="105" t="n">
        <v>1600</v>
      </c>
      <c r="H214" s="105" t="n">
        <v>1589</v>
      </c>
      <c r="I214" s="106" t="n">
        <v>43200.22</v>
      </c>
      <c r="J214" s="106" t="n">
        <v>42903</v>
      </c>
      <c r="K214" s="107" t="n">
        <v>11</v>
      </c>
      <c r="L214" s="108" t="n">
        <v>297.2200000000012</v>
      </c>
    </row>
    <row r="215" ht="19" customHeight="1">
      <c r="F215" s="5" t="inlineStr">
        <is>
          <t>Providencia</t>
        </is>
      </c>
      <c r="G215" s="32" t="n">
        <v>600</v>
      </c>
      <c r="H215" s="32" t="n">
        <v>594</v>
      </c>
      <c r="I215" s="33" t="n">
        <v>16200.15</v>
      </c>
      <c r="J215" s="33" t="n">
        <v>16038</v>
      </c>
      <c r="K215" s="103" t="n">
        <v>6</v>
      </c>
      <c r="L215" s="104" t="n">
        <v>162.1499999999996</v>
      </c>
    </row>
    <row r="216" ht="22" customHeight="1">
      <c r="F216" s="80" t="inlineStr">
        <is>
          <t>TOTAL GENERAL POR OBRA:</t>
        </is>
      </c>
      <c r="G216" s="109">
        <f>SUM(G207:G215)</f>
        <v/>
      </c>
      <c r="H216" s="109">
        <f>SUM(H207:H215)</f>
        <v/>
      </c>
      <c r="I216" s="16">
        <f>SUM(I207:I215)</f>
        <v/>
      </c>
      <c r="J216" s="16">
        <f>SUM(J207:J215)</f>
        <v/>
      </c>
      <c r="K216" s="110">
        <f>SUM(K207:K215)</f>
        <v/>
      </c>
      <c r="L216" s="111">
        <f>SUM(L207:L215)</f>
        <v/>
      </c>
    </row>
    <row r="219" ht="24" customHeight="1">
      <c r="F219" s="102" t="inlineStr">
        <is>
          <t>▶ COMPARATIVA FACTURADO VS CONSUMIDO POR INGENIERO — SEMANA 29</t>
        </is>
      </c>
      <c r="G219" s="131" t="n"/>
      <c r="H219" s="131" t="n"/>
      <c r="I219" s="131" t="n"/>
      <c r="J219" s="131" t="n"/>
      <c r="K219" s="131" t="n"/>
      <c r="L219" s="131" t="n"/>
      <c r="M219" s="132" t="n"/>
    </row>
    <row r="220" ht="22" customHeight="1">
      <c r="F220" s="4" t="inlineStr">
        <is>
          <t>INGENIERO / RESPONSABLE</t>
        </is>
      </c>
      <c r="G220" s="4" t="inlineStr">
        <is>
          <t>OBRAS ASIGNADAS</t>
        </is>
      </c>
      <c r="H220" s="4" t="inlineStr">
        <is>
          <t>LITROS FACTURADOS</t>
        </is>
      </c>
      <c r="I220" s="4" t="inlineStr">
        <is>
          <t>LITROS CONSUMIDOS</t>
        </is>
      </c>
      <c r="J220" s="4" t="inlineStr">
        <is>
          <t>MONTO FACTURADO ($)</t>
        </is>
      </c>
      <c r="K220" s="4" t="inlineStr">
        <is>
          <t>MONTO CONSUMIDO ($)</t>
        </is>
      </c>
      <c r="L220" s="4" t="inlineStr">
        <is>
          <t>VARIACIÓN (LTS)</t>
        </is>
      </c>
      <c r="M220" s="4" t="inlineStr">
        <is>
          <t>VARIACIÓN ($)</t>
        </is>
      </c>
    </row>
    <row r="221" ht="19" customHeight="1">
      <c r="F221" s="5" t="inlineStr">
        <is>
          <t>Ing. Apolinar</t>
        </is>
      </c>
      <c r="G221" s="74" t="inlineStr">
        <is>
          <t>Alfredo del Mazo, Colegio Militar, Lerma - Tres Marías</t>
        </is>
      </c>
      <c r="H221" s="32" t="n">
        <v>5248.42</v>
      </c>
      <c r="I221" s="32" t="n">
        <v>4207.42</v>
      </c>
      <c r="J221" s="33" t="n">
        <v>141708</v>
      </c>
      <c r="K221" s="33" t="n">
        <v>113600.34</v>
      </c>
      <c r="L221" s="103" t="n">
        <v>1041</v>
      </c>
      <c r="M221" s="104" t="n">
        <v>28107.66</v>
      </c>
    </row>
    <row r="222" ht="19" customHeight="1">
      <c r="F222" s="9" t="inlineStr">
        <is>
          <t>Ing. Diego Carreola</t>
        </is>
      </c>
      <c r="G222" s="78" t="inlineStr">
        <is>
          <t>Bacheo Toluca, Desasolve</t>
        </is>
      </c>
      <c r="H222" s="105" t="n">
        <v>2800</v>
      </c>
      <c r="I222" s="105" t="n">
        <v>2376</v>
      </c>
      <c r="J222" s="106" t="n">
        <v>75600.23000000001</v>
      </c>
      <c r="K222" s="106" t="n">
        <v>64152</v>
      </c>
      <c r="L222" s="107" t="n">
        <v>424</v>
      </c>
      <c r="M222" s="108" t="n">
        <v>11448.23000000001</v>
      </c>
    </row>
    <row r="223" ht="19" customHeight="1">
      <c r="F223" s="5" t="inlineStr">
        <is>
          <t>Ing. Francisco Javier</t>
        </is>
      </c>
      <c r="G223" s="74" t="inlineStr">
        <is>
          <t>México - Toluca</t>
        </is>
      </c>
      <c r="H223" s="32" t="n">
        <v>2299.77</v>
      </c>
      <c r="I223" s="32" t="n">
        <v>2295.77</v>
      </c>
      <c r="J223" s="33" t="n">
        <v>62094.04000000001</v>
      </c>
      <c r="K223" s="33" t="n">
        <v>61985.79</v>
      </c>
      <c r="L223" s="103" t="n">
        <v>4</v>
      </c>
      <c r="M223" s="104" t="n">
        <v>108.2500000000073</v>
      </c>
    </row>
    <row r="224" ht="19" customHeight="1">
      <c r="F224" s="9" t="inlineStr">
        <is>
          <t>Ing. Luis</t>
        </is>
      </c>
      <c r="G224" s="78" t="inlineStr">
        <is>
          <t>Planta Huixquilucan</t>
        </is>
      </c>
      <c r="H224" s="105" t="n">
        <v>1400.02</v>
      </c>
      <c r="I224" s="105" t="n">
        <v>1392.02</v>
      </c>
      <c r="J224" s="106" t="n">
        <v>37800.7</v>
      </c>
      <c r="K224" s="106" t="n">
        <v>37584.54</v>
      </c>
      <c r="L224" s="107" t="n">
        <v>8</v>
      </c>
      <c r="M224" s="108" t="n">
        <v>216.1599999999962</v>
      </c>
    </row>
    <row r="225" ht="19" customHeight="1">
      <c r="F225" s="5" t="inlineStr">
        <is>
          <t>Jack</t>
        </is>
      </c>
      <c r="G225" s="74" t="inlineStr">
        <is>
          <t>Planta Pegaso</t>
        </is>
      </c>
      <c r="H225" s="32" t="n">
        <v>1600</v>
      </c>
      <c r="I225" s="32" t="n">
        <v>1589</v>
      </c>
      <c r="J225" s="33" t="n">
        <v>43200.22</v>
      </c>
      <c r="K225" s="33" t="n">
        <v>42903</v>
      </c>
      <c r="L225" s="103" t="n">
        <v>11</v>
      </c>
      <c r="M225" s="104" t="n">
        <v>297.2200000000012</v>
      </c>
    </row>
    <row r="226" ht="19" customHeight="1">
      <c r="F226" s="9" t="inlineStr">
        <is>
          <t>Samuel</t>
        </is>
      </c>
      <c r="G226" s="78" t="inlineStr">
        <is>
          <t>Providencia</t>
        </is>
      </c>
      <c r="H226" s="105" t="n">
        <v>600</v>
      </c>
      <c r="I226" s="105" t="n">
        <v>594</v>
      </c>
      <c r="J226" s="106" t="n">
        <v>16200.15</v>
      </c>
      <c r="K226" s="106" t="n">
        <v>16038</v>
      </c>
      <c r="L226" s="107" t="n">
        <v>6</v>
      </c>
      <c r="M226" s="108" t="n">
        <v>162.1499999999996</v>
      </c>
    </row>
    <row r="227" ht="22" customHeight="1">
      <c r="F227" s="80" t="inlineStr">
        <is>
          <t>TOTAL GENERAL POR INGENIERO:</t>
        </is>
      </c>
      <c r="G227" s="132" t="n"/>
      <c r="H227" s="109">
        <f>SUM(H221:H226)</f>
        <v/>
      </c>
      <c r="I227" s="109">
        <f>SUM(I221:I226)</f>
        <v/>
      </c>
      <c r="J227" s="16">
        <f>SUM(J221:J226)</f>
        <v/>
      </c>
      <c r="K227" s="16">
        <f>SUM(K221:K226)</f>
        <v/>
      </c>
      <c r="L227" s="110">
        <f>SUM(L221:L226)</f>
        <v/>
      </c>
      <c r="M227" s="111">
        <f>SUM(M221:M226)</f>
        <v/>
      </c>
    </row>
  </sheetData>
  <mergeCells count="62">
    <mergeCell ref="F190:AA190"/>
    <mergeCell ref="S191:U191"/>
    <mergeCell ref="Y191:AA191"/>
    <mergeCell ref="G8:G9"/>
    <mergeCell ref="F16:G16"/>
    <mergeCell ref="F94:H94"/>
    <mergeCell ref="F227:G227"/>
    <mergeCell ref="F169:N169"/>
    <mergeCell ref="H10:H13"/>
    <mergeCell ref="F130:O130"/>
    <mergeCell ref="G5:G7"/>
    <mergeCell ref="F144:H144"/>
    <mergeCell ref="F129:H129"/>
    <mergeCell ref="J191:L191"/>
    <mergeCell ref="F49:I49"/>
    <mergeCell ref="K57:N57"/>
    <mergeCell ref="F156:H156"/>
    <mergeCell ref="F21:G21"/>
    <mergeCell ref="G10:G13"/>
    <mergeCell ref="V191:X191"/>
    <mergeCell ref="F57:I57"/>
    <mergeCell ref="F8:F9"/>
    <mergeCell ref="L8:L9"/>
    <mergeCell ref="F148:O148"/>
    <mergeCell ref="K49:N49"/>
    <mergeCell ref="F184:H184"/>
    <mergeCell ref="K25:N25"/>
    <mergeCell ref="F133:P133"/>
    <mergeCell ref="H5:H7"/>
    <mergeCell ref="F25:I25"/>
    <mergeCell ref="K33:N33"/>
    <mergeCell ref="F205:L205"/>
    <mergeCell ref="F219:M219"/>
    <mergeCell ref="F108:L108"/>
    <mergeCell ref="L10:L13"/>
    <mergeCell ref="F107:H107"/>
    <mergeCell ref="F66:P66"/>
    <mergeCell ref="K8:K9"/>
    <mergeCell ref="F185:M185"/>
    <mergeCell ref="F22:G22"/>
    <mergeCell ref="F157:N157"/>
    <mergeCell ref="K5:K7"/>
    <mergeCell ref="F5:F7"/>
    <mergeCell ref="F95:O95"/>
    <mergeCell ref="F33:I33"/>
    <mergeCell ref="K41:N41"/>
    <mergeCell ref="F111:P111"/>
    <mergeCell ref="F160:O160"/>
    <mergeCell ref="F191:F192"/>
    <mergeCell ref="P191:R191"/>
    <mergeCell ref="F172:N172"/>
    <mergeCell ref="K10:K13"/>
    <mergeCell ref="F41:I41"/>
    <mergeCell ref="F168:H168"/>
    <mergeCell ref="H8:H9"/>
    <mergeCell ref="F145:O145"/>
    <mergeCell ref="F2:L2"/>
    <mergeCell ref="F98:M98"/>
    <mergeCell ref="L5:L7"/>
    <mergeCell ref="G191:I191"/>
    <mergeCell ref="M191:O191"/>
    <mergeCell ref="F10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2:AA1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30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1523.04</v>
      </c>
      <c r="K5" s="75" t="n">
        <v>2077.04</v>
      </c>
      <c r="L5" s="76" t="n">
        <v>322.96</v>
      </c>
    </row>
    <row r="6" ht="18" customHeight="1">
      <c r="F6" s="135" t="n"/>
      <c r="G6" s="135" t="n"/>
      <c r="H6" s="135" t="n"/>
      <c r="I6" s="74" t="inlineStr">
        <is>
          <t>Lerma - Tres Marías</t>
        </is>
      </c>
      <c r="J6" s="73" t="n">
        <v>554</v>
      </c>
      <c r="K6" s="135" t="n"/>
      <c r="L6" s="135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2876.18</v>
      </c>
      <c r="K7" s="79" t="n">
        <v>2876.18</v>
      </c>
      <c r="L7" s="76" t="n">
        <v>423.8200000000002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776</v>
      </c>
      <c r="K8" s="75" t="n">
        <v>3696</v>
      </c>
      <c r="L8" s="76" t="n">
        <v>1704</v>
      </c>
    </row>
    <row r="9" ht="18" customHeight="1">
      <c r="F9" s="135" t="n"/>
      <c r="G9" s="135" t="n"/>
      <c r="H9" s="135" t="n"/>
      <c r="I9" s="74" t="inlineStr">
        <is>
          <t>Desasolve</t>
        </is>
      </c>
      <c r="J9" s="73" t="n">
        <v>2920</v>
      </c>
      <c r="K9" s="135" t="n"/>
      <c r="L9" s="135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808</v>
      </c>
      <c r="K10" s="79" t="n">
        <v>808</v>
      </c>
      <c r="L10" s="76" t="n">
        <v>1592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2358</v>
      </c>
      <c r="K11" s="75" t="n">
        <v>3158</v>
      </c>
      <c r="L11" s="112" t="n">
        <v>-758</v>
      </c>
    </row>
    <row r="12" ht="18" customHeight="1">
      <c r="F12" s="135" t="n"/>
      <c r="G12" s="135" t="n"/>
      <c r="H12" s="135" t="n"/>
      <c r="I12" s="74" t="inlineStr">
        <is>
          <t>Planta Pegaso</t>
        </is>
      </c>
      <c r="J12" s="73" t="n">
        <v>800</v>
      </c>
      <c r="K12" s="135" t="n"/>
      <c r="L12" s="135" t="n"/>
    </row>
    <row r="13" ht="20" customHeight="1">
      <c r="F13" s="80" t="inlineStr">
        <is>
          <t>SUBTOTAL (6 DÍAS):</t>
        </is>
      </c>
      <c r="G13" s="132" t="n"/>
      <c r="H13" s="80" t="n">
        <v>15900</v>
      </c>
      <c r="I13" s="15" t="n"/>
      <c r="J13" s="80" t="n">
        <v>12615.22</v>
      </c>
      <c r="K13" s="80" t="n">
        <v>12615.22</v>
      </c>
      <c r="L13" s="80" t="n">
        <v>3284.78</v>
      </c>
    </row>
    <row r="14">
      <c r="F14" s="4" t="inlineStr">
        <is>
          <t>RESPONSABLE</t>
        </is>
      </c>
      <c r="G14" s="4" t="inlineStr">
        <is>
          <t>AUTORIZADO DIARIO</t>
        </is>
      </c>
      <c r="H14" s="4" t="inlineStr">
        <is>
          <t>SEMANAL (5 DÍAS)</t>
        </is>
      </c>
      <c r="I14" s="4" t="inlineStr">
        <is>
          <t>OBRA</t>
        </is>
      </c>
      <c r="J14" s="4" t="inlineStr">
        <is>
          <t>CONSUMO POR OBRA</t>
        </is>
      </c>
      <c r="K14" s="4" t="inlineStr">
        <is>
          <t>CONSUMO POR INGENIERO</t>
        </is>
      </c>
      <c r="L14" s="4" t="inlineStr">
        <is>
          <t>REMANENTE POR INGENIERO</t>
        </is>
      </c>
    </row>
    <row r="15" ht="18" customHeight="1">
      <c r="F15" s="72" t="inlineStr">
        <is>
          <t>DAYANNE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18" customHeight="1">
      <c r="F16" s="72" t="inlineStr">
        <is>
          <t>EDGAR</t>
        </is>
      </c>
      <c r="G16" s="77" t="n"/>
      <c r="H16" s="77" t="n"/>
      <c r="I16" s="78" t="inlineStr">
        <is>
          <t>Alfredo del Mazo</t>
        </is>
      </c>
      <c r="J16" s="77" t="n">
        <v>1740</v>
      </c>
      <c r="K16" s="79" t="n">
        <v>1740</v>
      </c>
      <c r="L16" s="112" t="n">
        <v>-1740</v>
      </c>
    </row>
    <row r="17" ht="18" customHeight="1">
      <c r="F17" s="72" t="inlineStr">
        <is>
          <t>SAMUEL</t>
        </is>
      </c>
      <c r="G17" s="73" t="n"/>
      <c r="H17" s="73" t="n"/>
      <c r="I17" s="74" t="inlineStr">
        <is>
          <t>Providencia</t>
        </is>
      </c>
      <c r="J17" s="73" t="n">
        <v>460</v>
      </c>
      <c r="K17" s="75" t="n">
        <v>460</v>
      </c>
      <c r="L17" s="112" t="n">
        <v>-460</v>
      </c>
    </row>
    <row r="18" ht="20" customHeight="1">
      <c r="F18" s="80" t="inlineStr">
        <is>
          <t>SUBTOTAL (5 DÍAS):</t>
        </is>
      </c>
      <c r="G18" s="132" t="n"/>
      <c r="H18" s="80" t="inlineStr"/>
      <c r="I18" s="15" t="n"/>
      <c r="J18" s="80" t="n">
        <v>2200</v>
      </c>
      <c r="K18" s="80" t="n">
        <v>2200</v>
      </c>
      <c r="L18" s="80" t="n">
        <v>-2200</v>
      </c>
    </row>
    <row r="19" ht="22" customHeight="1">
      <c r="F19" s="80" t="inlineStr">
        <is>
          <t>TOTAL GENERAL:</t>
        </is>
      </c>
      <c r="G19" s="132" t="n"/>
      <c r="H19" s="80" t="n">
        <v>15900</v>
      </c>
      <c r="I19" s="15" t="n"/>
      <c r="J19" s="80" t="n">
        <v>14815.22</v>
      </c>
      <c r="K19" s="80" t="n">
        <v>14815.22</v>
      </c>
      <c r="L19" s="80" t="n">
        <v>1084.78</v>
      </c>
    </row>
    <row r="22" ht="20" customHeight="1">
      <c r="F22" s="3" t="inlineStr">
        <is>
          <t>▶  Alfredo del Mazo</t>
        </is>
      </c>
      <c r="G22" s="131" t="n"/>
      <c r="H22" s="131" t="n"/>
      <c r="I22" s="132" t="n"/>
      <c r="K22" s="3" t="inlineStr">
        <is>
          <t>▶  Bacheo Toluca</t>
        </is>
      </c>
      <c r="L22" s="131" t="n"/>
      <c r="M22" s="131" t="n"/>
      <c r="N22" s="132" t="n"/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20-jul</t>
        </is>
      </c>
      <c r="G24" s="6" t="n">
        <v>470</v>
      </c>
      <c r="H24" s="7" t="n">
        <v>27</v>
      </c>
      <c r="I24" s="8" t="n">
        <v>12690</v>
      </c>
      <c r="K24" s="5" t="inlineStr">
        <is>
          <t>Jue 23-jul</t>
        </is>
      </c>
      <c r="L24" s="6" t="n">
        <v>776</v>
      </c>
      <c r="M24" s="7" t="n">
        <v>27</v>
      </c>
      <c r="N24" s="8" t="n">
        <v>20952</v>
      </c>
    </row>
    <row r="25" ht="20" customHeight="1">
      <c r="F25" s="9" t="inlineStr">
        <is>
          <t>Mar 21-jul</t>
        </is>
      </c>
      <c r="G25" s="10" t="n">
        <v>200</v>
      </c>
      <c r="H25" s="11" t="n">
        <v>27</v>
      </c>
      <c r="I25" s="12" t="n">
        <v>5400</v>
      </c>
      <c r="K25" s="80" t="inlineStr">
        <is>
          <t>TOTAL — Bacheo Toluca</t>
        </is>
      </c>
      <c r="L25" s="14" t="n">
        <v>776</v>
      </c>
      <c r="M25" s="15" t="n"/>
      <c r="N25" s="16" t="n">
        <v>20952</v>
      </c>
    </row>
    <row r="26" ht="18" customHeight="1">
      <c r="F26" s="5" t="inlineStr">
        <is>
          <t>Mié 22-jul</t>
        </is>
      </c>
      <c r="G26" s="6" t="n">
        <v>822</v>
      </c>
      <c r="H26" s="7" t="n">
        <v>27</v>
      </c>
      <c r="I26" s="8" t="n">
        <v>22194</v>
      </c>
    </row>
    <row r="27" ht="18" customHeight="1">
      <c r="F27" s="9" t="inlineStr">
        <is>
          <t>Jue 23-jul</t>
        </is>
      </c>
      <c r="G27" s="10" t="n">
        <v>838.04</v>
      </c>
      <c r="H27" s="11" t="n">
        <v>27</v>
      </c>
      <c r="I27" s="12" t="n">
        <v>22627.08</v>
      </c>
    </row>
    <row r="28" ht="18" customHeight="1">
      <c r="F28" s="5" t="inlineStr">
        <is>
          <t>Vie 24-jul</t>
        </is>
      </c>
      <c r="G28" s="6" t="n">
        <v>933</v>
      </c>
      <c r="H28" s="7" t="n">
        <v>27</v>
      </c>
      <c r="I28" s="8" t="n">
        <v>25191</v>
      </c>
    </row>
    <row r="29" ht="20" customHeight="1">
      <c r="F29" s="80" t="inlineStr">
        <is>
          <t>TOTAL — Alfredo del Mazo</t>
        </is>
      </c>
      <c r="G29" s="14" t="n">
        <v>3263.04</v>
      </c>
      <c r="H29" s="15" t="n"/>
      <c r="I29" s="16" t="n">
        <v>88102.08</v>
      </c>
    </row>
    <row r="31" ht="20" customHeight="1">
      <c r="F31" s="3" t="inlineStr">
        <is>
          <t>▶  Desasolve</t>
        </is>
      </c>
      <c r="G31" s="131" t="n"/>
      <c r="H31" s="131" t="n"/>
      <c r="I31" s="132" t="n"/>
      <c r="K31" s="3" t="inlineStr">
        <is>
          <t>▶  Lerma - Tres Marías</t>
        </is>
      </c>
      <c r="L31" s="131" t="n"/>
      <c r="M31" s="131" t="n"/>
      <c r="N31" s="132" t="n"/>
    </row>
    <row r="32" ht="20" customHeight="1">
      <c r="F32" s="4" t="inlineStr">
        <is>
          <t>DÍA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  <c r="K32" s="4" t="inlineStr">
        <is>
          <t>DÍA</t>
        </is>
      </c>
      <c r="L32" s="4" t="inlineStr">
        <is>
          <t>LITROS CONSUMIDOS</t>
        </is>
      </c>
      <c r="M32" s="4" t="inlineStr">
        <is>
          <t>PRECIO PROM. ($/L)</t>
        </is>
      </c>
      <c r="N32" s="4" t="inlineStr">
        <is>
          <t>IMPORTE TOTAL</t>
        </is>
      </c>
    </row>
    <row r="33" ht="18" customHeight="1">
      <c r="F33" s="5" t="inlineStr">
        <is>
          <t>Lun 20-jul</t>
        </is>
      </c>
      <c r="G33" s="6" t="n">
        <v>980</v>
      </c>
      <c r="H33" s="7" t="n">
        <v>27</v>
      </c>
      <c r="I33" s="8" t="n">
        <v>26460</v>
      </c>
      <c r="K33" s="5" t="inlineStr">
        <is>
          <t>Lun 20-jul</t>
        </is>
      </c>
      <c r="L33" s="6" t="n">
        <v>541</v>
      </c>
      <c r="M33" s="7" t="n">
        <v>27</v>
      </c>
      <c r="N33" s="8" t="n">
        <v>14607</v>
      </c>
    </row>
    <row r="34" ht="18" customHeight="1">
      <c r="F34" s="9" t="inlineStr">
        <is>
          <t>Mar 21-jul</t>
        </is>
      </c>
      <c r="G34" s="10" t="n">
        <v>1007</v>
      </c>
      <c r="H34" s="11" t="n">
        <v>27</v>
      </c>
      <c r="I34" s="12" t="n">
        <v>27189</v>
      </c>
      <c r="K34" s="9" t="inlineStr">
        <is>
          <t>Jue 23-jul</t>
        </is>
      </c>
      <c r="L34" s="10" t="n">
        <v>13</v>
      </c>
      <c r="M34" s="11" t="n">
        <v>27</v>
      </c>
      <c r="N34" s="12" t="n">
        <v>351</v>
      </c>
    </row>
    <row r="35" ht="20" customHeight="1">
      <c r="F35" s="5" t="inlineStr">
        <is>
          <t>Mié 22-jul</t>
        </is>
      </c>
      <c r="G35" s="6" t="n">
        <v>451</v>
      </c>
      <c r="H35" s="7" t="n">
        <v>27</v>
      </c>
      <c r="I35" s="8" t="n">
        <v>12177</v>
      </c>
      <c r="K35" s="80" t="inlineStr">
        <is>
          <t>TOTAL — Lerma - Tres Marías</t>
        </is>
      </c>
      <c r="L35" s="14" t="n">
        <v>554</v>
      </c>
      <c r="M35" s="15" t="n"/>
      <c r="N35" s="16" t="n">
        <v>14958</v>
      </c>
    </row>
    <row r="36" ht="18" customHeight="1">
      <c r="F36" s="9" t="inlineStr">
        <is>
          <t>Jue 23-jul</t>
        </is>
      </c>
      <c r="G36" s="10" t="n">
        <v>-67</v>
      </c>
      <c r="H36" s="11" t="n">
        <v>27</v>
      </c>
      <c r="I36" s="12" t="n">
        <v>-1809</v>
      </c>
    </row>
    <row r="37" ht="18" customHeight="1">
      <c r="F37" s="5" t="inlineStr">
        <is>
          <t>Vie 24-jul</t>
        </is>
      </c>
      <c r="G37" s="6" t="n">
        <v>549</v>
      </c>
      <c r="H37" s="7" t="n">
        <v>27</v>
      </c>
      <c r="I37" s="8" t="n">
        <v>14823</v>
      </c>
    </row>
    <row r="38" ht="20" customHeight="1">
      <c r="F38" s="80" t="inlineStr">
        <is>
          <t>TOTAL — Desasolve</t>
        </is>
      </c>
      <c r="G38" s="14" t="n">
        <v>2920</v>
      </c>
      <c r="H38" s="15" t="n"/>
      <c r="I38" s="16" t="n">
        <v>78840</v>
      </c>
    </row>
    <row r="40" ht="20" customHeight="1">
      <c r="F40" s="3" t="inlineStr">
        <is>
          <t>▶  México - Toluca</t>
        </is>
      </c>
      <c r="G40" s="131" t="n"/>
      <c r="H40" s="131" t="n"/>
      <c r="I40" s="132" t="n"/>
      <c r="K40" s="3" t="inlineStr">
        <is>
          <t>▶  Planta Huixquilucan</t>
        </is>
      </c>
      <c r="L40" s="131" t="n"/>
      <c r="M40" s="131" t="n"/>
      <c r="N40" s="132" t="n"/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21-jul</t>
        </is>
      </c>
      <c r="G42" s="6" t="n">
        <v>957</v>
      </c>
      <c r="H42" s="7" t="n">
        <v>27</v>
      </c>
      <c r="I42" s="8" t="n">
        <v>25839</v>
      </c>
      <c r="K42" s="5" t="inlineStr">
        <is>
          <t>Jue 23-jul</t>
        </is>
      </c>
      <c r="L42" s="6" t="n">
        <v>1108</v>
      </c>
      <c r="M42" s="7" t="n">
        <v>27</v>
      </c>
      <c r="N42" s="8" t="n">
        <v>29916</v>
      </c>
    </row>
    <row r="43" ht="18" customHeight="1">
      <c r="F43" s="9" t="inlineStr">
        <is>
          <t>Jue 23-jul</t>
        </is>
      </c>
      <c r="G43" s="10" t="n">
        <v>953.1799999999999</v>
      </c>
      <c r="H43" s="11" t="n">
        <v>27</v>
      </c>
      <c r="I43" s="12" t="n">
        <v>25735.86</v>
      </c>
      <c r="K43" s="9" t="inlineStr">
        <is>
          <t>Vie 24-jul</t>
        </is>
      </c>
      <c r="L43" s="10" t="n">
        <v>600</v>
      </c>
      <c r="M43" s="11" t="n">
        <v>27</v>
      </c>
      <c r="N43" s="12" t="n">
        <v>16200</v>
      </c>
    </row>
    <row r="44" ht="18" customHeight="1">
      <c r="F44" s="5" t="inlineStr">
        <is>
          <t>Vie 24-jul</t>
        </is>
      </c>
      <c r="G44" s="6" t="n">
        <v>40</v>
      </c>
      <c r="H44" s="7" t="n">
        <v>27</v>
      </c>
      <c r="I44" s="8" t="n">
        <v>1080</v>
      </c>
      <c r="K44" s="5" t="inlineStr">
        <is>
          <t>Sáb 25-jul</t>
        </is>
      </c>
      <c r="L44" s="6" t="n">
        <v>650</v>
      </c>
      <c r="M44" s="7" t="n">
        <v>27</v>
      </c>
      <c r="N44" s="8" t="n">
        <v>17550</v>
      </c>
    </row>
    <row r="45" ht="20" customHeight="1">
      <c r="F45" s="9" t="inlineStr">
        <is>
          <t>Sáb 25-jul</t>
        </is>
      </c>
      <c r="G45" s="10" t="n">
        <v>926</v>
      </c>
      <c r="H45" s="11" t="n">
        <v>27</v>
      </c>
      <c r="I45" s="12" t="n">
        <v>25002</v>
      </c>
      <c r="K45" s="80" t="inlineStr">
        <is>
          <t>TOTAL — Planta Huixquilucan</t>
        </is>
      </c>
      <c r="L45" s="14" t="n">
        <v>2358</v>
      </c>
      <c r="M45" s="15" t="n"/>
      <c r="N45" s="16" t="n">
        <v>63666</v>
      </c>
    </row>
    <row r="46" ht="20" customHeight="1">
      <c r="F46" s="80" t="inlineStr">
        <is>
          <t>TOTAL — México - Toluca</t>
        </is>
      </c>
      <c r="G46" s="14" t="n">
        <v>2876.18</v>
      </c>
      <c r="H46" s="15" t="n"/>
      <c r="I46" s="16" t="n">
        <v>77656.86</v>
      </c>
    </row>
    <row r="48" ht="20" customHeight="1">
      <c r="F48" s="3" t="inlineStr">
        <is>
          <t>▶  Planta Pegaso</t>
        </is>
      </c>
      <c r="G48" s="131" t="n"/>
      <c r="H48" s="131" t="n"/>
      <c r="I48" s="132" t="n"/>
      <c r="K48" s="3" t="inlineStr">
        <is>
          <t>▶  Providencia</t>
        </is>
      </c>
      <c r="L48" s="131" t="n"/>
      <c r="M48" s="131" t="n"/>
      <c r="N48" s="132" t="n"/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Lun 20-jul</t>
        </is>
      </c>
      <c r="G50" s="6" t="n">
        <v>1600</v>
      </c>
      <c r="H50" s="7" t="n">
        <v>27</v>
      </c>
      <c r="I50" s="8" t="n">
        <v>43200</v>
      </c>
      <c r="K50" s="5" t="inlineStr">
        <is>
          <t>Lun 20-jul</t>
        </is>
      </c>
      <c r="L50" s="6" t="n">
        <v>239</v>
      </c>
      <c r="M50" s="7" t="n">
        <v>27</v>
      </c>
      <c r="N50" s="8" t="n">
        <v>6453</v>
      </c>
    </row>
    <row r="51" ht="18" customHeight="1">
      <c r="F51" s="9" t="inlineStr">
        <is>
          <t>Mié 22-jul</t>
        </is>
      </c>
      <c r="G51" s="10" t="n">
        <v>820</v>
      </c>
      <c r="H51" s="11" t="n">
        <v>27</v>
      </c>
      <c r="I51" s="12" t="n">
        <v>22140</v>
      </c>
      <c r="K51" s="9" t="inlineStr">
        <is>
          <t>Jue 23-jul</t>
        </is>
      </c>
      <c r="L51" s="10" t="n">
        <v>221</v>
      </c>
      <c r="M51" s="11" t="n">
        <v>27</v>
      </c>
      <c r="N51" s="12" t="n">
        <v>5967</v>
      </c>
    </row>
    <row r="52" ht="20" customHeight="1">
      <c r="F52" s="5" t="inlineStr">
        <is>
          <t>Jue 23-jul</t>
        </is>
      </c>
      <c r="G52" s="6" t="n">
        <v>-812</v>
      </c>
      <c r="H52" s="7" t="n">
        <v>27</v>
      </c>
      <c r="I52" s="8" t="n">
        <v>-21924</v>
      </c>
      <c r="K52" s="80" t="inlineStr">
        <is>
          <t>TOTAL — Providencia</t>
        </is>
      </c>
      <c r="L52" s="14" t="n">
        <v>460</v>
      </c>
      <c r="M52" s="15" t="n"/>
      <c r="N52" s="16" t="n">
        <v>12420</v>
      </c>
    </row>
    <row r="53" ht="20" customHeight="1">
      <c r="F53" s="80" t="inlineStr">
        <is>
          <t>TOTAL — Planta Pegaso</t>
        </is>
      </c>
      <c r="G53" s="14" t="n">
        <v>1608</v>
      </c>
      <c r="H53" s="15" t="n"/>
      <c r="I53" s="16" t="n">
        <v>43416</v>
      </c>
    </row>
    <row r="56" ht="22" customHeight="1">
      <c r="F56" s="81" t="inlineStr">
        <is>
          <t>APOLINAR</t>
        </is>
      </c>
      <c r="G56" s="131" t="n"/>
      <c r="H56" s="131" t="n"/>
      <c r="I56" s="131" t="n"/>
      <c r="J56" s="131" t="n"/>
      <c r="K56" s="131" t="n"/>
      <c r="L56" s="131" t="n"/>
      <c r="M56" s="131" t="n"/>
      <c r="N56" s="131" t="n"/>
      <c r="O56" s="132" t="n"/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20/07</t>
        </is>
      </c>
      <c r="J57" s="4" t="inlineStr">
        <is>
          <t>Mié
22/07</t>
        </is>
      </c>
      <c r="K57" s="4" t="inlineStr">
        <is>
          <t>Jue
23/07</t>
        </is>
      </c>
      <c r="L57" s="4" t="inlineStr">
        <is>
          <t>Vie
24/07</t>
        </is>
      </c>
      <c r="M57" s="4" t="inlineStr">
        <is>
          <t>LITROS
TOTAL</t>
        </is>
      </c>
      <c r="N57" s="4" t="inlineStr">
        <is>
          <t>PRECIO
UNIT.</t>
        </is>
      </c>
      <c r="O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Alfredo del Mazo</t>
        </is>
      </c>
      <c r="K58" s="84" t="inlineStr">
        <is>
          <t>Lerma - Tres Marías</t>
        </is>
      </c>
      <c r="L58" s="84" t="inlineStr">
        <is>
          <t>Alfredo del Mazo</t>
        </is>
      </c>
      <c r="M58" s="82" t="n"/>
      <c r="N58" s="82" t="n"/>
      <c r="O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>
        <v>301.04</v>
      </c>
      <c r="L59" s="85" t="n"/>
      <c r="M59" s="88" t="n">
        <v>301.04</v>
      </c>
      <c r="N59" s="55" t="n">
        <v>27</v>
      </c>
      <c r="O59" s="89" t="n">
        <v>8128.08</v>
      </c>
    </row>
    <row r="60" ht="18" customHeight="1">
      <c r="F60" s="90" t="n">
        <v>2</v>
      </c>
      <c r="G60" s="91" t="inlineStr">
        <is>
          <t>BR-02 - BARREDORA LAYMOR SM400</t>
        </is>
      </c>
      <c r="H60" s="92" t="n"/>
      <c r="I60" s="90" t="n"/>
      <c r="J60" s="90" t="n">
        <v>25</v>
      </c>
      <c r="K60" s="90" t="n"/>
      <c r="L60" s="90" t="n">
        <v>23</v>
      </c>
      <c r="M60" s="93" t="n">
        <v>48</v>
      </c>
      <c r="N60" s="94" t="n">
        <v>27</v>
      </c>
      <c r="O60" s="95" t="n">
        <v>1296</v>
      </c>
    </row>
    <row r="61" ht="18" customHeight="1">
      <c r="F61" s="85" t="n">
        <v>3</v>
      </c>
      <c r="G61" s="86" t="inlineStr">
        <is>
          <t>BR-05 - BARREDORA BROCE BROOM KR350</t>
        </is>
      </c>
      <c r="H61" s="96" t="n"/>
      <c r="I61" s="85" t="n">
        <v>25</v>
      </c>
      <c r="J61" s="85" t="n"/>
      <c r="K61" s="85" t="n"/>
      <c r="L61" s="85" t="n"/>
      <c r="M61" s="88" t="n">
        <v>25</v>
      </c>
      <c r="N61" s="55" t="n">
        <v>27</v>
      </c>
      <c r="O61" s="89" t="n">
        <v>675</v>
      </c>
    </row>
    <row r="62" ht="18" customHeight="1">
      <c r="F62" s="90" t="n">
        <v>4</v>
      </c>
      <c r="G62" s="91" t="inlineStr">
        <is>
          <t>CPR-02 - COMPRESOR SULLIVAN PALATEK D2010</t>
        </is>
      </c>
      <c r="H62" s="92" t="n"/>
      <c r="I62" s="90" t="n">
        <v>19</v>
      </c>
      <c r="J62" s="90" t="n"/>
      <c r="K62" s="90" t="n"/>
      <c r="L62" s="90" t="n"/>
      <c r="M62" s="93" t="n">
        <v>19</v>
      </c>
      <c r="N62" s="94" t="n">
        <v>27</v>
      </c>
      <c r="O62" s="95" t="n">
        <v>513</v>
      </c>
    </row>
    <row r="63" ht="18" customHeight="1">
      <c r="F63" s="85" t="n">
        <v>5</v>
      </c>
      <c r="G63" s="86" t="inlineStr">
        <is>
          <t>MAXI</t>
        </is>
      </c>
      <c r="H63" s="96" t="n"/>
      <c r="I63" s="85" t="n"/>
      <c r="J63" s="85" t="n"/>
      <c r="K63" s="85" t="n"/>
      <c r="L63" s="85" t="n">
        <v>40</v>
      </c>
      <c r="M63" s="88" t="n">
        <v>40</v>
      </c>
      <c r="N63" s="55" t="n">
        <v>27</v>
      </c>
      <c r="O63" s="89" t="n">
        <v>1080</v>
      </c>
    </row>
    <row r="64" ht="18" customHeight="1">
      <c r="F64" s="90" t="n">
        <v>6</v>
      </c>
      <c r="G64" s="91" t="inlineStr">
        <is>
          <t>MAXILAGHIT</t>
        </is>
      </c>
      <c r="H64" s="92" t="n"/>
      <c r="I64" s="90" t="n"/>
      <c r="J64" s="90" t="n">
        <v>20</v>
      </c>
      <c r="K64" s="90" t="n"/>
      <c r="L64" s="90" t="n"/>
      <c r="M64" s="93" t="n">
        <v>20</v>
      </c>
      <c r="N64" s="94" t="n">
        <v>27</v>
      </c>
      <c r="O64" s="95" t="n">
        <v>540</v>
      </c>
    </row>
    <row r="65" ht="18" customHeight="1">
      <c r="F65" s="85" t="n">
        <v>7</v>
      </c>
      <c r="G65" s="86" t="inlineStr">
        <is>
          <t>NEUMATICO PF-300B</t>
        </is>
      </c>
      <c r="H65" s="96" t="n"/>
      <c r="I65" s="85" t="n">
        <v>30</v>
      </c>
      <c r="J65" s="85" t="n"/>
      <c r="K65" s="85" t="n"/>
      <c r="L65" s="85" t="n"/>
      <c r="M65" s="88" t="n">
        <v>30</v>
      </c>
      <c r="N65" s="55" t="n">
        <v>27</v>
      </c>
      <c r="O65" s="89" t="n">
        <v>810</v>
      </c>
    </row>
    <row r="66" ht="18" customHeight="1">
      <c r="F66" s="90" t="n">
        <v>8</v>
      </c>
      <c r="G66" s="91" t="inlineStr">
        <is>
          <t>NM-02 - NEUMATICO VOLVO PT-240R</t>
        </is>
      </c>
      <c r="H66" s="92" t="n"/>
      <c r="I66" s="90" t="n"/>
      <c r="J66" s="90" t="n">
        <v>30</v>
      </c>
      <c r="K66" s="90" t="n"/>
      <c r="L66" s="90" t="n">
        <v>40</v>
      </c>
      <c r="M66" s="93" t="n">
        <v>70</v>
      </c>
      <c r="N66" s="94" t="n">
        <v>27</v>
      </c>
      <c r="O66" s="95" t="n">
        <v>1890</v>
      </c>
    </row>
    <row r="67" ht="18" customHeight="1">
      <c r="F67" s="85" t="n">
        <v>9</v>
      </c>
      <c r="G67" s="86" t="inlineStr">
        <is>
          <t>PET-02 - Petrolizadora</t>
        </is>
      </c>
      <c r="H67" s="96" t="n"/>
      <c r="I67" s="85" t="n"/>
      <c r="J67" s="85" t="n">
        <v>50</v>
      </c>
      <c r="K67" s="85" t="n"/>
      <c r="L67" s="85" t="n">
        <v>100</v>
      </c>
      <c r="M67" s="88" t="n">
        <v>150</v>
      </c>
      <c r="N67" s="55" t="n">
        <v>27</v>
      </c>
      <c r="O67" s="89" t="n">
        <v>4050</v>
      </c>
    </row>
    <row r="68" ht="18" customHeight="1">
      <c r="F68" s="90" t="n">
        <v>10</v>
      </c>
      <c r="G68" s="91" t="inlineStr">
        <is>
          <t>PP-01 - PIPA DE AGUA (IMPACTO 01) FORD None</t>
        </is>
      </c>
      <c r="H68" s="92" t="n"/>
      <c r="I68" s="90" t="n">
        <v>32</v>
      </c>
      <c r="J68" s="90" t="n"/>
      <c r="K68" s="90" t="n"/>
      <c r="L68" s="90" t="n"/>
      <c r="M68" s="93" t="n">
        <v>32</v>
      </c>
      <c r="N68" s="94" t="n">
        <v>27</v>
      </c>
      <c r="O68" s="95" t="n">
        <v>864</v>
      </c>
    </row>
    <row r="69" ht="18" customHeight="1">
      <c r="F69" s="85" t="n">
        <v>11</v>
      </c>
      <c r="G69" s="86" t="inlineStr">
        <is>
          <t>PR-01 - PERFILADORA RODATEC RX600-4-4008</t>
        </is>
      </c>
      <c r="H69" s="96" t="n"/>
      <c r="I69" s="85" t="n">
        <v>240</v>
      </c>
      <c r="J69" s="85" t="n"/>
      <c r="K69" s="85" t="n">
        <v>350</v>
      </c>
      <c r="L69" s="85" t="n"/>
      <c r="M69" s="88" t="n">
        <v>590</v>
      </c>
      <c r="N69" s="55" t="n">
        <v>27</v>
      </c>
      <c r="O69" s="89" t="n">
        <v>15930</v>
      </c>
    </row>
    <row r="70" ht="18" customHeight="1">
      <c r="F70" s="90" t="n">
        <v>12</v>
      </c>
      <c r="G70" s="91" t="inlineStr">
        <is>
          <t>RT-02 - RETROEXCAVADORA JHONDEREE 310 K</t>
        </is>
      </c>
      <c r="H70" s="92" t="n"/>
      <c r="I70" s="90" t="n">
        <v>30</v>
      </c>
      <c r="J70" s="90" t="n">
        <v>17</v>
      </c>
      <c r="K70" s="90" t="n"/>
      <c r="L70" s="90" t="n">
        <v>60</v>
      </c>
      <c r="M70" s="93" t="n">
        <v>107</v>
      </c>
      <c r="N70" s="94" t="n">
        <v>27</v>
      </c>
      <c r="O70" s="95" t="n">
        <v>2889</v>
      </c>
    </row>
    <row r="71" ht="18" customHeight="1">
      <c r="F71" s="85" t="n">
        <v>13</v>
      </c>
      <c r="G71" s="86" t="inlineStr">
        <is>
          <t>VC-01 - VIBROCOMPACTADOR CATERPILLAR CB66B</t>
        </is>
      </c>
      <c r="H71" s="96" t="n"/>
      <c r="I71" s="85" t="n">
        <v>25</v>
      </c>
      <c r="J71" s="85" t="n">
        <v>30</v>
      </c>
      <c r="K71" s="85" t="n"/>
      <c r="L71" s="85" t="n">
        <v>50</v>
      </c>
      <c r="M71" s="88" t="n">
        <v>105</v>
      </c>
      <c r="N71" s="55" t="n">
        <v>27</v>
      </c>
      <c r="O71" s="89" t="n">
        <v>2835</v>
      </c>
    </row>
    <row r="72" ht="18" customHeight="1">
      <c r="F72" s="90" t="n">
        <v>14</v>
      </c>
      <c r="G72" s="91" t="inlineStr">
        <is>
          <t>VG-01 - PAVIMENTADORA VOGELE 1800-3 i</t>
        </is>
      </c>
      <c r="H72" s="92" t="n"/>
      <c r="I72" s="90" t="n">
        <v>140</v>
      </c>
      <c r="J72" s="90" t="n"/>
      <c r="K72" s="90" t="n">
        <v>100</v>
      </c>
      <c r="L72" s="90" t="n"/>
      <c r="M72" s="93" t="n">
        <v>240</v>
      </c>
      <c r="N72" s="94" t="n">
        <v>27</v>
      </c>
      <c r="O72" s="95" t="n">
        <v>6480</v>
      </c>
    </row>
    <row r="73" ht="18" customHeight="1">
      <c r="F73" s="85" t="n">
        <v>15</v>
      </c>
      <c r="G73" s="86" t="inlineStr">
        <is>
          <t>VG-02 - PAVIMENTADORA VOGELE 1800-2 SJ</t>
        </is>
      </c>
      <c r="H73" s="96" t="n"/>
      <c r="I73" s="85" t="n"/>
      <c r="J73" s="85" t="n">
        <v>200</v>
      </c>
      <c r="K73" s="85" t="n"/>
      <c r="L73" s="85" t="n"/>
      <c r="M73" s="88" t="n">
        <v>200</v>
      </c>
      <c r="N73" s="55" t="n">
        <v>27</v>
      </c>
      <c r="O73" s="89" t="n">
        <v>5400</v>
      </c>
    </row>
    <row r="74" ht="18" customHeight="1">
      <c r="F74" s="90" t="n">
        <v>16</v>
      </c>
      <c r="G74" s="91" t="inlineStr">
        <is>
          <t>VG-03 - PAVIMENTADORA VOGELE SJ 1800-3</t>
        </is>
      </c>
      <c r="H74" s="92" t="n"/>
      <c r="I74" s="90" t="n"/>
      <c r="J74" s="90" t="n"/>
      <c r="K74" s="90" t="n"/>
      <c r="L74" s="90" t="n">
        <v>100</v>
      </c>
      <c r="M74" s="93" t="n">
        <v>100</v>
      </c>
      <c r="N74" s="94" t="n">
        <v>27</v>
      </c>
      <c r="O74" s="95" t="n">
        <v>2700</v>
      </c>
    </row>
    <row r="75" ht="20" customHeight="1">
      <c r="F75" s="80" t="inlineStr">
        <is>
          <t>TOTAL LITROS</t>
        </is>
      </c>
      <c r="G75" s="131" t="n"/>
      <c r="H75" s="132" t="n"/>
      <c r="I75" s="98" t="n">
        <v>541</v>
      </c>
      <c r="J75" s="97" t="n">
        <v>372</v>
      </c>
      <c r="K75" s="98" t="n">
        <v>751.04</v>
      </c>
      <c r="L75" s="98" t="n">
        <v>413</v>
      </c>
      <c r="M75" s="80" t="n">
        <v>2077.04</v>
      </c>
      <c r="N75" s="15" t="n"/>
      <c r="O75" s="16" t="n">
        <v>56080.08</v>
      </c>
    </row>
    <row r="76" ht="20" customHeight="1">
      <c r="F76" s="99" t="inlineStr">
        <is>
          <t>IMPORTE SEMANAL AUTORIZADO: $75,600.00  (Litros aut.: 2,800.00 L)</t>
        </is>
      </c>
      <c r="G76" s="131" t="n"/>
      <c r="H76" s="131" t="n"/>
      <c r="I76" s="131" t="n"/>
      <c r="J76" s="131" t="n"/>
      <c r="K76" s="131" t="n"/>
      <c r="L76" s="131" t="n"/>
      <c r="M76" s="131" t="n"/>
      <c r="N76" s="132" t="n"/>
      <c r="O76" s="101" t="n">
        <v>56080.08</v>
      </c>
    </row>
    <row r="79" ht="22" customHeight="1">
      <c r="F79" s="81" t="inlineStr">
        <is>
          <t>EDGAR</t>
        </is>
      </c>
      <c r="G79" s="131" t="n"/>
      <c r="H79" s="131" t="n"/>
      <c r="I79" s="131" t="n"/>
      <c r="J79" s="131" t="n"/>
      <c r="K79" s="131" t="n"/>
      <c r="L79" s="131" t="n"/>
      <c r="M79" s="131" t="n"/>
      <c r="N79" s="131" t="n"/>
      <c r="O79" s="131" t="n"/>
      <c r="P79" s="132" t="n"/>
    </row>
    <row r="80" ht="28" customHeight="1">
      <c r="F80" s="4" t="inlineStr">
        <is>
          <t>#</t>
        </is>
      </c>
      <c r="G80" s="4" t="inlineStr">
        <is>
          <t>EQUIPO / MAQUINARIA</t>
        </is>
      </c>
      <c r="H80" s="4" t="inlineStr">
        <is>
          <t>LTS. SEM.
AUT.</t>
        </is>
      </c>
      <c r="I80" s="4" t="inlineStr">
        <is>
          <t>Lun
20/07</t>
        </is>
      </c>
      <c r="J80" s="4" t="inlineStr">
        <is>
          <t>Mar
21/07</t>
        </is>
      </c>
      <c r="K80" s="4" t="inlineStr">
        <is>
          <t>Mié
22/07</t>
        </is>
      </c>
      <c r="L80" s="4" t="inlineStr">
        <is>
          <t>Jue
23/07</t>
        </is>
      </c>
      <c r="M80" s="4" t="inlineStr">
        <is>
          <t>Vie
24/07</t>
        </is>
      </c>
      <c r="N80" s="4" t="inlineStr">
        <is>
          <t>LITROS
TOTAL</t>
        </is>
      </c>
      <c r="O80" s="4" t="inlineStr">
        <is>
          <t>PRECIO
UNIT.</t>
        </is>
      </c>
      <c r="P80" s="4" t="inlineStr">
        <is>
          <t>TOTAL $</t>
        </is>
      </c>
    </row>
    <row r="81" ht="22" customHeight="1">
      <c r="F81" s="82" t="n"/>
      <c r="G81" s="83" t="inlineStr">
        <is>
          <t>OBRA DESTINO</t>
        </is>
      </c>
      <c r="H81" s="82" t="n"/>
      <c r="I81" s="84" t="inlineStr">
        <is>
          <t>Alfredo del Mazo</t>
        </is>
      </c>
      <c r="J81" s="84" t="inlineStr">
        <is>
          <t>Alfredo del Mazo</t>
        </is>
      </c>
      <c r="K81" s="84" t="inlineStr">
        <is>
          <t>Alfredo del Mazo</t>
        </is>
      </c>
      <c r="L81" s="84" t="inlineStr">
        <is>
          <t>Alfredo del Mazo</t>
        </is>
      </c>
      <c r="M81" s="84" t="inlineStr">
        <is>
          <t>Alfredo del Mazo</t>
        </is>
      </c>
      <c r="N81" s="82" t="n"/>
      <c r="O81" s="82" t="n"/>
      <c r="P81" s="82" t="n"/>
    </row>
    <row r="82" ht="18" customHeight="1">
      <c r="F82" s="85" t="n">
        <v>1</v>
      </c>
      <c r="G82" s="86" t="inlineStr">
        <is>
          <t>BR-05 - BARREDORA BROCE BROOM KR350</t>
        </is>
      </c>
      <c r="H82" s="96" t="n"/>
      <c r="I82" s="85" t="n">
        <v>36</v>
      </c>
      <c r="J82" s="85" t="n"/>
      <c r="K82" s="85" t="n">
        <v>50</v>
      </c>
      <c r="L82" s="85" t="n">
        <v>30</v>
      </c>
      <c r="M82" s="85" t="n">
        <v>30</v>
      </c>
      <c r="N82" s="88" t="n">
        <v>146</v>
      </c>
      <c r="O82" s="55" t="n">
        <v>27</v>
      </c>
      <c r="P82" s="89" t="n">
        <v>3942</v>
      </c>
    </row>
    <row r="83" ht="18" customHeight="1">
      <c r="F83" s="90" t="n">
        <v>2</v>
      </c>
      <c r="G83" s="91" t="inlineStr">
        <is>
          <t>PR-02 - PERFILADORA RODATEC RX600E</t>
        </is>
      </c>
      <c r="H83" s="92" t="n"/>
      <c r="I83" s="90" t="n">
        <v>400</v>
      </c>
      <c r="J83" s="90" t="n">
        <v>200</v>
      </c>
      <c r="K83" s="90" t="n">
        <v>350</v>
      </c>
      <c r="L83" s="90" t="n"/>
      <c r="M83" s="90" t="n">
        <v>450</v>
      </c>
      <c r="N83" s="93" t="n">
        <v>1400</v>
      </c>
      <c r="O83" s="94" t="n">
        <v>27</v>
      </c>
      <c r="P83" s="95" t="n">
        <v>37800</v>
      </c>
    </row>
    <row r="84" ht="18" customHeight="1">
      <c r="F84" s="85" t="n">
        <v>3</v>
      </c>
      <c r="G84" s="86" t="inlineStr">
        <is>
          <t>RT-01 - RETROEXCAVADORA CASE 580 N</t>
        </is>
      </c>
      <c r="H84" s="96" t="n"/>
      <c r="I84" s="85" t="n">
        <v>34</v>
      </c>
      <c r="J84" s="85" t="n"/>
      <c r="K84" s="85" t="n">
        <v>50</v>
      </c>
      <c r="L84" s="85" t="n">
        <v>70</v>
      </c>
      <c r="M84" s="85" t="n">
        <v>40</v>
      </c>
      <c r="N84" s="88" t="n">
        <v>194</v>
      </c>
      <c r="O84" s="55" t="n">
        <v>27</v>
      </c>
      <c r="P84" s="89" t="n">
        <v>5238</v>
      </c>
    </row>
    <row r="85" ht="20" customHeight="1">
      <c r="F85" s="80" t="inlineStr">
        <is>
          <t>TOTAL LITROS</t>
        </is>
      </c>
      <c r="G85" s="131" t="n"/>
      <c r="H85" s="132" t="n"/>
      <c r="I85" s="97" t="n">
        <v>470</v>
      </c>
      <c r="J85" s="97" t="n">
        <v>200</v>
      </c>
      <c r="K85" s="97" t="n">
        <v>450</v>
      </c>
      <c r="L85" s="97" t="n">
        <v>100</v>
      </c>
      <c r="M85" s="97" t="n">
        <v>520</v>
      </c>
      <c r="N85" s="80" t="n">
        <v>1740</v>
      </c>
      <c r="O85" s="15" t="n"/>
      <c r="P85" s="16" t="n">
        <v>46980</v>
      </c>
    </row>
    <row r="86" ht="20" customHeight="1">
      <c r="F86" s="99" t="inlineStr">
        <is>
          <t>IMPORTE SEMANAL AUTORIZADO: $0.00  (Litros aut.: 0.00 L)</t>
        </is>
      </c>
      <c r="G86" s="131" t="n"/>
      <c r="H86" s="131" t="n"/>
      <c r="I86" s="131" t="n"/>
      <c r="J86" s="131" t="n"/>
      <c r="K86" s="131" t="n"/>
      <c r="L86" s="131" t="n"/>
      <c r="M86" s="131" t="n"/>
      <c r="N86" s="131" t="n"/>
      <c r="O86" s="132" t="n"/>
      <c r="P86" s="130" t="n">
        <v>46980</v>
      </c>
    </row>
    <row r="89" ht="22" customHeight="1">
      <c r="F89" s="81" t="inlineStr">
        <is>
          <t>FRANCISCO JAVIER</t>
        </is>
      </c>
      <c r="G89" s="131" t="n"/>
      <c r="H89" s="131" t="n"/>
      <c r="I89" s="131" t="n"/>
      <c r="J89" s="131" t="n"/>
      <c r="K89" s="131" t="n"/>
      <c r="L89" s="131" t="n"/>
      <c r="M89" s="131" t="n"/>
      <c r="N89" s="131" t="n"/>
      <c r="O89" s="132" t="n"/>
    </row>
    <row r="90" ht="28" customHeight="1">
      <c r="F90" s="4" t="inlineStr">
        <is>
          <t>#</t>
        </is>
      </c>
      <c r="G90" s="4" t="inlineStr">
        <is>
          <t>EQUIPO / MAQUINARIA</t>
        </is>
      </c>
      <c r="H90" s="4" t="inlineStr">
        <is>
          <t>LTS. SEM.
AUT.</t>
        </is>
      </c>
      <c r="I90" s="4" t="inlineStr">
        <is>
          <t>Mar
21/07</t>
        </is>
      </c>
      <c r="J90" s="4" t="inlineStr">
        <is>
          <t>Jue
23/07</t>
        </is>
      </c>
      <c r="K90" s="4" t="inlineStr">
        <is>
          <t>Vie
24/07</t>
        </is>
      </c>
      <c r="L90" s="4" t="inlineStr">
        <is>
          <t>Sáb
25/07</t>
        </is>
      </c>
      <c r="M90" s="4" t="inlineStr">
        <is>
          <t>LITROS
TOTAL</t>
        </is>
      </c>
      <c r="N90" s="4" t="inlineStr">
        <is>
          <t>PRECIO
UNIT.</t>
        </is>
      </c>
      <c r="O90" s="4" t="inlineStr">
        <is>
          <t>TOTAL $</t>
        </is>
      </c>
    </row>
    <row r="91" ht="22" customHeight="1">
      <c r="F91" s="82" t="n"/>
      <c r="G91" s="83" t="inlineStr">
        <is>
          <t>OBRA DESTINO</t>
        </is>
      </c>
      <c r="H91" s="82" t="n"/>
      <c r="I91" s="84" t="inlineStr">
        <is>
          <t>México - Toluca</t>
        </is>
      </c>
      <c r="J91" s="84" t="inlineStr">
        <is>
          <t>México - Toluca</t>
        </is>
      </c>
      <c r="K91" s="84" t="inlineStr">
        <is>
          <t>México - Toluca</t>
        </is>
      </c>
      <c r="L91" s="84" t="inlineStr">
        <is>
          <t>México - Toluca</t>
        </is>
      </c>
      <c r="M91" s="82" t="n"/>
      <c r="N91" s="82" t="n"/>
      <c r="O91" s="82" t="n"/>
    </row>
    <row r="92" ht="18" customHeight="1">
      <c r="F92" s="85" t="n">
        <v>1</v>
      </c>
      <c r="G92" s="86" t="inlineStr">
        <is>
          <t>AJUSTE DIESEL</t>
        </is>
      </c>
      <c r="H92" s="87" t="n">
        <v>3850</v>
      </c>
      <c r="I92" s="85" t="n"/>
      <c r="J92" s="85" t="n">
        <v>40.18</v>
      </c>
      <c r="K92" s="85" t="n"/>
      <c r="L92" s="85" t="n"/>
      <c r="M92" s="88" t="n">
        <v>40.18</v>
      </c>
      <c r="N92" s="55" t="n">
        <v>27</v>
      </c>
      <c r="O92" s="89" t="n">
        <v>1084.86</v>
      </c>
    </row>
    <row r="93" ht="18" customHeight="1">
      <c r="F93" s="90" t="n">
        <v>2</v>
      </c>
      <c r="G93" s="91" t="inlineStr">
        <is>
          <t>BR-01 - BARREDORA BROCE RJ350</t>
        </is>
      </c>
      <c r="H93" s="92" t="n"/>
      <c r="I93" s="90" t="n">
        <v>40</v>
      </c>
      <c r="J93" s="90" t="n">
        <v>40</v>
      </c>
      <c r="K93" s="90" t="n"/>
      <c r="L93" s="90" t="n">
        <v>40</v>
      </c>
      <c r="M93" s="93" t="n">
        <v>120</v>
      </c>
      <c r="N93" s="94" t="n">
        <v>27</v>
      </c>
      <c r="O93" s="95" t="n">
        <v>3240</v>
      </c>
    </row>
    <row r="94" ht="18" customHeight="1">
      <c r="F94" s="85" t="n">
        <v>3</v>
      </c>
      <c r="G94" s="86" t="inlineStr">
        <is>
          <t>DR-01 - DOBLE RODILLO/VIBROCOMPACTADOR DE RODILLOS HAMM 120HD VV</t>
        </is>
      </c>
      <c r="H94" s="96" t="n"/>
      <c r="I94" s="85" t="n">
        <v>100</v>
      </c>
      <c r="J94" s="85" t="n">
        <v>50</v>
      </c>
      <c r="K94" s="85" t="n"/>
      <c r="L94" s="85" t="n">
        <v>100</v>
      </c>
      <c r="M94" s="88" t="n">
        <v>250</v>
      </c>
      <c r="N94" s="55" t="n">
        <v>27</v>
      </c>
      <c r="O94" s="89" t="n">
        <v>6750</v>
      </c>
    </row>
    <row r="95" ht="18" customHeight="1">
      <c r="F95" s="90" t="n">
        <v>4</v>
      </c>
      <c r="G95" s="91" t="inlineStr">
        <is>
          <t>EX-01 - Excavadora</t>
        </is>
      </c>
      <c r="H95" s="92" t="n"/>
      <c r="I95" s="90" t="n"/>
      <c r="J95" s="90" t="n">
        <v>63</v>
      </c>
      <c r="K95" s="90" t="n"/>
      <c r="L95" s="90" t="n">
        <v>60</v>
      </c>
      <c r="M95" s="93" t="n">
        <v>123</v>
      </c>
      <c r="N95" s="94" t="n">
        <v>27</v>
      </c>
      <c r="O95" s="95" t="n">
        <v>3321</v>
      </c>
    </row>
    <row r="96" ht="18" customHeight="1">
      <c r="F96" s="85" t="n">
        <v>5</v>
      </c>
      <c r="G96" s="86" t="inlineStr">
        <is>
          <t>NM-01 - NEUMATICO / COMPACTADOR DE NEUMATICOS DINAPAC CP271</t>
        </is>
      </c>
      <c r="H96" s="96" t="n"/>
      <c r="I96" s="85" t="n">
        <v>47</v>
      </c>
      <c r="J96" s="85" t="n">
        <v>20</v>
      </c>
      <c r="K96" s="85" t="n"/>
      <c r="L96" s="85" t="n">
        <v>39</v>
      </c>
      <c r="M96" s="88" t="n">
        <v>106</v>
      </c>
      <c r="N96" s="55" t="n">
        <v>27</v>
      </c>
      <c r="O96" s="89" t="n">
        <v>2862</v>
      </c>
    </row>
    <row r="97" ht="18" customHeight="1">
      <c r="F97" s="90" t="n">
        <v>6</v>
      </c>
      <c r="G97" s="91" t="inlineStr">
        <is>
          <t>NM-08 - NEUMATICO PF-300B</t>
        </is>
      </c>
      <c r="H97" s="92" t="n"/>
      <c r="I97" s="90" t="n">
        <v>200</v>
      </c>
      <c r="J97" s="90" t="n"/>
      <c r="K97" s="90" t="n"/>
      <c r="L97" s="90" t="n"/>
      <c r="M97" s="93" t="n">
        <v>200</v>
      </c>
      <c r="N97" s="94" t="n">
        <v>27</v>
      </c>
      <c r="O97" s="95" t="n">
        <v>5400</v>
      </c>
    </row>
    <row r="98" ht="18" customHeight="1">
      <c r="F98" s="85" t="n">
        <v>7</v>
      </c>
      <c r="G98" s="86" t="inlineStr">
        <is>
          <t>NM-09 - NEUMATICO HAMM 208</t>
        </is>
      </c>
      <c r="H98" s="96" t="n"/>
      <c r="I98" s="85" t="n">
        <v>50</v>
      </c>
      <c r="J98" s="85" t="n">
        <v>50</v>
      </c>
      <c r="K98" s="85" t="n"/>
      <c r="L98" s="85" t="n">
        <v>50</v>
      </c>
      <c r="M98" s="88" t="n">
        <v>150</v>
      </c>
      <c r="N98" s="55" t="n">
        <v>27</v>
      </c>
      <c r="O98" s="89" t="n">
        <v>4050</v>
      </c>
    </row>
    <row r="99" ht="18" customHeight="1">
      <c r="F99" s="90" t="n">
        <v>8</v>
      </c>
      <c r="G99" s="91" t="inlineStr">
        <is>
          <t>PRR-01 - Perfiladora(Rentada)</t>
        </is>
      </c>
      <c r="H99" s="92" t="n"/>
      <c r="I99" s="90" t="n">
        <v>400</v>
      </c>
      <c r="J99" s="90" t="n">
        <v>400</v>
      </c>
      <c r="K99" s="90" t="n"/>
      <c r="L99" s="90" t="n">
        <v>400</v>
      </c>
      <c r="M99" s="93" t="n">
        <v>1200</v>
      </c>
      <c r="N99" s="94" t="n">
        <v>27</v>
      </c>
      <c r="O99" s="95" t="n">
        <v>32400</v>
      </c>
    </row>
    <row r="100" ht="18" customHeight="1">
      <c r="F100" s="85" t="n">
        <v>9</v>
      </c>
      <c r="G100" s="86" t="inlineStr">
        <is>
          <t>PT-01 - PETROLIZADORA (IMPACTO 04) FORD F800</t>
        </is>
      </c>
      <c r="H100" s="96" t="n"/>
      <c r="I100" s="85" t="n">
        <v>60</v>
      </c>
      <c r="J100" s="85" t="n">
        <v>50</v>
      </c>
      <c r="K100" s="85" t="n"/>
      <c r="L100" s="85" t="n">
        <v>77</v>
      </c>
      <c r="M100" s="88" t="n">
        <v>187</v>
      </c>
      <c r="N100" s="55" t="n">
        <v>27</v>
      </c>
      <c r="O100" s="89" t="n">
        <v>5049</v>
      </c>
    </row>
    <row r="101" ht="18" customHeight="1">
      <c r="F101" s="90" t="n">
        <v>10</v>
      </c>
      <c r="G101" s="91" t="inlineStr">
        <is>
          <t>RT-05 - RETROEXCAVADORA JHONDEREE 310SK</t>
        </is>
      </c>
      <c r="H101" s="92" t="n"/>
      <c r="I101" s="90" t="n">
        <v>60</v>
      </c>
      <c r="J101" s="90" t="n"/>
      <c r="K101" s="90" t="n">
        <v>40</v>
      </c>
      <c r="L101" s="90" t="n"/>
      <c r="M101" s="93" t="n">
        <v>100</v>
      </c>
      <c r="N101" s="94" t="n">
        <v>27</v>
      </c>
      <c r="O101" s="95" t="n">
        <v>2700</v>
      </c>
    </row>
    <row r="102" ht="18" customHeight="1">
      <c r="F102" s="85" t="n">
        <v>11</v>
      </c>
      <c r="G102" s="86" t="inlineStr">
        <is>
          <t>VC-01 - VIBROCOMPACTADOR CATERPILLAR CB66B</t>
        </is>
      </c>
      <c r="H102" s="96" t="n"/>
      <c r="I102" s="85" t="n"/>
      <c r="J102" s="85" t="n">
        <v>50</v>
      </c>
      <c r="K102" s="85" t="n"/>
      <c r="L102" s="85" t="n"/>
      <c r="M102" s="88" t="n">
        <v>50</v>
      </c>
      <c r="N102" s="55" t="n">
        <v>27</v>
      </c>
      <c r="O102" s="89" t="n">
        <v>1350</v>
      </c>
    </row>
    <row r="103" ht="18" customHeight="1">
      <c r="F103" s="90" t="n">
        <v>12</v>
      </c>
      <c r="G103" s="91" t="inlineStr">
        <is>
          <t>VG-01 - PAVIMENTADORA VOGELE 1800-3 i</t>
        </is>
      </c>
      <c r="H103" s="92" t="n"/>
      <c r="I103" s="90" t="n"/>
      <c r="J103" s="90" t="n">
        <v>190</v>
      </c>
      <c r="K103" s="90" t="n"/>
      <c r="L103" s="90" t="n">
        <v>160</v>
      </c>
      <c r="M103" s="93" t="n">
        <v>350</v>
      </c>
      <c r="N103" s="94" t="n">
        <v>27</v>
      </c>
      <c r="O103" s="95" t="n">
        <v>9450</v>
      </c>
    </row>
    <row r="104" ht="20" customHeight="1">
      <c r="F104" s="80" t="inlineStr">
        <is>
          <t>TOTAL LITROS</t>
        </is>
      </c>
      <c r="G104" s="131" t="n"/>
      <c r="H104" s="132" t="n"/>
      <c r="I104" s="98" t="n">
        <v>957</v>
      </c>
      <c r="J104" s="98" t="n">
        <v>953.1799999999999</v>
      </c>
      <c r="K104" s="97" t="n">
        <v>40</v>
      </c>
      <c r="L104" s="98" t="n">
        <v>926</v>
      </c>
      <c r="M104" s="80" t="n">
        <v>2876.18</v>
      </c>
      <c r="N104" s="15" t="n"/>
      <c r="O104" s="16" t="n">
        <v>77656.86</v>
      </c>
    </row>
    <row r="105" ht="20" customHeight="1">
      <c r="F105" s="99" t="inlineStr">
        <is>
          <t>IMPORTE SEMANAL AUTORIZADO: $103,950.00  (Litros aut.: 3,850.00 L)</t>
        </is>
      </c>
      <c r="G105" s="131" t="n"/>
      <c r="H105" s="131" t="n"/>
      <c r="I105" s="131" t="n"/>
      <c r="J105" s="131" t="n"/>
      <c r="K105" s="131" t="n"/>
      <c r="L105" s="131" t="n"/>
      <c r="M105" s="131" t="n"/>
      <c r="N105" s="132" t="n"/>
      <c r="O105" s="101" t="n">
        <v>77656.86</v>
      </c>
    </row>
    <row r="108" ht="22" customHeight="1">
      <c r="F108" s="81" t="inlineStr">
        <is>
          <t>ING. DIEGO CARREOLA</t>
        </is>
      </c>
      <c r="G108" s="131" t="n"/>
      <c r="H108" s="131" t="n"/>
      <c r="I108" s="131" t="n"/>
      <c r="J108" s="131" t="n"/>
      <c r="K108" s="131" t="n"/>
      <c r="L108" s="131" t="n"/>
      <c r="M108" s="131" t="n"/>
      <c r="N108" s="131" t="n"/>
      <c r="O108" s="131" t="n"/>
      <c r="P108" s="132" t="n"/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20/07</t>
        </is>
      </c>
      <c r="J109" s="4" t="inlineStr">
        <is>
          <t>Mar
21/07</t>
        </is>
      </c>
      <c r="K109" s="4" t="inlineStr">
        <is>
          <t>Mié
22/07</t>
        </is>
      </c>
      <c r="L109" s="4" t="inlineStr">
        <is>
          <t>Jue
23/07</t>
        </is>
      </c>
      <c r="M109" s="4" t="inlineStr">
        <is>
          <t>Vie
24/07</t>
        </is>
      </c>
      <c r="N109" s="4" t="inlineStr">
        <is>
          <t>LITROS
TOTAL</t>
        </is>
      </c>
      <c r="O109" s="4" t="inlineStr">
        <is>
          <t>PRECIO
UNIT.</t>
        </is>
      </c>
      <c r="P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Desasolve</t>
        </is>
      </c>
      <c r="J110" s="84" t="inlineStr">
        <is>
          <t>Desasolve</t>
        </is>
      </c>
      <c r="K110" s="84" t="inlineStr">
        <is>
          <t>Desasolve</t>
        </is>
      </c>
      <c r="L110" s="84" t="inlineStr">
        <is>
          <t>Desasolve</t>
        </is>
      </c>
      <c r="M110" s="84" t="inlineStr">
        <is>
          <t>Desasolve</t>
        </is>
      </c>
      <c r="N110" s="82" t="n"/>
      <c r="O110" s="82" t="n"/>
      <c r="P110" s="82" t="n"/>
    </row>
    <row r="111" ht="18" customHeight="1">
      <c r="F111" s="85" t="n">
        <v>1</v>
      </c>
      <c r="G111" s="86" t="inlineStr">
        <is>
          <t>AJUSTE DIESEL</t>
        </is>
      </c>
      <c r="H111" s="87" t="n">
        <v>6300</v>
      </c>
      <c r="I111" s="85" t="n"/>
      <c r="J111" s="85" t="n"/>
      <c r="K111" s="85" t="n"/>
      <c r="L111" s="85" t="n">
        <v>-246</v>
      </c>
      <c r="M111" s="85" t="n"/>
      <c r="N111" s="88" t="n">
        <v>-246</v>
      </c>
      <c r="O111" s="55" t="n">
        <v>27</v>
      </c>
      <c r="P111" s="89" t="n">
        <v>-6642</v>
      </c>
    </row>
    <row r="112" ht="18" customHeight="1">
      <c r="F112" s="90" t="n">
        <v>2</v>
      </c>
      <c r="G112" s="91" t="inlineStr">
        <is>
          <t>EXCAVADORA CAT 320 D2</t>
        </is>
      </c>
      <c r="H112" s="92" t="n"/>
      <c r="I112" s="90" t="n">
        <v>200</v>
      </c>
      <c r="J112" s="90" t="n">
        <v>180</v>
      </c>
      <c r="K112" s="90" t="n"/>
      <c r="L112" s="90" t="n">
        <v>200</v>
      </c>
      <c r="M112" s="90" t="n">
        <v>120</v>
      </c>
      <c r="N112" s="93" t="n">
        <v>700</v>
      </c>
      <c r="O112" s="94" t="n">
        <v>27</v>
      </c>
      <c r="P112" s="95" t="n">
        <v>18900</v>
      </c>
    </row>
    <row r="113" ht="18" customHeight="1">
      <c r="F113" s="85" t="n">
        <v>3</v>
      </c>
      <c r="G113" s="86" t="inlineStr">
        <is>
          <t>EXCAVADORA CAT 320D</t>
        </is>
      </c>
      <c r="H113" s="96" t="n"/>
      <c r="I113" s="85" t="n">
        <v>200</v>
      </c>
      <c r="J113" s="85" t="n">
        <v>180</v>
      </c>
      <c r="K113" s="85" t="n">
        <v>180</v>
      </c>
      <c r="L113" s="85" t="n">
        <v>120</v>
      </c>
      <c r="M113" s="85" t="n">
        <v>120</v>
      </c>
      <c r="N113" s="88" t="n">
        <v>800</v>
      </c>
      <c r="O113" s="55" t="n">
        <v>27</v>
      </c>
      <c r="P113" s="89" t="n">
        <v>21600</v>
      </c>
    </row>
    <row r="114" ht="18" customHeight="1">
      <c r="F114" s="90" t="n">
        <v>4</v>
      </c>
      <c r="G114" s="91" t="inlineStr">
        <is>
          <t>EXCAVADORA CAT 320D RR</t>
        </is>
      </c>
      <c r="H114" s="92" t="n"/>
      <c r="I114" s="90" t="n">
        <v>200</v>
      </c>
      <c r="J114" s="90" t="n">
        <v>180</v>
      </c>
      <c r="K114" s="90" t="n"/>
      <c r="L114" s="90" t="n">
        <v>200</v>
      </c>
      <c r="M114" s="90" t="n">
        <v>120</v>
      </c>
      <c r="N114" s="93" t="n">
        <v>700</v>
      </c>
      <c r="O114" s="94" t="n">
        <v>27</v>
      </c>
      <c r="P114" s="95" t="n">
        <v>18900</v>
      </c>
    </row>
    <row r="115" ht="18" customHeight="1">
      <c r="F115" s="85" t="n">
        <v>5</v>
      </c>
      <c r="G115" s="86" t="inlineStr">
        <is>
          <t>EXCAVADORA CAT 324 DL</t>
        </is>
      </c>
      <c r="H115" s="96" t="n"/>
      <c r="I115" s="85" t="n">
        <v>200</v>
      </c>
      <c r="J115" s="85" t="n">
        <v>180</v>
      </c>
      <c r="K115" s="85" t="n">
        <v>180</v>
      </c>
      <c r="L115" s="85" t="n">
        <v>120</v>
      </c>
      <c r="M115" s="85" t="n">
        <v>71</v>
      </c>
      <c r="N115" s="88" t="n">
        <v>751</v>
      </c>
      <c r="O115" s="55" t="n">
        <v>27</v>
      </c>
      <c r="P115" s="89" t="n">
        <v>20277</v>
      </c>
    </row>
    <row r="116" ht="18" customHeight="1">
      <c r="F116" s="90" t="n">
        <v>6</v>
      </c>
      <c r="G116" s="91" t="inlineStr">
        <is>
          <t>RETROEXCAVADORA CASE 2 CASE 580N</t>
        </is>
      </c>
      <c r="H116" s="92" t="n"/>
      <c r="I116" s="90" t="n"/>
      <c r="J116" s="90" t="n">
        <v>50</v>
      </c>
      <c r="K116" s="90" t="n"/>
      <c r="L116" s="90" t="n">
        <v>115</v>
      </c>
      <c r="M116" s="90" t="n"/>
      <c r="N116" s="93" t="n">
        <v>165</v>
      </c>
      <c r="O116" s="94" t="n">
        <v>27</v>
      </c>
      <c r="P116" s="95" t="n">
        <v>4455</v>
      </c>
    </row>
    <row r="117" ht="18" customHeight="1">
      <c r="F117" s="85" t="n">
        <v>7</v>
      </c>
      <c r="G117" s="86" t="inlineStr">
        <is>
          <t>RETROEXCAVADORA CASE 580N</t>
        </is>
      </c>
      <c r="H117" s="96" t="n"/>
      <c r="I117" s="85" t="n">
        <v>30</v>
      </c>
      <c r="J117" s="85" t="n">
        <v>117</v>
      </c>
      <c r="K117" s="85" t="n">
        <v>46</v>
      </c>
      <c r="L117" s="85" t="n"/>
      <c r="M117" s="85" t="n">
        <v>37</v>
      </c>
      <c r="N117" s="88" t="n">
        <v>230</v>
      </c>
      <c r="O117" s="55" t="n">
        <v>27</v>
      </c>
      <c r="P117" s="89" t="n">
        <v>6210</v>
      </c>
    </row>
    <row r="118" ht="18" customHeight="1">
      <c r="F118" s="90" t="n">
        <v>8</v>
      </c>
      <c r="G118" s="91" t="inlineStr">
        <is>
          <t>RETROEXCAVADORA CAT 420 D</t>
        </is>
      </c>
      <c r="H118" s="92" t="n"/>
      <c r="I118" s="90" t="n">
        <v>100</v>
      </c>
      <c r="J118" s="90" t="n">
        <v>80</v>
      </c>
      <c r="K118" s="90" t="n">
        <v>45</v>
      </c>
      <c r="L118" s="90" t="n">
        <v>120</v>
      </c>
      <c r="M118" s="90" t="n">
        <v>81</v>
      </c>
      <c r="N118" s="93" t="n">
        <v>426</v>
      </c>
      <c r="O118" s="94" t="n">
        <v>27</v>
      </c>
      <c r="P118" s="95" t="n">
        <v>11502</v>
      </c>
    </row>
    <row r="119" ht="18" customHeight="1">
      <c r="F119" s="85" t="n">
        <v>9</v>
      </c>
      <c r="G119" s="86" t="inlineStr">
        <is>
          <t>RETROEXCAVADORA CAT 420 E</t>
        </is>
      </c>
      <c r="H119" s="96" t="n"/>
      <c r="I119" s="85" t="n">
        <v>50</v>
      </c>
      <c r="J119" s="85" t="n">
        <v>40</v>
      </c>
      <c r="K119" s="85" t="n"/>
      <c r="L119" s="85" t="n">
        <v>80</v>
      </c>
      <c r="M119" s="85" t="n"/>
      <c r="N119" s="88" t="n">
        <v>170</v>
      </c>
      <c r="O119" s="55" t="n">
        <v>27</v>
      </c>
      <c r="P119" s="89" t="n">
        <v>4590</v>
      </c>
    </row>
    <row r="120" ht="20" customHeight="1">
      <c r="F120" s="80" t="inlineStr">
        <is>
          <t>TOTAL LITROS</t>
        </is>
      </c>
      <c r="G120" s="131" t="n"/>
      <c r="H120" s="132" t="n"/>
      <c r="I120" s="98" t="n">
        <v>980</v>
      </c>
      <c r="J120" s="98" t="n">
        <v>1007</v>
      </c>
      <c r="K120" s="97" t="n">
        <v>451</v>
      </c>
      <c r="L120" s="97" t="n">
        <v>709</v>
      </c>
      <c r="M120" s="97" t="n">
        <v>549</v>
      </c>
      <c r="N120" s="80" t="n">
        <v>3696</v>
      </c>
      <c r="O120" s="15" t="n"/>
      <c r="P120" s="16" t="n">
        <v>99792</v>
      </c>
    </row>
    <row r="121" ht="20" customHeight="1">
      <c r="F121" s="99" t="inlineStr">
        <is>
          <t>IMPORTE SEMANAL AUTORIZADO: $170,100.00  (Litros aut.: 6,300.00 L)</t>
        </is>
      </c>
      <c r="G121" s="131" t="n"/>
      <c r="H121" s="131" t="n"/>
      <c r="I121" s="131" t="n"/>
      <c r="J121" s="131" t="n"/>
      <c r="K121" s="131" t="n"/>
      <c r="L121" s="131" t="n"/>
      <c r="M121" s="131" t="n"/>
      <c r="N121" s="131" t="n"/>
      <c r="O121" s="132" t="n"/>
      <c r="P121" s="101" t="n">
        <v>99792</v>
      </c>
    </row>
    <row r="124" ht="22" customHeight="1">
      <c r="F124" s="81" t="inlineStr">
        <is>
          <t>JACK</t>
        </is>
      </c>
      <c r="G124" s="131" t="n"/>
      <c r="H124" s="131" t="n"/>
      <c r="I124" s="131" t="n"/>
      <c r="J124" s="131" t="n"/>
      <c r="K124" s="131" t="n"/>
      <c r="L124" s="131" t="n"/>
      <c r="M124" s="131" t="n"/>
      <c r="N124" s="132" t="n"/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20/07</t>
        </is>
      </c>
      <c r="J125" s="4" t="inlineStr">
        <is>
          <t>Mié
22/07</t>
        </is>
      </c>
      <c r="K125" s="4" t="inlineStr">
        <is>
          <t>Jue
23/07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Pegaso</t>
        </is>
      </c>
      <c r="J126" s="84" t="inlineStr">
        <is>
          <t>Planta Pegaso</t>
        </is>
      </c>
      <c r="K126" s="84" t="inlineStr">
        <is>
          <t>Planta Pegaso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-812</v>
      </c>
      <c r="L127" s="88" t="n">
        <v>-812</v>
      </c>
      <c r="M127" s="55" t="n">
        <v>27</v>
      </c>
      <c r="N127" s="89" t="n">
        <v>-21924</v>
      </c>
    </row>
    <row r="128" ht="18" customHeight="1">
      <c r="F128" s="90" t="n">
        <v>2</v>
      </c>
      <c r="G128" s="91" t="inlineStr">
        <is>
          <t>CALDERA</t>
        </is>
      </c>
      <c r="H128" s="92" t="n"/>
      <c r="I128" s="90" t="n"/>
      <c r="J128" s="90" t="n">
        <v>700</v>
      </c>
      <c r="K128" s="90" t="n"/>
      <c r="L128" s="93" t="n">
        <v>700</v>
      </c>
      <c r="M128" s="94" t="n">
        <v>27</v>
      </c>
      <c r="N128" s="95" t="n">
        <v>18900</v>
      </c>
    </row>
    <row r="129" ht="18" customHeight="1">
      <c r="F129" s="85" t="n">
        <v>3</v>
      </c>
      <c r="G129" s="86" t="inlineStr">
        <is>
          <t>CD-01 - CALDERA PEGASO</t>
        </is>
      </c>
      <c r="H129" s="96" t="n"/>
      <c r="I129" s="85" t="n">
        <v>632</v>
      </c>
      <c r="J129" s="85" t="n"/>
      <c r="K129" s="85" t="n"/>
      <c r="L129" s="88" t="n">
        <v>632</v>
      </c>
      <c r="M129" s="55" t="n">
        <v>27</v>
      </c>
      <c r="N129" s="89" t="n">
        <v>17064</v>
      </c>
    </row>
    <row r="130" ht="18" customHeight="1">
      <c r="F130" s="90" t="n">
        <v>4</v>
      </c>
      <c r="G130" s="91" t="inlineStr">
        <is>
          <t>GN-01 - Generador</t>
        </is>
      </c>
      <c r="H130" s="92" t="n"/>
      <c r="I130" s="90" t="n"/>
      <c r="J130" s="90" t="n">
        <v>20</v>
      </c>
      <c r="K130" s="90" t="n"/>
      <c r="L130" s="93" t="n">
        <v>20</v>
      </c>
      <c r="M130" s="94" t="n">
        <v>27</v>
      </c>
      <c r="N130" s="95" t="n">
        <v>540</v>
      </c>
    </row>
    <row r="131" ht="18" customHeight="1">
      <c r="F131" s="85" t="n">
        <v>5</v>
      </c>
      <c r="G131" s="86" t="inlineStr">
        <is>
          <t>PL-02 - Payloder 644k</t>
        </is>
      </c>
      <c r="H131" s="96" t="n"/>
      <c r="I131" s="85" t="n">
        <v>168</v>
      </c>
      <c r="J131" s="85" t="n">
        <v>100</v>
      </c>
      <c r="K131" s="85" t="n"/>
      <c r="L131" s="88" t="n">
        <v>268</v>
      </c>
      <c r="M131" s="55" t="n">
        <v>27</v>
      </c>
      <c r="N131" s="89" t="n">
        <v>7236</v>
      </c>
    </row>
    <row r="132" ht="20" customHeight="1">
      <c r="F132" s="80" t="inlineStr">
        <is>
          <t>TOTAL LITROS</t>
        </is>
      </c>
      <c r="G132" s="131" t="n"/>
      <c r="H132" s="132" t="n"/>
      <c r="I132" s="98" t="n">
        <v>800</v>
      </c>
      <c r="J132" s="98" t="n">
        <v>820</v>
      </c>
      <c r="K132" s="97" t="n">
        <v>-812</v>
      </c>
      <c r="L132" s="80" t="n">
        <v>808</v>
      </c>
      <c r="M132" s="15" t="n"/>
      <c r="N132" s="16" t="n">
        <v>21816</v>
      </c>
    </row>
    <row r="133" ht="20" customHeight="1">
      <c r="F133" s="99" t="inlineStr">
        <is>
          <t>IMPORTE SEMANAL AUTORIZADO: $75,600.00  (Litros aut.: 2,800.00 L)</t>
        </is>
      </c>
      <c r="G133" s="131" t="n"/>
      <c r="H133" s="131" t="n"/>
      <c r="I133" s="131" t="n"/>
      <c r="J133" s="131" t="n"/>
      <c r="K133" s="131" t="n"/>
      <c r="L133" s="131" t="n"/>
      <c r="M133" s="132" t="n"/>
      <c r="N133" s="101" t="n">
        <v>21816</v>
      </c>
    </row>
    <row r="136" ht="22" customHeight="1">
      <c r="F136" s="81" t="inlineStr">
        <is>
          <t>LUIS</t>
        </is>
      </c>
      <c r="G136" s="131" t="n"/>
      <c r="H136" s="131" t="n"/>
      <c r="I136" s="131" t="n"/>
      <c r="J136" s="131" t="n"/>
      <c r="K136" s="131" t="n"/>
      <c r="L136" s="131" t="n"/>
      <c r="M136" s="131" t="n"/>
      <c r="N136" s="131" t="n"/>
      <c r="O136" s="132" t="n"/>
    </row>
    <row r="137" ht="28" customHeight="1">
      <c r="F137" s="4" t="inlineStr">
        <is>
          <t>#</t>
        </is>
      </c>
      <c r="G137" s="4" t="inlineStr">
        <is>
          <t>EQUIPO / MAQUINARIA</t>
        </is>
      </c>
      <c r="H137" s="4" t="inlineStr">
        <is>
          <t>LTS. SEM.
AUT.</t>
        </is>
      </c>
      <c r="I137" s="4" t="inlineStr">
        <is>
          <t>Lun
20/07</t>
        </is>
      </c>
      <c r="J137" s="4" t="inlineStr">
        <is>
          <t>Jue
23/07</t>
        </is>
      </c>
      <c r="K137" s="4" t="inlineStr">
        <is>
          <t>Vie
24/07</t>
        </is>
      </c>
      <c r="L137" s="4" t="inlineStr">
        <is>
          <t>Sáb
25/07</t>
        </is>
      </c>
      <c r="M137" s="4" t="inlineStr">
        <is>
          <t>LITROS
TOTAL</t>
        </is>
      </c>
      <c r="N137" s="4" t="inlineStr">
        <is>
          <t>PRECIO
UNIT.</t>
        </is>
      </c>
      <c r="O137" s="4" t="inlineStr">
        <is>
          <t>TOTAL $</t>
        </is>
      </c>
    </row>
    <row r="138" ht="22" customHeight="1">
      <c r="F138" s="82" t="n"/>
      <c r="G138" s="83" t="inlineStr">
        <is>
          <t>OBRA DESTINO</t>
        </is>
      </c>
      <c r="H138" s="82" t="n"/>
      <c r="I138" s="84" t="inlineStr">
        <is>
          <t>Planta Pegaso</t>
        </is>
      </c>
      <c r="J138" s="84" t="inlineStr">
        <is>
          <t>Planta Huixquilucan</t>
        </is>
      </c>
      <c r="K138" s="84" t="inlineStr">
        <is>
          <t>Planta Huixquilucan</t>
        </is>
      </c>
      <c r="L138" s="84" t="inlineStr">
        <is>
          <t>Planta Huixquilucan</t>
        </is>
      </c>
      <c r="M138" s="82" t="n"/>
      <c r="N138" s="82" t="n"/>
      <c r="O138" s="82" t="n"/>
    </row>
    <row r="139" ht="18" customHeight="1">
      <c r="F139" s="85" t="n">
        <v>1</v>
      </c>
      <c r="G139" s="86" t="inlineStr">
        <is>
          <t>AJUSTE DIESEL</t>
        </is>
      </c>
      <c r="H139" s="87" t="n">
        <v>2800</v>
      </c>
      <c r="I139" s="85" t="n"/>
      <c r="J139" s="85" t="n">
        <v>808</v>
      </c>
      <c r="K139" s="85" t="n"/>
      <c r="L139" s="85" t="n"/>
      <c r="M139" s="88" t="n">
        <v>808</v>
      </c>
      <c r="N139" s="55" t="n">
        <v>27</v>
      </c>
      <c r="O139" s="89" t="n">
        <v>21816</v>
      </c>
    </row>
    <row r="140" ht="18" customHeight="1">
      <c r="F140" s="90" t="n">
        <v>2</v>
      </c>
      <c r="G140" s="91" t="inlineStr">
        <is>
          <t>CALDERA PLANTA  AH</t>
        </is>
      </c>
      <c r="H140" s="92" t="n"/>
      <c r="I140" s="90" t="n"/>
      <c r="J140" s="90" t="n"/>
      <c r="K140" s="90" t="n">
        <v>200</v>
      </c>
      <c r="L140" s="90" t="n"/>
      <c r="M140" s="93" t="n">
        <v>200</v>
      </c>
      <c r="N140" s="94" t="n">
        <v>27</v>
      </c>
      <c r="O140" s="95" t="n">
        <v>5400</v>
      </c>
    </row>
    <row r="141" ht="18" customHeight="1">
      <c r="F141" s="85" t="n">
        <v>3</v>
      </c>
      <c r="G141" s="86" t="inlineStr">
        <is>
          <t>GN-01 - Generador</t>
        </is>
      </c>
      <c r="H141" s="96" t="n"/>
      <c r="I141" s="85" t="n">
        <v>800</v>
      </c>
      <c r="J141" s="85" t="n"/>
      <c r="K141" s="85" t="n"/>
      <c r="L141" s="85" t="n"/>
      <c r="M141" s="88" t="n">
        <v>800</v>
      </c>
      <c r="N141" s="55" t="n">
        <v>27</v>
      </c>
      <c r="O141" s="89" t="n">
        <v>21600</v>
      </c>
    </row>
    <row r="142" ht="18" customHeight="1">
      <c r="F142" s="90" t="n">
        <v>4</v>
      </c>
      <c r="G142" s="91" t="inlineStr">
        <is>
          <t>Generador</t>
        </is>
      </c>
      <c r="H142" s="92" t="n"/>
      <c r="I142" s="90" t="n"/>
      <c r="J142" s="90" t="n">
        <v>200</v>
      </c>
      <c r="K142" s="90" t="n">
        <v>400</v>
      </c>
      <c r="L142" s="90" t="n">
        <v>650</v>
      </c>
      <c r="M142" s="93" t="n">
        <v>1250</v>
      </c>
      <c r="N142" s="94" t="n">
        <v>27</v>
      </c>
      <c r="O142" s="95" t="n">
        <v>33750</v>
      </c>
    </row>
    <row r="143" ht="18" customHeight="1">
      <c r="F143" s="85" t="n">
        <v>5</v>
      </c>
      <c r="G143" s="86" t="inlineStr">
        <is>
          <t>PAYLOADER</t>
        </is>
      </c>
      <c r="H143" s="96" t="n"/>
      <c r="I143" s="85" t="n"/>
      <c r="J143" s="85" t="n">
        <v>100</v>
      </c>
      <c r="K143" s="85" t="n"/>
      <c r="L143" s="85" t="n"/>
      <c r="M143" s="88" t="n">
        <v>100</v>
      </c>
      <c r="N143" s="55" t="n">
        <v>27</v>
      </c>
      <c r="O143" s="89" t="n">
        <v>2700</v>
      </c>
    </row>
    <row r="144" ht="20" customHeight="1">
      <c r="F144" s="80" t="inlineStr">
        <is>
          <t>TOTAL LITROS</t>
        </is>
      </c>
      <c r="G144" s="131" t="n"/>
      <c r="H144" s="132" t="n"/>
      <c r="I144" s="98" t="n">
        <v>800</v>
      </c>
      <c r="J144" s="98" t="n">
        <v>1108</v>
      </c>
      <c r="K144" s="98" t="n">
        <v>600</v>
      </c>
      <c r="L144" s="98" t="n">
        <v>650</v>
      </c>
      <c r="M144" s="80" t="n">
        <v>3158</v>
      </c>
      <c r="N144" s="15" t="n"/>
      <c r="O144" s="16" t="n">
        <v>85266</v>
      </c>
    </row>
    <row r="145" ht="20" customHeight="1">
      <c r="F145" s="99" t="inlineStr">
        <is>
          <t>IMPORTE SEMANAL AUTORIZADO: $75,600.00  (Litros aut.: 2,800.00 L)</t>
        </is>
      </c>
      <c r="G145" s="131" t="n"/>
      <c r="H145" s="131" t="n"/>
      <c r="I145" s="131" t="n"/>
      <c r="J145" s="131" t="n"/>
      <c r="K145" s="131" t="n"/>
      <c r="L145" s="131" t="n"/>
      <c r="M145" s="131" t="n"/>
      <c r="N145" s="132" t="n"/>
      <c r="O145" s="130" t="n">
        <v>85266</v>
      </c>
    </row>
    <row r="148" ht="22" customHeight="1">
      <c r="F148" s="81" t="inlineStr">
        <is>
          <t>SAMUEL</t>
        </is>
      </c>
      <c r="G148" s="131" t="n"/>
      <c r="H148" s="131" t="n"/>
      <c r="I148" s="131" t="n"/>
      <c r="J148" s="131" t="n"/>
      <c r="K148" s="131" t="n"/>
      <c r="L148" s="131" t="n"/>
      <c r="M148" s="132" t="n"/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Lun
20/07</t>
        </is>
      </c>
      <c r="J149" s="4" t="inlineStr">
        <is>
          <t>Jue
23/07</t>
        </is>
      </c>
      <c r="K149" s="4" t="inlineStr">
        <is>
          <t>LITROS
TOTAL</t>
        </is>
      </c>
      <c r="L149" s="4" t="inlineStr">
        <is>
          <t>PRECIO
UNIT.</t>
        </is>
      </c>
      <c r="M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Providencia</t>
        </is>
      </c>
      <c r="J150" s="84" t="inlineStr">
        <is>
          <t>Providencia</t>
        </is>
      </c>
      <c r="K150" s="82" t="n"/>
      <c r="L150" s="82" t="n"/>
      <c r="M150" s="82" t="n"/>
    </row>
    <row r="151" ht="18" customHeight="1">
      <c r="F151" s="85" t="n">
        <v>1</v>
      </c>
      <c r="G151" s="86" t="inlineStr">
        <is>
          <t>AJUSTE DIESEL</t>
        </is>
      </c>
      <c r="H151" s="96" t="n"/>
      <c r="I151" s="85" t="n"/>
      <c r="J151" s="85" t="n">
        <v>221</v>
      </c>
      <c r="K151" s="88" t="n">
        <v>221</v>
      </c>
      <c r="L151" s="55" t="n">
        <v>27</v>
      </c>
      <c r="M151" s="89" t="n">
        <v>5967</v>
      </c>
    </row>
    <row r="152" ht="18" customHeight="1">
      <c r="F152" s="90" t="n">
        <v>2</v>
      </c>
      <c r="G152" s="91" t="inlineStr">
        <is>
          <t>BR-01 - BARREDORA BROCE RJ350</t>
        </is>
      </c>
      <c r="H152" s="92" t="n"/>
      <c r="I152" s="90" t="n">
        <v>44</v>
      </c>
      <c r="J152" s="90" t="n"/>
      <c r="K152" s="93" t="n">
        <v>44</v>
      </c>
      <c r="L152" s="94" t="n">
        <v>27</v>
      </c>
      <c r="M152" s="95" t="n">
        <v>1188</v>
      </c>
    </row>
    <row r="153" ht="18" customHeight="1">
      <c r="F153" s="85" t="n">
        <v>3</v>
      </c>
      <c r="G153" s="86" t="inlineStr">
        <is>
          <t>CS-01 - CAMION DE SELLO</t>
        </is>
      </c>
      <c r="H153" s="96" t="n"/>
      <c r="I153" s="85" t="n">
        <v>50</v>
      </c>
      <c r="J153" s="85" t="n"/>
      <c r="K153" s="88" t="n">
        <v>50</v>
      </c>
      <c r="L153" s="55" t="n">
        <v>27</v>
      </c>
      <c r="M153" s="89" t="n">
        <v>1350</v>
      </c>
    </row>
    <row r="154" ht="18" customHeight="1">
      <c r="F154" s="90" t="n">
        <v>4</v>
      </c>
      <c r="G154" s="91" t="inlineStr">
        <is>
          <t>EX-01 - Excavadora</t>
        </is>
      </c>
      <c r="H154" s="92" t="n"/>
      <c r="I154" s="90" t="n">
        <v>75</v>
      </c>
      <c r="J154" s="90" t="n"/>
      <c r="K154" s="93" t="n">
        <v>75</v>
      </c>
      <c r="L154" s="94" t="n">
        <v>27</v>
      </c>
      <c r="M154" s="95" t="n">
        <v>2025</v>
      </c>
    </row>
    <row r="155" ht="18" customHeight="1">
      <c r="F155" s="85" t="n">
        <v>5</v>
      </c>
      <c r="G155" s="86" t="inlineStr">
        <is>
          <t>NM-06 - NEUMATICO INGERSOL</t>
        </is>
      </c>
      <c r="H155" s="96" t="n"/>
      <c r="I155" s="85" t="n">
        <v>20</v>
      </c>
      <c r="J155" s="85" t="n"/>
      <c r="K155" s="88" t="n">
        <v>20</v>
      </c>
      <c r="L155" s="55" t="n">
        <v>27</v>
      </c>
      <c r="M155" s="89" t="n">
        <v>540</v>
      </c>
    </row>
    <row r="156" ht="18" customHeight="1">
      <c r="F156" s="90" t="n">
        <v>6</v>
      </c>
      <c r="G156" s="91" t="inlineStr">
        <is>
          <t>NM-07 - NEUMATICO BOMANG</t>
        </is>
      </c>
      <c r="H156" s="92" t="n"/>
      <c r="I156" s="90" t="n">
        <v>50</v>
      </c>
      <c r="J156" s="90" t="n"/>
      <c r="K156" s="93" t="n">
        <v>50</v>
      </c>
      <c r="L156" s="94" t="n">
        <v>27</v>
      </c>
      <c r="M156" s="95" t="n">
        <v>1350</v>
      </c>
    </row>
    <row r="157" ht="20" customHeight="1">
      <c r="F157" s="80" t="inlineStr">
        <is>
          <t>TOTAL LITROS</t>
        </is>
      </c>
      <c r="G157" s="131" t="n"/>
      <c r="H157" s="132" t="n"/>
      <c r="I157" s="97" t="n">
        <v>239</v>
      </c>
      <c r="J157" s="97" t="n">
        <v>221</v>
      </c>
      <c r="K157" s="80" t="n">
        <v>460</v>
      </c>
      <c r="L157" s="15" t="n"/>
      <c r="M157" s="16" t="n">
        <v>12420</v>
      </c>
    </row>
    <row r="158" ht="20" customHeight="1">
      <c r="F158" s="99" t="inlineStr">
        <is>
          <t>IMPORTE SEMANAL AUTORIZADO: $0.00  (Litros aut.: 0.00 L)</t>
        </is>
      </c>
      <c r="G158" s="131" t="n"/>
      <c r="H158" s="131" t="n"/>
      <c r="I158" s="131" t="n"/>
      <c r="J158" s="131" t="n"/>
      <c r="K158" s="131" t="n"/>
      <c r="L158" s="132" t="n"/>
      <c r="M158" s="130" t="n">
        <v>12420</v>
      </c>
    </row>
    <row r="163" ht="24" customHeight="1">
      <c r="F163" s="102" t="inlineStr">
        <is>
          <t>▶ FACTURADO POR OBRA Y DÍA — DIESEL (FOLIOS, MONTOS CON IVA Y LITROS — SEMANA 30)</t>
        </is>
      </c>
      <c r="G163" s="131" t="n"/>
      <c r="H163" s="131" t="n"/>
      <c r="I163" s="131" t="n"/>
      <c r="J163" s="131" t="n"/>
      <c r="K163" s="131" t="n"/>
      <c r="L163" s="131" t="n"/>
      <c r="M163" s="131" t="n"/>
      <c r="N163" s="131" t="n"/>
      <c r="O163" s="131" t="n"/>
      <c r="P163" s="131" t="n"/>
      <c r="Q163" s="131" t="n"/>
      <c r="R163" s="131" t="n"/>
      <c r="S163" s="131" t="n"/>
      <c r="T163" s="131" t="n"/>
      <c r="U163" s="131" t="n"/>
      <c r="V163" s="131" t="n"/>
      <c r="W163" s="131" t="n"/>
      <c r="X163" s="131" t="n"/>
      <c r="Y163" s="131" t="n"/>
      <c r="Z163" s="131" t="n"/>
      <c r="AA163" s="132" t="n"/>
    </row>
    <row r="164" ht="20" customHeight="1">
      <c r="F164" s="4" t="inlineStr">
        <is>
          <t>OBRA / DESTINO</t>
        </is>
      </c>
      <c r="G164" s="4" t="inlineStr">
        <is>
          <t>LUN 20-JUL</t>
        </is>
      </c>
      <c r="H164" s="131" t="n"/>
      <c r="I164" s="132" t="n"/>
      <c r="J164" s="4" t="inlineStr">
        <is>
          <t>MAR 21-JUL</t>
        </is>
      </c>
      <c r="K164" s="131" t="n"/>
      <c r="L164" s="132" t="n"/>
      <c r="M164" s="4" t="inlineStr">
        <is>
          <t>MIÉ 22-JUL</t>
        </is>
      </c>
      <c r="N164" s="131" t="n"/>
      <c r="O164" s="132" t="n"/>
      <c r="P164" s="4" t="inlineStr">
        <is>
          <t>JUE 23-JUL</t>
        </is>
      </c>
      <c r="Q164" s="131" t="n"/>
      <c r="R164" s="132" t="n"/>
      <c r="S164" s="4" t="inlineStr">
        <is>
          <t>VIE 24-JUL</t>
        </is>
      </c>
      <c r="T164" s="131" t="n"/>
      <c r="U164" s="132" t="n"/>
      <c r="V164" s="4" t="inlineStr">
        <is>
          <t>SÁB 25-JUL</t>
        </is>
      </c>
      <c r="W164" s="131" t="n"/>
      <c r="X164" s="132" t="n"/>
      <c r="Y164" s="4" t="inlineStr">
        <is>
          <t>TOTALES ACUMULADOS</t>
        </is>
      </c>
      <c r="Z164" s="131" t="n"/>
      <c r="AA164" s="132" t="n"/>
    </row>
    <row r="165" ht="20" customHeight="1">
      <c r="F165" s="135" t="n"/>
      <c r="G165" s="4" t="inlineStr">
        <is>
          <t>FACTURA</t>
        </is>
      </c>
      <c r="H165" s="4" t="inlineStr">
        <is>
          <t>MONTO ($)</t>
        </is>
      </c>
      <c r="I165" s="4" t="inlineStr">
        <is>
          <t>LITROS</t>
        </is>
      </c>
      <c r="J165" s="4" t="inlineStr">
        <is>
          <t>FACTURA</t>
        </is>
      </c>
      <c r="K165" s="4" t="inlineStr">
        <is>
          <t>MONTO ($)</t>
        </is>
      </c>
      <c r="L165" s="4" t="inlineStr">
        <is>
          <t>LITROS</t>
        </is>
      </c>
      <c r="M165" s="4" t="inlineStr">
        <is>
          <t>FACTURA</t>
        </is>
      </c>
      <c r="N165" s="4" t="inlineStr">
        <is>
          <t>MONTO ($)</t>
        </is>
      </c>
      <c r="O165" s="4" t="inlineStr">
        <is>
          <t>LITROS</t>
        </is>
      </c>
      <c r="P165" s="4" t="inlineStr">
        <is>
          <t>FACTURA</t>
        </is>
      </c>
      <c r="Q165" s="4" t="inlineStr">
        <is>
          <t>MONTO ($)</t>
        </is>
      </c>
      <c r="R165" s="4" t="inlineStr">
        <is>
          <t>LITROS</t>
        </is>
      </c>
      <c r="S165" s="4" t="inlineStr">
        <is>
          <t>FACTURA</t>
        </is>
      </c>
      <c r="T165" s="4" t="inlineStr">
        <is>
          <t>MONTO ($)</t>
        </is>
      </c>
      <c r="U165" s="4" t="inlineStr">
        <is>
          <t>LITROS</t>
        </is>
      </c>
      <c r="V165" s="4" t="inlineStr">
        <is>
          <t>FACTURA</t>
        </is>
      </c>
      <c r="W165" s="4" t="inlineStr">
        <is>
          <t>MONTO ($)</t>
        </is>
      </c>
      <c r="X165" s="4" t="inlineStr">
        <is>
          <t>LITROS</t>
        </is>
      </c>
      <c r="Y165" s="4" t="inlineStr">
        <is>
          <t>TOTAL FACTURAS</t>
        </is>
      </c>
      <c r="Z165" s="4" t="inlineStr">
        <is>
          <t>TOTAL MONTO</t>
        </is>
      </c>
      <c r="AA165" s="4" t="inlineStr">
        <is>
          <t>TOTAL LITROS</t>
        </is>
      </c>
    </row>
    <row r="166" ht="20" customHeight="1">
      <c r="F166" s="5" t="inlineStr">
        <is>
          <t>Alfredo del Mazo</t>
        </is>
      </c>
      <c r="G166" s="116" t="inlineStr">
        <is>
          <t>A10492</t>
        </is>
      </c>
      <c r="H166" s="117" t="n">
        <v>10800.97</v>
      </c>
      <c r="I166" s="118" t="n">
        <v>400.04</v>
      </c>
      <c r="J166" s="116" t="inlineStr">
        <is>
          <t>A10532</t>
        </is>
      </c>
      <c r="K166" s="117" t="n">
        <v>5400.05</v>
      </c>
      <c r="L166" s="118" t="n">
        <v>200</v>
      </c>
      <c r="M166" s="119" t="inlineStr">
        <is>
          <t>-</t>
        </is>
      </c>
      <c r="N166" s="120" t="inlineStr">
        <is>
          <t>-</t>
        </is>
      </c>
      <c r="O166" s="120" t="inlineStr">
        <is>
          <t>-</t>
        </is>
      </c>
      <c r="P166" s="116" t="inlineStr">
        <is>
          <t>A10572</t>
        </is>
      </c>
      <c r="Q166" s="117" t="n">
        <v>14850.08</v>
      </c>
      <c r="R166" s="118" t="n">
        <v>550</v>
      </c>
      <c r="S166" s="116" t="inlineStr">
        <is>
          <t>A10577, A10583, A10588</t>
        </is>
      </c>
      <c r="T166" s="117" t="n">
        <v>56700.22</v>
      </c>
      <c r="U166" s="118" t="n">
        <v>2100</v>
      </c>
      <c r="V166" s="119" t="inlineStr">
        <is>
          <t>-</t>
        </is>
      </c>
      <c r="W166" s="120" t="inlineStr">
        <is>
          <t>-</t>
        </is>
      </c>
      <c r="X166" s="120" t="inlineStr">
        <is>
          <t>-</t>
        </is>
      </c>
      <c r="Y166" s="121" t="inlineStr">
        <is>
          <t>6 Factura(s)</t>
        </is>
      </c>
      <c r="Z166" s="122" t="n">
        <v>87751.32000000001</v>
      </c>
      <c r="AA166" s="123" t="n">
        <v>3250.04</v>
      </c>
    </row>
    <row r="167" ht="20" customHeight="1">
      <c r="F167" s="9" t="inlineStr">
        <is>
          <t>Bacheo Toluca</t>
        </is>
      </c>
      <c r="G167" s="116" t="inlineStr">
        <is>
          <t>A10484</t>
        </is>
      </c>
      <c r="H167" s="117" t="n">
        <v>13500.06</v>
      </c>
      <c r="I167" s="118" t="n">
        <v>500</v>
      </c>
      <c r="J167" s="124" t="inlineStr">
        <is>
          <t>-</t>
        </is>
      </c>
      <c r="K167" s="125" t="inlineStr">
        <is>
          <t>-</t>
        </is>
      </c>
      <c r="L167" s="125" t="inlineStr">
        <is>
          <t>-</t>
        </is>
      </c>
      <c r="M167" s="124" t="inlineStr">
        <is>
          <t>-</t>
        </is>
      </c>
      <c r="N167" s="125" t="inlineStr">
        <is>
          <t>-</t>
        </is>
      </c>
      <c r="O167" s="125" t="inlineStr">
        <is>
          <t>-</t>
        </is>
      </c>
      <c r="P167" s="116" t="inlineStr">
        <is>
          <t>A10565</t>
        </is>
      </c>
      <c r="Q167" s="117" t="n">
        <v>7290.05</v>
      </c>
      <c r="R167" s="118" t="n">
        <v>270</v>
      </c>
      <c r="S167" s="124" t="inlineStr">
        <is>
          <t>-</t>
        </is>
      </c>
      <c r="T167" s="125" t="inlineStr">
        <is>
          <t>-</t>
        </is>
      </c>
      <c r="U167" s="125" t="inlineStr">
        <is>
          <t>-</t>
        </is>
      </c>
      <c r="V167" s="124" t="inlineStr">
        <is>
          <t>-</t>
        </is>
      </c>
      <c r="W167" s="125" t="inlineStr">
        <is>
          <t>-</t>
        </is>
      </c>
      <c r="X167" s="125" t="inlineStr">
        <is>
          <t>-</t>
        </is>
      </c>
      <c r="Y167" s="126" t="inlineStr">
        <is>
          <t>2 Factura(s)</t>
        </is>
      </c>
      <c r="Z167" s="127" t="n">
        <v>20790.11</v>
      </c>
      <c r="AA167" s="128" t="n">
        <v>770</v>
      </c>
    </row>
    <row r="168" ht="20" customHeight="1">
      <c r="F168" s="5" t="inlineStr">
        <is>
          <t>Desasolve</t>
        </is>
      </c>
      <c r="G168" s="116" t="inlineStr">
        <is>
          <t>A10483</t>
        </is>
      </c>
      <c r="H168" s="117" t="n">
        <v>16200.1</v>
      </c>
      <c r="I168" s="118" t="n">
        <v>600</v>
      </c>
      <c r="J168" s="116" t="inlineStr">
        <is>
          <t>A10521</t>
        </is>
      </c>
      <c r="K168" s="117" t="n">
        <v>21600.15</v>
      </c>
      <c r="L168" s="118" t="n">
        <v>800</v>
      </c>
      <c r="M168" s="116" t="inlineStr">
        <is>
          <t>A10543</t>
        </is>
      </c>
      <c r="N168" s="117" t="n">
        <v>21600.15</v>
      </c>
      <c r="O168" s="118" t="n">
        <v>800</v>
      </c>
      <c r="P168" s="116" t="inlineStr">
        <is>
          <t>A10564</t>
        </is>
      </c>
      <c r="Q168" s="117" t="n">
        <v>4860.05</v>
      </c>
      <c r="R168" s="118" t="n">
        <v>180</v>
      </c>
      <c r="S168" s="116" t="inlineStr">
        <is>
          <t>A10586</t>
        </is>
      </c>
      <c r="T168" s="117" t="n">
        <v>14364.05</v>
      </c>
      <c r="U168" s="118" t="n">
        <v>532</v>
      </c>
      <c r="V168" s="119" t="inlineStr">
        <is>
          <t>-</t>
        </is>
      </c>
      <c r="W168" s="120" t="inlineStr">
        <is>
          <t>-</t>
        </is>
      </c>
      <c r="X168" s="120" t="inlineStr">
        <is>
          <t>-</t>
        </is>
      </c>
      <c r="Y168" s="121" t="inlineStr">
        <is>
          <t>5 Factura(s)</t>
        </is>
      </c>
      <c r="Z168" s="122" t="n">
        <v>78624.5</v>
      </c>
      <c r="AA168" s="123" t="n">
        <v>2912</v>
      </c>
    </row>
    <row r="169" ht="20" customHeight="1">
      <c r="F169" s="9" t="inlineStr">
        <is>
          <t>Lerma - Tres Marías</t>
        </is>
      </c>
      <c r="G169" s="116" t="inlineStr">
        <is>
          <t>A10480</t>
        </is>
      </c>
      <c r="H169" s="117" t="n">
        <v>14715.08</v>
      </c>
      <c r="I169" s="118" t="n">
        <v>545</v>
      </c>
      <c r="J169" s="124" t="inlineStr">
        <is>
          <t>-</t>
        </is>
      </c>
      <c r="K169" s="125" t="inlineStr">
        <is>
          <t>-</t>
        </is>
      </c>
      <c r="L169" s="125" t="inlineStr">
        <is>
          <t>-</t>
        </is>
      </c>
      <c r="M169" s="124" t="inlineStr">
        <is>
          <t>-</t>
        </is>
      </c>
      <c r="N169" s="125" t="inlineStr">
        <is>
          <t>-</t>
        </is>
      </c>
      <c r="O169" s="125" t="inlineStr">
        <is>
          <t>-</t>
        </is>
      </c>
      <c r="P169" s="124" t="inlineStr">
        <is>
          <t>-</t>
        </is>
      </c>
      <c r="Q169" s="125" t="inlineStr">
        <is>
          <t>-</t>
        </is>
      </c>
      <c r="R169" s="125" t="inlineStr">
        <is>
          <t>-</t>
        </is>
      </c>
      <c r="S169" s="124" t="inlineStr">
        <is>
          <t>-</t>
        </is>
      </c>
      <c r="T169" s="125" t="inlineStr">
        <is>
          <t>-</t>
        </is>
      </c>
      <c r="U169" s="125" t="inlineStr">
        <is>
          <t>-</t>
        </is>
      </c>
      <c r="V169" s="124" t="inlineStr">
        <is>
          <t>-</t>
        </is>
      </c>
      <c r="W169" s="125" t="inlineStr">
        <is>
          <t>-</t>
        </is>
      </c>
      <c r="X169" s="125" t="inlineStr">
        <is>
          <t>-</t>
        </is>
      </c>
      <c r="Y169" s="126" t="inlineStr">
        <is>
          <t>1 Factura(s)</t>
        </is>
      </c>
      <c r="Z169" s="127" t="n">
        <v>14715.08</v>
      </c>
      <c r="AA169" s="128" t="n">
        <v>545</v>
      </c>
    </row>
    <row r="170" ht="20" customHeight="1">
      <c r="F170" s="5" t="inlineStr">
        <is>
          <t>México - Toluca</t>
        </is>
      </c>
      <c r="G170" s="119" t="inlineStr">
        <is>
          <t>-</t>
        </is>
      </c>
      <c r="H170" s="120" t="inlineStr">
        <is>
          <t>-</t>
        </is>
      </c>
      <c r="I170" s="120" t="inlineStr">
        <is>
          <t>-</t>
        </is>
      </c>
      <c r="J170" s="116" t="inlineStr">
        <is>
          <t>A10522</t>
        </is>
      </c>
      <c r="K170" s="117" t="n">
        <v>25925</v>
      </c>
      <c r="L170" s="118" t="n">
        <v>960.1800000000001</v>
      </c>
      <c r="M170" s="119" t="inlineStr">
        <is>
          <t>-</t>
        </is>
      </c>
      <c r="N170" s="120" t="inlineStr">
        <is>
          <t>-</t>
        </is>
      </c>
      <c r="O170" s="120" t="inlineStr">
        <is>
          <t>-</t>
        </is>
      </c>
      <c r="P170" s="116" t="inlineStr">
        <is>
          <t>A10563</t>
        </is>
      </c>
      <c r="Q170" s="117" t="n">
        <v>25650.13</v>
      </c>
      <c r="R170" s="118" t="n">
        <v>950</v>
      </c>
      <c r="S170" s="116" t="inlineStr">
        <is>
          <t>A10587</t>
        </is>
      </c>
      <c r="T170" s="117" t="n">
        <v>1080.03</v>
      </c>
      <c r="U170" s="118" t="n">
        <v>40</v>
      </c>
      <c r="V170" s="116" t="inlineStr">
        <is>
          <t>A10589</t>
        </is>
      </c>
      <c r="W170" s="117" t="n">
        <v>24840.1</v>
      </c>
      <c r="X170" s="118" t="n">
        <v>920</v>
      </c>
      <c r="Y170" s="121" t="inlineStr">
        <is>
          <t>4 Factura(s)</t>
        </is>
      </c>
      <c r="Z170" s="122" t="n">
        <v>77495.26000000001</v>
      </c>
      <c r="AA170" s="123" t="n">
        <v>2870.18</v>
      </c>
    </row>
    <row r="171" ht="20" customHeight="1">
      <c r="F171" s="9" t="inlineStr">
        <is>
          <t>Planta Huixquilucan</t>
        </is>
      </c>
      <c r="G171" s="116" t="inlineStr">
        <is>
          <t>A10485</t>
        </is>
      </c>
      <c r="H171" s="117" t="n">
        <v>12150.08</v>
      </c>
      <c r="I171" s="118" t="n">
        <v>450</v>
      </c>
      <c r="J171" s="116" t="inlineStr">
        <is>
          <t>A10520</t>
        </is>
      </c>
      <c r="K171" s="117" t="n">
        <v>10800.13</v>
      </c>
      <c r="L171" s="118" t="n">
        <v>400</v>
      </c>
      <c r="M171" s="116" t="inlineStr">
        <is>
          <t>A10544</t>
        </is>
      </c>
      <c r="N171" s="117" t="n">
        <v>8100</v>
      </c>
      <c r="O171" s="118" t="n">
        <v>300</v>
      </c>
      <c r="P171" s="116" t="inlineStr">
        <is>
          <t>A10556</t>
        </is>
      </c>
      <c r="Q171" s="117" t="n">
        <v>10800.1</v>
      </c>
      <c r="R171" s="118" t="n">
        <v>400</v>
      </c>
      <c r="S171" s="116" t="inlineStr">
        <is>
          <t>A10579, A10581</t>
        </is>
      </c>
      <c r="T171" s="117" t="n">
        <v>21600.2</v>
      </c>
      <c r="U171" s="118" t="n">
        <v>800</v>
      </c>
      <c r="V171" s="124" t="inlineStr">
        <is>
          <t>-</t>
        </is>
      </c>
      <c r="W171" s="125" t="inlineStr">
        <is>
          <t>-</t>
        </is>
      </c>
      <c r="X171" s="125" t="inlineStr">
        <is>
          <t>-</t>
        </is>
      </c>
      <c r="Y171" s="126" t="inlineStr">
        <is>
          <t>6 Factura(s)</t>
        </is>
      </c>
      <c r="Z171" s="127" t="n">
        <v>63450.50999999999</v>
      </c>
      <c r="AA171" s="128" t="n">
        <v>2350</v>
      </c>
    </row>
    <row r="172" ht="20" customHeight="1">
      <c r="F172" s="5" t="inlineStr">
        <is>
          <t>Planta Pegaso</t>
        </is>
      </c>
      <c r="G172" s="116" t="inlineStr">
        <is>
          <t>A10491</t>
        </is>
      </c>
      <c r="H172" s="117" t="n">
        <v>21600.09</v>
      </c>
      <c r="I172" s="118" t="n">
        <v>800</v>
      </c>
      <c r="J172" s="119" t="inlineStr">
        <is>
          <t>-</t>
        </is>
      </c>
      <c r="K172" s="120" t="inlineStr">
        <is>
          <t>-</t>
        </is>
      </c>
      <c r="L172" s="120" t="inlineStr">
        <is>
          <t>-</t>
        </is>
      </c>
      <c r="M172" s="116" t="inlineStr">
        <is>
          <t>A10535</t>
        </is>
      </c>
      <c r="N172" s="117" t="n">
        <v>21600.15</v>
      </c>
      <c r="O172" s="118" t="n">
        <v>800</v>
      </c>
      <c r="P172" s="119" t="inlineStr">
        <is>
          <t>-</t>
        </is>
      </c>
      <c r="Q172" s="120" t="inlineStr">
        <is>
          <t>-</t>
        </is>
      </c>
      <c r="R172" s="120" t="inlineStr">
        <is>
          <t>-</t>
        </is>
      </c>
      <c r="S172" s="119" t="inlineStr">
        <is>
          <t>-</t>
        </is>
      </c>
      <c r="T172" s="120" t="inlineStr">
        <is>
          <t>-</t>
        </is>
      </c>
      <c r="U172" s="120" t="inlineStr">
        <is>
          <t>-</t>
        </is>
      </c>
      <c r="V172" s="119" t="inlineStr">
        <is>
          <t>-</t>
        </is>
      </c>
      <c r="W172" s="120" t="inlineStr">
        <is>
          <t>-</t>
        </is>
      </c>
      <c r="X172" s="120" t="inlineStr">
        <is>
          <t>-</t>
        </is>
      </c>
      <c r="Y172" s="121" t="inlineStr">
        <is>
          <t>2 Factura(s)</t>
        </is>
      </c>
      <c r="Z172" s="122" t="n">
        <v>43200.24000000001</v>
      </c>
      <c r="AA172" s="123" t="n">
        <v>1600</v>
      </c>
    </row>
    <row r="173" ht="20" customHeight="1">
      <c r="F173" s="9" t="inlineStr">
        <is>
          <t>Providencia</t>
        </is>
      </c>
      <c r="G173" s="116" t="inlineStr">
        <is>
          <t>A10479</t>
        </is>
      </c>
      <c r="H173" s="117" t="n">
        <v>12285.08</v>
      </c>
      <c r="I173" s="118" t="n">
        <v>455</v>
      </c>
      <c r="J173" s="124" t="inlineStr">
        <is>
          <t>-</t>
        </is>
      </c>
      <c r="K173" s="125" t="inlineStr">
        <is>
          <t>-</t>
        </is>
      </c>
      <c r="L173" s="125" t="inlineStr">
        <is>
          <t>-</t>
        </is>
      </c>
      <c r="M173" s="124" t="inlineStr">
        <is>
          <t>-</t>
        </is>
      </c>
      <c r="N173" s="125" t="inlineStr">
        <is>
          <t>-</t>
        </is>
      </c>
      <c r="O173" s="125" t="inlineStr">
        <is>
          <t>-</t>
        </is>
      </c>
      <c r="P173" s="124" t="inlineStr">
        <is>
          <t>-</t>
        </is>
      </c>
      <c r="Q173" s="125" t="inlineStr">
        <is>
          <t>-</t>
        </is>
      </c>
      <c r="R173" s="125" t="inlineStr">
        <is>
          <t>-</t>
        </is>
      </c>
      <c r="S173" s="124" t="inlineStr">
        <is>
          <t>-</t>
        </is>
      </c>
      <c r="T173" s="125" t="inlineStr">
        <is>
          <t>-</t>
        </is>
      </c>
      <c r="U173" s="125" t="inlineStr">
        <is>
          <t>-</t>
        </is>
      </c>
      <c r="V173" s="124" t="inlineStr">
        <is>
          <t>-</t>
        </is>
      </c>
      <c r="W173" s="125" t="inlineStr">
        <is>
          <t>-</t>
        </is>
      </c>
      <c r="X173" s="125" t="inlineStr">
        <is>
          <t>-</t>
        </is>
      </c>
      <c r="Y173" s="126" t="inlineStr">
        <is>
          <t>1 Factura(s)</t>
        </is>
      </c>
      <c r="Z173" s="127" t="n">
        <v>12285.08</v>
      </c>
      <c r="AA173" s="128" t="n">
        <v>455</v>
      </c>
    </row>
    <row r="174" ht="22" customHeight="1">
      <c r="F174" s="80" t="inlineStr">
        <is>
          <t>TOTAL POR DÍA</t>
        </is>
      </c>
      <c r="G174" s="19" t="inlineStr">
        <is>
          <t>7 Factura(s)</t>
        </is>
      </c>
      <c r="H174" s="16" t="n">
        <v>101251.46</v>
      </c>
      <c r="I174" s="109" t="n">
        <v>3750.04</v>
      </c>
      <c r="J174" s="19" t="inlineStr">
        <is>
          <t>4 Factura(s)</t>
        </is>
      </c>
      <c r="K174" s="16" t="n">
        <v>63725.33</v>
      </c>
      <c r="L174" s="109" t="n">
        <v>2360.18</v>
      </c>
      <c r="M174" s="19" t="inlineStr">
        <is>
          <t>3 Factura(s)</t>
        </is>
      </c>
      <c r="N174" s="16" t="n">
        <v>51300.3</v>
      </c>
      <c r="O174" s="109" t="n">
        <v>1900</v>
      </c>
      <c r="P174" s="19" t="inlineStr">
        <is>
          <t>5 Factura(s)</t>
        </is>
      </c>
      <c r="Q174" s="16" t="n">
        <v>63450.41</v>
      </c>
      <c r="R174" s="109" t="n">
        <v>2350</v>
      </c>
      <c r="S174" s="19" t="inlineStr">
        <is>
          <t>7 Factura(s)</t>
        </is>
      </c>
      <c r="T174" s="16" t="n">
        <v>93744.5</v>
      </c>
      <c r="U174" s="109" t="n">
        <v>3472</v>
      </c>
      <c r="V174" s="19" t="inlineStr">
        <is>
          <t>1 Factura(s)</t>
        </is>
      </c>
      <c r="W174" s="16" t="n">
        <v>24840.1</v>
      </c>
      <c r="X174" s="109" t="n">
        <v>920</v>
      </c>
      <c r="Y174" s="19" t="inlineStr">
        <is>
          <t>27 Factura(s)</t>
        </is>
      </c>
      <c r="Z174" s="16" t="n">
        <v>398312.1</v>
      </c>
      <c r="AA174" s="109" t="n">
        <v>14752.22</v>
      </c>
    </row>
    <row r="177" ht="24" customHeight="1">
      <c r="F177" s="102" t="inlineStr">
        <is>
          <t>▶ COMPARATIVA FACTURADO VS CONSUMIDO POR OBRA — SEMANA 30</t>
        </is>
      </c>
      <c r="G177" s="131" t="n"/>
      <c r="H177" s="131" t="n"/>
      <c r="I177" s="131" t="n"/>
      <c r="J177" s="131" t="n"/>
      <c r="K177" s="131" t="n"/>
      <c r="L177" s="132" t="n"/>
    </row>
    <row r="178" ht="22" customHeight="1">
      <c r="F178" s="4" t="inlineStr">
        <is>
          <t>OBRA / DESTINO</t>
        </is>
      </c>
      <c r="G178" s="4" t="inlineStr">
        <is>
          <t>LITROS FACTURADOS</t>
        </is>
      </c>
      <c r="H178" s="4" t="inlineStr">
        <is>
          <t>LITROS CONSUMIDOS</t>
        </is>
      </c>
      <c r="I178" s="4" t="inlineStr">
        <is>
          <t>MONTO FACTURADO ($)</t>
        </is>
      </c>
      <c r="J178" s="4" t="inlineStr">
        <is>
          <t>MONTO CONSUMIDO ($)</t>
        </is>
      </c>
      <c r="K178" s="4" t="inlineStr">
        <is>
          <t>VARIACIÓN (LTS)</t>
        </is>
      </c>
      <c r="L178" s="4" t="inlineStr">
        <is>
          <t>VARIACIÓN ($)</t>
        </is>
      </c>
    </row>
    <row r="179" ht="19" customHeight="1">
      <c r="F179" s="5" t="inlineStr">
        <is>
          <t>Alfredo del Mazo</t>
        </is>
      </c>
      <c r="G179" s="32" t="n">
        <v>3250.04</v>
      </c>
      <c r="H179" s="32" t="n">
        <v>3263.04</v>
      </c>
      <c r="I179" s="33" t="n">
        <v>87751.32000000001</v>
      </c>
      <c r="J179" s="33" t="n">
        <v>88102.08</v>
      </c>
      <c r="K179" s="103" t="n">
        <v>-13</v>
      </c>
      <c r="L179" s="104" t="n">
        <v>-350.7599999999948</v>
      </c>
    </row>
    <row r="180" ht="19" customHeight="1">
      <c r="F180" s="9" t="inlineStr">
        <is>
          <t>Bacheo Toluca</t>
        </is>
      </c>
      <c r="G180" s="105" t="n">
        <v>770</v>
      </c>
      <c r="H180" s="105" t="n">
        <v>776</v>
      </c>
      <c r="I180" s="106" t="n">
        <v>20790.11</v>
      </c>
      <c r="J180" s="106" t="n">
        <v>20952</v>
      </c>
      <c r="K180" s="107" t="n">
        <v>-6</v>
      </c>
      <c r="L180" s="108" t="n">
        <v>-161.8899999999994</v>
      </c>
    </row>
    <row r="181" ht="19" customHeight="1">
      <c r="F181" s="5" t="inlineStr">
        <is>
          <t>Desasolve</t>
        </is>
      </c>
      <c r="G181" s="32" t="n">
        <v>2912</v>
      </c>
      <c r="H181" s="32" t="n">
        <v>2920</v>
      </c>
      <c r="I181" s="33" t="n">
        <v>78624.5</v>
      </c>
      <c r="J181" s="33" t="n">
        <v>78840</v>
      </c>
      <c r="K181" s="103" t="n">
        <v>-8</v>
      </c>
      <c r="L181" s="104" t="n">
        <v>-215.5</v>
      </c>
    </row>
    <row r="182" ht="19" customHeight="1">
      <c r="F182" s="9" t="inlineStr">
        <is>
          <t>Lerma - Tres Marías</t>
        </is>
      </c>
      <c r="G182" s="105" t="n">
        <v>545</v>
      </c>
      <c r="H182" s="105" t="n">
        <v>554</v>
      </c>
      <c r="I182" s="106" t="n">
        <v>14715.08</v>
      </c>
      <c r="J182" s="106" t="n">
        <v>14958</v>
      </c>
      <c r="K182" s="107" t="n">
        <v>-9</v>
      </c>
      <c r="L182" s="108" t="n">
        <v>-242.9200000000001</v>
      </c>
    </row>
    <row r="183" ht="19" customHeight="1">
      <c r="F183" s="5" t="inlineStr">
        <is>
          <t>México - Toluca</t>
        </is>
      </c>
      <c r="G183" s="32" t="n">
        <v>2870.18</v>
      </c>
      <c r="H183" s="32" t="n">
        <v>2876.18</v>
      </c>
      <c r="I183" s="33" t="n">
        <v>77495.25999999999</v>
      </c>
      <c r="J183" s="33" t="n">
        <v>77656.86</v>
      </c>
      <c r="K183" s="103" t="n">
        <v>-5.999999999999545</v>
      </c>
      <c r="L183" s="104" t="n">
        <v>-161.6000000000058</v>
      </c>
    </row>
    <row r="184" ht="19" customHeight="1">
      <c r="F184" s="9" t="inlineStr">
        <is>
          <t>Planta Huixquilucan</t>
        </is>
      </c>
      <c r="G184" s="105" t="n">
        <v>2350</v>
      </c>
      <c r="H184" s="105" t="n">
        <v>2358</v>
      </c>
      <c r="I184" s="106" t="n">
        <v>63450.51</v>
      </c>
      <c r="J184" s="106" t="n">
        <v>63666</v>
      </c>
      <c r="K184" s="107" t="n">
        <v>-8</v>
      </c>
      <c r="L184" s="108" t="n">
        <v>-215.489999999998</v>
      </c>
    </row>
    <row r="185" ht="19" customHeight="1">
      <c r="F185" s="5" t="inlineStr">
        <is>
          <t>Planta Pegaso</t>
        </is>
      </c>
      <c r="G185" s="32" t="n">
        <v>1600</v>
      </c>
      <c r="H185" s="32" t="n">
        <v>1608</v>
      </c>
      <c r="I185" s="33" t="n">
        <v>43200.24</v>
      </c>
      <c r="J185" s="33" t="n">
        <v>43416</v>
      </c>
      <c r="K185" s="103" t="n">
        <v>-8</v>
      </c>
      <c r="L185" s="104" t="n">
        <v>-215.760000000002</v>
      </c>
    </row>
    <row r="186" ht="19" customHeight="1">
      <c r="F186" s="9" t="inlineStr">
        <is>
          <t>Providencia</t>
        </is>
      </c>
      <c r="G186" s="105" t="n">
        <v>455</v>
      </c>
      <c r="H186" s="105" t="n">
        <v>460</v>
      </c>
      <c r="I186" s="106" t="n">
        <v>12285.08</v>
      </c>
      <c r="J186" s="106" t="n">
        <v>12420</v>
      </c>
      <c r="K186" s="107" t="n">
        <v>-5</v>
      </c>
      <c r="L186" s="108" t="n">
        <v>-134.9200000000001</v>
      </c>
    </row>
    <row r="187" ht="22" customHeight="1">
      <c r="F187" s="80" t="inlineStr">
        <is>
          <t>TOTAL GENERAL POR OBRA:</t>
        </is>
      </c>
      <c r="G187" s="109">
        <f>SUM(G179:G186)</f>
        <v/>
      </c>
      <c r="H187" s="109">
        <f>SUM(H179:H186)</f>
        <v/>
      </c>
      <c r="I187" s="16">
        <f>SUM(I179:I186)</f>
        <v/>
      </c>
      <c r="J187" s="16">
        <f>SUM(J179:J186)</f>
        <v/>
      </c>
      <c r="K187" s="110">
        <f>SUM(K179:K186)</f>
        <v/>
      </c>
      <c r="L187" s="111">
        <f>SUM(L179:L186)</f>
        <v/>
      </c>
    </row>
    <row r="190" ht="24" customHeight="1">
      <c r="F190" s="102" t="inlineStr">
        <is>
          <t>▶ COMPARATIVA FACTURADO VS CONSUMIDO POR INGENIERO — SEMANA 30</t>
        </is>
      </c>
      <c r="G190" s="131" t="n"/>
      <c r="H190" s="131" t="n"/>
      <c r="I190" s="131" t="n"/>
      <c r="J190" s="131" t="n"/>
      <c r="K190" s="131" t="n"/>
      <c r="L190" s="131" t="n"/>
      <c r="M190" s="132" t="n"/>
    </row>
    <row r="191" ht="22" customHeight="1">
      <c r="F191" s="4" t="inlineStr">
        <is>
          <t>INGENIERO / RESPONSABLE</t>
        </is>
      </c>
      <c r="G191" s="4" t="inlineStr">
        <is>
          <t>OBRAS ASIGNADAS</t>
        </is>
      </c>
      <c r="H191" s="4" t="inlineStr">
        <is>
          <t>LITROS FACTURADOS</t>
        </is>
      </c>
      <c r="I191" s="4" t="inlineStr">
        <is>
          <t>LITROS CONSUMIDOS</t>
        </is>
      </c>
      <c r="J191" s="4" t="inlineStr">
        <is>
          <t>MONTO FACTURADO ($)</t>
        </is>
      </c>
      <c r="K191" s="4" t="inlineStr">
        <is>
          <t>MONTO CONSUMIDO ($)</t>
        </is>
      </c>
      <c r="L191" s="4" t="inlineStr">
        <is>
          <t>VARIACIÓN (LTS)</t>
        </is>
      </c>
      <c r="M191" s="4" t="inlineStr">
        <is>
          <t>VARIACIÓN ($)</t>
        </is>
      </c>
    </row>
    <row r="192" ht="19" customHeight="1">
      <c r="F192" s="5" t="inlineStr">
        <is>
          <t>Ing. Apolinar</t>
        </is>
      </c>
      <c r="G192" s="74" t="inlineStr">
        <is>
          <t>Alfredo del Mazo, Lerma - Tres Marías</t>
        </is>
      </c>
      <c r="H192" s="32" t="n">
        <v>3795.04</v>
      </c>
      <c r="I192" s="32" t="n">
        <v>3817.04</v>
      </c>
      <c r="J192" s="33" t="n">
        <v>102466.4</v>
      </c>
      <c r="K192" s="33" t="n">
        <v>103060.08</v>
      </c>
      <c r="L192" s="103" t="n">
        <v>-22</v>
      </c>
      <c r="M192" s="104" t="n">
        <v>-593.679999999993</v>
      </c>
    </row>
    <row r="193" ht="19" customHeight="1">
      <c r="F193" s="9" t="inlineStr">
        <is>
          <t>Ing. Diego Carreola</t>
        </is>
      </c>
      <c r="G193" s="78" t="inlineStr">
        <is>
          <t>Bacheo Toluca, Desasolve</t>
        </is>
      </c>
      <c r="H193" s="105" t="n">
        <v>3682</v>
      </c>
      <c r="I193" s="105" t="n">
        <v>3696</v>
      </c>
      <c r="J193" s="106" t="n">
        <v>99414.61</v>
      </c>
      <c r="K193" s="106" t="n">
        <v>99792</v>
      </c>
      <c r="L193" s="107" t="n">
        <v>-14</v>
      </c>
      <c r="M193" s="108" t="n">
        <v>-377.3899999999994</v>
      </c>
    </row>
    <row r="194" ht="19" customHeight="1">
      <c r="F194" s="5" t="inlineStr">
        <is>
          <t>Ing. Francisco Javier</t>
        </is>
      </c>
      <c r="G194" s="74" t="inlineStr">
        <is>
          <t>México - Toluca</t>
        </is>
      </c>
      <c r="H194" s="32" t="n">
        <v>2870.18</v>
      </c>
      <c r="I194" s="32" t="n">
        <v>2876.18</v>
      </c>
      <c r="J194" s="33" t="n">
        <v>77495.25999999999</v>
      </c>
      <c r="K194" s="33" t="n">
        <v>77656.86</v>
      </c>
      <c r="L194" s="103" t="n">
        <v>-5.999999999999545</v>
      </c>
      <c r="M194" s="104" t="n">
        <v>-161.6000000000058</v>
      </c>
    </row>
    <row r="195" ht="19" customHeight="1">
      <c r="F195" s="9" t="inlineStr">
        <is>
          <t>Ing. Luis</t>
        </is>
      </c>
      <c r="G195" s="78" t="inlineStr">
        <is>
          <t>Planta Huixquilucan</t>
        </is>
      </c>
      <c r="H195" s="105" t="n">
        <v>2350</v>
      </c>
      <c r="I195" s="105" t="n">
        <v>2358</v>
      </c>
      <c r="J195" s="106" t="n">
        <v>63450.51</v>
      </c>
      <c r="K195" s="106" t="n">
        <v>63666</v>
      </c>
      <c r="L195" s="107" t="n">
        <v>-8</v>
      </c>
      <c r="M195" s="108" t="n">
        <v>-215.489999999998</v>
      </c>
    </row>
    <row r="196" ht="19" customHeight="1">
      <c r="F196" s="5" t="inlineStr">
        <is>
          <t>Jack</t>
        </is>
      </c>
      <c r="G196" s="74" t="inlineStr">
        <is>
          <t>Planta Pegaso</t>
        </is>
      </c>
      <c r="H196" s="32" t="n">
        <v>1600</v>
      </c>
      <c r="I196" s="32" t="n">
        <v>1608</v>
      </c>
      <c r="J196" s="33" t="n">
        <v>43200.24</v>
      </c>
      <c r="K196" s="33" t="n">
        <v>43416</v>
      </c>
      <c r="L196" s="103" t="n">
        <v>-8</v>
      </c>
      <c r="M196" s="104" t="n">
        <v>-215.760000000002</v>
      </c>
    </row>
    <row r="197" ht="19" customHeight="1">
      <c r="F197" s="9" t="inlineStr">
        <is>
          <t>Samuel</t>
        </is>
      </c>
      <c r="G197" s="78" t="inlineStr">
        <is>
          <t>Providencia</t>
        </is>
      </c>
      <c r="H197" s="105" t="n">
        <v>455</v>
      </c>
      <c r="I197" s="105" t="n">
        <v>460</v>
      </c>
      <c r="J197" s="106" t="n">
        <v>12285.08</v>
      </c>
      <c r="K197" s="106" t="n">
        <v>12420</v>
      </c>
      <c r="L197" s="107" t="n">
        <v>-5</v>
      </c>
      <c r="M197" s="108" t="n">
        <v>-134.9200000000001</v>
      </c>
    </row>
    <row r="198" ht="22" customHeight="1">
      <c r="F198" s="80" t="inlineStr">
        <is>
          <t>TOTAL GENERAL POR INGENIERO:</t>
        </is>
      </c>
      <c r="G198" s="132" t="n"/>
      <c r="H198" s="109">
        <f>SUM(H192:H197)</f>
        <v/>
      </c>
      <c r="I198" s="109">
        <f>SUM(I192:I197)</f>
        <v/>
      </c>
      <c r="J198" s="16">
        <f>SUM(J192:J197)</f>
        <v/>
      </c>
      <c r="K198" s="16">
        <f>SUM(K192:K197)</f>
        <v/>
      </c>
      <c r="L198" s="110">
        <f>SUM(L192:L197)</f>
        <v/>
      </c>
      <c r="M198" s="111">
        <f>SUM(M192:M197)</f>
        <v/>
      </c>
    </row>
  </sheetData>
  <mergeCells count="60">
    <mergeCell ref="F31:I31"/>
    <mergeCell ref="F104:H104"/>
    <mergeCell ref="K48:N48"/>
    <mergeCell ref="G8:G9"/>
    <mergeCell ref="F76:N76"/>
    <mergeCell ref="F85:H85"/>
    <mergeCell ref="F19:G19"/>
    <mergeCell ref="F56:O56"/>
    <mergeCell ref="F145:N145"/>
    <mergeCell ref="F48:I48"/>
    <mergeCell ref="F75:H75"/>
    <mergeCell ref="F164:F165"/>
    <mergeCell ref="F5:F6"/>
    <mergeCell ref="F144:H144"/>
    <mergeCell ref="H11:H12"/>
    <mergeCell ref="F108:P108"/>
    <mergeCell ref="L5:L6"/>
    <mergeCell ref="F136:O136"/>
    <mergeCell ref="M164:O164"/>
    <mergeCell ref="K11:K12"/>
    <mergeCell ref="F8:F9"/>
    <mergeCell ref="L8:L9"/>
    <mergeCell ref="F18:G18"/>
    <mergeCell ref="F133:M133"/>
    <mergeCell ref="J164:L164"/>
    <mergeCell ref="F198:G198"/>
    <mergeCell ref="F105:N105"/>
    <mergeCell ref="F79:P79"/>
    <mergeCell ref="G5:G6"/>
    <mergeCell ref="F40:I40"/>
    <mergeCell ref="F120:H120"/>
    <mergeCell ref="P164:R164"/>
    <mergeCell ref="V164:X164"/>
    <mergeCell ref="K8:K9"/>
    <mergeCell ref="F89:O89"/>
    <mergeCell ref="F132:H132"/>
    <mergeCell ref="F158:L158"/>
    <mergeCell ref="G164:I164"/>
    <mergeCell ref="F190:M190"/>
    <mergeCell ref="F157:H157"/>
    <mergeCell ref="F177:L177"/>
    <mergeCell ref="F13:G13"/>
    <mergeCell ref="F11:F12"/>
    <mergeCell ref="L11:L12"/>
    <mergeCell ref="F86:O86"/>
    <mergeCell ref="K31:N31"/>
    <mergeCell ref="H5:H6"/>
    <mergeCell ref="K22:N22"/>
    <mergeCell ref="K40:N40"/>
    <mergeCell ref="H8:H9"/>
    <mergeCell ref="S164:U164"/>
    <mergeCell ref="F148:M148"/>
    <mergeCell ref="Y164:AA164"/>
    <mergeCell ref="F2:L2"/>
    <mergeCell ref="F124:N124"/>
    <mergeCell ref="F163:AA163"/>
    <mergeCell ref="G11:G12"/>
    <mergeCell ref="K5:K6"/>
    <mergeCell ref="F121:O121"/>
    <mergeCell ref="F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2:AA1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31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96.62</v>
      </c>
      <c r="K5" s="75" t="n">
        <v>1206.4</v>
      </c>
      <c r="L5" s="76" t="n">
        <v>1193.6</v>
      </c>
    </row>
    <row r="6" ht="18" customHeight="1">
      <c r="F6" s="135" t="n"/>
      <c r="G6" s="135" t="n"/>
      <c r="H6" s="135" t="n"/>
      <c r="I6" s="74" t="inlineStr">
        <is>
          <t>Lerma - Tres Marías</t>
        </is>
      </c>
      <c r="J6" s="73" t="n">
        <v>1109.78</v>
      </c>
      <c r="K6" s="135" t="n"/>
      <c r="L6" s="135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2997.71</v>
      </c>
      <c r="K7" s="79" t="n">
        <v>2997.71</v>
      </c>
      <c r="L7" s="76" t="n">
        <v>302.29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106</v>
      </c>
      <c r="K8" s="75" t="n">
        <v>3599.45</v>
      </c>
      <c r="L8" s="76" t="n">
        <v>1800.55</v>
      </c>
    </row>
    <row r="9" ht="18" customHeight="1">
      <c r="F9" s="135" t="n"/>
      <c r="G9" s="135" t="n"/>
      <c r="H9" s="135" t="n"/>
      <c r="I9" s="74" t="inlineStr">
        <is>
          <t>Desasolve</t>
        </is>
      </c>
      <c r="J9" s="73" t="n">
        <v>3493.45</v>
      </c>
      <c r="K9" s="135" t="n"/>
      <c r="L9" s="135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1588.51</v>
      </c>
      <c r="K10" s="79" t="n">
        <v>1588.51</v>
      </c>
      <c r="L10" s="76" t="n">
        <v>811.49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2640.02</v>
      </c>
      <c r="K11" s="75" t="n">
        <v>2640.02</v>
      </c>
      <c r="L11" s="112" t="n">
        <v>-240.02</v>
      </c>
    </row>
    <row r="12" ht="20" customHeight="1">
      <c r="F12" s="80" t="inlineStr">
        <is>
          <t>SUBTOTAL (6 DÍAS):</t>
        </is>
      </c>
      <c r="G12" s="132" t="n"/>
      <c r="H12" s="80" t="n">
        <v>15900</v>
      </c>
      <c r="I12" s="15" t="n"/>
      <c r="J12" s="80" t="n">
        <v>12032.09</v>
      </c>
      <c r="K12" s="80" t="n">
        <v>12032.09</v>
      </c>
      <c r="L12" s="80" t="n">
        <v>3867.91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Alfredo del Mazo</t>
        </is>
      </c>
      <c r="J16" s="73" t="n">
        <v>1037</v>
      </c>
      <c r="K16" s="75" t="n">
        <v>1339</v>
      </c>
      <c r="L16" s="112" t="n">
        <v>-1339</v>
      </c>
    </row>
    <row r="17" ht="18" customHeight="1">
      <c r="F17" s="135" t="n"/>
      <c r="G17" s="135" t="n"/>
      <c r="H17" s="135" t="n"/>
      <c r="I17" s="74" t="inlineStr">
        <is>
          <t>Providencia</t>
        </is>
      </c>
      <c r="J17" s="73" t="n">
        <v>302</v>
      </c>
      <c r="K17" s="135" t="n"/>
      <c r="L17" s="135" t="n"/>
    </row>
    <row r="18" ht="20" customHeight="1">
      <c r="F18" s="80" t="inlineStr">
        <is>
          <t>SUBTOTAL (5 DÍAS):</t>
        </is>
      </c>
      <c r="G18" s="132" t="n"/>
      <c r="H18" s="80" t="inlineStr"/>
      <c r="I18" s="15" t="n"/>
      <c r="J18" s="80" t="n">
        <v>1339</v>
      </c>
      <c r="K18" s="80" t="n">
        <v>1339</v>
      </c>
      <c r="L18" s="80" t="n">
        <v>-1339</v>
      </c>
    </row>
    <row r="19" ht="22" customHeight="1">
      <c r="F19" s="80" t="inlineStr">
        <is>
          <t>TOTAL GENERAL:</t>
        </is>
      </c>
      <c r="G19" s="132" t="n"/>
      <c r="H19" s="80" t="n">
        <v>15900</v>
      </c>
      <c r="I19" s="15" t="n"/>
      <c r="J19" s="80" t="n">
        <v>13371.09</v>
      </c>
      <c r="K19" s="80" t="n">
        <v>13371.09</v>
      </c>
      <c r="L19" s="80" t="n">
        <v>2528.91</v>
      </c>
    </row>
    <row r="22" ht="20" customHeight="1">
      <c r="F22" s="3" t="inlineStr">
        <is>
          <t>▶  Alfredo del Mazo</t>
        </is>
      </c>
      <c r="G22" s="131" t="n"/>
      <c r="H22" s="131" t="n"/>
      <c r="I22" s="132" t="n"/>
      <c r="K22" s="3" t="inlineStr">
        <is>
          <t>▶  Bacheo Toluca</t>
        </is>
      </c>
      <c r="L22" s="131" t="n"/>
      <c r="M22" s="131" t="n"/>
      <c r="N22" s="132" t="n"/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27-jul</t>
        </is>
      </c>
      <c r="G24" s="6" t="n">
        <v>430</v>
      </c>
      <c r="H24" s="7" t="n">
        <v>27</v>
      </c>
      <c r="I24" s="8" t="n">
        <v>11610</v>
      </c>
      <c r="K24" s="5" t="inlineStr">
        <is>
          <t>Lun 27-jul</t>
        </is>
      </c>
      <c r="L24" s="6" t="n">
        <v>115</v>
      </c>
      <c r="M24" s="7" t="n">
        <v>27</v>
      </c>
      <c r="N24" s="8" t="n">
        <v>3105</v>
      </c>
    </row>
    <row r="25" ht="18" customHeight="1">
      <c r="F25" s="9" t="inlineStr">
        <is>
          <t>Mar 28-jul</t>
        </is>
      </c>
      <c r="G25" s="10" t="n">
        <v>410</v>
      </c>
      <c r="H25" s="11" t="n">
        <v>27</v>
      </c>
      <c r="I25" s="12" t="n">
        <v>11070</v>
      </c>
      <c r="K25" s="9" t="inlineStr">
        <is>
          <t>Mié 29-jul</t>
        </is>
      </c>
      <c r="L25" s="10" t="n">
        <v>50</v>
      </c>
      <c r="M25" s="11" t="n">
        <v>27</v>
      </c>
      <c r="N25" s="12" t="n">
        <v>1350</v>
      </c>
    </row>
    <row r="26" ht="18" customHeight="1">
      <c r="F26" s="5" t="inlineStr">
        <is>
          <t>Mié 29-jul</t>
        </is>
      </c>
      <c r="G26" s="6" t="n">
        <v>197</v>
      </c>
      <c r="H26" s="7" t="n">
        <v>27</v>
      </c>
      <c r="I26" s="8" t="n">
        <v>5319</v>
      </c>
      <c r="K26" s="5" t="inlineStr">
        <is>
          <t>Jue 30-jul</t>
        </is>
      </c>
      <c r="L26" s="6" t="n">
        <v>-109</v>
      </c>
      <c r="M26" s="7" t="n">
        <v>27</v>
      </c>
      <c r="N26" s="8" t="n">
        <v>-2943</v>
      </c>
    </row>
    <row r="27" ht="18" customHeight="1">
      <c r="F27" s="9" t="inlineStr">
        <is>
          <t>Jue 30-jul</t>
        </is>
      </c>
      <c r="G27" s="10" t="n">
        <v>-260.38</v>
      </c>
      <c r="H27" s="11" t="n">
        <v>27</v>
      </c>
      <c r="I27" s="12" t="n">
        <v>-7030.26</v>
      </c>
      <c r="K27" s="9" t="inlineStr">
        <is>
          <t>Vie 31-jul</t>
        </is>
      </c>
      <c r="L27" s="10" t="n">
        <v>50</v>
      </c>
      <c r="M27" s="11" t="n">
        <v>27</v>
      </c>
      <c r="N27" s="12" t="n">
        <v>1350</v>
      </c>
    </row>
    <row r="28" ht="20" customHeight="1">
      <c r="F28" s="5" t="inlineStr">
        <is>
          <t>Vie 31-jul</t>
        </is>
      </c>
      <c r="G28" s="6" t="n">
        <v>255</v>
      </c>
      <c r="H28" s="7" t="n">
        <v>27</v>
      </c>
      <c r="I28" s="8" t="n">
        <v>6885</v>
      </c>
      <c r="K28" s="80" t="inlineStr">
        <is>
          <t>TOTAL — Bacheo Toluca</t>
        </is>
      </c>
      <c r="L28" s="14" t="n">
        <v>106</v>
      </c>
      <c r="M28" s="15" t="n"/>
      <c r="N28" s="16" t="n">
        <v>2862</v>
      </c>
    </row>
    <row r="29" ht="18" customHeight="1">
      <c r="F29" s="9" t="inlineStr">
        <is>
          <t>Sáb 01-ago</t>
        </is>
      </c>
      <c r="G29" s="10" t="n">
        <v>357</v>
      </c>
      <c r="H29" s="11" t="n">
        <v>27</v>
      </c>
      <c r="I29" s="12" t="n">
        <v>9639</v>
      </c>
    </row>
    <row r="30" ht="20" customHeight="1">
      <c r="F30" s="80" t="inlineStr">
        <is>
          <t>TOTAL — Alfredo del Mazo</t>
        </is>
      </c>
      <c r="G30" s="14" t="n">
        <v>1388.62</v>
      </c>
      <c r="H30" s="15" t="n"/>
      <c r="I30" s="16" t="n">
        <v>37492.74</v>
      </c>
    </row>
    <row r="32" ht="20" customHeight="1">
      <c r="F32" s="3" t="inlineStr">
        <is>
          <t>▶  Desasolve</t>
        </is>
      </c>
      <c r="G32" s="131" t="n"/>
      <c r="H32" s="131" t="n"/>
      <c r="I32" s="132" t="n"/>
      <c r="K32" s="3" t="inlineStr">
        <is>
          <t>▶  Lerma - Tres Marías</t>
        </is>
      </c>
      <c r="L32" s="131" t="n"/>
      <c r="M32" s="131" t="n"/>
      <c r="N32" s="132" t="n"/>
    </row>
    <row r="33" ht="20" customHeight="1">
      <c r="F33" s="4" t="inlineStr">
        <is>
          <t>DÍA</t>
        </is>
      </c>
      <c r="G33" s="4" t="inlineStr">
        <is>
          <t>LITROS CONSUMIDOS</t>
        </is>
      </c>
      <c r="H33" s="4" t="inlineStr">
        <is>
          <t>PRECIO PROM. ($/L)</t>
        </is>
      </c>
      <c r="I33" s="4" t="inlineStr">
        <is>
          <t>IMPORTE TOTAL</t>
        </is>
      </c>
      <c r="K33" s="4" t="inlineStr">
        <is>
          <t>DÍA</t>
        </is>
      </c>
      <c r="L33" s="4" t="inlineStr">
        <is>
          <t>LITROS CONSUMIDOS</t>
        </is>
      </c>
      <c r="M33" s="4" t="inlineStr">
        <is>
          <t>PRECIO PROM. ($/L)</t>
        </is>
      </c>
      <c r="N33" s="4" t="inlineStr">
        <is>
          <t>IMPORTE TOTAL</t>
        </is>
      </c>
    </row>
    <row r="34" ht="18" customHeight="1">
      <c r="F34" s="5" t="inlineStr">
        <is>
          <t>Lun 27-jul</t>
        </is>
      </c>
      <c r="G34" s="6" t="n">
        <v>281</v>
      </c>
      <c r="H34" s="7" t="n">
        <v>27</v>
      </c>
      <c r="I34" s="8" t="n">
        <v>7587</v>
      </c>
      <c r="K34" s="5" t="inlineStr">
        <is>
          <t>Lun 27-jul</t>
        </is>
      </c>
      <c r="L34" s="6" t="n">
        <v>472</v>
      </c>
      <c r="M34" s="7" t="n">
        <v>27</v>
      </c>
      <c r="N34" s="8" t="n">
        <v>12744</v>
      </c>
    </row>
    <row r="35" ht="18" customHeight="1">
      <c r="F35" s="9" t="inlineStr">
        <is>
          <t>Mar 28-jul</t>
        </is>
      </c>
      <c r="G35" s="10" t="n">
        <v>920</v>
      </c>
      <c r="H35" s="11" t="n">
        <v>27</v>
      </c>
      <c r="I35" s="12" t="n">
        <v>24840</v>
      </c>
      <c r="K35" s="9" t="inlineStr">
        <is>
          <t>Mar 28-jul</t>
        </is>
      </c>
      <c r="L35" s="10" t="n">
        <v>150</v>
      </c>
      <c r="M35" s="11" t="n">
        <v>27</v>
      </c>
      <c r="N35" s="12" t="n">
        <v>4050</v>
      </c>
    </row>
    <row r="36" ht="18" customHeight="1">
      <c r="F36" s="5" t="inlineStr">
        <is>
          <t>Mié 29-jul</t>
        </is>
      </c>
      <c r="G36" s="6" t="n">
        <v>320</v>
      </c>
      <c r="H36" s="7" t="n">
        <v>27</v>
      </c>
      <c r="I36" s="8" t="n">
        <v>8640</v>
      </c>
      <c r="K36" s="5" t="inlineStr">
        <is>
          <t>Mié 29-jul</t>
        </is>
      </c>
      <c r="L36" s="6" t="n">
        <v>800</v>
      </c>
      <c r="M36" s="7" t="n">
        <v>27</v>
      </c>
      <c r="N36" s="8" t="n">
        <v>21600</v>
      </c>
    </row>
    <row r="37" ht="18" customHeight="1">
      <c r="F37" s="9" t="inlineStr">
        <is>
          <t>Jue 30-jul</t>
        </is>
      </c>
      <c r="G37" s="10" t="n">
        <v>1812.45</v>
      </c>
      <c r="H37" s="11" t="n">
        <v>27</v>
      </c>
      <c r="I37" s="12" t="n">
        <v>48936.15</v>
      </c>
      <c r="K37" s="9" t="inlineStr">
        <is>
          <t>Jue 30-jul</t>
        </is>
      </c>
      <c r="L37" s="10" t="n">
        <v>-572.22</v>
      </c>
      <c r="M37" s="11" t="n">
        <v>27</v>
      </c>
      <c r="N37" s="12" t="n">
        <v>-15449.94</v>
      </c>
    </row>
    <row r="38" ht="18" customHeight="1">
      <c r="F38" s="5" t="inlineStr">
        <is>
          <t>Vie 31-jul</t>
        </is>
      </c>
      <c r="G38" s="6" t="n">
        <v>160</v>
      </c>
      <c r="H38" s="7" t="n">
        <v>27</v>
      </c>
      <c r="I38" s="8" t="n">
        <v>4320</v>
      </c>
      <c r="K38" s="5" t="inlineStr">
        <is>
          <t>Vie 31-jul</t>
        </is>
      </c>
      <c r="L38" s="6" t="n">
        <v>410</v>
      </c>
      <c r="M38" s="7" t="n">
        <v>27</v>
      </c>
      <c r="N38" s="8" t="n">
        <v>11070</v>
      </c>
    </row>
    <row r="39" ht="20" customHeight="1">
      <c r="F39" s="80" t="inlineStr">
        <is>
          <t>TOTAL — Desasolve</t>
        </is>
      </c>
      <c r="G39" s="14" t="n">
        <v>3493.45</v>
      </c>
      <c r="H39" s="15" t="n"/>
      <c r="I39" s="16" t="n">
        <v>94323.14999999999</v>
      </c>
      <c r="K39" s="80" t="inlineStr">
        <is>
          <t>TOTAL — Lerma - Tres Marías</t>
        </is>
      </c>
      <c r="L39" s="14" t="n">
        <v>1259.78</v>
      </c>
      <c r="M39" s="15" t="n"/>
      <c r="N39" s="16" t="n">
        <v>34014.06</v>
      </c>
    </row>
    <row r="41" ht="20" customHeight="1">
      <c r="F41" s="3" t="inlineStr">
        <is>
          <t>▶  México - Toluca</t>
        </is>
      </c>
      <c r="G41" s="131" t="n"/>
      <c r="H41" s="131" t="n"/>
      <c r="I41" s="132" t="n"/>
      <c r="K41" s="3" t="inlineStr">
        <is>
          <t>▶  Planta Huixquilucan</t>
        </is>
      </c>
      <c r="L41" s="131" t="n"/>
      <c r="M41" s="131" t="n"/>
      <c r="N41" s="132" t="n"/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Mar 28-jul</t>
        </is>
      </c>
      <c r="G43" s="6" t="n">
        <v>990</v>
      </c>
      <c r="H43" s="7" t="n">
        <v>27</v>
      </c>
      <c r="I43" s="8" t="n">
        <v>29430</v>
      </c>
      <c r="K43" s="5" t="inlineStr">
        <is>
          <t>Lun 27-jul</t>
        </is>
      </c>
      <c r="L43" s="6" t="n">
        <v>400</v>
      </c>
      <c r="M43" s="7" t="n">
        <v>27</v>
      </c>
      <c r="N43" s="8" t="n">
        <v>10800</v>
      </c>
    </row>
    <row r="44" ht="18" customHeight="1">
      <c r="F44" s="9" t="inlineStr">
        <is>
          <t>Jue 30-jul</t>
        </is>
      </c>
      <c r="G44" s="10" t="n">
        <v>1025.71</v>
      </c>
      <c r="H44" s="11" t="n">
        <v>27</v>
      </c>
      <c r="I44" s="12" t="n">
        <v>27694.17</v>
      </c>
      <c r="K44" s="9" t="inlineStr">
        <is>
          <t>Mié 29-jul</t>
        </is>
      </c>
      <c r="L44" s="10" t="n">
        <v>600</v>
      </c>
      <c r="M44" s="11" t="n">
        <v>27</v>
      </c>
      <c r="N44" s="12" t="n">
        <v>21600</v>
      </c>
    </row>
    <row r="45" ht="18" customHeight="1">
      <c r="F45" s="5" t="inlineStr">
        <is>
          <t>Sáb 01-ago</t>
        </is>
      </c>
      <c r="G45" s="6" t="n">
        <v>982</v>
      </c>
      <c r="H45" s="7" t="n">
        <v>27</v>
      </c>
      <c r="I45" s="8" t="n">
        <v>26514</v>
      </c>
      <c r="K45" s="5" t="inlineStr">
        <is>
          <t>Jue 30-jul</t>
        </is>
      </c>
      <c r="L45" s="6" t="n">
        <v>1640.02</v>
      </c>
      <c r="M45" s="7" t="n">
        <v>27</v>
      </c>
      <c r="N45" s="8" t="n">
        <v>44280.54</v>
      </c>
    </row>
    <row r="46" ht="20" customHeight="1">
      <c r="F46" s="80" t="inlineStr">
        <is>
          <t>TOTAL — México - Toluca</t>
        </is>
      </c>
      <c r="G46" s="14" t="n">
        <v>2997.71</v>
      </c>
      <c r="H46" s="15" t="n"/>
      <c r="I46" s="16" t="n">
        <v>83638.17</v>
      </c>
      <c r="K46" s="80" t="inlineStr">
        <is>
          <t>TOTAL — Planta Huixquilucan</t>
        </is>
      </c>
      <c r="L46" s="14" t="n">
        <v>2640.02</v>
      </c>
      <c r="M46" s="15" t="n"/>
      <c r="N46" s="16" t="n">
        <v>76680.53999999999</v>
      </c>
    </row>
    <row r="48" ht="20" customHeight="1">
      <c r="F48" s="3" t="inlineStr">
        <is>
          <t>▶  Planta Pegaso</t>
        </is>
      </c>
      <c r="G48" s="131" t="n"/>
      <c r="H48" s="131" t="n"/>
      <c r="I48" s="132" t="n"/>
      <c r="K48" s="3" t="inlineStr">
        <is>
          <t>▶  Providencia</t>
        </is>
      </c>
      <c r="L48" s="131" t="n"/>
      <c r="M48" s="131" t="n"/>
      <c r="N48" s="132" t="n"/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Mar 28-jul</t>
        </is>
      </c>
      <c r="G50" s="6" t="n">
        <v>1000</v>
      </c>
      <c r="H50" s="7" t="n">
        <v>27</v>
      </c>
      <c r="I50" s="8" t="n">
        <v>27000</v>
      </c>
      <c r="K50" s="5" t="inlineStr">
        <is>
          <t>Lun 27-jul</t>
        </is>
      </c>
      <c r="L50" s="6" t="n">
        <v>80</v>
      </c>
      <c r="M50" s="7" t="n">
        <v>27</v>
      </c>
      <c r="N50" s="8" t="n">
        <v>2160</v>
      </c>
    </row>
    <row r="51" ht="18" customHeight="1">
      <c r="F51" s="9" t="inlineStr">
        <is>
          <t>Jue 30-jul</t>
        </is>
      </c>
      <c r="G51" s="10" t="n">
        <v>38.51</v>
      </c>
      <c r="H51" s="11" t="n">
        <v>27</v>
      </c>
      <c r="I51" s="12" t="n">
        <v>1039.77</v>
      </c>
      <c r="K51" s="9" t="inlineStr">
        <is>
          <t>Jue 30-jul</t>
        </is>
      </c>
      <c r="L51" s="10" t="n">
        <v>92</v>
      </c>
      <c r="M51" s="11" t="n">
        <v>27</v>
      </c>
      <c r="N51" s="12" t="n">
        <v>2484</v>
      </c>
    </row>
    <row r="52" ht="18" customHeight="1">
      <c r="F52" s="5" t="inlineStr">
        <is>
          <t>Vie 31-jul</t>
        </is>
      </c>
      <c r="G52" s="6" t="n">
        <v>550</v>
      </c>
      <c r="H52" s="7" t="n">
        <v>27</v>
      </c>
      <c r="I52" s="8" t="n">
        <v>14850</v>
      </c>
      <c r="K52" s="5" t="inlineStr">
        <is>
          <t>Vie 31-jul</t>
        </is>
      </c>
      <c r="L52" s="6" t="n">
        <v>130</v>
      </c>
      <c r="M52" s="7" t="n">
        <v>27</v>
      </c>
      <c r="N52" s="8" t="n">
        <v>3510</v>
      </c>
    </row>
    <row r="53" ht="20" customHeight="1">
      <c r="F53" s="80" t="inlineStr">
        <is>
          <t>TOTAL — Planta Pegaso</t>
        </is>
      </c>
      <c r="G53" s="14" t="n">
        <v>1588.51</v>
      </c>
      <c r="H53" s="15" t="n"/>
      <c r="I53" s="16" t="n">
        <v>42889.77</v>
      </c>
      <c r="K53" s="80" t="inlineStr">
        <is>
          <t>TOTAL — Providencia</t>
        </is>
      </c>
      <c r="L53" s="14" t="n">
        <v>302</v>
      </c>
      <c r="M53" s="15" t="n"/>
      <c r="N53" s="16" t="n">
        <v>8154</v>
      </c>
    </row>
    <row r="56" ht="22" customHeight="1">
      <c r="F56" s="81" t="inlineStr">
        <is>
          <t>APOLINAR</t>
        </is>
      </c>
      <c r="G56" s="131" t="n"/>
      <c r="H56" s="131" t="n"/>
      <c r="I56" s="131" t="n"/>
      <c r="J56" s="131" t="n"/>
      <c r="K56" s="131" t="n"/>
      <c r="L56" s="131" t="n"/>
      <c r="M56" s="131" t="n"/>
      <c r="N56" s="131" t="n"/>
      <c r="O56" s="131" t="n"/>
      <c r="P56" s="131" t="n"/>
      <c r="Q56" s="132" t="n"/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27/07</t>
        </is>
      </c>
      <c r="J57" s="4" t="inlineStr">
        <is>
          <t>Mar
28/07</t>
        </is>
      </c>
      <c r="K57" s="4" t="inlineStr">
        <is>
          <t>Mié
29/07</t>
        </is>
      </c>
      <c r="L57" s="4" t="inlineStr">
        <is>
          <t>Jue
30/07</t>
        </is>
      </c>
      <c r="M57" s="4" t="inlineStr">
        <is>
          <t>Vie
31/07</t>
        </is>
      </c>
      <c r="N57" s="4" t="inlineStr">
        <is>
          <t>Sáb
01/08</t>
        </is>
      </c>
      <c r="O57" s="4" t="inlineStr">
        <is>
          <t>LITROS
TOTAL</t>
        </is>
      </c>
      <c r="P57" s="4" t="inlineStr">
        <is>
          <t>PRECIO
UNIT.</t>
        </is>
      </c>
      <c r="Q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Lerma - Tres Marías</t>
        </is>
      </c>
      <c r="K58" s="84" t="inlineStr">
        <is>
          <t>Lerma - Tres Marías</t>
        </is>
      </c>
      <c r="L58" s="84" t="inlineStr">
        <is>
          <t>Alfredo del Mazo</t>
        </is>
      </c>
      <c r="M58" s="84" t="inlineStr">
        <is>
          <t>Lerma - Tres Marías</t>
        </is>
      </c>
      <c r="N58" s="84" t="inlineStr">
        <is>
          <t>Alfredo del Mazo</t>
        </is>
      </c>
      <c r="O58" s="82" t="n"/>
      <c r="P58" s="82" t="n"/>
      <c r="Q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/>
      <c r="L59" s="85" t="n">
        <v>-832.6</v>
      </c>
      <c r="M59" s="85" t="n"/>
      <c r="N59" s="85" t="n"/>
      <c r="O59" s="88" t="n">
        <v>-832.6</v>
      </c>
      <c r="P59" s="55" t="n">
        <v>27</v>
      </c>
      <c r="Q59" s="89" t="n">
        <v>-22480.2</v>
      </c>
    </row>
    <row r="60" ht="18" customHeight="1">
      <c r="F60" s="90" t="n">
        <v>2</v>
      </c>
      <c r="G60" s="91" t="inlineStr">
        <is>
          <t>BARREDORA BROCE BROOM KR350</t>
        </is>
      </c>
      <c r="H60" s="92" t="n"/>
      <c r="I60" s="90" t="n"/>
      <c r="J60" s="90" t="n"/>
      <c r="K60" s="90" t="n"/>
      <c r="L60" s="90" t="n"/>
      <c r="M60" s="90" t="n">
        <v>50</v>
      </c>
      <c r="N60" s="90" t="n"/>
      <c r="O60" s="93" t="n">
        <v>50</v>
      </c>
      <c r="P60" s="94" t="n">
        <v>27</v>
      </c>
      <c r="Q60" s="95" t="n">
        <v>1350</v>
      </c>
    </row>
    <row r="61" ht="18" customHeight="1">
      <c r="F61" s="85" t="n">
        <v>3</v>
      </c>
      <c r="G61" s="86" t="inlineStr">
        <is>
          <t>BARREDORA LAYMOR SM400</t>
        </is>
      </c>
      <c r="H61" s="96" t="n"/>
      <c r="I61" s="85" t="n"/>
      <c r="J61" s="85" t="n"/>
      <c r="K61" s="85" t="n">
        <v>50</v>
      </c>
      <c r="L61" s="85" t="n"/>
      <c r="M61" s="85" t="n"/>
      <c r="N61" s="85" t="n">
        <v>30</v>
      </c>
      <c r="O61" s="88" t="n">
        <v>80</v>
      </c>
      <c r="P61" s="55" t="n">
        <v>27</v>
      </c>
      <c r="Q61" s="89" t="n">
        <v>2160</v>
      </c>
    </row>
    <row r="62" ht="18" customHeight="1">
      <c r="F62" s="90" t="n">
        <v>4</v>
      </c>
      <c r="G62" s="91" t="inlineStr">
        <is>
          <t>Compresor Ingersoll Rand</t>
        </is>
      </c>
      <c r="H62" s="92" t="n"/>
      <c r="I62" s="90" t="n">
        <v>30</v>
      </c>
      <c r="J62" s="90" t="n"/>
      <c r="K62" s="90" t="n">
        <v>10</v>
      </c>
      <c r="L62" s="90" t="n"/>
      <c r="M62" s="90" t="n"/>
      <c r="N62" s="90" t="n"/>
      <c r="O62" s="93" t="n">
        <v>40</v>
      </c>
      <c r="P62" s="94" t="n">
        <v>27</v>
      </c>
      <c r="Q62" s="95" t="n">
        <v>1080</v>
      </c>
    </row>
    <row r="63" ht="18" customHeight="1">
      <c r="F63" s="85" t="n">
        <v>5</v>
      </c>
      <c r="G63" s="86" t="inlineStr">
        <is>
          <t>LIMPIEZA DE 2 CUADRILLAS DE BACHEO - -</t>
        </is>
      </c>
      <c r="H63" s="96" t="n"/>
      <c r="I63" s="85" t="n"/>
      <c r="J63" s="85" t="n">
        <v>25</v>
      </c>
      <c r="K63" s="85" t="n"/>
      <c r="L63" s="85" t="n"/>
      <c r="M63" s="85" t="n"/>
      <c r="N63" s="85" t="n"/>
      <c r="O63" s="88" t="n">
        <v>25</v>
      </c>
      <c r="P63" s="55" t="n">
        <v>27</v>
      </c>
      <c r="Q63" s="89" t="n">
        <v>675</v>
      </c>
    </row>
    <row r="64" ht="18" customHeight="1">
      <c r="F64" s="90" t="n">
        <v>6</v>
      </c>
      <c r="G64" s="91" t="inlineStr">
        <is>
          <t>NEUMATICO PF-300B</t>
        </is>
      </c>
      <c r="H64" s="92" t="n"/>
      <c r="I64" s="90" t="n">
        <v>75</v>
      </c>
      <c r="J64" s="90" t="n"/>
      <c r="K64" s="90" t="n"/>
      <c r="L64" s="90" t="n"/>
      <c r="M64" s="90" t="n"/>
      <c r="N64" s="90" t="n">
        <v>30</v>
      </c>
      <c r="O64" s="93" t="n">
        <v>105</v>
      </c>
      <c r="P64" s="94" t="n">
        <v>27</v>
      </c>
      <c r="Q64" s="95" t="n">
        <v>2835</v>
      </c>
    </row>
    <row r="65" ht="18" customHeight="1">
      <c r="F65" s="85" t="n">
        <v>7</v>
      </c>
      <c r="G65" s="86" t="inlineStr">
        <is>
          <t>NEUMATICO VOLVO PT-240R</t>
        </is>
      </c>
      <c r="H65" s="96" t="n"/>
      <c r="I65" s="85" t="n"/>
      <c r="J65" s="85" t="n">
        <v>25</v>
      </c>
      <c r="K65" s="85" t="n"/>
      <c r="L65" s="85" t="n"/>
      <c r="M65" s="85" t="n">
        <v>50</v>
      </c>
      <c r="N65" s="85" t="n"/>
      <c r="O65" s="88" t="n">
        <v>75</v>
      </c>
      <c r="P65" s="55" t="n">
        <v>27</v>
      </c>
      <c r="Q65" s="89" t="n">
        <v>2025</v>
      </c>
    </row>
    <row r="66" ht="18" customHeight="1">
      <c r="F66" s="90" t="n">
        <v>8</v>
      </c>
      <c r="G66" s="91" t="inlineStr">
        <is>
          <t>PAVIMENTADORA VOGELE 1800-3 i</t>
        </is>
      </c>
      <c r="H66" s="92" t="n"/>
      <c r="I66" s="90" t="n">
        <v>25</v>
      </c>
      <c r="J66" s="90" t="n"/>
      <c r="K66" s="90" t="n"/>
      <c r="L66" s="90" t="n"/>
      <c r="M66" s="90" t="n">
        <v>150</v>
      </c>
      <c r="N66" s="90" t="n"/>
      <c r="O66" s="93" t="n">
        <v>175</v>
      </c>
      <c r="P66" s="94" t="n">
        <v>27</v>
      </c>
      <c r="Q66" s="95" t="n">
        <v>4725</v>
      </c>
    </row>
    <row r="67" ht="18" customHeight="1">
      <c r="F67" s="85" t="n">
        <v>9</v>
      </c>
      <c r="G67" s="86" t="inlineStr">
        <is>
          <t>PAVIMENTADORA VOGELE SJ 1800-3</t>
        </is>
      </c>
      <c r="H67" s="96" t="n"/>
      <c r="I67" s="85" t="n">
        <v>95</v>
      </c>
      <c r="J67" s="85" t="n"/>
      <c r="K67" s="85" t="n"/>
      <c r="L67" s="85" t="n"/>
      <c r="M67" s="85" t="n"/>
      <c r="N67" s="85" t="n">
        <v>136</v>
      </c>
      <c r="O67" s="88" t="n">
        <v>231</v>
      </c>
      <c r="P67" s="55" t="n">
        <v>27</v>
      </c>
      <c r="Q67" s="89" t="n">
        <v>6237</v>
      </c>
    </row>
    <row r="68" ht="18" customHeight="1">
      <c r="F68" s="90" t="n">
        <v>10</v>
      </c>
      <c r="G68" s="91" t="inlineStr">
        <is>
          <t>PERFILADORA RODATEC RX600-4-4008</t>
        </is>
      </c>
      <c r="H68" s="92" t="n"/>
      <c r="I68" s="90" t="n"/>
      <c r="J68" s="90" t="n"/>
      <c r="K68" s="90" t="n">
        <v>400</v>
      </c>
      <c r="L68" s="90" t="n"/>
      <c r="M68" s="90" t="n"/>
      <c r="N68" s="90" t="n"/>
      <c r="O68" s="93" t="n">
        <v>400</v>
      </c>
      <c r="P68" s="94" t="n">
        <v>27</v>
      </c>
      <c r="Q68" s="95" t="n">
        <v>10800</v>
      </c>
    </row>
    <row r="69" ht="18" customHeight="1">
      <c r="F69" s="85" t="n">
        <v>11</v>
      </c>
      <c r="G69" s="86" t="inlineStr">
        <is>
          <t>PETROLIZADORA (IMPACTO 04) FORD F800</t>
        </is>
      </c>
      <c r="H69" s="96" t="n"/>
      <c r="I69" s="85" t="n"/>
      <c r="J69" s="85" t="n"/>
      <c r="K69" s="85" t="n"/>
      <c r="L69" s="85" t="n"/>
      <c r="M69" s="85" t="n"/>
      <c r="N69" s="85" t="n">
        <v>41</v>
      </c>
      <c r="O69" s="88" t="n">
        <v>41</v>
      </c>
      <c r="P69" s="55" t="n">
        <v>27</v>
      </c>
      <c r="Q69" s="89" t="n">
        <v>1107</v>
      </c>
    </row>
    <row r="70" ht="18" customHeight="1">
      <c r="F70" s="90" t="n">
        <v>12</v>
      </c>
      <c r="G70" s="91" t="inlineStr">
        <is>
          <t>PETROLIZADORA INTERNATIONAL None</t>
        </is>
      </c>
      <c r="H70" s="92" t="n"/>
      <c r="I70" s="90" t="n"/>
      <c r="J70" s="90" t="n"/>
      <c r="K70" s="90" t="n">
        <v>50</v>
      </c>
      <c r="L70" s="90" t="n"/>
      <c r="M70" s="90" t="n"/>
      <c r="N70" s="90" t="n"/>
      <c r="O70" s="93" t="n">
        <v>50</v>
      </c>
      <c r="P70" s="94" t="n">
        <v>27</v>
      </c>
      <c r="Q70" s="95" t="n">
        <v>1350</v>
      </c>
    </row>
    <row r="71" ht="18" customHeight="1">
      <c r="F71" s="85" t="n">
        <v>13</v>
      </c>
      <c r="G71" s="86" t="inlineStr">
        <is>
          <t>PIPA DE AGUA (IMPACTO 01) FORD None</t>
        </is>
      </c>
      <c r="H71" s="96" t="n"/>
      <c r="I71" s="85" t="n">
        <v>70</v>
      </c>
      <c r="J71" s="85" t="n"/>
      <c r="K71" s="85" t="n">
        <v>30</v>
      </c>
      <c r="L71" s="85" t="n"/>
      <c r="M71" s="85" t="n">
        <v>50</v>
      </c>
      <c r="N71" s="85" t="n">
        <v>40</v>
      </c>
      <c r="O71" s="88" t="n">
        <v>190</v>
      </c>
      <c r="P71" s="55" t="n">
        <v>27</v>
      </c>
      <c r="Q71" s="89" t="n">
        <v>5130</v>
      </c>
    </row>
    <row r="72" ht="18" customHeight="1">
      <c r="F72" s="90" t="n">
        <v>14</v>
      </c>
      <c r="G72" s="91" t="inlineStr">
        <is>
          <t>RETROEXCAVADORA CASE 580 N</t>
        </is>
      </c>
      <c r="H72" s="92" t="n"/>
      <c r="I72" s="90" t="n"/>
      <c r="J72" s="90" t="n"/>
      <c r="K72" s="90" t="n">
        <v>60</v>
      </c>
      <c r="L72" s="90" t="n"/>
      <c r="M72" s="90" t="n"/>
      <c r="N72" s="90" t="n"/>
      <c r="O72" s="93" t="n">
        <v>60</v>
      </c>
      <c r="P72" s="94" t="n">
        <v>27</v>
      </c>
      <c r="Q72" s="95" t="n">
        <v>1620</v>
      </c>
    </row>
    <row r="73" ht="18" customHeight="1">
      <c r="F73" s="85" t="n">
        <v>15</v>
      </c>
      <c r="G73" s="86" t="inlineStr">
        <is>
          <t>RETROEXCAVADORA JHONDEREE 310 K</t>
        </is>
      </c>
      <c r="H73" s="96" t="n"/>
      <c r="I73" s="85" t="n">
        <v>77</v>
      </c>
      <c r="J73" s="85" t="n"/>
      <c r="K73" s="85" t="n"/>
      <c r="L73" s="85" t="n"/>
      <c r="M73" s="85" t="n">
        <v>60</v>
      </c>
      <c r="N73" s="85" t="n">
        <v>40</v>
      </c>
      <c r="O73" s="88" t="n">
        <v>177</v>
      </c>
      <c r="P73" s="55" t="n">
        <v>27</v>
      </c>
      <c r="Q73" s="89" t="n">
        <v>4779</v>
      </c>
    </row>
    <row r="74" ht="18" customHeight="1">
      <c r="F74" s="90" t="n">
        <v>16</v>
      </c>
      <c r="G74" s="91" t="inlineStr">
        <is>
          <t>TANDEM DOBLE RODILLO / VIBROCOMPACTOR RODILLO CAT CB54</t>
        </is>
      </c>
      <c r="H74" s="92" t="n"/>
      <c r="I74" s="90" t="n">
        <v>100</v>
      </c>
      <c r="J74" s="90" t="n">
        <v>100</v>
      </c>
      <c r="K74" s="90" t="n"/>
      <c r="L74" s="90" t="n"/>
      <c r="M74" s="90" t="n">
        <v>50</v>
      </c>
      <c r="N74" s="90" t="n">
        <v>40</v>
      </c>
      <c r="O74" s="93" t="n">
        <v>290</v>
      </c>
      <c r="P74" s="94" t="n">
        <v>27</v>
      </c>
      <c r="Q74" s="95" t="n">
        <v>7830</v>
      </c>
    </row>
    <row r="75" ht="18" customHeight="1">
      <c r="F75" s="85" t="n">
        <v>17</v>
      </c>
      <c r="G75" s="86" t="inlineStr">
        <is>
          <t>VIBROCOMPACTADOR CATERPILLAR CB66B</t>
        </is>
      </c>
      <c r="H75" s="96" t="n"/>
      <c r="I75" s="85" t="n"/>
      <c r="J75" s="85" t="n"/>
      <c r="K75" s="85" t="n">
        <v>50</v>
      </c>
      <c r="L75" s="85" t="n"/>
      <c r="M75" s="85" t="n"/>
      <c r="N75" s="85" t="n"/>
      <c r="O75" s="88" t="n">
        <v>50</v>
      </c>
      <c r="P75" s="55" t="n">
        <v>27</v>
      </c>
      <c r="Q75" s="89" t="n">
        <v>1350</v>
      </c>
    </row>
    <row r="76" ht="20" customHeight="1">
      <c r="F76" s="80" t="inlineStr">
        <is>
          <t>TOTAL LITROS</t>
        </is>
      </c>
      <c r="G76" s="131" t="n"/>
      <c r="H76" s="132" t="n"/>
      <c r="I76" s="98" t="n">
        <v>472</v>
      </c>
      <c r="J76" s="97" t="n">
        <v>150</v>
      </c>
      <c r="K76" s="98" t="n">
        <v>650</v>
      </c>
      <c r="L76" s="97" t="n">
        <v>-832.6</v>
      </c>
      <c r="M76" s="98" t="n">
        <v>410</v>
      </c>
      <c r="N76" s="97" t="n">
        <v>357</v>
      </c>
      <c r="O76" s="80" t="n">
        <v>1206.4</v>
      </c>
      <c r="P76" s="15" t="n"/>
      <c r="Q76" s="16" t="n">
        <v>32572.8</v>
      </c>
    </row>
    <row r="77" ht="20" customHeight="1">
      <c r="F77" s="99" t="inlineStr">
        <is>
          <t>IMPORTE SEMANAL AUTORIZADO: $75,600.00  (Litros aut.: 2,800.00 L)</t>
        </is>
      </c>
      <c r="G77" s="131" t="n"/>
      <c r="H77" s="131" t="n"/>
      <c r="I77" s="131" t="n"/>
      <c r="J77" s="131" t="n"/>
      <c r="K77" s="131" t="n"/>
      <c r="L77" s="131" t="n"/>
      <c r="M77" s="131" t="n"/>
      <c r="N77" s="131" t="n"/>
      <c r="O77" s="131" t="n"/>
      <c r="P77" s="132" t="n"/>
      <c r="Q77" s="101" t="n">
        <v>32572.8</v>
      </c>
    </row>
    <row r="80" ht="22" customHeight="1">
      <c r="F80" s="81" t="inlineStr">
        <is>
          <t>FRANCISCO JAVIER</t>
        </is>
      </c>
      <c r="G80" s="131" t="n"/>
      <c r="H80" s="131" t="n"/>
      <c r="I80" s="131" t="n"/>
      <c r="J80" s="131" t="n"/>
      <c r="K80" s="131" t="n"/>
      <c r="L80" s="131" t="n"/>
      <c r="M80" s="131" t="n"/>
      <c r="N80" s="132" t="n"/>
    </row>
    <row r="81" ht="28" customHeight="1">
      <c r="F81" s="4" t="inlineStr">
        <is>
          <t>#</t>
        </is>
      </c>
      <c r="G81" s="4" t="inlineStr">
        <is>
          <t>EQUIPO / MAQUINARIA</t>
        </is>
      </c>
      <c r="H81" s="4" t="inlineStr">
        <is>
          <t>LTS. SEM.
AUT.</t>
        </is>
      </c>
      <c r="I81" s="4" t="inlineStr">
        <is>
          <t>Mar
28/07</t>
        </is>
      </c>
      <c r="J81" s="4" t="inlineStr">
        <is>
          <t>Jue
30/07</t>
        </is>
      </c>
      <c r="K81" s="4" t="inlineStr">
        <is>
          <t>Sáb
01/08</t>
        </is>
      </c>
      <c r="L81" s="4" t="inlineStr">
        <is>
          <t>LITROS
TOTAL</t>
        </is>
      </c>
      <c r="M81" s="4" t="inlineStr">
        <is>
          <t>PRECIO
UNIT.</t>
        </is>
      </c>
      <c r="N81" s="4" t="inlineStr">
        <is>
          <t>TOTAL $</t>
        </is>
      </c>
    </row>
    <row r="82" ht="22" customHeight="1">
      <c r="F82" s="82" t="n"/>
      <c r="G82" s="83" t="inlineStr">
        <is>
          <t>OBRA DESTINO</t>
        </is>
      </c>
      <c r="H82" s="82" t="n"/>
      <c r="I82" s="84" t="inlineStr">
        <is>
          <t>México - Toluca</t>
        </is>
      </c>
      <c r="J82" s="84" t="inlineStr">
        <is>
          <t>México - Toluca</t>
        </is>
      </c>
      <c r="K82" s="84" t="inlineStr">
        <is>
          <t>México - Toluca</t>
        </is>
      </c>
      <c r="L82" s="82" t="n"/>
      <c r="M82" s="82" t="n"/>
      <c r="N82" s="82" t="n"/>
    </row>
    <row r="83" ht="18" customHeight="1">
      <c r="F83" s="85" t="n">
        <v>1</v>
      </c>
      <c r="G83" s="86" t="inlineStr">
        <is>
          <t>AJUSTE DIESEL</t>
        </is>
      </c>
      <c r="H83" s="87" t="n">
        <v>3850</v>
      </c>
      <c r="I83" s="85" t="n"/>
      <c r="J83" s="85" t="n">
        <v>112.71</v>
      </c>
      <c r="K83" s="85" t="n"/>
      <c r="L83" s="88" t="n">
        <v>112.71</v>
      </c>
      <c r="M83" s="55" t="n">
        <v>27</v>
      </c>
      <c r="N83" s="89" t="n">
        <v>3043.17</v>
      </c>
    </row>
    <row r="84" ht="18" customHeight="1">
      <c r="F84" s="90" t="n">
        <v>2</v>
      </c>
      <c r="G84" s="91" t="inlineStr">
        <is>
          <t>BARREDORA BROCE BROOM KR350</t>
        </is>
      </c>
      <c r="H84" s="92" t="n"/>
      <c r="I84" s="90" t="n"/>
      <c r="J84" s="90" t="n">
        <v>28</v>
      </c>
      <c r="K84" s="90" t="n">
        <v>36</v>
      </c>
      <c r="L84" s="93" t="n">
        <v>64</v>
      </c>
      <c r="M84" s="94" t="n">
        <v>27</v>
      </c>
      <c r="N84" s="95" t="n">
        <v>1728</v>
      </c>
    </row>
    <row r="85" ht="18" customHeight="1">
      <c r="F85" s="85" t="n">
        <v>3</v>
      </c>
      <c r="G85" s="86" t="inlineStr">
        <is>
          <t>BARREDORA BROCE RJ350</t>
        </is>
      </c>
      <c r="H85" s="96" t="n"/>
      <c r="I85" s="85" t="n">
        <v>38</v>
      </c>
      <c r="J85" s="85" t="n"/>
      <c r="K85" s="85" t="n"/>
      <c r="L85" s="88" t="n">
        <v>38</v>
      </c>
      <c r="M85" s="55" t="n">
        <v>27</v>
      </c>
      <c r="N85" s="89" t="n">
        <v>1026</v>
      </c>
    </row>
    <row r="86" ht="18" customHeight="1">
      <c r="F86" s="90" t="n">
        <v>4</v>
      </c>
      <c r="G86" s="91" t="inlineStr">
        <is>
          <t>DOBLE RODILLO/VIBROCOMPACTADOR DE RODILLOS HAMM 120HD VV</t>
        </is>
      </c>
      <c r="H86" s="92" t="n"/>
      <c r="I86" s="90" t="n">
        <v>50</v>
      </c>
      <c r="J86" s="90" t="n">
        <v>50</v>
      </c>
      <c r="K86" s="90" t="n">
        <v>50</v>
      </c>
      <c r="L86" s="93" t="n">
        <v>150</v>
      </c>
      <c r="M86" s="94" t="n">
        <v>27</v>
      </c>
      <c r="N86" s="95" t="n">
        <v>4050</v>
      </c>
    </row>
    <row r="87" ht="18" customHeight="1">
      <c r="F87" s="85" t="n">
        <v>5</v>
      </c>
      <c r="G87" s="86" t="inlineStr">
        <is>
          <t>DOBLE RODILLO/VIBROCOMPACTADOR DE RODILLOS HAMM 140HD</t>
        </is>
      </c>
      <c r="H87" s="96" t="n"/>
      <c r="I87" s="85" t="n">
        <v>50</v>
      </c>
      <c r="J87" s="85" t="n">
        <v>55</v>
      </c>
      <c r="K87" s="85" t="n">
        <v>50</v>
      </c>
      <c r="L87" s="88" t="n">
        <v>155</v>
      </c>
      <c r="M87" s="55" t="n">
        <v>27</v>
      </c>
      <c r="N87" s="89" t="n">
        <v>4185</v>
      </c>
    </row>
    <row r="88" ht="18" customHeight="1">
      <c r="F88" s="90" t="n">
        <v>6</v>
      </c>
      <c r="G88" s="91" t="inlineStr">
        <is>
          <t>NEUMATICO / COMPACTADOR DE NEUMATICOS DINAPAC CP271</t>
        </is>
      </c>
      <c r="H88" s="92" t="n"/>
      <c r="I88" s="90" t="n">
        <v>12</v>
      </c>
      <c r="J88" s="90" t="n">
        <v>50</v>
      </c>
      <c r="K88" s="90" t="n">
        <v>47</v>
      </c>
      <c r="L88" s="93" t="n">
        <v>109</v>
      </c>
      <c r="M88" s="94" t="n">
        <v>27</v>
      </c>
      <c r="N88" s="95" t="n">
        <v>2943</v>
      </c>
    </row>
    <row r="89" ht="18" customHeight="1">
      <c r="F89" s="85" t="n">
        <v>7</v>
      </c>
      <c r="G89" s="86" t="inlineStr">
        <is>
          <t>NEUMATICO HAMM 208</t>
        </is>
      </c>
      <c r="H89" s="96" t="n"/>
      <c r="I89" s="85" t="n">
        <v>50</v>
      </c>
      <c r="J89" s="85" t="n">
        <v>50</v>
      </c>
      <c r="K89" s="85" t="n">
        <v>53</v>
      </c>
      <c r="L89" s="88" t="n">
        <v>153</v>
      </c>
      <c r="M89" s="55" t="n">
        <v>27</v>
      </c>
      <c r="N89" s="89" t="n">
        <v>4131</v>
      </c>
    </row>
    <row r="90" ht="18" customHeight="1">
      <c r="F90" s="90" t="n">
        <v>8</v>
      </c>
      <c r="G90" s="91" t="inlineStr">
        <is>
          <t>PAVIMENTADORA VOGELE 1800-3 i</t>
        </is>
      </c>
      <c r="H90" s="92" t="n"/>
      <c r="I90" s="90" t="n">
        <v>230</v>
      </c>
      <c r="J90" s="90" t="n">
        <v>160</v>
      </c>
      <c r="K90" s="90" t="n">
        <v>161</v>
      </c>
      <c r="L90" s="93" t="n">
        <v>551</v>
      </c>
      <c r="M90" s="94" t="n">
        <v>27</v>
      </c>
      <c r="N90" s="95" t="n">
        <v>14877</v>
      </c>
    </row>
    <row r="91" ht="18" customHeight="1">
      <c r="F91" s="85" t="n">
        <v>9</v>
      </c>
      <c r="G91" s="86" t="inlineStr">
        <is>
          <t>PETROLIZADORA (IMPACTO 04) FORD</t>
        </is>
      </c>
      <c r="H91" s="96" t="n"/>
      <c r="I91" s="85" t="n">
        <v>60</v>
      </c>
      <c r="J91" s="85" t="n"/>
      <c r="K91" s="85" t="n">
        <v>120</v>
      </c>
      <c r="L91" s="88" t="n">
        <v>180</v>
      </c>
      <c r="M91" s="55" t="n">
        <v>27</v>
      </c>
      <c r="N91" s="89" t="n">
        <v>4860</v>
      </c>
    </row>
    <row r="92" ht="18" customHeight="1">
      <c r="F92" s="90" t="n">
        <v>10</v>
      </c>
      <c r="G92" s="91" t="inlineStr">
        <is>
          <t>PETROLIZADORA (IMPACTO 04) FORD F800</t>
        </is>
      </c>
      <c r="H92" s="92" t="n"/>
      <c r="I92" s="90" t="n"/>
      <c r="J92" s="90" t="n">
        <v>60</v>
      </c>
      <c r="K92" s="90" t="n"/>
      <c r="L92" s="93" t="n">
        <v>60</v>
      </c>
      <c r="M92" s="94" t="n">
        <v>27</v>
      </c>
      <c r="N92" s="95" t="n">
        <v>1620</v>
      </c>
    </row>
    <row r="93" ht="18" customHeight="1">
      <c r="F93" s="85" t="n">
        <v>11</v>
      </c>
      <c r="G93" s="86" t="inlineStr">
        <is>
          <t>Perfiladora(Rentada)</t>
        </is>
      </c>
      <c r="H93" s="96" t="n"/>
      <c r="I93" s="85" t="n">
        <v>400</v>
      </c>
      <c r="J93" s="85" t="n">
        <v>400</v>
      </c>
      <c r="K93" s="85" t="n">
        <v>400</v>
      </c>
      <c r="L93" s="88" t="n">
        <v>1200</v>
      </c>
      <c r="M93" s="55" t="n">
        <v>27</v>
      </c>
      <c r="N93" s="89" t="n">
        <v>32400</v>
      </c>
    </row>
    <row r="94" ht="18" customHeight="1">
      <c r="F94" s="90" t="n">
        <v>12</v>
      </c>
      <c r="G94" s="91" t="inlineStr">
        <is>
          <t>RETROEXCAVADORA JHONDEREE 310SK</t>
        </is>
      </c>
      <c r="H94" s="92" t="n"/>
      <c r="I94" s="90" t="n">
        <v>100</v>
      </c>
      <c r="J94" s="90" t="n">
        <v>60</v>
      </c>
      <c r="K94" s="90" t="n">
        <v>65</v>
      </c>
      <c r="L94" s="93" t="n">
        <v>225</v>
      </c>
      <c r="M94" s="94" t="n">
        <v>27</v>
      </c>
      <c r="N94" s="95" t="n">
        <v>6075</v>
      </c>
    </row>
    <row r="95" ht="20" customHeight="1">
      <c r="F95" s="80" t="inlineStr">
        <is>
          <t>TOTAL LITROS</t>
        </is>
      </c>
      <c r="G95" s="131" t="n"/>
      <c r="H95" s="132" t="n"/>
      <c r="I95" s="98" t="n">
        <v>990</v>
      </c>
      <c r="J95" s="98" t="n">
        <v>1025.71</v>
      </c>
      <c r="K95" s="98" t="n">
        <v>982</v>
      </c>
      <c r="L95" s="80" t="n">
        <v>2997.71</v>
      </c>
      <c r="M95" s="15" t="n"/>
      <c r="N95" s="16" t="n">
        <v>80938.17</v>
      </c>
    </row>
    <row r="96" ht="20" customHeight="1">
      <c r="F96" s="99" t="inlineStr">
        <is>
          <t>IMPORTE SEMANAL AUTORIZADO: $103,950.00  (Litros aut.: 3,850.00 L)</t>
        </is>
      </c>
      <c r="G96" s="131" t="n"/>
      <c r="H96" s="131" t="n"/>
      <c r="I96" s="131" t="n"/>
      <c r="J96" s="131" t="n"/>
      <c r="K96" s="131" t="n"/>
      <c r="L96" s="131" t="n"/>
      <c r="M96" s="132" t="n"/>
      <c r="N96" s="101" t="n">
        <v>80938.17</v>
      </c>
    </row>
    <row r="99" ht="22" customHeight="1">
      <c r="F99" s="81" t="inlineStr">
        <is>
          <t>ING. DIEGO CARREOLA</t>
        </is>
      </c>
      <c r="G99" s="131" t="n"/>
      <c r="H99" s="131" t="n"/>
      <c r="I99" s="131" t="n"/>
      <c r="J99" s="131" t="n"/>
      <c r="K99" s="131" t="n"/>
      <c r="L99" s="131" t="n"/>
      <c r="M99" s="131" t="n"/>
      <c r="N99" s="131" t="n"/>
      <c r="O99" s="131" t="n"/>
      <c r="P99" s="132" t="n"/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Lun
27/07</t>
        </is>
      </c>
      <c r="J100" s="4" t="inlineStr">
        <is>
          <t>Mar
28/07</t>
        </is>
      </c>
      <c r="K100" s="4" t="inlineStr">
        <is>
          <t>Mié
29/07</t>
        </is>
      </c>
      <c r="L100" s="4" t="inlineStr">
        <is>
          <t>Jue
30/07</t>
        </is>
      </c>
      <c r="M100" s="4" t="inlineStr">
        <is>
          <t>Vie
31/07</t>
        </is>
      </c>
      <c r="N100" s="4" t="inlineStr">
        <is>
          <t>LITROS
TOTAL</t>
        </is>
      </c>
      <c r="O100" s="4" t="inlineStr">
        <is>
          <t>PRECIO
UNIT.</t>
        </is>
      </c>
      <c r="P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Desasolve</t>
        </is>
      </c>
      <c r="J101" s="84" t="inlineStr">
        <is>
          <t>Desasolve</t>
        </is>
      </c>
      <c r="K101" s="84" t="inlineStr">
        <is>
          <t>Desasolve</t>
        </is>
      </c>
      <c r="L101" s="84" t="inlineStr">
        <is>
          <t>Desasolve</t>
        </is>
      </c>
      <c r="M101" s="84" t="inlineStr">
        <is>
          <t>Desasolve</t>
        </is>
      </c>
      <c r="N101" s="82" t="n"/>
      <c r="O101" s="82" t="n"/>
      <c r="P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6300</v>
      </c>
      <c r="I102" s="85" t="n"/>
      <c r="J102" s="85" t="n"/>
      <c r="K102" s="85" t="n"/>
      <c r="L102" s="85" t="n">
        <v>543.45</v>
      </c>
      <c r="M102" s="85" t="n"/>
      <c r="N102" s="88" t="n">
        <v>543.45</v>
      </c>
      <c r="O102" s="55" t="n">
        <v>27</v>
      </c>
      <c r="P102" s="89" t="n">
        <v>14673.15</v>
      </c>
    </row>
    <row r="103" ht="18" customHeight="1">
      <c r="F103" s="90" t="n">
        <v>2</v>
      </c>
      <c r="G103" s="91" t="inlineStr">
        <is>
          <t>EXCAVADORA 320D</t>
        </is>
      </c>
      <c r="H103" s="92" t="n"/>
      <c r="I103" s="90" t="n"/>
      <c r="J103" s="90" t="n">
        <v>360</v>
      </c>
      <c r="K103" s="90" t="n">
        <v>160</v>
      </c>
      <c r="L103" s="90" t="n">
        <v>580</v>
      </c>
      <c r="M103" s="90" t="n"/>
      <c r="N103" s="93" t="n">
        <v>1100</v>
      </c>
      <c r="O103" s="94" t="n">
        <v>27</v>
      </c>
      <c r="P103" s="95" t="n">
        <v>29700</v>
      </c>
    </row>
    <row r="104" ht="18" customHeight="1">
      <c r="F104" s="85" t="n">
        <v>3</v>
      </c>
      <c r="G104" s="86" t="inlineStr">
        <is>
          <t>EXCAVADORA 320D2</t>
        </is>
      </c>
      <c r="H104" s="96" t="n"/>
      <c r="I104" s="85" t="n">
        <v>180</v>
      </c>
      <c r="J104" s="85" t="n">
        <v>180</v>
      </c>
      <c r="K104" s="85" t="n">
        <v>160</v>
      </c>
      <c r="L104" s="85" t="n">
        <v>200</v>
      </c>
      <c r="M104" s="85" t="n"/>
      <c r="N104" s="88" t="n">
        <v>720</v>
      </c>
      <c r="O104" s="55" t="n">
        <v>27</v>
      </c>
      <c r="P104" s="89" t="n">
        <v>19440</v>
      </c>
    </row>
    <row r="105" ht="18" customHeight="1">
      <c r="F105" s="90" t="n">
        <v>4</v>
      </c>
      <c r="G105" s="91" t="inlineStr">
        <is>
          <t>Excavadora Cat 324DL</t>
        </is>
      </c>
      <c r="H105" s="92" t="n"/>
      <c r="I105" s="90" t="n"/>
      <c r="J105" s="90" t="n">
        <v>180</v>
      </c>
      <c r="K105" s="90" t="n"/>
      <c r="L105" s="90" t="n">
        <v>200</v>
      </c>
      <c r="M105" s="90" t="n"/>
      <c r="N105" s="93" t="n">
        <v>380</v>
      </c>
      <c r="O105" s="94" t="n">
        <v>27</v>
      </c>
      <c r="P105" s="95" t="n">
        <v>10260</v>
      </c>
    </row>
    <row r="106" ht="18" customHeight="1">
      <c r="F106" s="85" t="n">
        <v>5</v>
      </c>
      <c r="G106" s="86" t="inlineStr">
        <is>
          <t>PETROLIZADORA INTERNATIONAL None</t>
        </is>
      </c>
      <c r="H106" s="96" t="n"/>
      <c r="I106" s="85" t="n"/>
      <c r="J106" s="85" t="n"/>
      <c r="K106" s="85" t="n">
        <v>50</v>
      </c>
      <c r="L106" s="85" t="n"/>
      <c r="M106" s="85" t="n"/>
      <c r="N106" s="88" t="n">
        <v>50</v>
      </c>
      <c r="O106" s="55" t="n">
        <v>27</v>
      </c>
      <c r="P106" s="89" t="n">
        <v>1350</v>
      </c>
    </row>
    <row r="107" ht="18" customHeight="1">
      <c r="F107" s="90" t="n">
        <v>6</v>
      </c>
      <c r="G107" s="91" t="inlineStr">
        <is>
          <t>RETROEXCAVADORA CASE 420E</t>
        </is>
      </c>
      <c r="H107" s="92" t="n"/>
      <c r="I107" s="90" t="n">
        <v>51</v>
      </c>
      <c r="J107" s="90" t="n"/>
      <c r="K107" s="90" t="n"/>
      <c r="L107" s="90" t="n"/>
      <c r="M107" s="90" t="n">
        <v>80</v>
      </c>
      <c r="N107" s="93" t="n">
        <v>131</v>
      </c>
      <c r="O107" s="94" t="n">
        <v>27</v>
      </c>
      <c r="P107" s="95" t="n">
        <v>3537</v>
      </c>
    </row>
    <row r="108" ht="18" customHeight="1">
      <c r="F108" s="85" t="n">
        <v>7</v>
      </c>
      <c r="G108" s="86" t="inlineStr">
        <is>
          <t>RETROEXCAVADORA CASE 580 N</t>
        </is>
      </c>
      <c r="H108" s="96" t="n"/>
      <c r="I108" s="85" t="n">
        <v>115</v>
      </c>
      <c r="J108" s="85" t="n">
        <v>100</v>
      </c>
      <c r="K108" s="85" t="n"/>
      <c r="L108" s="85" t="n">
        <v>90</v>
      </c>
      <c r="M108" s="85" t="n">
        <v>130</v>
      </c>
      <c r="N108" s="88" t="n">
        <v>435</v>
      </c>
      <c r="O108" s="55" t="n">
        <v>27</v>
      </c>
      <c r="P108" s="89" t="n">
        <v>11745</v>
      </c>
    </row>
    <row r="109" ht="18" customHeight="1">
      <c r="F109" s="90" t="n">
        <v>8</v>
      </c>
      <c r="G109" s="91" t="inlineStr">
        <is>
          <t>RETROEXCAVADORA CAT 420 D</t>
        </is>
      </c>
      <c r="H109" s="92" t="n"/>
      <c r="I109" s="90" t="n">
        <v>50</v>
      </c>
      <c r="J109" s="90" t="n"/>
      <c r="K109" s="90" t="n"/>
      <c r="L109" s="90" t="n"/>
      <c r="M109" s="90" t="n"/>
      <c r="N109" s="93" t="n">
        <v>50</v>
      </c>
      <c r="O109" s="94" t="n">
        <v>27</v>
      </c>
      <c r="P109" s="95" t="n">
        <v>1350</v>
      </c>
    </row>
    <row r="110" ht="18" customHeight="1">
      <c r="F110" s="85" t="n">
        <v>9</v>
      </c>
      <c r="G110" s="86" t="inlineStr">
        <is>
          <t>RETROEXCAVADORA CAT 420 E</t>
        </is>
      </c>
      <c r="H110" s="96" t="n"/>
      <c r="I110" s="85" t="n"/>
      <c r="J110" s="85" t="n">
        <v>100</v>
      </c>
      <c r="K110" s="85" t="n"/>
      <c r="L110" s="85" t="n">
        <v>90</v>
      </c>
      <c r="M110" s="85" t="n"/>
      <c r="N110" s="88" t="n">
        <v>190</v>
      </c>
      <c r="O110" s="55" t="n">
        <v>27</v>
      </c>
      <c r="P110" s="89" t="n">
        <v>5130</v>
      </c>
    </row>
    <row r="111" ht="20" customHeight="1">
      <c r="F111" s="80" t="inlineStr">
        <is>
          <t>TOTAL LITROS</t>
        </is>
      </c>
      <c r="G111" s="131" t="n"/>
      <c r="H111" s="132" t="n"/>
      <c r="I111" s="97" t="n">
        <v>396</v>
      </c>
      <c r="J111" s="98" t="n">
        <v>920</v>
      </c>
      <c r="K111" s="97" t="n">
        <v>370</v>
      </c>
      <c r="L111" s="98" t="n">
        <v>1703.45</v>
      </c>
      <c r="M111" s="97" t="n">
        <v>210</v>
      </c>
      <c r="N111" s="80" t="n">
        <v>3599.45</v>
      </c>
      <c r="O111" s="15" t="n"/>
      <c r="P111" s="16" t="n">
        <v>97185.14999999999</v>
      </c>
    </row>
    <row r="112" ht="20" customHeight="1">
      <c r="F112" s="99" t="inlineStr">
        <is>
          <t>IMPORTE SEMANAL AUTORIZADO: $170,100.00  (Litros aut.: 6,300.00 L)</t>
        </is>
      </c>
      <c r="G112" s="131" t="n"/>
      <c r="H112" s="131" t="n"/>
      <c r="I112" s="131" t="n"/>
      <c r="J112" s="131" t="n"/>
      <c r="K112" s="131" t="n"/>
      <c r="L112" s="131" t="n"/>
      <c r="M112" s="131" t="n"/>
      <c r="N112" s="131" t="n"/>
      <c r="O112" s="132" t="n"/>
      <c r="P112" s="101" t="n">
        <v>97185.14999999999</v>
      </c>
    </row>
    <row r="115" ht="22" customHeight="1">
      <c r="F115" s="81" t="inlineStr">
        <is>
          <t>JACK</t>
        </is>
      </c>
      <c r="G115" s="131" t="n"/>
      <c r="H115" s="131" t="n"/>
      <c r="I115" s="131" t="n"/>
      <c r="J115" s="131" t="n"/>
      <c r="K115" s="131" t="n"/>
      <c r="L115" s="131" t="n"/>
      <c r="M115" s="131" t="n"/>
      <c r="N115" s="132" t="n"/>
    </row>
    <row r="116" ht="28" customHeight="1">
      <c r="F116" s="4" t="inlineStr">
        <is>
          <t>#</t>
        </is>
      </c>
      <c r="G116" s="4" t="inlineStr">
        <is>
          <t>EQUIPO / MAQUINARIA</t>
        </is>
      </c>
      <c r="H116" s="4" t="inlineStr">
        <is>
          <t>LTS. SEM.
AUT.</t>
        </is>
      </c>
      <c r="I116" s="4" t="inlineStr">
        <is>
          <t>Mar
28/07</t>
        </is>
      </c>
      <c r="J116" s="4" t="inlineStr">
        <is>
          <t>Jue
30/07</t>
        </is>
      </c>
      <c r="K116" s="4" t="inlineStr">
        <is>
          <t>Vie
31/07</t>
        </is>
      </c>
      <c r="L116" s="4" t="inlineStr">
        <is>
          <t>LITROS
TOTAL</t>
        </is>
      </c>
      <c r="M116" s="4" t="inlineStr">
        <is>
          <t>PRECIO
UNIT.</t>
        </is>
      </c>
      <c r="N116" s="4" t="inlineStr">
        <is>
          <t>TOTAL $</t>
        </is>
      </c>
    </row>
    <row r="117" ht="22" customHeight="1">
      <c r="F117" s="82" t="n"/>
      <c r="G117" s="83" t="inlineStr">
        <is>
          <t>OBRA DESTINO</t>
        </is>
      </c>
      <c r="H117" s="82" t="n"/>
      <c r="I117" s="84" t="inlineStr">
        <is>
          <t>Planta Pegaso</t>
        </is>
      </c>
      <c r="J117" s="84" t="inlineStr">
        <is>
          <t>Planta Pegaso</t>
        </is>
      </c>
      <c r="K117" s="84" t="inlineStr">
        <is>
          <t>Planta Pegaso</t>
        </is>
      </c>
      <c r="L117" s="82" t="n"/>
      <c r="M117" s="82" t="n"/>
      <c r="N117" s="82" t="n"/>
    </row>
    <row r="118" ht="18" customHeight="1">
      <c r="F118" s="85" t="n">
        <v>1</v>
      </c>
      <c r="G118" s="86" t="inlineStr">
        <is>
          <t>AJUSTE DIESEL</t>
        </is>
      </c>
      <c r="H118" s="87" t="n">
        <v>2800</v>
      </c>
      <c r="I118" s="85" t="n"/>
      <c r="J118" s="85" t="n">
        <v>38.51</v>
      </c>
      <c r="K118" s="85" t="n"/>
      <c r="L118" s="88" t="n">
        <v>38.51</v>
      </c>
      <c r="M118" s="55" t="n">
        <v>27</v>
      </c>
      <c r="N118" s="89" t="n">
        <v>1039.77</v>
      </c>
    </row>
    <row r="119" ht="18" customHeight="1">
      <c r="F119" s="90" t="n">
        <v>2</v>
      </c>
      <c r="G119" s="91" t="inlineStr">
        <is>
          <t>CALDERA PEGASO</t>
        </is>
      </c>
      <c r="H119" s="92" t="n"/>
      <c r="I119" s="90" t="n">
        <v>1000</v>
      </c>
      <c r="J119" s="90" t="n"/>
      <c r="K119" s="90" t="n">
        <v>550</v>
      </c>
      <c r="L119" s="93" t="n">
        <v>1550</v>
      </c>
      <c r="M119" s="94" t="n">
        <v>27</v>
      </c>
      <c r="N119" s="95" t="n">
        <v>41850</v>
      </c>
    </row>
    <row r="120" ht="20" customHeight="1">
      <c r="F120" s="80" t="inlineStr">
        <is>
          <t>TOTAL LITROS</t>
        </is>
      </c>
      <c r="G120" s="131" t="n"/>
      <c r="H120" s="132" t="n"/>
      <c r="I120" s="98" t="n">
        <v>1000</v>
      </c>
      <c r="J120" s="97" t="n">
        <v>38.51</v>
      </c>
      <c r="K120" s="98" t="n">
        <v>550</v>
      </c>
      <c r="L120" s="80" t="n">
        <v>1588.51</v>
      </c>
      <c r="M120" s="15" t="n"/>
      <c r="N120" s="16" t="n">
        <v>42889.77</v>
      </c>
    </row>
    <row r="121" ht="20" customHeight="1">
      <c r="F121" s="99" t="inlineStr">
        <is>
          <t>IMPORTE SEMANAL AUTORIZADO: $75,600.00  (Litros aut.: 2,800.00 L)</t>
        </is>
      </c>
      <c r="G121" s="131" t="n"/>
      <c r="H121" s="131" t="n"/>
      <c r="I121" s="131" t="n"/>
      <c r="J121" s="131" t="n"/>
      <c r="K121" s="131" t="n"/>
      <c r="L121" s="131" t="n"/>
      <c r="M121" s="132" t="n"/>
      <c r="N121" s="101" t="n">
        <v>42889.77</v>
      </c>
    </row>
    <row r="124" ht="22" customHeight="1">
      <c r="F124" s="81" t="inlineStr">
        <is>
          <t>LUIS</t>
        </is>
      </c>
      <c r="G124" s="131" t="n"/>
      <c r="H124" s="131" t="n"/>
      <c r="I124" s="131" t="n"/>
      <c r="J124" s="131" t="n"/>
      <c r="K124" s="131" t="n"/>
      <c r="L124" s="131" t="n"/>
      <c r="M124" s="131" t="n"/>
      <c r="N124" s="132" t="n"/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27/07</t>
        </is>
      </c>
      <c r="J125" s="4" t="inlineStr">
        <is>
          <t>Mié
29/07</t>
        </is>
      </c>
      <c r="K125" s="4" t="inlineStr">
        <is>
          <t>Jue
30/07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Huixquilucan</t>
        </is>
      </c>
      <c r="J126" s="84" t="inlineStr">
        <is>
          <t>Planta Huixquilucan</t>
        </is>
      </c>
      <c r="K126" s="84" t="inlineStr">
        <is>
          <t>Planta Huixquilucan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1040.02</v>
      </c>
      <c r="L127" s="88" t="n">
        <v>1040.02</v>
      </c>
      <c r="M127" s="55" t="n">
        <v>27</v>
      </c>
      <c r="N127" s="89" t="n">
        <v>28080.54</v>
      </c>
    </row>
    <row r="128" ht="18" customHeight="1">
      <c r="F128" s="90" t="n">
        <v>2</v>
      </c>
      <c r="G128" s="91" t="inlineStr">
        <is>
          <t>CALDERA PLANTA  AH</t>
        </is>
      </c>
      <c r="H128" s="92" t="n"/>
      <c r="I128" s="90" t="n"/>
      <c r="J128" s="90" t="n"/>
      <c r="K128" s="90" t="n">
        <v>200</v>
      </c>
      <c r="L128" s="93" t="n">
        <v>200</v>
      </c>
      <c r="M128" s="94" t="n">
        <v>27</v>
      </c>
      <c r="N128" s="95" t="n">
        <v>5400</v>
      </c>
    </row>
    <row r="129" ht="18" customHeight="1">
      <c r="F129" s="85" t="n">
        <v>3</v>
      </c>
      <c r="G129" s="86" t="inlineStr">
        <is>
          <t>Generador</t>
        </is>
      </c>
      <c r="H129" s="96" t="n"/>
      <c r="I129" s="85" t="n">
        <v>300</v>
      </c>
      <c r="J129" s="85" t="n">
        <v>200</v>
      </c>
      <c r="K129" s="85" t="n">
        <v>400</v>
      </c>
      <c r="L129" s="88" t="n">
        <v>900</v>
      </c>
      <c r="M129" s="55" t="n">
        <v>27</v>
      </c>
      <c r="N129" s="89" t="n">
        <v>24300</v>
      </c>
    </row>
    <row r="130" ht="18" customHeight="1">
      <c r="F130" s="90" t="n">
        <v>4</v>
      </c>
      <c r="G130" s="91" t="inlineStr">
        <is>
          <t>PAYLOADER</t>
        </is>
      </c>
      <c r="H130" s="92" t="n"/>
      <c r="I130" s="90" t="n"/>
      <c r="J130" s="90" t="n">
        <v>150</v>
      </c>
      <c r="K130" s="90" t="n"/>
      <c r="L130" s="93" t="n">
        <v>150</v>
      </c>
      <c r="M130" s="94" t="n">
        <v>27</v>
      </c>
      <c r="N130" s="95" t="n">
        <v>4050</v>
      </c>
    </row>
    <row r="131" ht="18" customHeight="1">
      <c r="F131" s="85" t="n">
        <v>5</v>
      </c>
      <c r="G131" s="86" t="inlineStr">
        <is>
          <t>TAMBOS</t>
        </is>
      </c>
      <c r="H131" s="96" t="n"/>
      <c r="I131" s="85" t="n"/>
      <c r="J131" s="85" t="n">
        <v>250</v>
      </c>
      <c r="K131" s="85" t="n"/>
      <c r="L131" s="88" t="n">
        <v>250</v>
      </c>
      <c r="M131" s="55" t="n">
        <v>27</v>
      </c>
      <c r="N131" s="89" t="n">
        <v>6750</v>
      </c>
    </row>
    <row r="132" ht="18" customHeight="1">
      <c r="F132" s="90" t="n">
        <v>6</v>
      </c>
      <c r="G132" s="91" t="inlineStr">
        <is>
          <t>Torre de Luces Maxilight</t>
        </is>
      </c>
      <c r="H132" s="92" t="n"/>
      <c r="I132" s="90" t="n">
        <v>100</v>
      </c>
      <c r="J132" s="90" t="n"/>
      <c r="K132" s="90" t="n"/>
      <c r="L132" s="93" t="n">
        <v>100</v>
      </c>
      <c r="M132" s="94" t="n">
        <v>27</v>
      </c>
      <c r="N132" s="95" t="n">
        <v>2700</v>
      </c>
    </row>
    <row r="133" ht="20" customHeight="1">
      <c r="F133" s="80" t="inlineStr">
        <is>
          <t>TOTAL LITROS</t>
        </is>
      </c>
      <c r="G133" s="131" t="n"/>
      <c r="H133" s="132" t="n"/>
      <c r="I133" s="97" t="n">
        <v>400</v>
      </c>
      <c r="J133" s="98" t="n">
        <v>600</v>
      </c>
      <c r="K133" s="98" t="n">
        <v>1640.02</v>
      </c>
      <c r="L133" s="80" t="n">
        <v>2640.02</v>
      </c>
      <c r="M133" s="15" t="n"/>
      <c r="N133" s="16" t="n">
        <v>71280.53999999999</v>
      </c>
    </row>
    <row r="134" ht="20" customHeight="1">
      <c r="F134" s="99" t="inlineStr">
        <is>
          <t>IMPORTE SEMANAL AUTORIZADO: $75,600.00  (Litros aut.: 2,800.00 L)</t>
        </is>
      </c>
      <c r="G134" s="131" t="n"/>
      <c r="H134" s="131" t="n"/>
      <c r="I134" s="131" t="n"/>
      <c r="J134" s="131" t="n"/>
      <c r="K134" s="131" t="n"/>
      <c r="L134" s="131" t="n"/>
      <c r="M134" s="132" t="n"/>
      <c r="N134" s="101" t="n">
        <v>71280.53999999999</v>
      </c>
    </row>
    <row r="137" ht="22" customHeight="1">
      <c r="F137" s="81" t="inlineStr">
        <is>
          <t>SAMUEL</t>
        </is>
      </c>
      <c r="G137" s="131" t="n"/>
      <c r="H137" s="131" t="n"/>
      <c r="I137" s="131" t="n"/>
      <c r="J137" s="131" t="n"/>
      <c r="K137" s="131" t="n"/>
      <c r="L137" s="131" t="n"/>
      <c r="M137" s="131" t="n"/>
      <c r="N137" s="131" t="n"/>
      <c r="O137" s="131" t="n"/>
      <c r="P137" s="132" t="n"/>
    </row>
    <row r="138" ht="28" customHeight="1">
      <c r="F138" s="4" t="inlineStr">
        <is>
          <t>#</t>
        </is>
      </c>
      <c r="G138" s="4" t="inlineStr">
        <is>
          <t>EQUIPO / MAQUINARIA</t>
        </is>
      </c>
      <c r="H138" s="4" t="inlineStr">
        <is>
          <t>LTS. SEM.
AUT.</t>
        </is>
      </c>
      <c r="I138" s="4" t="inlineStr">
        <is>
          <t>Lun
27/07</t>
        </is>
      </c>
      <c r="J138" s="4" t="inlineStr">
        <is>
          <t>Mar
28/07</t>
        </is>
      </c>
      <c r="K138" s="4" t="inlineStr">
        <is>
          <t>Mié
29/07</t>
        </is>
      </c>
      <c r="L138" s="4" t="inlineStr">
        <is>
          <t>Jue
30/07</t>
        </is>
      </c>
      <c r="M138" s="4" t="inlineStr">
        <is>
          <t>Vie
31/07</t>
        </is>
      </c>
      <c r="N138" s="4" t="inlineStr">
        <is>
          <t>LITROS
TOTAL</t>
        </is>
      </c>
      <c r="O138" s="4" t="inlineStr">
        <is>
          <t>PRECIO
UNIT.</t>
        </is>
      </c>
      <c r="P138" s="4" t="inlineStr">
        <is>
          <t>TOTAL $</t>
        </is>
      </c>
    </row>
    <row r="139" ht="22" customHeight="1">
      <c r="F139" s="82" t="n"/>
      <c r="G139" s="83" t="inlineStr">
        <is>
          <t>OBRA DESTINO</t>
        </is>
      </c>
      <c r="H139" s="82" t="n"/>
      <c r="I139" s="84" t="inlineStr">
        <is>
          <t>Providencia</t>
        </is>
      </c>
      <c r="J139" s="84" t="inlineStr">
        <is>
          <t>Alfredo del Mazo</t>
        </is>
      </c>
      <c r="K139" s="84" t="inlineStr">
        <is>
          <t>Alfredo del Mazo</t>
        </is>
      </c>
      <c r="L139" s="84" t="inlineStr">
        <is>
          <t>Providencia</t>
        </is>
      </c>
      <c r="M139" s="84" t="inlineStr">
        <is>
          <t>Providencia</t>
        </is>
      </c>
      <c r="N139" s="82" t="n"/>
      <c r="O139" s="82" t="n"/>
      <c r="P139" s="82" t="n"/>
    </row>
    <row r="140" ht="18" customHeight="1">
      <c r="F140" s="85" t="n">
        <v>1</v>
      </c>
      <c r="G140" s="86" t="inlineStr">
        <is>
          <t>AJUSTE DIESEL</t>
        </is>
      </c>
      <c r="H140" s="96" t="n"/>
      <c r="I140" s="85" t="n"/>
      <c r="J140" s="85" t="n"/>
      <c r="K140" s="85" t="n"/>
      <c r="L140" s="85" t="n">
        <v>92</v>
      </c>
      <c r="M140" s="85" t="n"/>
      <c r="N140" s="88" t="n">
        <v>92</v>
      </c>
      <c r="O140" s="55" t="n">
        <v>27</v>
      </c>
      <c r="P140" s="89" t="n">
        <v>2484</v>
      </c>
    </row>
    <row r="141" ht="18" customHeight="1">
      <c r="F141" s="90" t="n">
        <v>2</v>
      </c>
      <c r="G141" s="91" t="inlineStr">
        <is>
          <t>BARREDORA BROCE BROOM KR350</t>
        </is>
      </c>
      <c r="H141" s="92" t="n"/>
      <c r="I141" s="90" t="n">
        <v>40</v>
      </c>
      <c r="J141" s="90" t="n">
        <v>20</v>
      </c>
      <c r="K141" s="90" t="n"/>
      <c r="L141" s="90" t="n"/>
      <c r="M141" s="90" t="n"/>
      <c r="N141" s="93" t="n">
        <v>60</v>
      </c>
      <c r="O141" s="94" t="n">
        <v>27</v>
      </c>
      <c r="P141" s="95" t="n">
        <v>1620</v>
      </c>
    </row>
    <row r="142" ht="18" customHeight="1">
      <c r="F142" s="85" t="n">
        <v>3</v>
      </c>
      <c r="G142" s="86" t="inlineStr">
        <is>
          <t>BARREDORA BROCE RJ350</t>
        </is>
      </c>
      <c r="H142" s="96" t="n"/>
      <c r="I142" s="85" t="n"/>
      <c r="J142" s="85" t="n"/>
      <c r="K142" s="85" t="n">
        <v>50</v>
      </c>
      <c r="L142" s="85" t="n"/>
      <c r="M142" s="85" t="n"/>
      <c r="N142" s="88" t="n">
        <v>50</v>
      </c>
      <c r="O142" s="55" t="n">
        <v>27</v>
      </c>
      <c r="P142" s="89" t="n">
        <v>1350</v>
      </c>
    </row>
    <row r="143" ht="18" customHeight="1">
      <c r="F143" s="90" t="n">
        <v>4</v>
      </c>
      <c r="G143" s="91" t="inlineStr">
        <is>
          <t>BARREDORA LAYMOR SM400</t>
        </is>
      </c>
      <c r="H143" s="92" t="n"/>
      <c r="I143" s="90" t="n">
        <v>9</v>
      </c>
      <c r="J143" s="90" t="n"/>
      <c r="K143" s="90" t="n"/>
      <c r="L143" s="90" t="n"/>
      <c r="M143" s="90" t="n">
        <v>50</v>
      </c>
      <c r="N143" s="93" t="n">
        <v>59</v>
      </c>
      <c r="O143" s="94" t="n">
        <v>27</v>
      </c>
      <c r="P143" s="95" t="n">
        <v>1593</v>
      </c>
    </row>
    <row r="144" ht="18" customHeight="1">
      <c r="F144" s="85" t="n">
        <v>5</v>
      </c>
      <c r="G144" s="86" t="inlineStr">
        <is>
          <t>PERFILADORA RODATEC RX600-4-4008</t>
        </is>
      </c>
      <c r="H144" s="96" t="n"/>
      <c r="I144" s="85" t="n">
        <v>400</v>
      </c>
      <c r="J144" s="85" t="n">
        <v>360</v>
      </c>
      <c r="K144" s="85" t="n">
        <v>77</v>
      </c>
      <c r="L144" s="85" t="n"/>
      <c r="M144" s="85" t="n"/>
      <c r="N144" s="88" t="n">
        <v>837</v>
      </c>
      <c r="O144" s="55" t="n">
        <v>27</v>
      </c>
      <c r="P144" s="89" t="n">
        <v>22599</v>
      </c>
    </row>
    <row r="145" ht="18" customHeight="1">
      <c r="F145" s="90" t="n">
        <v>6</v>
      </c>
      <c r="G145" s="91" t="inlineStr">
        <is>
          <t>RETROEXCAVADORA CASE 580 N</t>
        </is>
      </c>
      <c r="H145" s="92" t="n"/>
      <c r="I145" s="90" t="n">
        <v>61</v>
      </c>
      <c r="J145" s="90" t="n">
        <v>30</v>
      </c>
      <c r="K145" s="90" t="n">
        <v>70</v>
      </c>
      <c r="L145" s="90" t="n"/>
      <c r="M145" s="90" t="n">
        <v>80</v>
      </c>
      <c r="N145" s="93" t="n">
        <v>241</v>
      </c>
      <c r="O145" s="94" t="n">
        <v>27</v>
      </c>
      <c r="P145" s="95" t="n">
        <v>6507</v>
      </c>
    </row>
    <row r="146" ht="20" customHeight="1">
      <c r="F146" s="80" t="inlineStr">
        <is>
          <t>TOTAL LITROS</t>
        </is>
      </c>
      <c r="G146" s="131" t="n"/>
      <c r="H146" s="132" t="n"/>
      <c r="I146" s="97" t="n">
        <v>510</v>
      </c>
      <c r="J146" s="97" t="n">
        <v>410</v>
      </c>
      <c r="K146" s="97" t="n">
        <v>197</v>
      </c>
      <c r="L146" s="97" t="n">
        <v>92</v>
      </c>
      <c r="M146" s="97" t="n">
        <v>130</v>
      </c>
      <c r="N146" s="80" t="n">
        <v>1339</v>
      </c>
      <c r="O146" s="15" t="n"/>
      <c r="P146" s="16" t="n">
        <v>36153</v>
      </c>
    </row>
    <row r="147" ht="20" customHeight="1">
      <c r="F147" s="99" t="inlineStr">
        <is>
          <t>IMPORTE SEMANAL AUTORIZADO: $0.00  (Litros aut.: 0.00 L)</t>
        </is>
      </c>
      <c r="G147" s="131" t="n"/>
      <c r="H147" s="131" t="n"/>
      <c r="I147" s="131" t="n"/>
      <c r="J147" s="131" t="n"/>
      <c r="K147" s="131" t="n"/>
      <c r="L147" s="131" t="n"/>
      <c r="M147" s="131" t="n"/>
      <c r="N147" s="131" t="n"/>
      <c r="O147" s="132" t="n"/>
      <c r="P147" s="130" t="n">
        <v>36153</v>
      </c>
    </row>
    <row r="152" ht="24" customHeight="1">
      <c r="F152" s="102" t="inlineStr">
        <is>
          <t>▶ FACTURADO POR OBRA Y DÍA — DIESEL (FOLIOS, MONTOS CON IVA Y LITROS — SEMANA 31)</t>
        </is>
      </c>
      <c r="G152" s="131" t="n"/>
      <c r="H152" s="131" t="n"/>
      <c r="I152" s="131" t="n"/>
      <c r="J152" s="131" t="n"/>
      <c r="K152" s="131" t="n"/>
      <c r="L152" s="131" t="n"/>
      <c r="M152" s="131" t="n"/>
      <c r="N152" s="131" t="n"/>
      <c r="O152" s="131" t="n"/>
      <c r="P152" s="131" t="n"/>
      <c r="Q152" s="131" t="n"/>
      <c r="R152" s="131" t="n"/>
      <c r="S152" s="131" t="n"/>
      <c r="T152" s="131" t="n"/>
      <c r="U152" s="131" t="n"/>
      <c r="V152" s="131" t="n"/>
      <c r="W152" s="131" t="n"/>
      <c r="X152" s="131" t="n"/>
      <c r="Y152" s="131" t="n"/>
      <c r="Z152" s="131" t="n"/>
      <c r="AA152" s="132" t="n"/>
    </row>
    <row r="153" ht="20" customHeight="1">
      <c r="F153" s="4" t="inlineStr">
        <is>
          <t>OBRA / DESTINO</t>
        </is>
      </c>
      <c r="G153" s="4" t="inlineStr">
        <is>
          <t>LUN 27-JUL</t>
        </is>
      </c>
      <c r="H153" s="131" t="n"/>
      <c r="I153" s="132" t="n"/>
      <c r="J153" s="4" t="inlineStr">
        <is>
          <t>MAR 28-JUL</t>
        </is>
      </c>
      <c r="K153" s="131" t="n"/>
      <c r="L153" s="132" t="n"/>
      <c r="M153" s="4" t="inlineStr">
        <is>
          <t>MIÉ 29-JUL</t>
        </is>
      </c>
      <c r="N153" s="131" t="n"/>
      <c r="O153" s="132" t="n"/>
      <c r="P153" s="4" t="inlineStr">
        <is>
          <t>JUE 30-JUL</t>
        </is>
      </c>
      <c r="Q153" s="131" t="n"/>
      <c r="R153" s="132" t="n"/>
      <c r="S153" s="4" t="inlineStr">
        <is>
          <t>VIE 31-JUL</t>
        </is>
      </c>
      <c r="T153" s="131" t="n"/>
      <c r="U153" s="132" t="n"/>
      <c r="V153" s="4" t="inlineStr">
        <is>
          <t>SÁB 01-AGO</t>
        </is>
      </c>
      <c r="W153" s="131" t="n"/>
      <c r="X153" s="132" t="n"/>
      <c r="Y153" s="4" t="inlineStr">
        <is>
          <t>TOTALES ACUMULADOS</t>
        </is>
      </c>
      <c r="Z153" s="131" t="n"/>
      <c r="AA153" s="132" t="n"/>
    </row>
    <row r="154" ht="20" customHeight="1">
      <c r="F154" s="135" t="n"/>
      <c r="G154" s="4" t="inlineStr">
        <is>
          <t>FACTURA</t>
        </is>
      </c>
      <c r="H154" s="4" t="inlineStr">
        <is>
          <t>MONTO ($)</t>
        </is>
      </c>
      <c r="I154" s="4" t="inlineStr">
        <is>
          <t>LITROS</t>
        </is>
      </c>
      <c r="J154" s="4" t="inlineStr">
        <is>
          <t>FACTURA</t>
        </is>
      </c>
      <c r="K154" s="4" t="inlineStr">
        <is>
          <t>MONTO ($)</t>
        </is>
      </c>
      <c r="L154" s="4" t="inlineStr">
        <is>
          <t>LITROS</t>
        </is>
      </c>
      <c r="M154" s="4" t="inlineStr">
        <is>
          <t>FACTURA</t>
        </is>
      </c>
      <c r="N154" s="4" t="inlineStr">
        <is>
          <t>MONTO ($)</t>
        </is>
      </c>
      <c r="O154" s="4" t="inlineStr">
        <is>
          <t>LITROS</t>
        </is>
      </c>
      <c r="P154" s="4" t="inlineStr">
        <is>
          <t>FACTURA</t>
        </is>
      </c>
      <c r="Q154" s="4" t="inlineStr">
        <is>
          <t>MONTO ($)</t>
        </is>
      </c>
      <c r="R154" s="4" t="inlineStr">
        <is>
          <t>LITROS</t>
        </is>
      </c>
      <c r="S154" s="4" t="inlineStr">
        <is>
          <t>FACTURA</t>
        </is>
      </c>
      <c r="T154" s="4" t="inlineStr">
        <is>
          <t>MONTO ($)</t>
        </is>
      </c>
      <c r="U154" s="4" t="inlineStr">
        <is>
          <t>LITROS</t>
        </is>
      </c>
      <c r="V154" s="4" t="inlineStr">
        <is>
          <t>FACTURA</t>
        </is>
      </c>
      <c r="W154" s="4" t="inlineStr">
        <is>
          <t>MONTO ($)</t>
        </is>
      </c>
      <c r="X154" s="4" t="inlineStr">
        <is>
          <t>LITROS</t>
        </is>
      </c>
      <c r="Y154" s="4" t="inlineStr">
        <is>
          <t>TOTAL FACTURAS</t>
        </is>
      </c>
      <c r="Z154" s="4" t="inlineStr">
        <is>
          <t>TOTAL MONTO</t>
        </is>
      </c>
      <c r="AA154" s="4" t="inlineStr">
        <is>
          <t>TOTAL LITROS</t>
        </is>
      </c>
    </row>
    <row r="155" ht="20" customHeight="1">
      <c r="F155" s="5" t="inlineStr">
        <is>
          <t>Alfredo del Mazo</t>
        </is>
      </c>
      <c r="G155" s="119" t="inlineStr">
        <is>
          <t>-</t>
        </is>
      </c>
      <c r="H155" s="120" t="inlineStr">
        <is>
          <t>-</t>
        </is>
      </c>
      <c r="I155" s="120" t="inlineStr">
        <is>
          <t>-</t>
        </is>
      </c>
      <c r="J155" s="116" t="inlineStr">
        <is>
          <t>A10636</t>
        </is>
      </c>
      <c r="K155" s="117" t="n">
        <v>10260.1</v>
      </c>
      <c r="L155" s="118" t="n">
        <v>380</v>
      </c>
      <c r="M155" s="116" t="inlineStr">
        <is>
          <t>A10713</t>
        </is>
      </c>
      <c r="N155" s="117" t="n">
        <v>9736.66</v>
      </c>
      <c r="O155" s="118" t="n">
        <v>360.62</v>
      </c>
      <c r="P155" s="119" t="inlineStr">
        <is>
          <t>-</t>
        </is>
      </c>
      <c r="Q155" s="120" t="inlineStr">
        <is>
          <t>-</t>
        </is>
      </c>
      <c r="R155" s="120" t="inlineStr">
        <is>
          <t>-</t>
        </is>
      </c>
      <c r="S155" s="116" t="inlineStr">
        <is>
          <t>A10645</t>
        </is>
      </c>
      <c r="T155" s="117" t="n">
        <v>17820.03</v>
      </c>
      <c r="U155" s="118" t="n">
        <v>660</v>
      </c>
      <c r="V155" s="119" t="inlineStr">
        <is>
          <t>-</t>
        </is>
      </c>
      <c r="W155" s="120" t="inlineStr">
        <is>
          <t>-</t>
        </is>
      </c>
      <c r="X155" s="120" t="inlineStr">
        <is>
          <t>-</t>
        </is>
      </c>
      <c r="Y155" s="121" t="inlineStr">
        <is>
          <t>3 Factura(s)</t>
        </is>
      </c>
      <c r="Z155" s="122" t="n">
        <v>37816.79</v>
      </c>
      <c r="AA155" s="123" t="n">
        <v>1400.62</v>
      </c>
    </row>
    <row r="156" ht="20" customHeight="1">
      <c r="F156" s="9" t="inlineStr">
        <is>
          <t>Bacheo Toluca</t>
        </is>
      </c>
      <c r="G156" s="124" t="inlineStr">
        <is>
          <t>-</t>
        </is>
      </c>
      <c r="H156" s="125" t="inlineStr">
        <is>
          <t>-</t>
        </is>
      </c>
      <c r="I156" s="125" t="inlineStr">
        <is>
          <t>-</t>
        </is>
      </c>
      <c r="J156" s="124" t="inlineStr">
        <is>
          <t>-</t>
        </is>
      </c>
      <c r="K156" s="125" t="inlineStr">
        <is>
          <t>-</t>
        </is>
      </c>
      <c r="L156" s="125" t="inlineStr">
        <is>
          <t>-</t>
        </is>
      </c>
      <c r="M156" s="124" t="inlineStr">
        <is>
          <t>-</t>
        </is>
      </c>
      <c r="N156" s="125" t="inlineStr">
        <is>
          <t>-</t>
        </is>
      </c>
      <c r="O156" s="125" t="inlineStr">
        <is>
          <t>-</t>
        </is>
      </c>
      <c r="P156" s="124" t="inlineStr">
        <is>
          <t>-</t>
        </is>
      </c>
      <c r="Q156" s="125" t="inlineStr">
        <is>
          <t>-</t>
        </is>
      </c>
      <c r="R156" s="125" t="inlineStr">
        <is>
          <t>-</t>
        </is>
      </c>
      <c r="S156" s="116" t="inlineStr">
        <is>
          <t>A10653</t>
        </is>
      </c>
      <c r="T156" s="117" t="n">
        <v>3105</v>
      </c>
      <c r="U156" s="118" t="n">
        <v>115</v>
      </c>
      <c r="V156" s="124" t="inlineStr">
        <is>
          <t>-</t>
        </is>
      </c>
      <c r="W156" s="125" t="inlineStr">
        <is>
          <t>-</t>
        </is>
      </c>
      <c r="X156" s="125" t="inlineStr">
        <is>
          <t>-</t>
        </is>
      </c>
      <c r="Y156" s="126" t="inlineStr">
        <is>
          <t>1 Factura(s)</t>
        </is>
      </c>
      <c r="Z156" s="127" t="n">
        <v>3105</v>
      </c>
      <c r="AA156" s="128" t="n">
        <v>115</v>
      </c>
    </row>
    <row r="157" ht="20" customHeight="1">
      <c r="F157" s="5" t="inlineStr">
        <is>
          <t>Desasolve</t>
        </is>
      </c>
      <c r="G157" s="119" t="inlineStr">
        <is>
          <t>-</t>
        </is>
      </c>
      <c r="H157" s="120" t="inlineStr">
        <is>
          <t>-</t>
        </is>
      </c>
      <c r="I157" s="120" t="inlineStr">
        <is>
          <t>-</t>
        </is>
      </c>
      <c r="J157" s="116" t="inlineStr">
        <is>
          <t>A10624</t>
        </is>
      </c>
      <c r="K157" s="117" t="n">
        <v>23490.11</v>
      </c>
      <c r="L157" s="118" t="n">
        <v>870</v>
      </c>
      <c r="M157" s="116" t="inlineStr">
        <is>
          <t>A10702</t>
        </is>
      </c>
      <c r="N157" s="117" t="n">
        <v>20520.09</v>
      </c>
      <c r="O157" s="118" t="n">
        <v>760</v>
      </c>
      <c r="P157" s="119" t="inlineStr">
        <is>
          <t>-</t>
        </is>
      </c>
      <c r="Q157" s="120" t="inlineStr">
        <is>
          <t>-</t>
        </is>
      </c>
      <c r="R157" s="120" t="inlineStr">
        <is>
          <t>-</t>
        </is>
      </c>
      <c r="S157" s="116" t="inlineStr">
        <is>
          <t>A10646, A10654</t>
        </is>
      </c>
      <c r="T157" s="117" t="n">
        <v>50502.4</v>
      </c>
      <c r="U157" s="118" t="n">
        <v>1870.45</v>
      </c>
      <c r="V157" s="119" t="inlineStr">
        <is>
          <t>-</t>
        </is>
      </c>
      <c r="W157" s="120" t="inlineStr">
        <is>
          <t>-</t>
        </is>
      </c>
      <c r="X157" s="120" t="inlineStr">
        <is>
          <t>-</t>
        </is>
      </c>
      <c r="Y157" s="121" t="inlineStr">
        <is>
          <t>4 Factura(s)</t>
        </is>
      </c>
      <c r="Z157" s="122" t="n">
        <v>94512.60000000001</v>
      </c>
      <c r="AA157" s="123" t="n">
        <v>3500.45</v>
      </c>
    </row>
    <row r="158" ht="20" customHeight="1">
      <c r="F158" s="9" t="inlineStr">
        <is>
          <t>Lerma - Tres Marías</t>
        </is>
      </c>
      <c r="G158" s="116" t="inlineStr">
        <is>
          <t>A10603</t>
        </is>
      </c>
      <c r="H158" s="117" t="n">
        <v>9720.030000000001</v>
      </c>
      <c r="I158" s="118" t="n">
        <v>360</v>
      </c>
      <c r="J158" s="124" t="inlineStr">
        <is>
          <t>-</t>
        </is>
      </c>
      <c r="K158" s="125" t="inlineStr">
        <is>
          <t>-</t>
        </is>
      </c>
      <c r="L158" s="125" t="inlineStr">
        <is>
          <t>-</t>
        </is>
      </c>
      <c r="M158" s="116" t="inlineStr">
        <is>
          <t>A10637</t>
        </is>
      </c>
      <c r="N158" s="117" t="n">
        <v>24564.14</v>
      </c>
      <c r="O158" s="118" t="n">
        <v>909.78</v>
      </c>
      <c r="P158" s="124" t="inlineStr">
        <is>
          <t>-</t>
        </is>
      </c>
      <c r="Q158" s="125" t="inlineStr">
        <is>
          <t>-</t>
        </is>
      </c>
      <c r="R158" s="125" t="inlineStr">
        <is>
          <t>-</t>
        </is>
      </c>
      <c r="S158" s="124" t="inlineStr">
        <is>
          <t>-</t>
        </is>
      </c>
      <c r="T158" s="125" t="inlineStr">
        <is>
          <t>-</t>
        </is>
      </c>
      <c r="U158" s="125" t="inlineStr">
        <is>
          <t>-</t>
        </is>
      </c>
      <c r="V158" s="124" t="inlineStr">
        <is>
          <t>-</t>
        </is>
      </c>
      <c r="W158" s="125" t="inlineStr">
        <is>
          <t>-</t>
        </is>
      </c>
      <c r="X158" s="125" t="inlineStr">
        <is>
          <t>-</t>
        </is>
      </c>
      <c r="Y158" s="126" t="inlineStr">
        <is>
          <t>2 Factura(s)</t>
        </is>
      </c>
      <c r="Z158" s="127" t="n">
        <v>34284.17</v>
      </c>
      <c r="AA158" s="128" t="n">
        <v>1269.78</v>
      </c>
    </row>
    <row r="159" ht="20" customHeight="1">
      <c r="F159" s="5" t="inlineStr">
        <is>
          <t>México - Toluca</t>
        </is>
      </c>
      <c r="G159" s="119" t="inlineStr">
        <is>
          <t>-</t>
        </is>
      </c>
      <c r="H159" s="120" t="inlineStr">
        <is>
          <t>-</t>
        </is>
      </c>
      <c r="I159" s="120" t="inlineStr">
        <is>
          <t>-</t>
        </is>
      </c>
      <c r="J159" s="116" t="inlineStr">
        <is>
          <t>A10623</t>
        </is>
      </c>
      <c r="K159" s="117" t="n">
        <v>30502.11</v>
      </c>
      <c r="L159" s="118" t="n">
        <v>1129.71</v>
      </c>
      <c r="M159" s="119" t="inlineStr">
        <is>
          <t>-</t>
        </is>
      </c>
      <c r="N159" s="120" t="inlineStr">
        <is>
          <t>-</t>
        </is>
      </c>
      <c r="O159" s="120" t="inlineStr">
        <is>
          <t>-</t>
        </is>
      </c>
      <c r="P159" s="116" t="inlineStr">
        <is>
          <t>A10733</t>
        </is>
      </c>
      <c r="Q159" s="117" t="n">
        <v>24840.1</v>
      </c>
      <c r="R159" s="118" t="n">
        <v>920</v>
      </c>
      <c r="S159" s="119" t="inlineStr">
        <is>
          <t>-</t>
        </is>
      </c>
      <c r="T159" s="120" t="inlineStr">
        <is>
          <t>-</t>
        </is>
      </c>
      <c r="U159" s="120" t="inlineStr">
        <is>
          <t>-</t>
        </is>
      </c>
      <c r="V159" s="116" t="inlineStr">
        <is>
          <t>A10673</t>
        </is>
      </c>
      <c r="W159" s="117" t="n">
        <v>25920.06</v>
      </c>
      <c r="X159" s="118" t="n">
        <v>960</v>
      </c>
      <c r="Y159" s="121" t="inlineStr">
        <is>
          <t>3 Factura(s)</t>
        </is>
      </c>
      <c r="Z159" s="122" t="n">
        <v>81262.27</v>
      </c>
      <c r="AA159" s="123" t="n">
        <v>3009.71</v>
      </c>
    </row>
    <row r="160" ht="20" customHeight="1">
      <c r="F160" s="9" t="inlineStr">
        <is>
          <t>Planta Huixquilucan</t>
        </is>
      </c>
      <c r="G160" s="116" t="inlineStr">
        <is>
          <t>A10605</t>
        </is>
      </c>
      <c r="H160" s="117" t="n">
        <v>10800.03</v>
      </c>
      <c r="I160" s="118" t="n">
        <v>400</v>
      </c>
      <c r="J160" s="116" t="inlineStr">
        <is>
          <t>A10625, A10634, A10635</t>
        </is>
      </c>
      <c r="K160" s="117" t="n">
        <v>13500.16</v>
      </c>
      <c r="L160" s="118" t="n">
        <v>500</v>
      </c>
      <c r="M160" s="124" t="inlineStr">
        <is>
          <t>-</t>
        </is>
      </c>
      <c r="N160" s="125" t="inlineStr">
        <is>
          <t>-</t>
        </is>
      </c>
      <c r="O160" s="125" t="inlineStr">
        <is>
          <t>-</t>
        </is>
      </c>
      <c r="P160" s="116" t="inlineStr">
        <is>
          <t>A10722, A10746, A10748</t>
        </is>
      </c>
      <c r="Q160" s="117" t="n">
        <v>25515.22</v>
      </c>
      <c r="R160" s="118" t="n">
        <v>945</v>
      </c>
      <c r="S160" s="116" t="inlineStr">
        <is>
          <t>A10652</t>
        </is>
      </c>
      <c r="T160" s="117" t="n">
        <v>21600.46</v>
      </c>
      <c r="U160" s="118" t="n">
        <v>800.02</v>
      </c>
      <c r="V160" s="124" t="inlineStr">
        <is>
          <t>-</t>
        </is>
      </c>
      <c r="W160" s="125" t="inlineStr">
        <is>
          <t>-</t>
        </is>
      </c>
      <c r="X160" s="125" t="inlineStr">
        <is>
          <t>-</t>
        </is>
      </c>
      <c r="Y160" s="126" t="inlineStr">
        <is>
          <t>8 Factura(s)</t>
        </is>
      </c>
      <c r="Z160" s="127" t="n">
        <v>71415.87000000001</v>
      </c>
      <c r="AA160" s="128" t="n">
        <v>2645.02</v>
      </c>
    </row>
    <row r="161" ht="20" customHeight="1">
      <c r="F161" s="5" t="inlineStr">
        <is>
          <t>Planta Pegaso</t>
        </is>
      </c>
      <c r="G161" s="119" t="inlineStr">
        <is>
          <t>-</t>
        </is>
      </c>
      <c r="H161" s="120" t="inlineStr">
        <is>
          <t>-</t>
        </is>
      </c>
      <c r="I161" s="120" t="inlineStr">
        <is>
          <t>-</t>
        </is>
      </c>
      <c r="J161" s="116" t="inlineStr">
        <is>
          <t>A10630</t>
        </is>
      </c>
      <c r="K161" s="117" t="n">
        <v>26959.9</v>
      </c>
      <c r="L161" s="118" t="n">
        <v>998.51</v>
      </c>
      <c r="M161" s="119" t="inlineStr">
        <is>
          <t>-</t>
        </is>
      </c>
      <c r="N161" s="120" t="inlineStr">
        <is>
          <t>-</t>
        </is>
      </c>
      <c r="O161" s="120" t="inlineStr">
        <is>
          <t>-</t>
        </is>
      </c>
      <c r="P161" s="119" t="inlineStr">
        <is>
          <t>-</t>
        </is>
      </c>
      <c r="Q161" s="120" t="inlineStr">
        <is>
          <t>-</t>
        </is>
      </c>
      <c r="R161" s="120" t="inlineStr">
        <is>
          <t>-</t>
        </is>
      </c>
      <c r="S161" s="116" t="inlineStr">
        <is>
          <t>A10669</t>
        </is>
      </c>
      <c r="T161" s="117" t="n">
        <v>8100.05</v>
      </c>
      <c r="U161" s="118" t="n">
        <v>300</v>
      </c>
      <c r="V161" s="116" t="inlineStr">
        <is>
          <t>A10674</t>
        </is>
      </c>
      <c r="W161" s="117" t="n">
        <v>8100.05</v>
      </c>
      <c r="X161" s="118" t="n">
        <v>300</v>
      </c>
      <c r="Y161" s="121" t="inlineStr">
        <is>
          <t>3 Factura(s)</t>
        </is>
      </c>
      <c r="Z161" s="122" t="n">
        <v>43160.00000000001</v>
      </c>
      <c r="AA161" s="123" t="n">
        <v>1598.51</v>
      </c>
    </row>
    <row r="162" ht="20" customHeight="1">
      <c r="F162" s="9" t="inlineStr">
        <is>
          <t>Providencia</t>
        </is>
      </c>
      <c r="G162" s="116" t="inlineStr">
        <is>
          <t>A10604</t>
        </is>
      </c>
      <c r="H162" s="117" t="n">
        <v>3240</v>
      </c>
      <c r="I162" s="118" t="n">
        <v>120</v>
      </c>
      <c r="J162" s="124" t="inlineStr">
        <is>
          <t>-</t>
        </is>
      </c>
      <c r="K162" s="125" t="inlineStr">
        <is>
          <t>-</t>
        </is>
      </c>
      <c r="L162" s="125" t="inlineStr">
        <is>
          <t>-</t>
        </is>
      </c>
      <c r="M162" s="116" t="inlineStr">
        <is>
          <t>A10712</t>
        </is>
      </c>
      <c r="N162" s="117" t="n">
        <v>1620.03</v>
      </c>
      <c r="O162" s="118" t="n">
        <v>60</v>
      </c>
      <c r="P162" s="124" t="inlineStr">
        <is>
          <t>-</t>
        </is>
      </c>
      <c r="Q162" s="125" t="inlineStr">
        <is>
          <t>-</t>
        </is>
      </c>
      <c r="R162" s="125" t="inlineStr">
        <is>
          <t>-</t>
        </is>
      </c>
      <c r="S162" s="116" t="inlineStr">
        <is>
          <t>A10644</t>
        </is>
      </c>
      <c r="T162" s="117" t="n">
        <v>3510</v>
      </c>
      <c r="U162" s="118" t="n">
        <v>130</v>
      </c>
      <c r="V162" s="124" t="inlineStr">
        <is>
          <t>-</t>
        </is>
      </c>
      <c r="W162" s="125" t="inlineStr">
        <is>
          <t>-</t>
        </is>
      </c>
      <c r="X162" s="125" t="inlineStr">
        <is>
          <t>-</t>
        </is>
      </c>
      <c r="Y162" s="126" t="inlineStr">
        <is>
          <t>3 Factura(s)</t>
        </is>
      </c>
      <c r="Z162" s="127" t="n">
        <v>8370.029999999999</v>
      </c>
      <c r="AA162" s="128" t="n">
        <v>310</v>
      </c>
    </row>
    <row r="163" ht="22" customHeight="1">
      <c r="F163" s="80" t="inlineStr">
        <is>
          <t>TOTAL POR DÍA</t>
        </is>
      </c>
      <c r="G163" s="19" t="inlineStr">
        <is>
          <t>3 Factura(s)</t>
        </is>
      </c>
      <c r="H163" s="16" t="n">
        <v>23760.06</v>
      </c>
      <c r="I163" s="109" t="n">
        <v>880</v>
      </c>
      <c r="J163" s="19" t="inlineStr">
        <is>
          <t>7 Factura(s)</t>
        </is>
      </c>
      <c r="K163" s="16" t="n">
        <v>104712.38</v>
      </c>
      <c r="L163" s="109" t="n">
        <v>3878.22</v>
      </c>
      <c r="M163" s="19" t="inlineStr">
        <is>
          <t>4 Factura(s)</t>
        </is>
      </c>
      <c r="N163" s="16" t="n">
        <v>56440.92</v>
      </c>
      <c r="O163" s="109" t="n">
        <v>2090.4</v>
      </c>
      <c r="P163" s="19" t="inlineStr">
        <is>
          <t>4 Factura(s)</t>
        </is>
      </c>
      <c r="Q163" s="16" t="n">
        <v>50355.32</v>
      </c>
      <c r="R163" s="109" t="n">
        <v>1865</v>
      </c>
      <c r="S163" s="19" t="inlineStr">
        <is>
          <t>7 Factura(s)</t>
        </is>
      </c>
      <c r="T163" s="16" t="n">
        <v>104637.94</v>
      </c>
      <c r="U163" s="109" t="n">
        <v>3875.47</v>
      </c>
      <c r="V163" s="19" t="inlineStr">
        <is>
          <t>2 Factura(s)</t>
        </is>
      </c>
      <c r="W163" s="16" t="n">
        <v>34020.11</v>
      </c>
      <c r="X163" s="109" t="n">
        <v>1260</v>
      </c>
      <c r="Y163" s="19" t="inlineStr">
        <is>
          <t>27 Factura(s)</t>
        </is>
      </c>
      <c r="Z163" s="16" t="n">
        <v>373926.73</v>
      </c>
      <c r="AA163" s="109" t="n">
        <v>13849.09</v>
      </c>
    </row>
    <row r="166" ht="24" customHeight="1">
      <c r="F166" s="102" t="inlineStr">
        <is>
          <t>▶ FACTURADO SINDICATO POR DÍA — DIESEL (FOLIOS, MONTOS CON IVA Y LITROS — SEMANA 31)</t>
        </is>
      </c>
      <c r="G166" s="131" t="n"/>
      <c r="H166" s="131" t="n"/>
      <c r="I166" s="131" t="n"/>
      <c r="J166" s="131" t="n"/>
      <c r="K166" s="131" t="n"/>
      <c r="L166" s="131" t="n"/>
      <c r="M166" s="131" t="n"/>
      <c r="N166" s="131" t="n"/>
      <c r="O166" s="131" t="n"/>
      <c r="P166" s="131" t="n"/>
      <c r="Q166" s="131" t="n"/>
      <c r="R166" s="131" t="n"/>
      <c r="S166" s="131" t="n"/>
      <c r="T166" s="131" t="n"/>
      <c r="U166" s="131" t="n"/>
      <c r="V166" s="131" t="n"/>
      <c r="W166" s="131" t="n"/>
      <c r="X166" s="131" t="n"/>
      <c r="Y166" s="131" t="n"/>
      <c r="Z166" s="131" t="n"/>
      <c r="AA166" s="132" t="n"/>
    </row>
    <row r="167" ht="20" customHeight="1">
      <c r="F167" s="4" t="inlineStr">
        <is>
          <t>OBRA / DESTINO</t>
        </is>
      </c>
      <c r="G167" s="4" t="inlineStr">
        <is>
          <t>LUN 27-JUL</t>
        </is>
      </c>
      <c r="H167" s="131" t="n"/>
      <c r="I167" s="132" t="n"/>
      <c r="J167" s="4" t="inlineStr">
        <is>
          <t>MAR 28-JUL</t>
        </is>
      </c>
      <c r="K167" s="131" t="n"/>
      <c r="L167" s="132" t="n"/>
      <c r="M167" s="4" t="inlineStr">
        <is>
          <t>MIÉ 29-JUL</t>
        </is>
      </c>
      <c r="N167" s="131" t="n"/>
      <c r="O167" s="132" t="n"/>
      <c r="P167" s="4" t="inlineStr">
        <is>
          <t>JUE 30-JUL</t>
        </is>
      </c>
      <c r="Q167" s="131" t="n"/>
      <c r="R167" s="132" t="n"/>
      <c r="S167" s="4" t="inlineStr">
        <is>
          <t>VIE 31-JUL</t>
        </is>
      </c>
      <c r="T167" s="131" t="n"/>
      <c r="U167" s="132" t="n"/>
      <c r="V167" s="4" t="inlineStr">
        <is>
          <t>SÁB 01-AGO</t>
        </is>
      </c>
      <c r="W167" s="131" t="n"/>
      <c r="X167" s="132" t="n"/>
      <c r="Y167" s="4" t="inlineStr">
        <is>
          <t>TOTALES ACUMULADOS</t>
        </is>
      </c>
      <c r="Z167" s="131" t="n"/>
      <c r="AA167" s="132" t="n"/>
    </row>
    <row r="168" ht="20" customHeight="1">
      <c r="F168" s="135" t="n"/>
      <c r="G168" s="4" t="inlineStr">
        <is>
          <t>FACTURA</t>
        </is>
      </c>
      <c r="H168" s="4" t="inlineStr">
        <is>
          <t>MONTO ($)</t>
        </is>
      </c>
      <c r="I168" s="4" t="inlineStr">
        <is>
          <t>LITROS</t>
        </is>
      </c>
      <c r="J168" s="4" t="inlineStr">
        <is>
          <t>FACTURA</t>
        </is>
      </c>
      <c r="K168" s="4" t="inlineStr">
        <is>
          <t>MONTO ($)</t>
        </is>
      </c>
      <c r="L168" s="4" t="inlineStr">
        <is>
          <t>LITROS</t>
        </is>
      </c>
      <c r="M168" s="4" t="inlineStr">
        <is>
          <t>FACTURA</t>
        </is>
      </c>
      <c r="N168" s="4" t="inlineStr">
        <is>
          <t>MONTO ($)</t>
        </is>
      </c>
      <c r="O168" s="4" t="inlineStr">
        <is>
          <t>LITROS</t>
        </is>
      </c>
      <c r="P168" s="4" t="inlineStr">
        <is>
          <t>FACTURA</t>
        </is>
      </c>
      <c r="Q168" s="4" t="inlineStr">
        <is>
          <t>MONTO ($)</t>
        </is>
      </c>
      <c r="R168" s="4" t="inlineStr">
        <is>
          <t>LITROS</t>
        </is>
      </c>
      <c r="S168" s="4" t="inlineStr">
        <is>
          <t>FACTURA</t>
        </is>
      </c>
      <c r="T168" s="4" t="inlineStr">
        <is>
          <t>MONTO ($)</t>
        </is>
      </c>
      <c r="U168" s="4" t="inlineStr">
        <is>
          <t>LITROS</t>
        </is>
      </c>
      <c r="V168" s="4" t="inlineStr">
        <is>
          <t>FACTURA</t>
        </is>
      </c>
      <c r="W168" s="4" t="inlineStr">
        <is>
          <t>MONTO ($)</t>
        </is>
      </c>
      <c r="X168" s="4" t="inlineStr">
        <is>
          <t>LITROS</t>
        </is>
      </c>
      <c r="Y168" s="4" t="inlineStr">
        <is>
          <t>TOTAL FACTURAS</t>
        </is>
      </c>
      <c r="Z168" s="4" t="inlineStr">
        <is>
          <t>TOTAL MONTO</t>
        </is>
      </c>
      <c r="AA168" s="4" t="inlineStr">
        <is>
          <t>TOTAL LITROS</t>
        </is>
      </c>
    </row>
    <row r="169" ht="20" customHeight="1">
      <c r="F169" s="5" t="inlineStr">
        <is>
          <t>Sindicato COSUM</t>
        </is>
      </c>
      <c r="G169" s="119" t="inlineStr">
        <is>
          <t>-</t>
        </is>
      </c>
      <c r="H169" s="120" t="inlineStr">
        <is>
          <t>-</t>
        </is>
      </c>
      <c r="I169" s="120" t="inlineStr">
        <is>
          <t>-</t>
        </is>
      </c>
      <c r="J169" s="119" t="inlineStr">
        <is>
          <t>-</t>
        </is>
      </c>
      <c r="K169" s="120" t="inlineStr">
        <is>
          <t>-</t>
        </is>
      </c>
      <c r="L169" s="120" t="inlineStr">
        <is>
          <t>-</t>
        </is>
      </c>
      <c r="M169" s="116" t="inlineStr">
        <is>
          <t>A10700</t>
        </is>
      </c>
      <c r="N169" s="117" t="n">
        <v>27000.11</v>
      </c>
      <c r="O169" s="118" t="n">
        <v>1000</v>
      </c>
      <c r="P169" s="119" t="inlineStr">
        <is>
          <t>-</t>
        </is>
      </c>
      <c r="Q169" s="120" t="inlineStr">
        <is>
          <t>-</t>
        </is>
      </c>
      <c r="R169" s="120" t="inlineStr">
        <is>
          <t>-</t>
        </is>
      </c>
      <c r="S169" s="116" t="inlineStr">
        <is>
          <t>A10655</t>
        </is>
      </c>
      <c r="T169" s="117" t="n">
        <v>27000.11</v>
      </c>
      <c r="U169" s="118" t="n">
        <v>1000</v>
      </c>
      <c r="V169" s="119" t="inlineStr">
        <is>
          <t>-</t>
        </is>
      </c>
      <c r="W169" s="120" t="inlineStr">
        <is>
          <t>-</t>
        </is>
      </c>
      <c r="X169" s="120" t="inlineStr">
        <is>
          <t>-</t>
        </is>
      </c>
      <c r="Y169" s="121" t="inlineStr">
        <is>
          <t>2 Factura(s)</t>
        </is>
      </c>
      <c r="Z169" s="122" t="n">
        <v>54000.22</v>
      </c>
      <c r="AA169" s="123" t="n">
        <v>2000</v>
      </c>
    </row>
    <row r="170" ht="22" customHeight="1">
      <c r="F170" s="80" t="inlineStr">
        <is>
          <t>TOTAL POR DÍA</t>
        </is>
      </c>
      <c r="G170" s="19" t="inlineStr">
        <is>
          <t>-</t>
        </is>
      </c>
      <c r="H170" s="19" t="inlineStr">
        <is>
          <t>-</t>
        </is>
      </c>
      <c r="I170" s="19" t="inlineStr">
        <is>
          <t>-</t>
        </is>
      </c>
      <c r="J170" s="19" t="inlineStr">
        <is>
          <t>-</t>
        </is>
      </c>
      <c r="K170" s="19" t="inlineStr">
        <is>
          <t>-</t>
        </is>
      </c>
      <c r="L170" s="19" t="inlineStr">
        <is>
          <t>-</t>
        </is>
      </c>
      <c r="M170" s="19" t="inlineStr">
        <is>
          <t>1 Factura(s)</t>
        </is>
      </c>
      <c r="N170" s="16" t="n">
        <v>27000.11</v>
      </c>
      <c r="O170" s="109" t="n">
        <v>1000</v>
      </c>
      <c r="P170" s="19" t="inlineStr">
        <is>
          <t>-</t>
        </is>
      </c>
      <c r="Q170" s="19" t="inlineStr">
        <is>
          <t>-</t>
        </is>
      </c>
      <c r="R170" s="19" t="inlineStr">
        <is>
          <t>-</t>
        </is>
      </c>
      <c r="S170" s="19" t="inlineStr">
        <is>
          <t>1 Factura(s)</t>
        </is>
      </c>
      <c r="T170" s="16" t="n">
        <v>27000.11</v>
      </c>
      <c r="U170" s="109" t="n">
        <v>1000</v>
      </c>
      <c r="V170" s="19" t="inlineStr">
        <is>
          <t>-</t>
        </is>
      </c>
      <c r="W170" s="19" t="inlineStr">
        <is>
          <t>-</t>
        </is>
      </c>
      <c r="X170" s="19" t="inlineStr">
        <is>
          <t>-</t>
        </is>
      </c>
      <c r="Y170" s="19" t="inlineStr">
        <is>
          <t>2 Factura(s)</t>
        </is>
      </c>
      <c r="Z170" s="16" t="n">
        <v>54000.22</v>
      </c>
      <c r="AA170" s="109" t="n">
        <v>2000</v>
      </c>
    </row>
    <row r="173" ht="24" customHeight="1">
      <c r="F173" s="102" t="inlineStr">
        <is>
          <t>▶ COMPARATIVA FACTURADO VS CONSUMIDO POR OBRA — SEMANA 31</t>
        </is>
      </c>
      <c r="G173" s="131" t="n"/>
      <c r="H173" s="131" t="n"/>
      <c r="I173" s="131" t="n"/>
      <c r="J173" s="131" t="n"/>
      <c r="K173" s="131" t="n"/>
      <c r="L173" s="132" t="n"/>
    </row>
    <row r="174" ht="22" customHeight="1">
      <c r="F174" s="4" t="inlineStr">
        <is>
          <t>OBRA / DESTINO</t>
        </is>
      </c>
      <c r="G174" s="4" t="inlineStr">
        <is>
          <t>LITROS FACTURADOS</t>
        </is>
      </c>
      <c r="H174" s="4" t="inlineStr">
        <is>
          <t>LITROS CONSUMIDOS</t>
        </is>
      </c>
      <c r="I174" s="4" t="inlineStr">
        <is>
          <t>MONTO FACTURADO ($)</t>
        </is>
      </c>
      <c r="J174" s="4" t="inlineStr">
        <is>
          <t>MONTO CONSUMIDO ($)</t>
        </is>
      </c>
      <c r="K174" s="4" t="inlineStr">
        <is>
          <t>VARIACIÓN (LTS)</t>
        </is>
      </c>
      <c r="L174" s="4" t="inlineStr">
        <is>
          <t>VARIACIÓN ($)</t>
        </is>
      </c>
    </row>
    <row r="175" ht="19" customHeight="1">
      <c r="F175" s="5" t="inlineStr">
        <is>
          <t>Alfredo del Mazo</t>
        </is>
      </c>
      <c r="G175" s="32" t="n">
        <v>1400.62</v>
      </c>
      <c r="H175" s="32" t="n">
        <v>1388.62</v>
      </c>
      <c r="I175" s="33" t="n">
        <v>37816.79</v>
      </c>
      <c r="J175" s="33" t="n">
        <v>37492.74</v>
      </c>
      <c r="K175" s="103" t="n">
        <v>12</v>
      </c>
      <c r="L175" s="104" t="n">
        <v>324.0500000000029</v>
      </c>
    </row>
    <row r="176" ht="19" customHeight="1">
      <c r="F176" s="9" t="inlineStr">
        <is>
          <t>Bacheo Toluca</t>
        </is>
      </c>
      <c r="G176" s="105" t="n">
        <v>115</v>
      </c>
      <c r="H176" s="105" t="n">
        <v>106</v>
      </c>
      <c r="I176" s="106" t="n">
        <v>3105</v>
      </c>
      <c r="J176" s="106" t="n">
        <v>2862</v>
      </c>
      <c r="K176" s="107" t="n">
        <v>9</v>
      </c>
      <c r="L176" s="108" t="n">
        <v>243</v>
      </c>
    </row>
    <row r="177" ht="19" customHeight="1">
      <c r="F177" s="5" t="inlineStr">
        <is>
          <t>Desasolve</t>
        </is>
      </c>
      <c r="G177" s="32" t="n">
        <v>3500.45</v>
      </c>
      <c r="H177" s="32" t="n">
        <v>3493.45</v>
      </c>
      <c r="I177" s="33" t="n">
        <v>94512.60000000001</v>
      </c>
      <c r="J177" s="33" t="n">
        <v>94323.14999999999</v>
      </c>
      <c r="K177" s="103" t="n">
        <v>7</v>
      </c>
      <c r="L177" s="104" t="n">
        <v>189.4500000000116</v>
      </c>
    </row>
    <row r="178" ht="19" customHeight="1">
      <c r="F178" s="9" t="inlineStr">
        <is>
          <t>Lerma - Tres Marías</t>
        </is>
      </c>
      <c r="G178" s="105" t="n">
        <v>1269.78</v>
      </c>
      <c r="H178" s="105" t="n">
        <v>1259.78</v>
      </c>
      <c r="I178" s="106" t="n">
        <v>34284.17</v>
      </c>
      <c r="J178" s="106" t="n">
        <v>34014.06</v>
      </c>
      <c r="K178" s="107" t="n">
        <v>10</v>
      </c>
      <c r="L178" s="108" t="n">
        <v>270.1100000000006</v>
      </c>
    </row>
    <row r="179" ht="19" customHeight="1">
      <c r="F179" s="5" t="inlineStr">
        <is>
          <t>México - Toluca</t>
        </is>
      </c>
      <c r="G179" s="32" t="n">
        <v>3009.71</v>
      </c>
      <c r="H179" s="32" t="n">
        <v>2997.71</v>
      </c>
      <c r="I179" s="33" t="n">
        <v>81262.27</v>
      </c>
      <c r="J179" s="33" t="n">
        <v>80938.17</v>
      </c>
      <c r="K179" s="103" t="n">
        <v>12</v>
      </c>
      <c r="L179" s="104" t="n">
        <v>324.1000000000058</v>
      </c>
    </row>
    <row r="180" ht="19" customHeight="1">
      <c r="F180" s="9" t="inlineStr">
        <is>
          <t>Planta Huixquilucan</t>
        </is>
      </c>
      <c r="G180" s="105" t="n">
        <v>2645.02</v>
      </c>
      <c r="H180" s="105" t="n">
        <v>2640.02</v>
      </c>
      <c r="I180" s="106" t="n">
        <v>71415.87000000001</v>
      </c>
      <c r="J180" s="106" t="n">
        <v>71280.53999999999</v>
      </c>
      <c r="K180" s="107" t="n">
        <v>5</v>
      </c>
      <c r="L180" s="108" t="n">
        <v>135.3300000000163</v>
      </c>
    </row>
    <row r="181" ht="19" customHeight="1">
      <c r="F181" s="5" t="inlineStr">
        <is>
          <t>Planta Pegaso</t>
        </is>
      </c>
      <c r="G181" s="32" t="n">
        <v>1598.51</v>
      </c>
      <c r="H181" s="32" t="n">
        <v>1588.51</v>
      </c>
      <c r="I181" s="33" t="n">
        <v>43160</v>
      </c>
      <c r="J181" s="33" t="n">
        <v>42889.77</v>
      </c>
      <c r="K181" s="103" t="n">
        <v>10</v>
      </c>
      <c r="L181" s="104" t="n">
        <v>270.2300000000032</v>
      </c>
    </row>
    <row r="182" ht="19" customHeight="1">
      <c r="F182" s="9" t="inlineStr">
        <is>
          <t>Providencia</t>
        </is>
      </c>
      <c r="G182" s="105" t="n">
        <v>310</v>
      </c>
      <c r="H182" s="105" t="n">
        <v>302</v>
      </c>
      <c r="I182" s="106" t="n">
        <v>8370.030000000001</v>
      </c>
      <c r="J182" s="106" t="n">
        <v>8154</v>
      </c>
      <c r="K182" s="107" t="n">
        <v>8</v>
      </c>
      <c r="L182" s="108" t="n">
        <v>216.0300000000007</v>
      </c>
    </row>
    <row r="183" ht="19" customHeight="1">
      <c r="F183" s="5" t="inlineStr">
        <is>
          <t>Sindicato COSUM</t>
        </is>
      </c>
      <c r="G183" s="32" t="n">
        <v>2000</v>
      </c>
      <c r="H183" s="32" t="n"/>
      <c r="I183" s="33" t="n">
        <v>54000.22</v>
      </c>
      <c r="J183" s="33" t="n"/>
      <c r="K183" s="103" t="n">
        <v>2000</v>
      </c>
      <c r="L183" s="104" t="n">
        <v>54000.22</v>
      </c>
    </row>
    <row r="184" ht="22" customHeight="1">
      <c r="F184" s="80" t="inlineStr">
        <is>
          <t>TOTAL GENERAL POR OBRA:</t>
        </is>
      </c>
      <c r="G184" s="109">
        <f>SUM(G175:G183)</f>
        <v/>
      </c>
      <c r="H184" s="109">
        <f>SUM(H175:H183)</f>
        <v/>
      </c>
      <c r="I184" s="16">
        <f>SUM(I175:I183)</f>
        <v/>
      </c>
      <c r="J184" s="16">
        <f>SUM(J175:J183)</f>
        <v/>
      </c>
      <c r="K184" s="110">
        <f>SUM(K175:K183)</f>
        <v/>
      </c>
      <c r="L184" s="111">
        <f>SUM(L175:L183)</f>
        <v/>
      </c>
    </row>
    <row r="187" ht="24" customHeight="1">
      <c r="F187" s="102" t="inlineStr">
        <is>
          <t>▶ COMPARATIVA FACTURADO VS CONSUMIDO POR INGENIERO — SEMANA 31</t>
        </is>
      </c>
      <c r="G187" s="131" t="n"/>
      <c r="H187" s="131" t="n"/>
      <c r="I187" s="131" t="n"/>
      <c r="J187" s="131" t="n"/>
      <c r="K187" s="131" t="n"/>
      <c r="L187" s="131" t="n"/>
      <c r="M187" s="132" t="n"/>
    </row>
    <row r="188" ht="22" customHeight="1">
      <c r="F188" s="4" t="inlineStr">
        <is>
          <t>INGENIERO / RESPONSABLE</t>
        </is>
      </c>
      <c r="G188" s="4" t="inlineStr">
        <is>
          <t>OBRAS ASIGNADAS</t>
        </is>
      </c>
      <c r="H188" s="4" t="inlineStr">
        <is>
          <t>LITROS FACTURADOS</t>
        </is>
      </c>
      <c r="I188" s="4" t="inlineStr">
        <is>
          <t>LITROS CONSUMIDOS</t>
        </is>
      </c>
      <c r="J188" s="4" t="inlineStr">
        <is>
          <t>MONTO FACTURADO ($)</t>
        </is>
      </c>
      <c r="K188" s="4" t="inlineStr">
        <is>
          <t>MONTO CONSUMIDO ($)</t>
        </is>
      </c>
      <c r="L188" s="4" t="inlineStr">
        <is>
          <t>VARIACIÓN (LTS)</t>
        </is>
      </c>
      <c r="M188" s="4" t="inlineStr">
        <is>
          <t>VARIACIÓN ($)</t>
        </is>
      </c>
    </row>
    <row r="189" ht="19" customHeight="1">
      <c r="F189" s="5" t="inlineStr">
        <is>
          <t>Ing. Apolinar</t>
        </is>
      </c>
      <c r="G189" s="74" t="inlineStr">
        <is>
          <t>Alfredo del Mazo, Lerma - Tres Marías</t>
        </is>
      </c>
      <c r="H189" s="32" t="n">
        <v>2670.4</v>
      </c>
      <c r="I189" s="32" t="n">
        <v>2648.4</v>
      </c>
      <c r="J189" s="33" t="n">
        <v>72100.95999999999</v>
      </c>
      <c r="K189" s="33" t="n">
        <v>71506.79999999999</v>
      </c>
      <c r="L189" s="103" t="n">
        <v>22</v>
      </c>
      <c r="M189" s="104" t="n">
        <v>594.1600000000035</v>
      </c>
    </row>
    <row r="190" ht="19" customHeight="1">
      <c r="F190" s="9" t="inlineStr">
        <is>
          <t>Ing. Diego Carreola</t>
        </is>
      </c>
      <c r="G190" s="78" t="inlineStr">
        <is>
          <t>Bacheo Toluca, Desasolve</t>
        </is>
      </c>
      <c r="H190" s="105" t="n">
        <v>3615.45</v>
      </c>
      <c r="I190" s="105" t="n">
        <v>3599.45</v>
      </c>
      <c r="J190" s="106" t="n">
        <v>97617.60000000001</v>
      </c>
      <c r="K190" s="106" t="n">
        <v>97185.14999999999</v>
      </c>
      <c r="L190" s="107" t="n">
        <v>16</v>
      </c>
      <c r="M190" s="108" t="n">
        <v>432.4500000000116</v>
      </c>
    </row>
    <row r="191" ht="19" customHeight="1">
      <c r="F191" s="5" t="inlineStr">
        <is>
          <t>Ing. Francisco Javier</t>
        </is>
      </c>
      <c r="G191" s="74" t="inlineStr">
        <is>
          <t>México - Toluca</t>
        </is>
      </c>
      <c r="H191" s="32" t="n">
        <v>3009.71</v>
      </c>
      <c r="I191" s="32" t="n">
        <v>2997.71</v>
      </c>
      <c r="J191" s="33" t="n">
        <v>81262.27</v>
      </c>
      <c r="K191" s="33" t="n">
        <v>80938.17</v>
      </c>
      <c r="L191" s="103" t="n">
        <v>12</v>
      </c>
      <c r="M191" s="104" t="n">
        <v>324.1000000000058</v>
      </c>
    </row>
    <row r="192" ht="19" customHeight="1">
      <c r="F192" s="9" t="inlineStr">
        <is>
          <t>Ing. Luis</t>
        </is>
      </c>
      <c r="G192" s="78" t="inlineStr">
        <is>
          <t>Planta Huixquilucan</t>
        </is>
      </c>
      <c r="H192" s="105" t="n">
        <v>2645.02</v>
      </c>
      <c r="I192" s="105" t="n">
        <v>2640.02</v>
      </c>
      <c r="J192" s="106" t="n">
        <v>71415.87000000001</v>
      </c>
      <c r="K192" s="106" t="n">
        <v>71280.53999999999</v>
      </c>
      <c r="L192" s="107" t="n">
        <v>5</v>
      </c>
      <c r="M192" s="108" t="n">
        <v>135.3300000000163</v>
      </c>
    </row>
    <row r="193" ht="19" customHeight="1">
      <c r="F193" s="5" t="inlineStr">
        <is>
          <t>Jack</t>
        </is>
      </c>
      <c r="G193" s="74" t="inlineStr">
        <is>
          <t>Planta Pegaso</t>
        </is>
      </c>
      <c r="H193" s="32" t="n">
        <v>1598.51</v>
      </c>
      <c r="I193" s="32" t="n">
        <v>1588.51</v>
      </c>
      <c r="J193" s="33" t="n">
        <v>43160</v>
      </c>
      <c r="K193" s="33" t="n">
        <v>42889.77</v>
      </c>
      <c r="L193" s="103" t="n">
        <v>10</v>
      </c>
      <c r="M193" s="104" t="n">
        <v>270.2300000000032</v>
      </c>
    </row>
    <row r="194" ht="19" customHeight="1">
      <c r="F194" s="9" t="inlineStr">
        <is>
          <t>Samuel</t>
        </is>
      </c>
      <c r="G194" s="78" t="inlineStr">
        <is>
          <t>Providencia</t>
        </is>
      </c>
      <c r="H194" s="105" t="n">
        <v>310</v>
      </c>
      <c r="I194" s="105" t="n">
        <v>302</v>
      </c>
      <c r="J194" s="106" t="n">
        <v>8370.030000000001</v>
      </c>
      <c r="K194" s="106" t="n">
        <v>8154</v>
      </c>
      <c r="L194" s="107" t="n">
        <v>8</v>
      </c>
      <c r="M194" s="108" t="n">
        <v>216.0300000000007</v>
      </c>
    </row>
    <row r="195" ht="19" customHeight="1">
      <c r="F195" s="5" t="inlineStr">
        <is>
          <t>Sin Asignar</t>
        </is>
      </c>
      <c r="G195" s="74" t="inlineStr">
        <is>
          <t>Sindicato COSUM</t>
        </is>
      </c>
      <c r="H195" s="32" t="n">
        <v>2000</v>
      </c>
      <c r="I195" s="32" t="n"/>
      <c r="J195" s="33" t="n">
        <v>54000.22</v>
      </c>
      <c r="K195" s="33" t="n"/>
      <c r="L195" s="103" t="n">
        <v>2000</v>
      </c>
      <c r="M195" s="104" t="n">
        <v>54000.22</v>
      </c>
    </row>
    <row r="196" ht="22" customHeight="1">
      <c r="F196" s="80" t="inlineStr">
        <is>
          <t>TOTAL GENERAL POR INGENIERO:</t>
        </is>
      </c>
      <c r="G196" s="132" t="n"/>
      <c r="H196" s="109">
        <f>SUM(H189:H195)</f>
        <v/>
      </c>
      <c r="I196" s="109">
        <f>SUM(I189:I195)</f>
        <v/>
      </c>
      <c r="J196" s="16">
        <f>SUM(J189:J195)</f>
        <v/>
      </c>
      <c r="K196" s="16">
        <f>SUM(K189:K195)</f>
        <v/>
      </c>
      <c r="L196" s="110">
        <f>SUM(L189:L195)</f>
        <v/>
      </c>
      <c r="M196" s="111">
        <f>SUM(M189:M195)</f>
        <v/>
      </c>
    </row>
  </sheetData>
  <mergeCells count="66">
    <mergeCell ref="F95:H95"/>
    <mergeCell ref="F133:H133"/>
    <mergeCell ref="F80:N80"/>
    <mergeCell ref="K48:N48"/>
    <mergeCell ref="G8:G9"/>
    <mergeCell ref="F76:H76"/>
    <mergeCell ref="F187:M187"/>
    <mergeCell ref="F19:G19"/>
    <mergeCell ref="F196:G196"/>
    <mergeCell ref="F48:I48"/>
    <mergeCell ref="V167:X167"/>
    <mergeCell ref="G167:I167"/>
    <mergeCell ref="F5:F6"/>
    <mergeCell ref="Y153:AA153"/>
    <mergeCell ref="F99:P99"/>
    <mergeCell ref="F137:P137"/>
    <mergeCell ref="F152:AA152"/>
    <mergeCell ref="L5:L6"/>
    <mergeCell ref="F166:AA166"/>
    <mergeCell ref="F12:G12"/>
    <mergeCell ref="V153:X153"/>
    <mergeCell ref="F8:F9"/>
    <mergeCell ref="L8:L9"/>
    <mergeCell ref="F115:N115"/>
    <mergeCell ref="F18:G18"/>
    <mergeCell ref="F111:H111"/>
    <mergeCell ref="F147:O147"/>
    <mergeCell ref="F56:Q56"/>
    <mergeCell ref="G153:I153"/>
    <mergeCell ref="F112:O112"/>
    <mergeCell ref="F153:F154"/>
    <mergeCell ref="G5:G6"/>
    <mergeCell ref="F120:H120"/>
    <mergeCell ref="H16:H17"/>
    <mergeCell ref="K8:K9"/>
    <mergeCell ref="F134:M134"/>
    <mergeCell ref="F167:F168"/>
    <mergeCell ref="P167:R167"/>
    <mergeCell ref="F121:M121"/>
    <mergeCell ref="S153:U153"/>
    <mergeCell ref="J153:L153"/>
    <mergeCell ref="K32:N32"/>
    <mergeCell ref="M167:O167"/>
    <mergeCell ref="G16:G17"/>
    <mergeCell ref="S167:U167"/>
    <mergeCell ref="K41:N41"/>
    <mergeCell ref="F173:L173"/>
    <mergeCell ref="P153:R153"/>
    <mergeCell ref="F32:I32"/>
    <mergeCell ref="F96:M96"/>
    <mergeCell ref="H5:H6"/>
    <mergeCell ref="K22:N22"/>
    <mergeCell ref="F41:I41"/>
    <mergeCell ref="F77:P77"/>
    <mergeCell ref="H8:H9"/>
    <mergeCell ref="F146:H146"/>
    <mergeCell ref="F2:L2"/>
    <mergeCell ref="K16:K17"/>
    <mergeCell ref="F124:N124"/>
    <mergeCell ref="L16:L17"/>
    <mergeCell ref="Y167:AA167"/>
    <mergeCell ref="J167:L167"/>
    <mergeCell ref="F16:F17"/>
    <mergeCell ref="K5:K6"/>
    <mergeCell ref="M153:O15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2:AA2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32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1812</v>
      </c>
      <c r="K5" s="75" t="n">
        <v>1812</v>
      </c>
      <c r="L5" s="76" t="n">
        <v>588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2756</v>
      </c>
      <c r="K6" s="79" t="n">
        <v>2756</v>
      </c>
      <c r="L6" s="76" t="n">
        <v>544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Bacheo Toluca</t>
        </is>
      </c>
      <c r="J7" s="73" t="n">
        <v>175</v>
      </c>
      <c r="K7" s="75" t="n">
        <v>3000</v>
      </c>
      <c r="L7" s="76" t="n">
        <v>2400</v>
      </c>
    </row>
    <row r="8" ht="18" customHeight="1">
      <c r="F8" s="136" t="n"/>
      <c r="G8" s="136" t="n"/>
      <c r="H8" s="136" t="n"/>
      <c r="I8" s="74" t="inlineStr">
        <is>
          <t>Constitución</t>
        </is>
      </c>
      <c r="J8" s="73" t="n">
        <v>680</v>
      </c>
      <c r="K8" s="136" t="n"/>
      <c r="L8" s="136" t="n"/>
    </row>
    <row r="9" ht="18" customHeight="1">
      <c r="F9" s="136" t="n"/>
      <c r="G9" s="136" t="n"/>
      <c r="H9" s="136" t="n"/>
      <c r="I9" s="74" t="inlineStr">
        <is>
          <t>Desasolve</t>
        </is>
      </c>
      <c r="J9" s="73" t="n">
        <v>1440</v>
      </c>
      <c r="K9" s="136" t="n"/>
      <c r="L9" s="136" t="n"/>
    </row>
    <row r="10" ht="18" customHeight="1">
      <c r="F10" s="136" t="n"/>
      <c r="G10" s="136" t="n"/>
      <c r="H10" s="136" t="n"/>
      <c r="I10" s="74" t="inlineStr">
        <is>
          <t>METEPEC</t>
        </is>
      </c>
      <c r="J10" s="73" t="n">
        <v>169</v>
      </c>
      <c r="K10" s="136" t="n"/>
      <c r="L10" s="136" t="n"/>
    </row>
    <row r="11" ht="18" customHeight="1">
      <c r="F11" s="136" t="n"/>
      <c r="G11" s="136" t="n"/>
      <c r="H11" s="136" t="n"/>
      <c r="I11" s="74" t="inlineStr">
        <is>
          <t>METEPEC ARBOL DE LA VIDA</t>
        </is>
      </c>
      <c r="J11" s="73" t="n">
        <v>129</v>
      </c>
      <c r="K11" s="136" t="n"/>
      <c r="L11" s="136" t="n"/>
    </row>
    <row r="12" ht="18" customHeight="1">
      <c r="F12" s="135" t="n"/>
      <c r="G12" s="135" t="n"/>
      <c r="H12" s="135" t="n"/>
      <c r="I12" s="74" t="inlineStr">
        <is>
          <t>San Felipe Tlalminilolpan</t>
        </is>
      </c>
      <c r="J12" s="73" t="n">
        <v>407</v>
      </c>
      <c r="K12" s="135" t="n"/>
      <c r="L12" s="135" t="n"/>
    </row>
    <row r="13" ht="18" customHeight="1">
      <c r="F13" s="72" t="inlineStr">
        <is>
          <t>JACK</t>
        </is>
      </c>
      <c r="G13" s="77" t="n">
        <v>400</v>
      </c>
      <c r="H13" s="77" t="n">
        <v>2400</v>
      </c>
      <c r="I13" s="78" t="inlineStr">
        <is>
          <t>Planta Pegaso</t>
        </is>
      </c>
      <c r="J13" s="77" t="n">
        <v>1610</v>
      </c>
      <c r="K13" s="79" t="n">
        <v>1610</v>
      </c>
      <c r="L13" s="76" t="n">
        <v>790</v>
      </c>
    </row>
    <row r="14" ht="18" customHeight="1">
      <c r="F14" s="72" t="inlineStr">
        <is>
          <t>LUIS</t>
        </is>
      </c>
      <c r="G14" s="73" t="n">
        <v>400</v>
      </c>
      <c r="H14" s="73" t="n">
        <v>2400</v>
      </c>
      <c r="I14" s="74" t="inlineStr">
        <is>
          <t>Planta Huixquilucan</t>
        </is>
      </c>
      <c r="J14" s="73" t="n">
        <v>2461</v>
      </c>
      <c r="K14" s="75" t="n">
        <v>2461</v>
      </c>
      <c r="L14" s="112" t="n">
        <v>-61</v>
      </c>
    </row>
    <row r="15" ht="20" customHeight="1">
      <c r="F15" s="80" t="inlineStr">
        <is>
          <t>SUBTOTAL (6 DÍAS):</t>
        </is>
      </c>
      <c r="G15" s="132" t="n"/>
      <c r="H15" s="80" t="n">
        <v>15900</v>
      </c>
      <c r="I15" s="15" t="n"/>
      <c r="J15" s="80" t="n">
        <v>11639</v>
      </c>
      <c r="K15" s="80" t="n">
        <v>11639</v>
      </c>
      <c r="L15" s="80" t="n">
        <v>4261</v>
      </c>
    </row>
    <row r="16">
      <c r="F16" s="4" t="inlineStr">
        <is>
          <t>RESPONSABLE</t>
        </is>
      </c>
      <c r="G16" s="4" t="inlineStr">
        <is>
          <t>AUTORIZADO DIARIO</t>
        </is>
      </c>
      <c r="H16" s="4" t="inlineStr">
        <is>
          <t>SEMANAL (5 DÍAS)</t>
        </is>
      </c>
      <c r="I16" s="4" t="inlineStr">
        <is>
          <t>OBRA</t>
        </is>
      </c>
      <c r="J16" s="4" t="inlineStr">
        <is>
          <t>CONSUMO POR OBRA</t>
        </is>
      </c>
      <c r="K16" s="4" t="inlineStr">
        <is>
          <t>CONSUMO POR INGENIERO</t>
        </is>
      </c>
      <c r="L16" s="4" t="inlineStr">
        <is>
          <t>REMANENTE POR INGENIERO</t>
        </is>
      </c>
    </row>
    <row r="17" ht="18" customHeight="1">
      <c r="F17" s="72" t="inlineStr">
        <is>
          <t>DAYANNE</t>
        </is>
      </c>
      <c r="G17" s="73" t="n"/>
      <c r="H17" s="73" t="n"/>
      <c r="I17" s="73" t="inlineStr">
        <is>
          <t>SIN CONSUMOS</t>
        </is>
      </c>
      <c r="J17" s="73" t="n"/>
      <c r="K17" s="75" t="n"/>
      <c r="L17" s="76" t="n"/>
    </row>
    <row r="18" ht="18" customHeight="1">
      <c r="F18" s="72" t="inlineStr">
        <is>
          <t>EDGAR</t>
        </is>
      </c>
      <c r="G18" s="77" t="n"/>
      <c r="H18" s="77" t="n"/>
      <c r="I18" s="78" t="inlineStr">
        <is>
          <t>Maquinaria</t>
        </is>
      </c>
      <c r="J18" s="77" t="n">
        <v>161</v>
      </c>
      <c r="K18" s="79" t="n">
        <v>161</v>
      </c>
      <c r="L18" s="112" t="n">
        <v>-161</v>
      </c>
    </row>
    <row r="19" ht="18" customHeight="1">
      <c r="F19" s="72" t="inlineStr">
        <is>
          <t>SAMUEL</t>
        </is>
      </c>
      <c r="G19" s="73" t="n"/>
      <c r="H19" s="73" t="n"/>
      <c r="I19" s="74" t="inlineStr">
        <is>
          <t>Aurelio Venegas</t>
        </is>
      </c>
      <c r="J19" s="73" t="n">
        <v>360</v>
      </c>
      <c r="K19" s="75" t="n">
        <v>537</v>
      </c>
      <c r="L19" s="112" t="n">
        <v>-537</v>
      </c>
    </row>
    <row r="20" ht="18" customHeight="1">
      <c r="F20" s="135" t="n"/>
      <c r="G20" s="135" t="n"/>
      <c r="H20" s="135" t="n"/>
      <c r="I20" s="74" t="inlineStr">
        <is>
          <t>Providencia</t>
        </is>
      </c>
      <c r="J20" s="73" t="n">
        <v>177</v>
      </c>
      <c r="K20" s="135" t="n"/>
      <c r="L20" s="135" t="n"/>
    </row>
    <row r="21" ht="20" customHeight="1">
      <c r="F21" s="80" t="inlineStr">
        <is>
          <t>SUBTOTAL (5 DÍAS):</t>
        </is>
      </c>
      <c r="G21" s="132" t="n"/>
      <c r="H21" s="80" t="inlineStr"/>
      <c r="I21" s="15" t="n"/>
      <c r="J21" s="80" t="n">
        <v>698</v>
      </c>
      <c r="K21" s="80" t="n">
        <v>698</v>
      </c>
      <c r="L21" s="80" t="n">
        <v>-698</v>
      </c>
    </row>
    <row r="22" ht="22" customHeight="1">
      <c r="F22" s="80" t="inlineStr">
        <is>
          <t>TOTAL GENERAL:</t>
        </is>
      </c>
      <c r="G22" s="132" t="n"/>
      <c r="H22" s="80" t="n">
        <v>15900</v>
      </c>
      <c r="I22" s="15" t="n"/>
      <c r="J22" s="80" t="n">
        <v>12337</v>
      </c>
      <c r="K22" s="80" t="n">
        <v>12337</v>
      </c>
      <c r="L22" s="80" t="n">
        <v>3563</v>
      </c>
    </row>
    <row r="25" ht="20" customHeight="1">
      <c r="F25" s="3" t="inlineStr">
        <is>
          <t>▶  Alfredo del Mazo</t>
        </is>
      </c>
      <c r="G25" s="131" t="n"/>
      <c r="H25" s="131" t="n"/>
      <c r="I25" s="132" t="n"/>
      <c r="K25" s="3" t="inlineStr">
        <is>
          <t>▶  Aurelio Venegas</t>
        </is>
      </c>
      <c r="L25" s="131" t="n"/>
      <c r="M25" s="131" t="n"/>
      <c r="N25" s="132" t="n"/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03-ago</t>
        </is>
      </c>
      <c r="G27" s="6" t="n">
        <v>344</v>
      </c>
      <c r="H27" s="7" t="n">
        <v>27</v>
      </c>
      <c r="I27" s="8" t="n">
        <v>7830</v>
      </c>
      <c r="K27" s="5" t="inlineStr">
        <is>
          <t>Mar 04-ago</t>
        </is>
      </c>
      <c r="L27" s="6" t="n">
        <v>300</v>
      </c>
      <c r="M27" s="7" t="n">
        <v>27</v>
      </c>
      <c r="N27" s="8" t="n">
        <v>8100</v>
      </c>
    </row>
    <row r="28" ht="18" customHeight="1">
      <c r="F28" s="9" t="inlineStr">
        <is>
          <t>Mié 05-ago</t>
        </is>
      </c>
      <c r="G28" s="10" t="n">
        <v>1003</v>
      </c>
      <c r="H28" s="11" t="n">
        <v>27</v>
      </c>
      <c r="I28" s="12" t="n">
        <v>27081</v>
      </c>
      <c r="K28" s="9" t="inlineStr">
        <is>
          <t>Jue 06-ago</t>
        </is>
      </c>
      <c r="L28" s="10" t="n">
        <v>38</v>
      </c>
      <c r="M28" s="11" t="n">
        <v>27</v>
      </c>
      <c r="N28" s="12" t="n">
        <v>1026</v>
      </c>
    </row>
    <row r="29" ht="18" customHeight="1">
      <c r="F29" s="5" t="inlineStr">
        <is>
          <t>Jue 06-ago</t>
        </is>
      </c>
      <c r="G29" s="6" t="n">
        <v>128</v>
      </c>
      <c r="H29" s="7" t="n">
        <v>27</v>
      </c>
      <c r="I29" s="8" t="n">
        <v>3456</v>
      </c>
      <c r="K29" s="5" t="inlineStr">
        <is>
          <t>Vie 07-ago</t>
        </is>
      </c>
      <c r="L29" s="6" t="n">
        <v>22</v>
      </c>
      <c r="M29" s="7" t="n">
        <v>27</v>
      </c>
      <c r="N29" s="8" t="n">
        <v>594</v>
      </c>
    </row>
    <row r="30" ht="20" customHeight="1">
      <c r="F30" s="9" t="inlineStr">
        <is>
          <t>Sáb 08-ago</t>
        </is>
      </c>
      <c r="G30" s="10" t="n">
        <v>337</v>
      </c>
      <c r="H30" s="11" t="n">
        <v>27</v>
      </c>
      <c r="I30" s="12" t="n">
        <v>9099</v>
      </c>
      <c r="K30" s="80" t="inlineStr">
        <is>
          <t>TOTAL — Aurelio Venegas</t>
        </is>
      </c>
      <c r="L30" s="14" t="n">
        <v>360</v>
      </c>
      <c r="M30" s="15" t="n"/>
      <c r="N30" s="16" t="n">
        <v>9720</v>
      </c>
    </row>
    <row r="31" ht="20" customHeight="1">
      <c r="F31" s="80" t="inlineStr">
        <is>
          <t>TOTAL — Alfredo del Mazo</t>
        </is>
      </c>
      <c r="G31" s="14" t="n">
        <v>1812</v>
      </c>
      <c r="H31" s="15" t="n"/>
      <c r="I31" s="16" t="n">
        <v>47466</v>
      </c>
    </row>
    <row r="33" ht="20" customHeight="1">
      <c r="F33" s="3" t="inlineStr">
        <is>
          <t>▶  Bacheo Toluca</t>
        </is>
      </c>
      <c r="G33" s="131" t="n"/>
      <c r="H33" s="131" t="n"/>
      <c r="I33" s="132" t="n"/>
      <c r="K33" s="3" t="inlineStr">
        <is>
          <t>▶  Constitución</t>
        </is>
      </c>
      <c r="L33" s="131" t="n"/>
      <c r="M33" s="131" t="n"/>
      <c r="N33" s="132" t="n"/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06-ago</t>
        </is>
      </c>
      <c r="G35" s="6" t="n">
        <v>175</v>
      </c>
      <c r="H35" s="7" t="n">
        <v>27</v>
      </c>
      <c r="I35" s="8" t="n">
        <v>4725</v>
      </c>
      <c r="K35" s="5" t="inlineStr">
        <is>
          <t>Jue 06-ago</t>
        </is>
      </c>
      <c r="L35" s="6" t="n">
        <v>680</v>
      </c>
      <c r="M35" s="7" t="n">
        <v>27</v>
      </c>
      <c r="N35" s="8" t="n">
        <v>18360</v>
      </c>
    </row>
    <row r="36" ht="20" customHeight="1">
      <c r="F36" s="80" t="inlineStr">
        <is>
          <t>TOTAL — Bacheo Toluca</t>
        </is>
      </c>
      <c r="G36" s="14" t="n">
        <v>175</v>
      </c>
      <c r="H36" s="15" t="n"/>
      <c r="I36" s="16" t="n">
        <v>4725</v>
      </c>
      <c r="K36" s="80" t="inlineStr">
        <is>
          <t>TOTAL — Constitución</t>
        </is>
      </c>
      <c r="L36" s="14" t="n">
        <v>680</v>
      </c>
      <c r="M36" s="15" t="n"/>
      <c r="N36" s="16" t="n">
        <v>18360</v>
      </c>
    </row>
    <row r="38" ht="20" customHeight="1">
      <c r="F38" s="3" t="inlineStr">
        <is>
          <t>▶  Desasolve</t>
        </is>
      </c>
      <c r="G38" s="131" t="n"/>
      <c r="H38" s="131" t="n"/>
      <c r="I38" s="132" t="n"/>
      <c r="K38" s="3" t="inlineStr">
        <is>
          <t>▶  Maquinaria</t>
        </is>
      </c>
      <c r="L38" s="131" t="n"/>
      <c r="M38" s="131" t="n"/>
      <c r="N38" s="132" t="n"/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03-ago</t>
        </is>
      </c>
      <c r="G40" s="6" t="n">
        <v>827</v>
      </c>
      <c r="H40" s="7" t="n">
        <v>27</v>
      </c>
      <c r="I40" s="8" t="n">
        <v>22329</v>
      </c>
      <c r="K40" s="5" t="inlineStr">
        <is>
          <t>Jue 06-ago</t>
        </is>
      </c>
      <c r="L40" s="6" t="n">
        <v>161</v>
      </c>
      <c r="M40" s="7" t="n">
        <v>27</v>
      </c>
      <c r="N40" s="8" t="n">
        <v>4347</v>
      </c>
    </row>
    <row r="41" ht="20" customHeight="1">
      <c r="F41" s="9" t="inlineStr">
        <is>
          <t>Mar 04-ago</t>
        </is>
      </c>
      <c r="G41" s="10" t="n">
        <v>630</v>
      </c>
      <c r="H41" s="11" t="n">
        <v>27</v>
      </c>
      <c r="I41" s="12" t="n">
        <v>17010</v>
      </c>
      <c r="K41" s="80" t="inlineStr">
        <is>
          <t>TOTAL — Maquinaria</t>
        </is>
      </c>
      <c r="L41" s="14" t="n">
        <v>161</v>
      </c>
      <c r="M41" s="15" t="n"/>
      <c r="N41" s="16" t="n">
        <v>4347</v>
      </c>
    </row>
    <row r="42" ht="18" customHeight="1">
      <c r="F42" s="5" t="inlineStr">
        <is>
          <t>Jue 06-ago</t>
        </is>
      </c>
      <c r="G42" s="6" t="n">
        <v>-17</v>
      </c>
      <c r="H42" s="7" t="n">
        <v>27</v>
      </c>
      <c r="I42" s="8" t="n">
        <v>-459</v>
      </c>
    </row>
    <row r="43" ht="20" customHeight="1">
      <c r="F43" s="80" t="inlineStr">
        <is>
          <t>TOTAL — Desasolve</t>
        </is>
      </c>
      <c r="G43" s="14" t="n">
        <v>1440</v>
      </c>
      <c r="H43" s="15" t="n"/>
      <c r="I43" s="16" t="n">
        <v>38880</v>
      </c>
    </row>
    <row r="45" ht="20" customHeight="1">
      <c r="F45" s="3" t="inlineStr">
        <is>
          <t>▶  METEPEC</t>
        </is>
      </c>
      <c r="G45" s="131" t="n"/>
      <c r="H45" s="131" t="n"/>
      <c r="I45" s="132" t="n"/>
      <c r="K45" s="3" t="inlineStr">
        <is>
          <t>▶  METEPEC ARBOL DE LA VIDA</t>
        </is>
      </c>
      <c r="L45" s="131" t="n"/>
      <c r="M45" s="131" t="n"/>
      <c r="N45" s="132" t="n"/>
    </row>
    <row r="46" ht="20" customHeight="1">
      <c r="F46" s="4" t="inlineStr">
        <is>
          <t>DÍA</t>
        </is>
      </c>
      <c r="G46" s="4" t="inlineStr">
        <is>
          <t>LITROS CONSUMIDOS</t>
        </is>
      </c>
      <c r="H46" s="4" t="inlineStr">
        <is>
          <t>PRECIO PROM. ($/L)</t>
        </is>
      </c>
      <c r="I46" s="4" t="inlineStr">
        <is>
          <t>IMPORTE TOTAL</t>
        </is>
      </c>
      <c r="K46" s="4" t="inlineStr">
        <is>
          <t>DÍA</t>
        </is>
      </c>
      <c r="L46" s="4" t="inlineStr">
        <is>
          <t>LITROS CONSUMIDOS</t>
        </is>
      </c>
      <c r="M46" s="4" t="inlineStr">
        <is>
          <t>PRECIO PROM. ($/L)</t>
        </is>
      </c>
      <c r="N46" s="4" t="inlineStr">
        <is>
          <t>IMPORTE TOTAL</t>
        </is>
      </c>
    </row>
    <row r="47" ht="18" customHeight="1">
      <c r="F47" s="5" t="inlineStr">
        <is>
          <t>Jue 06-ago</t>
        </is>
      </c>
      <c r="G47" s="6" t="n">
        <v>169</v>
      </c>
      <c r="H47" s="7" t="n">
        <v>27</v>
      </c>
      <c r="I47" s="8" t="n">
        <v>4563</v>
      </c>
      <c r="K47" s="5" t="inlineStr">
        <is>
          <t>Jue 06-ago</t>
        </is>
      </c>
      <c r="L47" s="6" t="n">
        <v>129</v>
      </c>
      <c r="M47" s="7" t="n">
        <v>27</v>
      </c>
      <c r="N47" s="8" t="n">
        <v>3483</v>
      </c>
    </row>
    <row r="48" ht="20" customHeight="1">
      <c r="F48" s="80" t="inlineStr">
        <is>
          <t>TOTAL — METEPEC</t>
        </is>
      </c>
      <c r="G48" s="14" t="n">
        <v>169</v>
      </c>
      <c r="H48" s="15" t="n"/>
      <c r="I48" s="16" t="n">
        <v>4563</v>
      </c>
      <c r="K48" s="80" t="inlineStr">
        <is>
          <t>TOTAL — METEPEC ARBOL DE LA VIDA</t>
        </is>
      </c>
      <c r="L48" s="14" t="n">
        <v>129</v>
      </c>
      <c r="M48" s="15" t="n"/>
      <c r="N48" s="16" t="n">
        <v>3483</v>
      </c>
    </row>
    <row r="50" ht="20" customHeight="1">
      <c r="F50" s="3" t="inlineStr">
        <is>
          <t>▶  México - Toluca</t>
        </is>
      </c>
      <c r="G50" s="131" t="n"/>
      <c r="H50" s="131" t="n"/>
      <c r="I50" s="132" t="n"/>
      <c r="K50" s="3" t="inlineStr">
        <is>
          <t>▶  Planta Huixquilucan</t>
        </is>
      </c>
      <c r="L50" s="131" t="n"/>
      <c r="M50" s="131" t="n"/>
      <c r="N50" s="132" t="n"/>
    </row>
    <row r="51" ht="20" customHeight="1">
      <c r="F51" s="4" t="inlineStr">
        <is>
          <t>DÍA</t>
        </is>
      </c>
      <c r="G51" s="4" t="inlineStr">
        <is>
          <t>LITROS CONSUMIDOS</t>
        </is>
      </c>
      <c r="H51" s="4" t="inlineStr">
        <is>
          <t>PRECIO PROM. ($/L)</t>
        </is>
      </c>
      <c r="I51" s="4" t="inlineStr">
        <is>
          <t>IMPORTE TOTAL</t>
        </is>
      </c>
      <c r="K51" s="4" t="inlineStr">
        <is>
          <t>DÍA</t>
        </is>
      </c>
      <c r="L51" s="4" t="inlineStr">
        <is>
          <t>LITROS CONSUMIDOS</t>
        </is>
      </c>
      <c r="M51" s="4" t="inlineStr">
        <is>
          <t>PRECIO PROM. ($/L)</t>
        </is>
      </c>
      <c r="N51" s="4" t="inlineStr">
        <is>
          <t>IMPORTE TOTAL</t>
        </is>
      </c>
    </row>
    <row r="52" ht="18" customHeight="1">
      <c r="F52" s="5" t="inlineStr">
        <is>
          <t>Mar 04-ago</t>
        </is>
      </c>
      <c r="G52" s="6" t="n">
        <v>950</v>
      </c>
      <c r="H52" s="7" t="n">
        <v>27</v>
      </c>
      <c r="I52" s="8" t="n">
        <v>25650</v>
      </c>
      <c r="K52" s="5" t="inlineStr">
        <is>
          <t>Lun 03-ago</t>
        </is>
      </c>
      <c r="L52" s="6" t="n">
        <v>800</v>
      </c>
      <c r="M52" s="7" t="n">
        <v>27</v>
      </c>
      <c r="N52" s="8" t="n">
        <v>21600</v>
      </c>
    </row>
    <row r="53" ht="18" customHeight="1">
      <c r="F53" s="9" t="inlineStr">
        <is>
          <t>Jue 06-ago</t>
        </is>
      </c>
      <c r="G53" s="10" t="n">
        <v>1163</v>
      </c>
      <c r="H53" s="11" t="n">
        <v>27</v>
      </c>
      <c r="I53" s="12" t="n">
        <v>31401</v>
      </c>
      <c r="K53" s="9" t="inlineStr">
        <is>
          <t>Mié 05-ago</t>
        </is>
      </c>
      <c r="L53" s="10" t="n">
        <v>800</v>
      </c>
      <c r="M53" s="11" t="n">
        <v>27</v>
      </c>
      <c r="N53" s="12" t="n">
        <v>21600</v>
      </c>
    </row>
    <row r="54" ht="18" customHeight="1">
      <c r="F54" s="5" t="inlineStr">
        <is>
          <t>Sáb 08-ago</t>
        </is>
      </c>
      <c r="G54" s="6" t="n">
        <v>643</v>
      </c>
      <c r="H54" s="7" t="n">
        <v>27</v>
      </c>
      <c r="I54" s="8" t="n">
        <v>13392</v>
      </c>
      <c r="K54" s="5" t="inlineStr">
        <is>
          <t>Jue 06-ago</t>
        </is>
      </c>
      <c r="L54" s="6" t="n">
        <v>61</v>
      </c>
      <c r="M54" s="7" t="n">
        <v>27</v>
      </c>
      <c r="N54" s="8" t="n">
        <v>1647</v>
      </c>
    </row>
    <row r="55" ht="18" customHeight="1">
      <c r="F55" s="80" t="inlineStr">
        <is>
          <t>TOTAL — México - Toluca</t>
        </is>
      </c>
      <c r="G55" s="14" t="n">
        <v>2756</v>
      </c>
      <c r="H55" s="15" t="n"/>
      <c r="I55" s="16" t="n">
        <v>70443</v>
      </c>
      <c r="K55" s="9" t="inlineStr">
        <is>
          <t>Vie 07-ago</t>
        </is>
      </c>
      <c r="L55" s="10" t="n">
        <v>800</v>
      </c>
      <c r="M55" s="11" t="n">
        <v>27</v>
      </c>
      <c r="N55" s="12" t="n">
        <v>21600</v>
      </c>
    </row>
    <row r="56" ht="20" customHeight="1">
      <c r="K56" s="80" t="inlineStr">
        <is>
          <t>TOTAL — Planta Huixquilucan</t>
        </is>
      </c>
      <c r="L56" s="14" t="n">
        <v>2461</v>
      </c>
      <c r="M56" s="15" t="n"/>
      <c r="N56" s="16" t="n">
        <v>66447</v>
      </c>
    </row>
    <row r="58" ht="20" customHeight="1">
      <c r="F58" s="3" t="inlineStr">
        <is>
          <t>▶  Planta Pegaso</t>
        </is>
      </c>
      <c r="G58" s="131" t="n"/>
      <c r="H58" s="131" t="n"/>
      <c r="I58" s="132" t="n"/>
      <c r="K58" s="3" t="inlineStr">
        <is>
          <t>▶  Providencia</t>
        </is>
      </c>
      <c r="L58" s="131" t="n"/>
      <c r="M58" s="131" t="n"/>
      <c r="N58" s="132" t="n"/>
    </row>
    <row r="59" ht="20" customHeight="1">
      <c r="F59" s="4" t="inlineStr">
        <is>
          <t>DÍA</t>
        </is>
      </c>
      <c r="G59" s="4" t="inlineStr">
        <is>
          <t>LITROS CONSUMIDOS</t>
        </is>
      </c>
      <c r="H59" s="4" t="inlineStr">
        <is>
          <t>PRECIO PROM. ($/L)</t>
        </is>
      </c>
      <c r="I59" s="4" t="inlineStr">
        <is>
          <t>IMPORTE TOTAL</t>
        </is>
      </c>
      <c r="K59" s="4" t="inlineStr">
        <is>
          <t>DÍA</t>
        </is>
      </c>
      <c r="L59" s="4" t="inlineStr">
        <is>
          <t>LITROS CONSUMIDOS</t>
        </is>
      </c>
      <c r="M59" s="4" t="inlineStr">
        <is>
          <t>PRECIO PROM. ($/L)</t>
        </is>
      </c>
      <c r="N59" s="4" t="inlineStr">
        <is>
          <t>IMPORTE TOTAL</t>
        </is>
      </c>
    </row>
    <row r="60" ht="18" customHeight="1">
      <c r="F60" s="5" t="inlineStr">
        <is>
          <t>Mar 04-ago</t>
        </is>
      </c>
      <c r="G60" s="6" t="n">
        <v>650</v>
      </c>
      <c r="H60" s="7" t="n">
        <v>27</v>
      </c>
      <c r="I60" s="8" t="n">
        <v>17550</v>
      </c>
      <c r="K60" s="5" t="inlineStr">
        <is>
          <t>Jue 06-ago</t>
        </is>
      </c>
      <c r="L60" s="6" t="n">
        <v>177</v>
      </c>
      <c r="M60" s="7" t="n">
        <v>27</v>
      </c>
      <c r="N60" s="8" t="n">
        <v>4779</v>
      </c>
    </row>
    <row r="61" ht="20" customHeight="1">
      <c r="F61" s="9" t="inlineStr">
        <is>
          <t>Mié 05-ago</t>
        </is>
      </c>
      <c r="G61" s="10" t="n">
        <v>600</v>
      </c>
      <c r="H61" s="11" t="n">
        <v>27</v>
      </c>
      <c r="I61" s="12" t="n">
        <v>16200</v>
      </c>
      <c r="K61" s="80" t="inlineStr">
        <is>
          <t>TOTAL — Providencia</t>
        </is>
      </c>
      <c r="L61" s="14" t="n">
        <v>177</v>
      </c>
      <c r="M61" s="15" t="n"/>
      <c r="N61" s="16" t="n">
        <v>4779</v>
      </c>
    </row>
    <row r="62" ht="18" customHeight="1">
      <c r="F62" s="5" t="inlineStr">
        <is>
          <t>Jue 06-ago</t>
        </is>
      </c>
      <c r="G62" s="6" t="n">
        <v>210</v>
      </c>
      <c r="H62" s="7" t="n">
        <v>27</v>
      </c>
      <c r="I62" s="8" t="n">
        <v>5670</v>
      </c>
    </row>
    <row r="63" ht="18" customHeight="1">
      <c r="F63" s="9" t="inlineStr">
        <is>
          <t>Sáb 08-ago</t>
        </is>
      </c>
      <c r="G63" s="10" t="n">
        <v>150</v>
      </c>
      <c r="H63" s="11" t="n">
        <v>27</v>
      </c>
      <c r="I63" s="12" t="n">
        <v>4050</v>
      </c>
    </row>
    <row r="64" ht="20" customHeight="1">
      <c r="F64" s="80" t="inlineStr">
        <is>
          <t>TOTAL — Planta Pegaso</t>
        </is>
      </c>
      <c r="G64" s="14" t="n">
        <v>1610</v>
      </c>
      <c r="H64" s="15" t="n"/>
      <c r="I64" s="16" t="n">
        <v>43470</v>
      </c>
    </row>
    <row r="66" ht="20" customHeight="1">
      <c r="F66" s="3" t="inlineStr">
        <is>
          <t>▶  San Felipe Tlalminilolpan</t>
        </is>
      </c>
      <c r="G66" s="131" t="n"/>
      <c r="H66" s="131" t="n"/>
      <c r="I66" s="132" t="n"/>
    </row>
    <row r="67" ht="20" customHeight="1">
      <c r="F67" s="4" t="inlineStr">
        <is>
          <t>DÍA</t>
        </is>
      </c>
      <c r="G67" s="4" t="inlineStr">
        <is>
          <t>LITROS CONSUMIDOS</t>
        </is>
      </c>
      <c r="H67" s="4" t="inlineStr">
        <is>
          <t>PRECIO PROM. ($/L)</t>
        </is>
      </c>
      <c r="I67" s="4" t="inlineStr">
        <is>
          <t>IMPORTE TOTAL</t>
        </is>
      </c>
    </row>
    <row r="68" ht="18" customHeight="1">
      <c r="F68" s="5" t="inlineStr">
        <is>
          <t>Jue 06-ago</t>
        </is>
      </c>
      <c r="G68" s="6" t="n">
        <v>7</v>
      </c>
      <c r="H68" s="7" t="n">
        <v>27</v>
      </c>
      <c r="I68" s="8" t="n">
        <v>189</v>
      </c>
    </row>
    <row r="69" ht="18" customHeight="1">
      <c r="F69" s="9" t="inlineStr">
        <is>
          <t>Vie 07-ago</t>
        </is>
      </c>
      <c r="G69" s="10" t="n">
        <v>39</v>
      </c>
      <c r="H69" s="11" t="n">
        <v>27</v>
      </c>
      <c r="I69" s="12" t="n">
        <v>1053</v>
      </c>
    </row>
    <row r="70" ht="18" customHeight="1">
      <c r="F70" s="5" t="inlineStr">
        <is>
          <t>Sáb 08-ago</t>
        </is>
      </c>
      <c r="G70" s="6" t="n">
        <v>361</v>
      </c>
      <c r="H70" s="7" t="n">
        <v>27</v>
      </c>
      <c r="I70" s="8" t="n">
        <v>9747</v>
      </c>
    </row>
    <row r="71" ht="20" customHeight="1">
      <c r="F71" s="80" t="inlineStr">
        <is>
          <t>TOTAL — San Felipe Tlalminilolpan</t>
        </is>
      </c>
      <c r="G71" s="14" t="n">
        <v>407</v>
      </c>
      <c r="H71" s="15" t="n"/>
      <c r="I71" s="16" t="n">
        <v>10989</v>
      </c>
    </row>
    <row r="74" ht="22" customHeight="1">
      <c r="F74" s="81" t="inlineStr">
        <is>
          <t>APOLINAR</t>
        </is>
      </c>
      <c r="G74" s="131" t="n"/>
      <c r="H74" s="131" t="n"/>
      <c r="I74" s="131" t="n"/>
      <c r="J74" s="131" t="n"/>
      <c r="K74" s="131" t="n"/>
      <c r="L74" s="131" t="n"/>
      <c r="M74" s="131" t="n"/>
      <c r="N74" s="131" t="n"/>
      <c r="O74" s="132" t="n"/>
    </row>
    <row r="75" ht="28" customHeight="1">
      <c r="F75" s="4" t="inlineStr">
        <is>
          <t>#</t>
        </is>
      </c>
      <c r="G75" s="4" t="inlineStr">
        <is>
          <t>EQUIPO / MAQUINARIA</t>
        </is>
      </c>
      <c r="H75" s="4" t="inlineStr">
        <is>
          <t>LTS. SEM.
AUT.</t>
        </is>
      </c>
      <c r="I75" s="4" t="inlineStr">
        <is>
          <t>Lun
03/08</t>
        </is>
      </c>
      <c r="J75" s="4" t="inlineStr">
        <is>
          <t>Mié
05/08</t>
        </is>
      </c>
      <c r="K75" s="4" t="inlineStr">
        <is>
          <t>Jue
06/08</t>
        </is>
      </c>
      <c r="L75" s="4" t="inlineStr">
        <is>
          <t>Sáb
08/08</t>
        </is>
      </c>
      <c r="M75" s="4" t="inlineStr">
        <is>
          <t>LITROS
TOTAL</t>
        </is>
      </c>
      <c r="N75" s="4" t="inlineStr">
        <is>
          <t>PRECIO
UNIT.</t>
        </is>
      </c>
      <c r="O75" s="4" t="inlineStr">
        <is>
          <t>TOTAL $</t>
        </is>
      </c>
    </row>
    <row r="76" ht="22" customHeight="1">
      <c r="F76" s="82" t="n"/>
      <c r="G76" s="83" t="inlineStr">
        <is>
          <t>OBRA DESTINO</t>
        </is>
      </c>
      <c r="H76" s="82" t="n"/>
      <c r="I76" s="84" t="inlineStr">
        <is>
          <t>Alfredo del Mazo</t>
        </is>
      </c>
      <c r="J76" s="84" t="inlineStr">
        <is>
          <t>Alfredo del Mazo</t>
        </is>
      </c>
      <c r="K76" s="84" t="inlineStr">
        <is>
          <t>Alfredo del Mazo</t>
        </is>
      </c>
      <c r="L76" s="84" t="inlineStr">
        <is>
          <t>Alfredo del Mazo</t>
        </is>
      </c>
      <c r="M76" s="82" t="n"/>
      <c r="N76" s="82" t="n"/>
      <c r="O76" s="82" t="n"/>
    </row>
    <row r="77" ht="18" customHeight="1">
      <c r="F77" s="85" t="n">
        <v>1</v>
      </c>
      <c r="G77" s="86" t="inlineStr">
        <is>
          <t>AJUSTE DIESEL</t>
        </is>
      </c>
      <c r="H77" s="87" t="n">
        <v>2800</v>
      </c>
      <c r="I77" s="85" t="n"/>
      <c r="J77" s="85" t="n"/>
      <c r="K77" s="85" t="n">
        <v>98</v>
      </c>
      <c r="L77" s="85" t="n"/>
      <c r="M77" s="88" t="n">
        <v>98</v>
      </c>
      <c r="N77" s="55" t="n">
        <v>27</v>
      </c>
      <c r="O77" s="89" t="n">
        <v>2646</v>
      </c>
    </row>
    <row r="78" ht="18" customHeight="1">
      <c r="F78" s="90" t="n">
        <v>2</v>
      </c>
      <c r="G78" s="91" t="inlineStr">
        <is>
          <t>BARREDORA LAYMOR SM400</t>
        </is>
      </c>
      <c r="H78" s="92" t="n"/>
      <c r="I78" s="90" t="n"/>
      <c r="J78" s="90" t="n">
        <v>50</v>
      </c>
      <c r="K78" s="90" t="n"/>
      <c r="L78" s="90" t="n">
        <v>30</v>
      </c>
      <c r="M78" s="93" t="n">
        <v>80</v>
      </c>
      <c r="N78" s="94" t="n">
        <v>27</v>
      </c>
      <c r="O78" s="95" t="n">
        <v>2160</v>
      </c>
    </row>
    <row r="79" ht="18" customHeight="1">
      <c r="F79" s="85" t="n">
        <v>3</v>
      </c>
      <c r="G79" s="86" t="inlineStr">
        <is>
          <t>LIMPIEZA DE 2 CUADRILLAS DE BACHEO - -</t>
        </is>
      </c>
      <c r="H79" s="96" t="n"/>
      <c r="I79" s="85" t="n"/>
      <c r="J79" s="85" t="n"/>
      <c r="K79" s="85" t="n">
        <v>30</v>
      </c>
      <c r="L79" s="85" t="n">
        <v>30</v>
      </c>
      <c r="M79" s="88" t="n">
        <v>60</v>
      </c>
      <c r="N79" s="55" t="n">
        <v>27</v>
      </c>
      <c r="O79" s="89" t="n">
        <v>1620</v>
      </c>
    </row>
    <row r="80" ht="18" customHeight="1">
      <c r="F80" s="90" t="n">
        <v>4</v>
      </c>
      <c r="G80" s="91" t="inlineStr">
        <is>
          <t>NEUMATICO VOLVO PT-240R</t>
        </is>
      </c>
      <c r="H80" s="92" t="n"/>
      <c r="I80" s="90" t="n"/>
      <c r="J80" s="90" t="n">
        <v>23</v>
      </c>
      <c r="K80" s="90" t="n"/>
      <c r="L80" s="90" t="n">
        <v>30</v>
      </c>
      <c r="M80" s="93" t="n">
        <v>53</v>
      </c>
      <c r="N80" s="94" t="n">
        <v>27</v>
      </c>
      <c r="O80" s="95" t="n">
        <v>1431</v>
      </c>
    </row>
    <row r="81" ht="18" customHeight="1">
      <c r="F81" s="85" t="n">
        <v>5</v>
      </c>
      <c r="G81" s="86" t="inlineStr">
        <is>
          <t>PAVIMENTADORA VOGELE 1800-3 i</t>
        </is>
      </c>
      <c r="H81" s="96" t="n"/>
      <c r="I81" s="85" t="n"/>
      <c r="J81" s="85" t="n"/>
      <c r="K81" s="85" t="n"/>
      <c r="L81" s="85" t="n">
        <v>157</v>
      </c>
      <c r="M81" s="88" t="n">
        <v>157</v>
      </c>
      <c r="N81" s="55" t="n">
        <v>27</v>
      </c>
      <c r="O81" s="89" t="n">
        <v>4239</v>
      </c>
    </row>
    <row r="82" ht="18" customHeight="1">
      <c r="F82" s="90" t="n">
        <v>6</v>
      </c>
      <c r="G82" s="91" t="inlineStr">
        <is>
          <t>PAVIMENTADORA VOGELE SJ 1800-3</t>
        </is>
      </c>
      <c r="H82" s="92" t="n"/>
      <c r="I82" s="90" t="n">
        <v>100</v>
      </c>
      <c r="J82" s="90" t="n">
        <v>150</v>
      </c>
      <c r="K82" s="90" t="n"/>
      <c r="L82" s="90" t="n"/>
      <c r="M82" s="93" t="n">
        <v>250</v>
      </c>
      <c r="N82" s="94" t="n">
        <v>27</v>
      </c>
      <c r="O82" s="95" t="n">
        <v>6750</v>
      </c>
    </row>
    <row r="83" ht="18" customHeight="1">
      <c r="F83" s="85" t="n">
        <v>7</v>
      </c>
      <c r="G83" s="86" t="inlineStr">
        <is>
          <t>PERFILADORA RODATEC RX600-4-4008</t>
        </is>
      </c>
      <c r="H83" s="96" t="n"/>
      <c r="I83" s="85" t="n"/>
      <c r="J83" s="85" t="n">
        <v>450</v>
      </c>
      <c r="K83" s="85" t="n"/>
      <c r="L83" s="85" t="n"/>
      <c r="M83" s="88" t="n">
        <v>450</v>
      </c>
      <c r="N83" s="55" t="n">
        <v>27</v>
      </c>
      <c r="O83" s="89" t="n">
        <v>12150</v>
      </c>
    </row>
    <row r="84" ht="18" customHeight="1">
      <c r="F84" s="90" t="n">
        <v>8</v>
      </c>
      <c r="G84" s="91" t="inlineStr">
        <is>
          <t>PETROLIZADORA (IMPACTO 04) FORD F800</t>
        </is>
      </c>
      <c r="H84" s="92" t="n"/>
      <c r="I84" s="90" t="n">
        <v>90</v>
      </c>
      <c r="J84" s="90" t="n">
        <v>90</v>
      </c>
      <c r="K84" s="90" t="n"/>
      <c r="L84" s="90" t="n"/>
      <c r="M84" s="93" t="n">
        <v>180</v>
      </c>
      <c r="N84" s="94" t="n">
        <v>27</v>
      </c>
      <c r="O84" s="95" t="n">
        <v>4860</v>
      </c>
    </row>
    <row r="85" ht="18" customHeight="1">
      <c r="F85" s="85" t="n">
        <v>9</v>
      </c>
      <c r="G85" s="86" t="inlineStr">
        <is>
          <t>PIPA DE AGUA (IMPACTO 01) FORD None</t>
        </is>
      </c>
      <c r="H85" s="96" t="n"/>
      <c r="I85" s="85" t="n">
        <v>40</v>
      </c>
      <c r="J85" s="85" t="n">
        <v>70</v>
      </c>
      <c r="K85" s="85" t="n"/>
      <c r="L85" s="85" t="n">
        <v>30</v>
      </c>
      <c r="M85" s="88" t="n">
        <v>140</v>
      </c>
      <c r="N85" s="55" t="n">
        <v>27</v>
      </c>
      <c r="O85" s="89" t="n">
        <v>3780</v>
      </c>
    </row>
    <row r="86" ht="18" customHeight="1">
      <c r="F86" s="90" t="n">
        <v>10</v>
      </c>
      <c r="G86" s="91" t="inlineStr">
        <is>
          <t>RETROEXCAVADORA JHONDEREE 310 K</t>
        </is>
      </c>
      <c r="H86" s="92" t="n"/>
      <c r="I86" s="90" t="n"/>
      <c r="J86" s="90" t="n">
        <v>93</v>
      </c>
      <c r="K86" s="90" t="n"/>
      <c r="L86" s="90" t="n">
        <v>60</v>
      </c>
      <c r="M86" s="93" t="n">
        <v>153</v>
      </c>
      <c r="N86" s="94" t="n">
        <v>27</v>
      </c>
      <c r="O86" s="95" t="n">
        <v>4131</v>
      </c>
    </row>
    <row r="87" ht="18" customHeight="1">
      <c r="F87" s="85" t="n">
        <v>11</v>
      </c>
      <c r="G87" s="86" t="inlineStr">
        <is>
          <t>TANDEM DOBLE RODILLO / VIBROCOMPACTOR RODILLO CAT CB54</t>
        </is>
      </c>
      <c r="H87" s="96" t="n"/>
      <c r="I87" s="85" t="n">
        <v>114</v>
      </c>
      <c r="J87" s="85" t="n">
        <v>77</v>
      </c>
      <c r="K87" s="85" t="n"/>
      <c r="L87" s="85" t="n"/>
      <c r="M87" s="88" t="n">
        <v>191</v>
      </c>
      <c r="N87" s="55" t="n">
        <v>27</v>
      </c>
      <c r="O87" s="89" t="n">
        <v>5157</v>
      </c>
    </row>
    <row r="88" ht="20" customHeight="1">
      <c r="F88" s="80" t="inlineStr">
        <is>
          <t>TOTAL LITROS</t>
        </is>
      </c>
      <c r="G88" s="131" t="n"/>
      <c r="H88" s="132" t="n"/>
      <c r="I88" s="97" t="n">
        <v>344</v>
      </c>
      <c r="J88" s="98" t="n">
        <v>1003</v>
      </c>
      <c r="K88" s="97" t="n">
        <v>128</v>
      </c>
      <c r="L88" s="97" t="n">
        <v>337</v>
      </c>
      <c r="M88" s="80" t="n">
        <v>1812</v>
      </c>
      <c r="N88" s="15" t="n"/>
      <c r="O88" s="16" t="n">
        <v>48924</v>
      </c>
    </row>
    <row r="89" ht="20" customHeight="1">
      <c r="F89" s="99" t="inlineStr">
        <is>
          <t>IMPORTE SEMANAL AUTORIZADO: $75,600.00  (Litros aut.: 2,800.00 L)</t>
        </is>
      </c>
      <c r="G89" s="131" t="n"/>
      <c r="H89" s="131" t="n"/>
      <c r="I89" s="131" t="n"/>
      <c r="J89" s="131" t="n"/>
      <c r="K89" s="131" t="n"/>
      <c r="L89" s="131" t="n"/>
      <c r="M89" s="131" t="n"/>
      <c r="N89" s="132" t="n"/>
      <c r="O89" s="101" t="n">
        <v>48924</v>
      </c>
    </row>
    <row r="92" ht="22" customHeight="1">
      <c r="F92" s="81" t="inlineStr">
        <is>
          <t>EDGAR</t>
        </is>
      </c>
      <c r="G92" s="131" t="n"/>
      <c r="H92" s="131" t="n"/>
      <c r="I92" s="131" t="n"/>
      <c r="J92" s="131" t="n"/>
      <c r="K92" s="131" t="n"/>
      <c r="L92" s="132" t="n"/>
    </row>
    <row r="93" ht="28" customHeight="1">
      <c r="F93" s="4" t="inlineStr">
        <is>
          <t>#</t>
        </is>
      </c>
      <c r="G93" s="4" t="inlineStr">
        <is>
          <t>EQUIPO / MAQUINARIA</t>
        </is>
      </c>
      <c r="H93" s="4" t="inlineStr">
        <is>
          <t>LTS. SEM.
AUT.</t>
        </is>
      </c>
      <c r="I93" s="4" t="inlineStr">
        <is>
          <t>Jue
06/08</t>
        </is>
      </c>
      <c r="J93" s="4" t="inlineStr">
        <is>
          <t>LITROS
TOTAL</t>
        </is>
      </c>
      <c r="K93" s="4" t="inlineStr">
        <is>
          <t>PRECIO
UNIT.</t>
        </is>
      </c>
      <c r="L93" s="4" t="inlineStr">
        <is>
          <t>TOTAL $</t>
        </is>
      </c>
    </row>
    <row r="94" ht="22" customHeight="1">
      <c r="F94" s="82" t="n"/>
      <c r="G94" s="83" t="inlineStr">
        <is>
          <t>OBRA DESTINO</t>
        </is>
      </c>
      <c r="H94" s="82" t="n"/>
      <c r="I94" s="84" t="inlineStr">
        <is>
          <t>Maquinaria</t>
        </is>
      </c>
      <c r="J94" s="82" t="n"/>
      <c r="K94" s="82" t="n"/>
      <c r="L94" s="82" t="n"/>
    </row>
    <row r="95" ht="18" customHeight="1">
      <c r="F95" s="85" t="n">
        <v>1</v>
      </c>
      <c r="G95" s="86" t="inlineStr">
        <is>
          <t>AJUSTE DIESEL</t>
        </is>
      </c>
      <c r="H95" s="96" t="n"/>
      <c r="I95" s="85" t="n">
        <v>161</v>
      </c>
      <c r="J95" s="88" t="n">
        <v>161</v>
      </c>
      <c r="K95" s="55" t="n">
        <v>27</v>
      </c>
      <c r="L95" s="89" t="n">
        <v>4347</v>
      </c>
    </row>
    <row r="96" ht="20" customHeight="1">
      <c r="F96" s="80" t="inlineStr">
        <is>
          <t>TOTAL LITROS</t>
        </is>
      </c>
      <c r="G96" s="131" t="n"/>
      <c r="H96" s="132" t="n"/>
      <c r="I96" s="97" t="n">
        <v>161</v>
      </c>
      <c r="J96" s="80" t="n">
        <v>161</v>
      </c>
      <c r="K96" s="15" t="n"/>
      <c r="L96" s="16" t="n">
        <v>4347</v>
      </c>
    </row>
    <row r="97" ht="20" customHeight="1">
      <c r="F97" s="99" t="inlineStr">
        <is>
          <t>IMPORTE SEMANAL AUTORIZADO: $0.00  (Litros aut.: 0.00 L)</t>
        </is>
      </c>
      <c r="G97" s="131" t="n"/>
      <c r="H97" s="131" t="n"/>
      <c r="I97" s="131" t="n"/>
      <c r="J97" s="131" t="n"/>
      <c r="K97" s="132" t="n"/>
      <c r="L97" s="130" t="n">
        <v>4347</v>
      </c>
    </row>
    <row r="100" ht="22" customHeight="1">
      <c r="F100" s="81" t="inlineStr">
        <is>
          <t>FRANCISCO JAVIER</t>
        </is>
      </c>
      <c r="G100" s="131" t="n"/>
      <c r="H100" s="131" t="n"/>
      <c r="I100" s="131" t="n"/>
      <c r="J100" s="131" t="n"/>
      <c r="K100" s="131" t="n"/>
      <c r="L100" s="131" t="n"/>
      <c r="M100" s="131" t="n"/>
      <c r="N100" s="132" t="n"/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Mar
04/08</t>
        </is>
      </c>
      <c r="J101" s="4" t="inlineStr">
        <is>
          <t>Jue
06/08</t>
        </is>
      </c>
      <c r="K101" s="4" t="inlineStr">
        <is>
          <t>Sáb
08/08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México - Toluca</t>
        </is>
      </c>
      <c r="J102" s="84" t="inlineStr">
        <is>
          <t>México - Toluca</t>
        </is>
      </c>
      <c r="K102" s="84" t="inlineStr">
        <is>
          <t>México - Toluca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AJUSTE DIESEL</t>
        </is>
      </c>
      <c r="H103" s="87" t="n">
        <v>3850</v>
      </c>
      <c r="I103" s="85" t="n"/>
      <c r="J103" s="85" t="n">
        <v>213</v>
      </c>
      <c r="K103" s="85" t="n"/>
      <c r="L103" s="88" t="n">
        <v>213</v>
      </c>
      <c r="M103" s="55" t="n">
        <v>27</v>
      </c>
      <c r="N103" s="89" t="n">
        <v>5751</v>
      </c>
    </row>
    <row r="104" ht="18" customHeight="1">
      <c r="F104" s="90" t="n">
        <v>2</v>
      </c>
      <c r="G104" s="91" t="inlineStr">
        <is>
          <t>BARREDORA BROCE BROOM KR350</t>
        </is>
      </c>
      <c r="H104" s="92" t="n"/>
      <c r="I104" s="90" t="n">
        <v>29</v>
      </c>
      <c r="J104" s="90" t="n"/>
      <c r="K104" s="90" t="n"/>
      <c r="L104" s="93" t="n">
        <v>29</v>
      </c>
      <c r="M104" s="94" t="n">
        <v>27</v>
      </c>
      <c r="N104" s="95" t="n">
        <v>783</v>
      </c>
    </row>
    <row r="105" ht="18" customHeight="1">
      <c r="F105" s="85" t="n">
        <v>3</v>
      </c>
      <c r="G105" s="86" t="inlineStr">
        <is>
          <t>BARREDORA BROCE RJ350</t>
        </is>
      </c>
      <c r="H105" s="96" t="n"/>
      <c r="I105" s="85" t="n"/>
      <c r="J105" s="85" t="n">
        <v>28</v>
      </c>
      <c r="K105" s="85" t="n"/>
      <c r="L105" s="88" t="n">
        <v>28</v>
      </c>
      <c r="M105" s="55" t="n">
        <v>27</v>
      </c>
      <c r="N105" s="89" t="n">
        <v>756</v>
      </c>
    </row>
    <row r="106" ht="18" customHeight="1">
      <c r="F106" s="90" t="n">
        <v>4</v>
      </c>
      <c r="G106" s="91" t="inlineStr">
        <is>
          <t>BARREDORA SUPERIOR BROOM DT80J</t>
        </is>
      </c>
      <c r="H106" s="92" t="n"/>
      <c r="I106" s="90" t="n"/>
      <c r="J106" s="90" t="n"/>
      <c r="K106" s="90" t="n">
        <v>39</v>
      </c>
      <c r="L106" s="93" t="n">
        <v>39</v>
      </c>
      <c r="M106" s="94" t="n">
        <v>27</v>
      </c>
      <c r="N106" s="95" t="n">
        <v>1053</v>
      </c>
    </row>
    <row r="107" ht="18" customHeight="1">
      <c r="F107" s="85" t="n">
        <v>5</v>
      </c>
      <c r="G107" s="86" t="inlineStr">
        <is>
          <t>DOBLE RODILLO/VIBROCOMPACTADOR DE RODILLOS HAMM 120HD VV</t>
        </is>
      </c>
      <c r="H107" s="96" t="n"/>
      <c r="I107" s="85" t="n">
        <v>60</v>
      </c>
      <c r="J107" s="85" t="n"/>
      <c r="K107" s="85" t="n"/>
      <c r="L107" s="88" t="n">
        <v>60</v>
      </c>
      <c r="M107" s="55" t="n">
        <v>27</v>
      </c>
      <c r="N107" s="89" t="n">
        <v>1620</v>
      </c>
    </row>
    <row r="108" ht="18" customHeight="1">
      <c r="F108" s="90" t="n">
        <v>6</v>
      </c>
      <c r="G108" s="91" t="inlineStr">
        <is>
          <t>DOBLE RODILLO/VIBROCOMPACTADOR DE RODILLOS HAMM 140HD</t>
        </is>
      </c>
      <c r="H108" s="92" t="n"/>
      <c r="I108" s="90" t="n">
        <v>60</v>
      </c>
      <c r="J108" s="90" t="n">
        <v>60</v>
      </c>
      <c r="K108" s="90" t="n">
        <v>83</v>
      </c>
      <c r="L108" s="93" t="n">
        <v>203</v>
      </c>
      <c r="M108" s="94" t="n">
        <v>27</v>
      </c>
      <c r="N108" s="95" t="n">
        <v>5481</v>
      </c>
    </row>
    <row r="109" ht="18" customHeight="1">
      <c r="F109" s="85" t="n">
        <v>7</v>
      </c>
      <c r="G109" s="86" t="inlineStr">
        <is>
          <t>NEUMATICO / COMPACTADOR DE NEUMATICOS DINAPAC CP271</t>
        </is>
      </c>
      <c r="H109" s="96" t="n"/>
      <c r="I109" s="85" t="n">
        <v>3</v>
      </c>
      <c r="J109" s="85" t="n"/>
      <c r="K109" s="85" t="n">
        <v>50</v>
      </c>
      <c r="L109" s="88" t="n">
        <v>53</v>
      </c>
      <c r="M109" s="55" t="n">
        <v>27</v>
      </c>
      <c r="N109" s="89" t="n">
        <v>1431</v>
      </c>
    </row>
    <row r="110" ht="18" customHeight="1">
      <c r="F110" s="90" t="n">
        <v>8</v>
      </c>
      <c r="G110" s="91" t="inlineStr">
        <is>
          <t>NEUMATICO HAMM 208</t>
        </is>
      </c>
      <c r="H110" s="92" t="n"/>
      <c r="I110" s="90" t="n">
        <v>48</v>
      </c>
      <c r="J110" s="90" t="n">
        <v>35</v>
      </c>
      <c r="K110" s="90" t="n"/>
      <c r="L110" s="93" t="n">
        <v>83</v>
      </c>
      <c r="M110" s="94" t="n">
        <v>27</v>
      </c>
      <c r="N110" s="95" t="n">
        <v>2241</v>
      </c>
    </row>
    <row r="111" ht="18" customHeight="1">
      <c r="F111" s="85" t="n">
        <v>9</v>
      </c>
      <c r="G111" s="86" t="inlineStr">
        <is>
          <t>PAVIMENTADORA VOGELE 1800-2 SJ</t>
        </is>
      </c>
      <c r="H111" s="96" t="n"/>
      <c r="I111" s="85" t="n"/>
      <c r="J111" s="85" t="n">
        <v>136</v>
      </c>
      <c r="K111" s="85" t="n"/>
      <c r="L111" s="88" t="n">
        <v>136</v>
      </c>
      <c r="M111" s="55" t="n">
        <v>27</v>
      </c>
      <c r="N111" s="89" t="n">
        <v>3672</v>
      </c>
    </row>
    <row r="112" ht="18" customHeight="1">
      <c r="F112" s="90" t="n">
        <v>10</v>
      </c>
      <c r="G112" s="91" t="inlineStr">
        <is>
          <t>PAVIMENTADORA VOGELE 1800-3 i</t>
        </is>
      </c>
      <c r="H112" s="92" t="n"/>
      <c r="I112" s="90" t="n">
        <v>160</v>
      </c>
      <c r="J112" s="90" t="n"/>
      <c r="K112" s="90" t="n">
        <v>230</v>
      </c>
      <c r="L112" s="93" t="n">
        <v>390</v>
      </c>
      <c r="M112" s="94" t="n">
        <v>27</v>
      </c>
      <c r="N112" s="95" t="n">
        <v>10530</v>
      </c>
    </row>
    <row r="113" ht="18" customHeight="1">
      <c r="F113" s="85" t="n">
        <v>11</v>
      </c>
      <c r="G113" s="86" t="inlineStr">
        <is>
          <t>PAVIMENTADORA VOGELE SJ 1800-3</t>
        </is>
      </c>
      <c r="H113" s="96" t="n"/>
      <c r="I113" s="85" t="n"/>
      <c r="J113" s="85" t="n">
        <v>200</v>
      </c>
      <c r="K113" s="85" t="n"/>
      <c r="L113" s="88" t="n">
        <v>200</v>
      </c>
      <c r="M113" s="55" t="n">
        <v>27</v>
      </c>
      <c r="N113" s="89" t="n">
        <v>5400</v>
      </c>
    </row>
    <row r="114" ht="18" customHeight="1">
      <c r="F114" s="90" t="n">
        <v>12</v>
      </c>
      <c r="G114" s="91" t="inlineStr">
        <is>
          <t>PERFILADORA RODATEC RX600E</t>
        </is>
      </c>
      <c r="H114" s="92" t="n"/>
      <c r="I114" s="90" t="n"/>
      <c r="J114" s="90" t="n">
        <v>250</v>
      </c>
      <c r="K114" s="90" t="n">
        <v>200</v>
      </c>
      <c r="L114" s="93" t="n">
        <v>450</v>
      </c>
      <c r="M114" s="94" t="n">
        <v>27</v>
      </c>
      <c r="N114" s="95" t="n">
        <v>12150</v>
      </c>
    </row>
    <row r="115" ht="18" customHeight="1">
      <c r="F115" s="85" t="n">
        <v>13</v>
      </c>
      <c r="G115" s="86" t="inlineStr">
        <is>
          <t>PETROLIZADORA (IMPACTO 04) FORD F800</t>
        </is>
      </c>
      <c r="H115" s="96" t="n"/>
      <c r="I115" s="85" t="n"/>
      <c r="J115" s="85" t="n">
        <v>80</v>
      </c>
      <c r="K115" s="85" t="n"/>
      <c r="L115" s="88" t="n">
        <v>80</v>
      </c>
      <c r="M115" s="55" t="n">
        <v>27</v>
      </c>
      <c r="N115" s="89" t="n">
        <v>2160</v>
      </c>
    </row>
    <row r="116" ht="18" customHeight="1">
      <c r="F116" s="90" t="n">
        <v>14</v>
      </c>
      <c r="G116" s="91" t="inlineStr">
        <is>
          <t>Perfiladora(Rentada)</t>
        </is>
      </c>
      <c r="H116" s="92" t="n"/>
      <c r="I116" s="90" t="n">
        <v>510</v>
      </c>
      <c r="J116" s="90" t="n"/>
      <c r="K116" s="90" t="n"/>
      <c r="L116" s="93" t="n">
        <v>510</v>
      </c>
      <c r="M116" s="94" t="n">
        <v>27</v>
      </c>
      <c r="N116" s="95" t="n">
        <v>13770</v>
      </c>
    </row>
    <row r="117" ht="18" customHeight="1">
      <c r="F117" s="85" t="n">
        <v>15</v>
      </c>
      <c r="G117" s="86" t="inlineStr">
        <is>
          <t>RETROEXCAVADORA CASE 580 N</t>
        </is>
      </c>
      <c r="H117" s="96" t="n"/>
      <c r="I117" s="85" t="n"/>
      <c r="J117" s="85" t="n">
        <v>81</v>
      </c>
      <c r="K117" s="85" t="n"/>
      <c r="L117" s="88" t="n">
        <v>81</v>
      </c>
      <c r="M117" s="55" t="n">
        <v>27</v>
      </c>
      <c r="N117" s="89" t="n">
        <v>2187</v>
      </c>
    </row>
    <row r="118" ht="18" customHeight="1">
      <c r="F118" s="90" t="n">
        <v>16</v>
      </c>
      <c r="G118" s="91" t="inlineStr">
        <is>
          <t>RETROEXCAVADORA JHONDEREE 310SK</t>
        </is>
      </c>
      <c r="H118" s="92" t="n"/>
      <c r="I118" s="90" t="n">
        <v>80</v>
      </c>
      <c r="J118" s="90" t="n">
        <v>80</v>
      </c>
      <c r="K118" s="90" t="n">
        <v>41</v>
      </c>
      <c r="L118" s="93" t="n">
        <v>201</v>
      </c>
      <c r="M118" s="94" t="n">
        <v>27</v>
      </c>
      <c r="N118" s="95" t="n">
        <v>5427</v>
      </c>
    </row>
    <row r="119" ht="20" customHeight="1">
      <c r="F119" s="80" t="inlineStr">
        <is>
          <t>TOTAL LITROS</t>
        </is>
      </c>
      <c r="G119" s="131" t="n"/>
      <c r="H119" s="132" t="n"/>
      <c r="I119" s="98" t="n">
        <v>950</v>
      </c>
      <c r="J119" s="98" t="n">
        <v>1163</v>
      </c>
      <c r="K119" s="98" t="n">
        <v>643</v>
      </c>
      <c r="L119" s="80" t="n">
        <v>2756</v>
      </c>
      <c r="M119" s="15" t="n"/>
      <c r="N119" s="16" t="n">
        <v>74412</v>
      </c>
    </row>
    <row r="120" ht="20" customHeight="1">
      <c r="F120" s="99" t="inlineStr">
        <is>
          <t>IMPORTE SEMANAL AUTORIZADO: $103,950.00  (Litros aut.: 3,850.00 L)</t>
        </is>
      </c>
      <c r="G120" s="131" t="n"/>
      <c r="H120" s="131" t="n"/>
      <c r="I120" s="131" t="n"/>
      <c r="J120" s="131" t="n"/>
      <c r="K120" s="131" t="n"/>
      <c r="L120" s="131" t="n"/>
      <c r="M120" s="132" t="n"/>
      <c r="N120" s="101" t="n">
        <v>74412</v>
      </c>
    </row>
    <row r="123" ht="22" customHeight="1">
      <c r="F123" s="81" t="inlineStr">
        <is>
          <t>ING. DIEGO CARREOLA</t>
        </is>
      </c>
      <c r="G123" s="131" t="n"/>
      <c r="H123" s="131" t="n"/>
      <c r="I123" s="131" t="n"/>
      <c r="J123" s="131" t="n"/>
      <c r="K123" s="131" t="n"/>
      <c r="L123" s="131" t="n"/>
      <c r="M123" s="131" t="n"/>
      <c r="N123" s="131" t="n"/>
      <c r="O123" s="131" t="n"/>
      <c r="P123" s="132" t="n"/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Lun
03/08</t>
        </is>
      </c>
      <c r="J124" s="4" t="inlineStr">
        <is>
          <t>Mar
04/08</t>
        </is>
      </c>
      <c r="K124" s="4" t="inlineStr">
        <is>
          <t>Jue
06/08</t>
        </is>
      </c>
      <c r="L124" s="4" t="inlineStr">
        <is>
          <t>Vie
07/08</t>
        </is>
      </c>
      <c r="M124" s="4" t="inlineStr">
        <is>
          <t>Sáb
08/08</t>
        </is>
      </c>
      <c r="N124" s="4" t="inlineStr">
        <is>
          <t>LITROS
TOTAL</t>
        </is>
      </c>
      <c r="O124" s="4" t="inlineStr">
        <is>
          <t>PRECIO
UNIT.</t>
        </is>
      </c>
      <c r="P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Desasolve</t>
        </is>
      </c>
      <c r="J125" s="84" t="inlineStr">
        <is>
          <t>Desasolve</t>
        </is>
      </c>
      <c r="K125" s="84" t="inlineStr">
        <is>
          <t>San Felipe Tlalminilolpan</t>
        </is>
      </c>
      <c r="L125" s="84" t="inlineStr">
        <is>
          <t>San Felipe Tlalminilolpan</t>
        </is>
      </c>
      <c r="M125" s="84" t="inlineStr">
        <is>
          <t>San Felipe Tlalminilolpan</t>
        </is>
      </c>
      <c r="N125" s="82" t="n"/>
      <c r="O125" s="82" t="n"/>
      <c r="P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6300</v>
      </c>
      <c r="I126" s="85" t="n"/>
      <c r="J126" s="85" t="n"/>
      <c r="K126" s="85" t="n">
        <v>453</v>
      </c>
      <c r="L126" s="85" t="n"/>
      <c r="M126" s="85" t="n"/>
      <c r="N126" s="88" t="n">
        <v>453</v>
      </c>
      <c r="O126" s="55" t="n">
        <v>27</v>
      </c>
      <c r="P126" s="89" t="n">
        <v>12231</v>
      </c>
    </row>
    <row r="127" ht="18" customHeight="1">
      <c r="F127" s="90" t="n">
        <v>2</v>
      </c>
      <c r="G127" s="91" t="inlineStr">
        <is>
          <t>EXCAVADORA 320D</t>
        </is>
      </c>
      <c r="H127" s="92" t="n"/>
      <c r="I127" s="90" t="n">
        <v>300</v>
      </c>
      <c r="J127" s="90" t="n"/>
      <c r="K127" s="90" t="n">
        <v>200</v>
      </c>
      <c r="L127" s="90" t="n"/>
      <c r="M127" s="90" t="n"/>
      <c r="N127" s="93" t="n">
        <v>500</v>
      </c>
      <c r="O127" s="94" t="n">
        <v>27</v>
      </c>
      <c r="P127" s="95" t="n">
        <v>13500</v>
      </c>
    </row>
    <row r="128" ht="18" customHeight="1">
      <c r="F128" s="85" t="n">
        <v>3</v>
      </c>
      <c r="G128" s="86" t="inlineStr">
        <is>
          <t>EXCAVADORA CAT 324 DL</t>
        </is>
      </c>
      <c r="H128" s="96" t="n"/>
      <c r="I128" s="85" t="n"/>
      <c r="J128" s="85" t="n">
        <v>400</v>
      </c>
      <c r="K128" s="85" t="n"/>
      <c r="L128" s="85" t="n"/>
      <c r="M128" s="85" t="n"/>
      <c r="N128" s="88" t="n">
        <v>400</v>
      </c>
      <c r="O128" s="55" t="n">
        <v>27</v>
      </c>
      <c r="P128" s="89" t="n">
        <v>10800</v>
      </c>
    </row>
    <row r="129" ht="18" customHeight="1">
      <c r="F129" s="90" t="n">
        <v>4</v>
      </c>
      <c r="G129" s="91" t="inlineStr">
        <is>
          <t>Excavadora Cat 320 DRR</t>
        </is>
      </c>
      <c r="H129" s="92" t="n"/>
      <c r="I129" s="90" t="n">
        <v>262</v>
      </c>
      <c r="J129" s="90" t="n"/>
      <c r="K129" s="90" t="n"/>
      <c r="L129" s="90" t="n"/>
      <c r="M129" s="90" t="n"/>
      <c r="N129" s="93" t="n">
        <v>262</v>
      </c>
      <c r="O129" s="94" t="n">
        <v>27</v>
      </c>
      <c r="P129" s="95" t="n">
        <v>7074</v>
      </c>
    </row>
    <row r="130" ht="18" customHeight="1">
      <c r="F130" s="85" t="n">
        <v>5</v>
      </c>
      <c r="G130" s="86" t="inlineStr">
        <is>
          <t>Excavadora Cat 324DL</t>
        </is>
      </c>
      <c r="H130" s="96" t="n"/>
      <c r="I130" s="85" t="n"/>
      <c r="J130" s="85" t="n"/>
      <c r="K130" s="85" t="n">
        <v>280</v>
      </c>
      <c r="L130" s="85" t="n"/>
      <c r="M130" s="85" t="n"/>
      <c r="N130" s="88" t="n">
        <v>280</v>
      </c>
      <c r="O130" s="55" t="n">
        <v>27</v>
      </c>
      <c r="P130" s="89" t="n">
        <v>7560</v>
      </c>
    </row>
    <row r="131" ht="18" customHeight="1">
      <c r="F131" s="90" t="n">
        <v>6</v>
      </c>
      <c r="G131" s="91" t="inlineStr">
        <is>
          <t>PERFILADORA RODATEC RX600E</t>
        </is>
      </c>
      <c r="H131" s="92" t="n"/>
      <c r="I131" s="90" t="n"/>
      <c r="J131" s="90" t="n"/>
      <c r="K131" s="90" t="n"/>
      <c r="L131" s="90" t="n"/>
      <c r="M131" s="90" t="n">
        <v>361</v>
      </c>
      <c r="N131" s="93" t="n">
        <v>361</v>
      </c>
      <c r="O131" s="94" t="n">
        <v>27</v>
      </c>
      <c r="P131" s="95" t="n">
        <v>9747</v>
      </c>
    </row>
    <row r="132" ht="18" customHeight="1">
      <c r="F132" s="85" t="n">
        <v>7</v>
      </c>
      <c r="G132" s="86" t="inlineStr">
        <is>
          <t>RETROEXCAVADORA CASE 420DN</t>
        </is>
      </c>
      <c r="H132" s="96" t="n"/>
      <c r="I132" s="85" t="n">
        <v>95</v>
      </c>
      <c r="J132" s="85" t="n">
        <v>100</v>
      </c>
      <c r="K132" s="85" t="n"/>
      <c r="L132" s="85" t="n"/>
      <c r="M132" s="85" t="n"/>
      <c r="N132" s="88" t="n">
        <v>195</v>
      </c>
      <c r="O132" s="55" t="n">
        <v>27</v>
      </c>
      <c r="P132" s="89" t="n">
        <v>5265</v>
      </c>
    </row>
    <row r="133" ht="18" customHeight="1">
      <c r="F133" s="90" t="n">
        <v>8</v>
      </c>
      <c r="G133" s="91" t="inlineStr">
        <is>
          <t>RETROEXCAVADORA CASE 420E</t>
        </is>
      </c>
      <c r="H133" s="92" t="n"/>
      <c r="I133" s="90" t="n">
        <v>50</v>
      </c>
      <c r="J133" s="90" t="n"/>
      <c r="K133" s="90" t="n">
        <v>80</v>
      </c>
      <c r="L133" s="90" t="n"/>
      <c r="M133" s="90" t="n"/>
      <c r="N133" s="93" t="n">
        <v>130</v>
      </c>
      <c r="O133" s="94" t="n">
        <v>27</v>
      </c>
      <c r="P133" s="95" t="n">
        <v>3510</v>
      </c>
    </row>
    <row r="134" ht="18" customHeight="1">
      <c r="F134" s="85" t="n">
        <v>9</v>
      </c>
      <c r="G134" s="86" t="inlineStr">
        <is>
          <t>RETROEXCAVADORA CASE 580 N</t>
        </is>
      </c>
      <c r="H134" s="96" t="n"/>
      <c r="I134" s="85" t="n">
        <v>120</v>
      </c>
      <c r="J134" s="85" t="n">
        <v>130</v>
      </c>
      <c r="K134" s="85" t="n">
        <v>50</v>
      </c>
      <c r="L134" s="85" t="n">
        <v>39</v>
      </c>
      <c r="M134" s="85" t="n"/>
      <c r="N134" s="88" t="n">
        <v>339</v>
      </c>
      <c r="O134" s="55" t="n">
        <v>27</v>
      </c>
      <c r="P134" s="89" t="n">
        <v>9153</v>
      </c>
    </row>
    <row r="135" ht="18" customHeight="1">
      <c r="F135" s="90" t="n">
        <v>10</v>
      </c>
      <c r="G135" s="91" t="inlineStr">
        <is>
          <t>RETROEXCAVADORA CAT 420 D</t>
        </is>
      </c>
      <c r="H135" s="92" t="n"/>
      <c r="I135" s="90" t="n"/>
      <c r="J135" s="90" t="n"/>
      <c r="K135" s="90" t="n">
        <v>80</v>
      </c>
      <c r="L135" s="90" t="n"/>
      <c r="M135" s="90" t="n"/>
      <c r="N135" s="93" t="n">
        <v>80</v>
      </c>
      <c r="O135" s="94" t="n">
        <v>27</v>
      </c>
      <c r="P135" s="95" t="n">
        <v>2160</v>
      </c>
    </row>
    <row r="136" ht="20" customHeight="1">
      <c r="F136" s="80" t="inlineStr">
        <is>
          <t>TOTAL LITROS</t>
        </is>
      </c>
      <c r="G136" s="131" t="n"/>
      <c r="H136" s="132" t="n"/>
      <c r="I136" s="97" t="n">
        <v>827</v>
      </c>
      <c r="J136" s="97" t="n">
        <v>630</v>
      </c>
      <c r="K136" s="98" t="n">
        <v>1143</v>
      </c>
      <c r="L136" s="97" t="n">
        <v>39</v>
      </c>
      <c r="M136" s="97" t="n">
        <v>361</v>
      </c>
      <c r="N136" s="80" t="n">
        <v>3000</v>
      </c>
      <c r="O136" s="15" t="n"/>
      <c r="P136" s="16" t="n">
        <v>81000</v>
      </c>
    </row>
    <row r="137" ht="20" customHeight="1">
      <c r="F137" s="99" t="inlineStr">
        <is>
          <t>IMPORTE SEMANAL AUTORIZADO: $170,100.00  (Litros aut.: 6,300.00 L)</t>
        </is>
      </c>
      <c r="G137" s="131" t="n"/>
      <c r="H137" s="131" t="n"/>
      <c r="I137" s="131" t="n"/>
      <c r="J137" s="131" t="n"/>
      <c r="K137" s="131" t="n"/>
      <c r="L137" s="131" t="n"/>
      <c r="M137" s="131" t="n"/>
      <c r="N137" s="131" t="n"/>
      <c r="O137" s="132" t="n"/>
      <c r="P137" s="101" t="n">
        <v>81000</v>
      </c>
    </row>
    <row r="140" ht="22" customHeight="1">
      <c r="F140" s="81" t="inlineStr">
        <is>
          <t>JACK</t>
        </is>
      </c>
      <c r="G140" s="131" t="n"/>
      <c r="H140" s="131" t="n"/>
      <c r="I140" s="131" t="n"/>
      <c r="J140" s="131" t="n"/>
      <c r="K140" s="131" t="n"/>
      <c r="L140" s="131" t="n"/>
      <c r="M140" s="131" t="n"/>
      <c r="N140" s="131" t="n"/>
      <c r="O140" s="132" t="n"/>
    </row>
    <row r="141" ht="28" customHeight="1">
      <c r="F141" s="4" t="inlineStr">
        <is>
          <t>#</t>
        </is>
      </c>
      <c r="G141" s="4" t="inlineStr">
        <is>
          <t>EQUIPO / MAQUINARIA</t>
        </is>
      </c>
      <c r="H141" s="4" t="inlineStr">
        <is>
          <t>LTS. SEM.
AUT.</t>
        </is>
      </c>
      <c r="I141" s="4" t="inlineStr">
        <is>
          <t>Mar
04/08</t>
        </is>
      </c>
      <c r="J141" s="4" t="inlineStr">
        <is>
          <t>Mié
05/08</t>
        </is>
      </c>
      <c r="K141" s="4" t="inlineStr">
        <is>
          <t>Jue
06/08</t>
        </is>
      </c>
      <c r="L141" s="4" t="inlineStr">
        <is>
          <t>Sáb
08/08</t>
        </is>
      </c>
      <c r="M141" s="4" t="inlineStr">
        <is>
          <t>LITROS
TOTAL</t>
        </is>
      </c>
      <c r="N141" s="4" t="inlineStr">
        <is>
          <t>PRECIO
UNIT.</t>
        </is>
      </c>
      <c r="O141" s="4" t="inlineStr">
        <is>
          <t>TOTAL $</t>
        </is>
      </c>
    </row>
    <row r="142" ht="22" customHeight="1">
      <c r="F142" s="82" t="n"/>
      <c r="G142" s="83" t="inlineStr">
        <is>
          <t>OBRA DESTINO</t>
        </is>
      </c>
      <c r="H142" s="82" t="n"/>
      <c r="I142" s="84" t="inlineStr">
        <is>
          <t>Planta Pegaso</t>
        </is>
      </c>
      <c r="J142" s="84" t="inlineStr">
        <is>
          <t>Planta Pegaso</t>
        </is>
      </c>
      <c r="K142" s="84" t="inlineStr">
        <is>
          <t>Planta Pegaso</t>
        </is>
      </c>
      <c r="L142" s="84" t="inlineStr">
        <is>
          <t>Planta Pegaso</t>
        </is>
      </c>
      <c r="M142" s="82" t="n"/>
      <c r="N142" s="82" t="n"/>
      <c r="O142" s="82" t="n"/>
    </row>
    <row r="143" ht="18" customHeight="1">
      <c r="F143" s="85" t="n">
        <v>1</v>
      </c>
      <c r="G143" s="86" t="inlineStr">
        <is>
          <t>AJUSTE DIESEL</t>
        </is>
      </c>
      <c r="H143" s="87" t="n">
        <v>2800</v>
      </c>
      <c r="I143" s="85" t="n"/>
      <c r="J143" s="85" t="n"/>
      <c r="K143" s="85" t="n">
        <v>210</v>
      </c>
      <c r="L143" s="85" t="n"/>
      <c r="M143" s="88" t="n">
        <v>210</v>
      </c>
      <c r="N143" s="55" t="n">
        <v>27</v>
      </c>
      <c r="O143" s="89" t="n">
        <v>5670</v>
      </c>
    </row>
    <row r="144" ht="18" customHeight="1">
      <c r="F144" s="90" t="n">
        <v>2</v>
      </c>
      <c r="G144" s="91" t="inlineStr">
        <is>
          <t>CALDERA PEGASO</t>
        </is>
      </c>
      <c r="H144" s="92" t="n"/>
      <c r="I144" s="90" t="n">
        <v>650</v>
      </c>
      <c r="J144" s="90" t="n">
        <v>502</v>
      </c>
      <c r="K144" s="90" t="n"/>
      <c r="L144" s="90" t="n"/>
      <c r="M144" s="93" t="n">
        <v>1152</v>
      </c>
      <c r="N144" s="94" t="n">
        <v>27</v>
      </c>
      <c r="O144" s="95" t="n">
        <v>31104</v>
      </c>
    </row>
    <row r="145" ht="18" customHeight="1">
      <c r="F145" s="85" t="n">
        <v>3</v>
      </c>
      <c r="G145" s="86" t="inlineStr">
        <is>
          <t>MOTOCONFORMADORA</t>
        </is>
      </c>
      <c r="H145" s="96" t="n"/>
      <c r="I145" s="85" t="n"/>
      <c r="J145" s="85" t="n"/>
      <c r="K145" s="85" t="n"/>
      <c r="L145" s="85" t="n">
        <v>100</v>
      </c>
      <c r="M145" s="88" t="n">
        <v>100</v>
      </c>
      <c r="N145" s="55" t="n">
        <v>27</v>
      </c>
      <c r="O145" s="89" t="n">
        <v>2700</v>
      </c>
    </row>
    <row r="146" ht="18" customHeight="1">
      <c r="F146" s="90" t="n">
        <v>4</v>
      </c>
      <c r="G146" s="91" t="inlineStr">
        <is>
          <t>Payloder 644k</t>
        </is>
      </c>
      <c r="H146" s="92" t="n"/>
      <c r="I146" s="90" t="n"/>
      <c r="J146" s="90" t="n">
        <v>98</v>
      </c>
      <c r="K146" s="90" t="n"/>
      <c r="L146" s="90" t="n"/>
      <c r="M146" s="93" t="n">
        <v>98</v>
      </c>
      <c r="N146" s="94" t="n">
        <v>27</v>
      </c>
      <c r="O146" s="95" t="n">
        <v>2646</v>
      </c>
    </row>
    <row r="147" ht="18" customHeight="1">
      <c r="F147" s="85" t="n">
        <v>5</v>
      </c>
      <c r="G147" s="86" t="inlineStr">
        <is>
          <t>VIBROCOMPACTADOR CATERPILLAR CB66B</t>
        </is>
      </c>
      <c r="H147" s="96" t="n"/>
      <c r="I147" s="85" t="n"/>
      <c r="J147" s="85" t="n"/>
      <c r="K147" s="85" t="n"/>
      <c r="L147" s="85" t="n">
        <v>50</v>
      </c>
      <c r="M147" s="88" t="n">
        <v>50</v>
      </c>
      <c r="N147" s="55" t="n">
        <v>27</v>
      </c>
      <c r="O147" s="89" t="n">
        <v>1350</v>
      </c>
    </row>
    <row r="148" ht="20" customHeight="1">
      <c r="F148" s="80" t="inlineStr">
        <is>
          <t>TOTAL LITROS</t>
        </is>
      </c>
      <c r="G148" s="131" t="n"/>
      <c r="H148" s="132" t="n"/>
      <c r="I148" s="98" t="n">
        <v>650</v>
      </c>
      <c r="J148" s="98" t="n">
        <v>600</v>
      </c>
      <c r="K148" s="97" t="n">
        <v>210</v>
      </c>
      <c r="L148" s="97" t="n">
        <v>150</v>
      </c>
      <c r="M148" s="80" t="n">
        <v>1610</v>
      </c>
      <c r="N148" s="15" t="n"/>
      <c r="O148" s="16" t="n">
        <v>43470</v>
      </c>
    </row>
    <row r="149" ht="20" customHeight="1">
      <c r="F149" s="99" t="inlineStr">
        <is>
          <t>IMPORTE SEMANAL AUTORIZADO: $75,600.00  (Litros aut.: 2,800.00 L)</t>
        </is>
      </c>
      <c r="G149" s="131" t="n"/>
      <c r="H149" s="131" t="n"/>
      <c r="I149" s="131" t="n"/>
      <c r="J149" s="131" t="n"/>
      <c r="K149" s="131" t="n"/>
      <c r="L149" s="131" t="n"/>
      <c r="M149" s="131" t="n"/>
      <c r="N149" s="132" t="n"/>
      <c r="O149" s="101" t="n">
        <v>43470</v>
      </c>
    </row>
    <row r="152" ht="22" customHeight="1">
      <c r="F152" s="81" t="inlineStr">
        <is>
          <t>LUIS</t>
        </is>
      </c>
      <c r="G152" s="131" t="n"/>
      <c r="H152" s="131" t="n"/>
      <c r="I152" s="131" t="n"/>
      <c r="J152" s="131" t="n"/>
      <c r="K152" s="131" t="n"/>
      <c r="L152" s="131" t="n"/>
      <c r="M152" s="131" t="n"/>
      <c r="N152" s="131" t="n"/>
      <c r="O152" s="132" t="n"/>
    </row>
    <row r="153" ht="28" customHeight="1">
      <c r="F153" s="4" t="inlineStr">
        <is>
          <t>#</t>
        </is>
      </c>
      <c r="G153" s="4" t="inlineStr">
        <is>
          <t>EQUIPO / MAQUINARIA</t>
        </is>
      </c>
      <c r="H153" s="4" t="inlineStr">
        <is>
          <t>LTS. SEM.
AUT.</t>
        </is>
      </c>
      <c r="I153" s="4" t="inlineStr">
        <is>
          <t>Lun
03/08</t>
        </is>
      </c>
      <c r="J153" s="4" t="inlineStr">
        <is>
          <t>Mié
05/08</t>
        </is>
      </c>
      <c r="K153" s="4" t="inlineStr">
        <is>
          <t>Jue
06/08</t>
        </is>
      </c>
      <c r="L153" s="4" t="inlineStr">
        <is>
          <t>Vie
07/08</t>
        </is>
      </c>
      <c r="M153" s="4" t="inlineStr">
        <is>
          <t>LITROS
TOTAL</t>
        </is>
      </c>
      <c r="N153" s="4" t="inlineStr">
        <is>
          <t>PRECIO
UNIT.</t>
        </is>
      </c>
      <c r="O153" s="4" t="inlineStr">
        <is>
          <t>TOTAL $</t>
        </is>
      </c>
    </row>
    <row r="154" ht="22" customHeight="1">
      <c r="F154" s="82" t="n"/>
      <c r="G154" s="83" t="inlineStr">
        <is>
          <t>OBRA DESTINO</t>
        </is>
      </c>
      <c r="H154" s="82" t="n"/>
      <c r="I154" s="84" t="inlineStr">
        <is>
          <t>Planta Huixquilucan</t>
        </is>
      </c>
      <c r="J154" s="84" t="inlineStr">
        <is>
          <t>Planta Huixquilucan</t>
        </is>
      </c>
      <c r="K154" s="84" t="inlineStr">
        <is>
          <t>Planta Huixquilucan</t>
        </is>
      </c>
      <c r="L154" s="84" t="inlineStr">
        <is>
          <t>Planta Huixquilucan</t>
        </is>
      </c>
      <c r="M154" s="82" t="n"/>
      <c r="N154" s="82" t="n"/>
      <c r="O154" s="82" t="n"/>
    </row>
    <row r="155" ht="18" customHeight="1">
      <c r="F155" s="85" t="n">
        <v>1</v>
      </c>
      <c r="G155" s="86" t="inlineStr">
        <is>
          <t>AJUSTE DIESEL</t>
        </is>
      </c>
      <c r="H155" s="87" t="n">
        <v>2800</v>
      </c>
      <c r="I155" s="85" t="n"/>
      <c r="J155" s="85" t="n"/>
      <c r="K155" s="85" t="n">
        <v>61</v>
      </c>
      <c r="L155" s="85" t="n"/>
      <c r="M155" s="88" t="n">
        <v>61</v>
      </c>
      <c r="N155" s="55" t="n">
        <v>27</v>
      </c>
      <c r="O155" s="89" t="n">
        <v>1647</v>
      </c>
    </row>
    <row r="156" ht="18" customHeight="1">
      <c r="F156" s="90" t="n">
        <v>2</v>
      </c>
      <c r="G156" s="91" t="inlineStr">
        <is>
          <t>BIDONES</t>
        </is>
      </c>
      <c r="H156" s="92" t="n"/>
      <c r="I156" s="90" t="n">
        <v>203</v>
      </c>
      <c r="J156" s="90" t="n">
        <v>460</v>
      </c>
      <c r="K156" s="90" t="n"/>
      <c r="L156" s="90" t="n">
        <v>366</v>
      </c>
      <c r="M156" s="93" t="n">
        <v>1029</v>
      </c>
      <c r="N156" s="94" t="n">
        <v>27</v>
      </c>
      <c r="O156" s="95" t="n">
        <v>27783</v>
      </c>
    </row>
    <row r="157" ht="18" customHeight="1">
      <c r="F157" s="85" t="n">
        <v>3</v>
      </c>
      <c r="G157" s="86" t="inlineStr">
        <is>
          <t>CALDERA PLANTA  AH</t>
        </is>
      </c>
      <c r="H157" s="96" t="n"/>
      <c r="I157" s="85" t="n">
        <v>200</v>
      </c>
      <c r="J157" s="85" t="n">
        <v>204</v>
      </c>
      <c r="K157" s="85" t="n"/>
      <c r="L157" s="85" t="n">
        <v>232</v>
      </c>
      <c r="M157" s="88" t="n">
        <v>636</v>
      </c>
      <c r="N157" s="55" t="n">
        <v>27</v>
      </c>
      <c r="O157" s="89" t="n">
        <v>17172</v>
      </c>
    </row>
    <row r="158" ht="18" customHeight="1">
      <c r="F158" s="90" t="n">
        <v>4</v>
      </c>
      <c r="G158" s="91" t="inlineStr">
        <is>
          <t>Generador</t>
        </is>
      </c>
      <c r="H158" s="92" t="n"/>
      <c r="I158" s="90" t="n">
        <v>250</v>
      </c>
      <c r="J158" s="90" t="n"/>
      <c r="K158" s="90" t="n"/>
      <c r="L158" s="90" t="n">
        <v>202</v>
      </c>
      <c r="M158" s="93" t="n">
        <v>452</v>
      </c>
      <c r="N158" s="94" t="n">
        <v>27</v>
      </c>
      <c r="O158" s="95" t="n">
        <v>12204</v>
      </c>
    </row>
    <row r="159" ht="18" customHeight="1">
      <c r="F159" s="85" t="n">
        <v>5</v>
      </c>
      <c r="G159" s="86" t="inlineStr">
        <is>
          <t>PAYLOADER</t>
        </is>
      </c>
      <c r="H159" s="96" t="n"/>
      <c r="I159" s="85" t="n">
        <v>147</v>
      </c>
      <c r="J159" s="85" t="n">
        <v>136</v>
      </c>
      <c r="K159" s="85" t="n"/>
      <c r="L159" s="85" t="n"/>
      <c r="M159" s="88" t="n">
        <v>283</v>
      </c>
      <c r="N159" s="55" t="n">
        <v>27</v>
      </c>
      <c r="O159" s="89" t="n">
        <v>7641</v>
      </c>
    </row>
    <row r="160" ht="20" customHeight="1">
      <c r="F160" s="80" t="inlineStr">
        <is>
          <t>TOTAL LITROS</t>
        </is>
      </c>
      <c r="G160" s="131" t="n"/>
      <c r="H160" s="132" t="n"/>
      <c r="I160" s="98" t="n">
        <v>800</v>
      </c>
      <c r="J160" s="98" t="n">
        <v>800</v>
      </c>
      <c r="K160" s="97" t="n">
        <v>61</v>
      </c>
      <c r="L160" s="98" t="n">
        <v>800</v>
      </c>
      <c r="M160" s="80" t="n">
        <v>2461</v>
      </c>
      <c r="N160" s="15" t="n"/>
      <c r="O160" s="16" t="n">
        <v>66447</v>
      </c>
    </row>
    <row r="161" ht="20" customHeight="1">
      <c r="F161" s="99" t="inlineStr">
        <is>
          <t>IMPORTE SEMANAL AUTORIZADO: $75,600.00  (Litros aut.: 2,800.00 L)</t>
        </is>
      </c>
      <c r="G161" s="131" t="n"/>
      <c r="H161" s="131" t="n"/>
      <c r="I161" s="131" t="n"/>
      <c r="J161" s="131" t="n"/>
      <c r="K161" s="131" t="n"/>
      <c r="L161" s="131" t="n"/>
      <c r="M161" s="131" t="n"/>
      <c r="N161" s="132" t="n"/>
      <c r="O161" s="101" t="n">
        <v>66447</v>
      </c>
    </row>
    <row r="164" ht="22" customHeight="1">
      <c r="F164" s="81" t="inlineStr">
        <is>
          <t>SAMUEL</t>
        </is>
      </c>
      <c r="G164" s="131" t="n"/>
      <c r="H164" s="131" t="n"/>
      <c r="I164" s="131" t="n"/>
      <c r="J164" s="131" t="n"/>
      <c r="K164" s="131" t="n"/>
      <c r="L164" s="131" t="n"/>
      <c r="M164" s="131" t="n"/>
      <c r="N164" s="132" t="n"/>
    </row>
    <row r="165" ht="28" customHeight="1">
      <c r="F165" s="4" t="inlineStr">
        <is>
          <t>#</t>
        </is>
      </c>
      <c r="G165" s="4" t="inlineStr">
        <is>
          <t>EQUIPO / MAQUINARIA</t>
        </is>
      </c>
      <c r="H165" s="4" t="inlineStr">
        <is>
          <t>LTS. SEM.
AUT.</t>
        </is>
      </c>
      <c r="I165" s="4" t="inlineStr">
        <is>
          <t>Mar
04/08</t>
        </is>
      </c>
      <c r="J165" s="4" t="inlineStr">
        <is>
          <t>Jue
06/08</t>
        </is>
      </c>
      <c r="K165" s="4" t="inlineStr">
        <is>
          <t>Vie
07/08</t>
        </is>
      </c>
      <c r="L165" s="4" t="inlineStr">
        <is>
          <t>LITROS
TOTAL</t>
        </is>
      </c>
      <c r="M165" s="4" t="inlineStr">
        <is>
          <t>PRECIO
UNIT.</t>
        </is>
      </c>
      <c r="N165" s="4" t="inlineStr">
        <is>
          <t>TOTAL $</t>
        </is>
      </c>
    </row>
    <row r="166" ht="22" customHeight="1">
      <c r="F166" s="82" t="n"/>
      <c r="G166" s="83" t="inlineStr">
        <is>
          <t>OBRA DESTINO</t>
        </is>
      </c>
      <c r="H166" s="82" t="n"/>
      <c r="I166" s="84" t="inlineStr">
        <is>
          <t>Aurelio Venegas</t>
        </is>
      </c>
      <c r="J166" s="84" t="inlineStr">
        <is>
          <t>Aurelio Venegas</t>
        </is>
      </c>
      <c r="K166" s="84" t="inlineStr">
        <is>
          <t>Aurelio Venegas</t>
        </is>
      </c>
      <c r="L166" s="82" t="n"/>
      <c r="M166" s="82" t="n"/>
      <c r="N166" s="82" t="n"/>
    </row>
    <row r="167" ht="18" customHeight="1">
      <c r="F167" s="85" t="n">
        <v>1</v>
      </c>
      <c r="G167" s="86" t="inlineStr">
        <is>
          <t>AJUSTE DIESEL</t>
        </is>
      </c>
      <c r="H167" s="96" t="n"/>
      <c r="I167" s="85" t="n"/>
      <c r="J167" s="85" t="n">
        <v>55</v>
      </c>
      <c r="K167" s="85" t="n"/>
      <c r="L167" s="88" t="n">
        <v>55</v>
      </c>
      <c r="M167" s="55" t="n">
        <v>27</v>
      </c>
      <c r="N167" s="89" t="n">
        <v>1485</v>
      </c>
    </row>
    <row r="168" ht="18" customHeight="1">
      <c r="F168" s="90" t="n">
        <v>2</v>
      </c>
      <c r="G168" s="91" t="inlineStr">
        <is>
          <t>PERFILADORA RODATEC RX600-4-4008</t>
        </is>
      </c>
      <c r="H168" s="92" t="n"/>
      <c r="I168" s="90" t="n">
        <v>250</v>
      </c>
      <c r="J168" s="90" t="n"/>
      <c r="K168" s="90" t="n"/>
      <c r="L168" s="93" t="n">
        <v>250</v>
      </c>
      <c r="M168" s="94" t="n">
        <v>27</v>
      </c>
      <c r="N168" s="95" t="n">
        <v>6750</v>
      </c>
    </row>
    <row r="169" ht="18" customHeight="1">
      <c r="F169" s="85" t="n">
        <v>3</v>
      </c>
      <c r="G169" s="86" t="inlineStr">
        <is>
          <t>RETROEXCAVADORA CASE 420E</t>
        </is>
      </c>
      <c r="H169" s="96" t="n"/>
      <c r="I169" s="85" t="n"/>
      <c r="J169" s="85" t="n"/>
      <c r="K169" s="85" t="n">
        <v>22</v>
      </c>
      <c r="L169" s="88" t="n">
        <v>22</v>
      </c>
      <c r="M169" s="55" t="n">
        <v>27</v>
      </c>
      <c r="N169" s="89" t="n">
        <v>594</v>
      </c>
    </row>
    <row r="170" ht="18" customHeight="1">
      <c r="F170" s="90" t="n">
        <v>4</v>
      </c>
      <c r="G170" s="91" t="inlineStr">
        <is>
          <t>RETROEXCAVADORA CASE 580 N</t>
        </is>
      </c>
      <c r="H170" s="92" t="n"/>
      <c r="I170" s="90" t="n">
        <v>50</v>
      </c>
      <c r="J170" s="90" t="n">
        <v>80</v>
      </c>
      <c r="K170" s="90" t="n"/>
      <c r="L170" s="93" t="n">
        <v>130</v>
      </c>
      <c r="M170" s="94" t="n">
        <v>27</v>
      </c>
      <c r="N170" s="95" t="n">
        <v>3510</v>
      </c>
    </row>
    <row r="171" ht="18" customHeight="1">
      <c r="F171" s="85" t="n">
        <v>5</v>
      </c>
      <c r="G171" s="86" t="inlineStr">
        <is>
          <t>RETROEXCAVADORA CAT 420 E</t>
        </is>
      </c>
      <c r="H171" s="96" t="n"/>
      <c r="I171" s="85" t="n"/>
      <c r="J171" s="85" t="n">
        <v>80</v>
      </c>
      <c r="K171" s="85" t="n"/>
      <c r="L171" s="88" t="n">
        <v>80</v>
      </c>
      <c r="M171" s="55" t="n">
        <v>27</v>
      </c>
      <c r="N171" s="89" t="n">
        <v>2160</v>
      </c>
    </row>
    <row r="172" ht="20" customHeight="1">
      <c r="F172" s="80" t="inlineStr">
        <is>
          <t>TOTAL LITROS</t>
        </is>
      </c>
      <c r="G172" s="131" t="n"/>
      <c r="H172" s="132" t="n"/>
      <c r="I172" s="97" t="n">
        <v>300</v>
      </c>
      <c r="J172" s="97" t="n">
        <v>215</v>
      </c>
      <c r="K172" s="97" t="n">
        <v>22</v>
      </c>
      <c r="L172" s="80" t="n">
        <v>537</v>
      </c>
      <c r="M172" s="15" t="n"/>
      <c r="N172" s="16" t="n">
        <v>14499</v>
      </c>
    </row>
    <row r="173" ht="20" customHeight="1">
      <c r="F173" s="99" t="inlineStr">
        <is>
          <t>IMPORTE SEMANAL AUTORIZADO: $0.00  (Litros aut.: 0.00 L)</t>
        </is>
      </c>
      <c r="G173" s="131" t="n"/>
      <c r="H173" s="131" t="n"/>
      <c r="I173" s="131" t="n"/>
      <c r="J173" s="131" t="n"/>
      <c r="K173" s="131" t="n"/>
      <c r="L173" s="131" t="n"/>
      <c r="M173" s="132" t="n"/>
      <c r="N173" s="130" t="n">
        <v>14499</v>
      </c>
    </row>
    <row r="178" ht="24" customHeight="1">
      <c r="F178" s="102" t="inlineStr">
        <is>
          <t>▶ FACTURADO POR OBRA Y DÍA — DIESEL (FOLIOS, MONTOS CON IVA Y LITROS — SEMANA 32)</t>
        </is>
      </c>
      <c r="G178" s="131" t="n"/>
      <c r="H178" s="131" t="n"/>
      <c r="I178" s="131" t="n"/>
      <c r="J178" s="131" t="n"/>
      <c r="K178" s="131" t="n"/>
      <c r="L178" s="131" t="n"/>
      <c r="M178" s="131" t="n"/>
      <c r="N178" s="131" t="n"/>
      <c r="O178" s="131" t="n"/>
      <c r="P178" s="131" t="n"/>
      <c r="Q178" s="131" t="n"/>
      <c r="R178" s="131" t="n"/>
      <c r="S178" s="131" t="n"/>
      <c r="T178" s="131" t="n"/>
      <c r="U178" s="131" t="n"/>
      <c r="V178" s="131" t="n"/>
      <c r="W178" s="131" t="n"/>
      <c r="X178" s="131" t="n"/>
      <c r="Y178" s="131" t="n"/>
      <c r="Z178" s="131" t="n"/>
      <c r="AA178" s="132" t="n"/>
    </row>
    <row r="179" ht="20" customHeight="1">
      <c r="F179" s="4" t="inlineStr">
        <is>
          <t>OBRA / DESTINO</t>
        </is>
      </c>
      <c r="G179" s="4" t="inlineStr">
        <is>
          <t>LUN 03-AGO</t>
        </is>
      </c>
      <c r="H179" s="131" t="n"/>
      <c r="I179" s="132" t="n"/>
      <c r="J179" s="4" t="inlineStr">
        <is>
          <t>MAR 04-AGO</t>
        </is>
      </c>
      <c r="K179" s="131" t="n"/>
      <c r="L179" s="132" t="n"/>
      <c r="M179" s="4" t="inlineStr">
        <is>
          <t>MIÉ 05-AGO</t>
        </is>
      </c>
      <c r="N179" s="131" t="n"/>
      <c r="O179" s="132" t="n"/>
      <c r="P179" s="4" t="inlineStr">
        <is>
          <t>JUE 06-AGO</t>
        </is>
      </c>
      <c r="Q179" s="131" t="n"/>
      <c r="R179" s="132" t="n"/>
      <c r="S179" s="4" t="inlineStr">
        <is>
          <t>VIE 07-AGO</t>
        </is>
      </c>
      <c r="T179" s="131" t="n"/>
      <c r="U179" s="132" t="n"/>
      <c r="V179" s="4" t="inlineStr">
        <is>
          <t>SÁB 08-AGO</t>
        </is>
      </c>
      <c r="W179" s="131" t="n"/>
      <c r="X179" s="132" t="n"/>
      <c r="Y179" s="4" t="inlineStr">
        <is>
          <t>TOTALES ACUMULADOS</t>
        </is>
      </c>
      <c r="Z179" s="131" t="n"/>
      <c r="AA179" s="132" t="n"/>
    </row>
    <row r="180" ht="20" customHeight="1">
      <c r="F180" s="135" t="n"/>
      <c r="G180" s="4" t="inlineStr">
        <is>
          <t>FACTURA</t>
        </is>
      </c>
      <c r="H180" s="4" t="inlineStr">
        <is>
          <t>MONTO ($)</t>
        </is>
      </c>
      <c r="I180" s="4" t="inlineStr">
        <is>
          <t>LITROS</t>
        </is>
      </c>
      <c r="J180" s="4" t="inlineStr">
        <is>
          <t>FACTURA</t>
        </is>
      </c>
      <c r="K180" s="4" t="inlineStr">
        <is>
          <t>MONTO ($)</t>
        </is>
      </c>
      <c r="L180" s="4" t="inlineStr">
        <is>
          <t>LITROS</t>
        </is>
      </c>
      <c r="M180" s="4" t="inlineStr">
        <is>
          <t>FACTURA</t>
        </is>
      </c>
      <c r="N180" s="4" t="inlineStr">
        <is>
          <t>MONTO ($)</t>
        </is>
      </c>
      <c r="O180" s="4" t="inlineStr">
        <is>
          <t>LITROS</t>
        </is>
      </c>
      <c r="P180" s="4" t="inlineStr">
        <is>
          <t>FACTURA</t>
        </is>
      </c>
      <c r="Q180" s="4" t="inlineStr">
        <is>
          <t>MONTO ($)</t>
        </is>
      </c>
      <c r="R180" s="4" t="inlineStr">
        <is>
          <t>LITROS</t>
        </is>
      </c>
      <c r="S180" s="4" t="inlineStr">
        <is>
          <t>FACTURA</t>
        </is>
      </c>
      <c r="T180" s="4" t="inlineStr">
        <is>
          <t>MONTO ($)</t>
        </is>
      </c>
      <c r="U180" s="4" t="inlineStr">
        <is>
          <t>LITROS</t>
        </is>
      </c>
      <c r="V180" s="4" t="inlineStr">
        <is>
          <t>FACTURA</t>
        </is>
      </c>
      <c r="W180" s="4" t="inlineStr">
        <is>
          <t>MONTO ($)</t>
        </is>
      </c>
      <c r="X180" s="4" t="inlineStr">
        <is>
          <t>LITROS</t>
        </is>
      </c>
      <c r="Y180" s="4" t="inlineStr">
        <is>
          <t>TOTAL FACTURAS</t>
        </is>
      </c>
      <c r="Z180" s="4" t="inlineStr">
        <is>
          <t>TOTAL MONTO</t>
        </is>
      </c>
      <c r="AA180" s="4" t="inlineStr">
        <is>
          <t>TOTAL LITROS</t>
        </is>
      </c>
    </row>
    <row r="181" ht="20" customHeight="1">
      <c r="F181" s="5" t="inlineStr">
        <is>
          <t>Alfredo del Mazo</t>
        </is>
      </c>
      <c r="G181" s="116" t="inlineStr">
        <is>
          <t>A10684</t>
        </is>
      </c>
      <c r="H181" s="117" t="n">
        <v>11070.05</v>
      </c>
      <c r="I181" s="118" t="n">
        <v>410</v>
      </c>
      <c r="J181" s="119" t="inlineStr">
        <is>
          <t>-</t>
        </is>
      </c>
      <c r="K181" s="120" t="inlineStr">
        <is>
          <t>-</t>
        </is>
      </c>
      <c r="L181" s="120" t="inlineStr">
        <is>
          <t>-</t>
        </is>
      </c>
      <c r="M181" s="116" t="inlineStr">
        <is>
          <t>A10770, A10774</t>
        </is>
      </c>
      <c r="N181" s="117" t="n">
        <v>27000.11</v>
      </c>
      <c r="O181" s="118" t="n">
        <v>1000</v>
      </c>
      <c r="P181" s="116" t="inlineStr">
        <is>
          <t>A10793</t>
        </is>
      </c>
      <c r="Q181" s="117" t="n">
        <v>810</v>
      </c>
      <c r="R181" s="118" t="n">
        <v>30</v>
      </c>
      <c r="S181" s="116" t="inlineStr">
        <is>
          <t>A10811</t>
        </is>
      </c>
      <c r="T181" s="117" t="n">
        <v>9450.030000000001</v>
      </c>
      <c r="U181" s="118" t="n">
        <v>350</v>
      </c>
      <c r="V181" s="119" t="inlineStr">
        <is>
          <t>-</t>
        </is>
      </c>
      <c r="W181" s="120" t="inlineStr">
        <is>
          <t>-</t>
        </is>
      </c>
      <c r="X181" s="120" t="inlineStr">
        <is>
          <t>-</t>
        </is>
      </c>
      <c r="Y181" s="121" t="inlineStr">
        <is>
          <t>5 Factura(s)</t>
        </is>
      </c>
      <c r="Z181" s="122" t="n">
        <v>48330.19</v>
      </c>
      <c r="AA181" s="123" t="n">
        <v>1790</v>
      </c>
    </row>
    <row r="182" ht="20" customHeight="1">
      <c r="F182" s="9" t="inlineStr">
        <is>
          <t>Aurelio Venegas</t>
        </is>
      </c>
      <c r="G182" s="124" t="inlineStr">
        <is>
          <t>-</t>
        </is>
      </c>
      <c r="H182" s="125" t="inlineStr">
        <is>
          <t>-</t>
        </is>
      </c>
      <c r="I182" s="125" t="inlineStr">
        <is>
          <t>-</t>
        </is>
      </c>
      <c r="J182" s="124" t="inlineStr">
        <is>
          <t>-</t>
        </is>
      </c>
      <c r="K182" s="125" t="inlineStr">
        <is>
          <t>-</t>
        </is>
      </c>
      <c r="L182" s="125" t="inlineStr">
        <is>
          <t>-</t>
        </is>
      </c>
      <c r="M182" s="116" t="inlineStr">
        <is>
          <t>A10778</t>
        </is>
      </c>
      <c r="N182" s="117" t="n">
        <v>9450.030000000001</v>
      </c>
      <c r="O182" s="118" t="n">
        <v>350</v>
      </c>
      <c r="P182" s="124" t="inlineStr">
        <is>
          <t>-</t>
        </is>
      </c>
      <c r="Q182" s="125" t="inlineStr">
        <is>
          <t>-</t>
        </is>
      </c>
      <c r="R182" s="125" t="inlineStr">
        <is>
          <t>-</t>
        </is>
      </c>
      <c r="S182" s="124" t="inlineStr">
        <is>
          <t>-</t>
        </is>
      </c>
      <c r="T182" s="125" t="inlineStr">
        <is>
          <t>-</t>
        </is>
      </c>
      <c r="U182" s="125" t="inlineStr">
        <is>
          <t>-</t>
        </is>
      </c>
      <c r="V182" s="124" t="inlineStr">
        <is>
          <t>-</t>
        </is>
      </c>
      <c r="W182" s="125" t="inlineStr">
        <is>
          <t>-</t>
        </is>
      </c>
      <c r="X182" s="125" t="inlineStr">
        <is>
          <t>-</t>
        </is>
      </c>
      <c r="Y182" s="126" t="inlineStr">
        <is>
          <t>1 Factura(s)</t>
        </is>
      </c>
      <c r="Z182" s="127" t="n">
        <v>9450.030000000001</v>
      </c>
      <c r="AA182" s="128" t="n">
        <v>350</v>
      </c>
    </row>
    <row r="183" ht="20" customHeight="1">
      <c r="F183" s="5" t="inlineStr">
        <is>
          <t>Bacheo Toluca</t>
        </is>
      </c>
      <c r="G183" s="119" t="inlineStr">
        <is>
          <t>-</t>
        </is>
      </c>
      <c r="H183" s="120" t="inlineStr">
        <is>
          <t>-</t>
        </is>
      </c>
      <c r="I183" s="120" t="inlineStr">
        <is>
          <t>-</t>
        </is>
      </c>
      <c r="J183" s="116" t="inlineStr">
        <is>
          <t>A10694</t>
        </is>
      </c>
      <c r="K183" s="117" t="n">
        <v>3105</v>
      </c>
      <c r="L183" s="118" t="n">
        <v>115</v>
      </c>
      <c r="M183" s="119" t="inlineStr">
        <is>
          <t>-</t>
        </is>
      </c>
      <c r="N183" s="120" t="inlineStr">
        <is>
          <t>-</t>
        </is>
      </c>
      <c r="O183" s="120" t="inlineStr">
        <is>
          <t>-</t>
        </is>
      </c>
      <c r="P183" s="116" t="inlineStr">
        <is>
          <t>A10791</t>
        </is>
      </c>
      <c r="Q183" s="117" t="n">
        <v>1350.03</v>
      </c>
      <c r="R183" s="118" t="n">
        <v>50</v>
      </c>
      <c r="S183" s="119" t="inlineStr">
        <is>
          <t>-</t>
        </is>
      </c>
      <c r="T183" s="120" t="inlineStr">
        <is>
          <t>-</t>
        </is>
      </c>
      <c r="U183" s="120" t="inlineStr">
        <is>
          <t>-</t>
        </is>
      </c>
      <c r="V183" s="119" t="inlineStr">
        <is>
          <t>-</t>
        </is>
      </c>
      <c r="W183" s="120" t="inlineStr">
        <is>
          <t>-</t>
        </is>
      </c>
      <c r="X183" s="120" t="inlineStr">
        <is>
          <t>-</t>
        </is>
      </c>
      <c r="Y183" s="121" t="inlineStr">
        <is>
          <t>2 Factura(s)</t>
        </is>
      </c>
      <c r="Z183" s="122" t="n">
        <v>4455.03</v>
      </c>
      <c r="AA183" s="123" t="n">
        <v>165</v>
      </c>
    </row>
    <row r="184" ht="20" customHeight="1">
      <c r="F184" s="9" t="inlineStr">
        <is>
          <t>Constitución</t>
        </is>
      </c>
      <c r="G184" s="124" t="inlineStr">
        <is>
          <t>-</t>
        </is>
      </c>
      <c r="H184" s="125" t="inlineStr">
        <is>
          <t>-</t>
        </is>
      </c>
      <c r="I184" s="125" t="inlineStr">
        <is>
          <t>-</t>
        </is>
      </c>
      <c r="J184" s="116" t="inlineStr">
        <is>
          <t>A10693</t>
        </is>
      </c>
      <c r="K184" s="117" t="n">
        <v>13905.05</v>
      </c>
      <c r="L184" s="118" t="n">
        <v>515</v>
      </c>
      <c r="M184" s="124" t="inlineStr">
        <is>
          <t>-</t>
        </is>
      </c>
      <c r="N184" s="125" t="inlineStr">
        <is>
          <t>-</t>
        </is>
      </c>
      <c r="O184" s="125" t="inlineStr">
        <is>
          <t>-</t>
        </is>
      </c>
      <c r="P184" s="116" t="inlineStr">
        <is>
          <t>A10785</t>
        </is>
      </c>
      <c r="Q184" s="117" t="n">
        <v>4320.03</v>
      </c>
      <c r="R184" s="118" t="n">
        <v>160</v>
      </c>
      <c r="S184" s="124" t="inlineStr">
        <is>
          <t>-</t>
        </is>
      </c>
      <c r="T184" s="125" t="inlineStr">
        <is>
          <t>-</t>
        </is>
      </c>
      <c r="U184" s="125" t="inlineStr">
        <is>
          <t>-</t>
        </is>
      </c>
      <c r="V184" s="124" t="inlineStr">
        <is>
          <t>-</t>
        </is>
      </c>
      <c r="W184" s="125" t="inlineStr">
        <is>
          <t>-</t>
        </is>
      </c>
      <c r="X184" s="125" t="inlineStr">
        <is>
          <t>-</t>
        </is>
      </c>
      <c r="Y184" s="126" t="inlineStr">
        <is>
          <t>2 Factura(s)</t>
        </is>
      </c>
      <c r="Z184" s="127" t="n">
        <v>18225.08</v>
      </c>
      <c r="AA184" s="128" t="n">
        <v>675</v>
      </c>
    </row>
    <row r="185" ht="20" customHeight="1">
      <c r="F185" s="5" t="inlineStr">
        <is>
          <t>Desasolve</t>
        </is>
      </c>
      <c r="G185" s="116" t="inlineStr">
        <is>
          <t>A10685</t>
        </is>
      </c>
      <c r="H185" s="117" t="n">
        <v>22950.06</v>
      </c>
      <c r="I185" s="118" t="n">
        <v>850</v>
      </c>
      <c r="J185" s="119" t="inlineStr">
        <is>
          <t>-</t>
        </is>
      </c>
      <c r="K185" s="120" t="inlineStr">
        <is>
          <t>-</t>
        </is>
      </c>
      <c r="L185" s="120" t="inlineStr">
        <is>
          <t>-</t>
        </is>
      </c>
      <c r="M185" s="116" t="inlineStr">
        <is>
          <t>A10779</t>
        </is>
      </c>
      <c r="N185" s="117" t="n">
        <v>8100.05</v>
      </c>
      <c r="O185" s="118" t="n">
        <v>300</v>
      </c>
      <c r="P185" s="116" t="inlineStr">
        <is>
          <t>A10784</t>
        </is>
      </c>
      <c r="Q185" s="117" t="n">
        <v>7560.05</v>
      </c>
      <c r="R185" s="118" t="n">
        <v>280</v>
      </c>
      <c r="S185" s="119" t="inlineStr">
        <is>
          <t>-</t>
        </is>
      </c>
      <c r="T185" s="120" t="inlineStr">
        <is>
          <t>-</t>
        </is>
      </c>
      <c r="U185" s="120" t="inlineStr">
        <is>
          <t>-</t>
        </is>
      </c>
      <c r="V185" s="119" t="inlineStr">
        <is>
          <t>-</t>
        </is>
      </c>
      <c r="W185" s="120" t="inlineStr">
        <is>
          <t>-</t>
        </is>
      </c>
      <c r="X185" s="120" t="inlineStr">
        <is>
          <t>-</t>
        </is>
      </c>
      <c r="Y185" s="121" t="inlineStr">
        <is>
          <t>3 Factura(s)</t>
        </is>
      </c>
      <c r="Z185" s="122" t="n">
        <v>38610.16</v>
      </c>
      <c r="AA185" s="123" t="n">
        <v>1430</v>
      </c>
    </row>
    <row r="186" ht="20" customHeight="1">
      <c r="F186" s="9" t="inlineStr">
        <is>
          <t>METEPEC</t>
        </is>
      </c>
      <c r="G186" s="124" t="inlineStr">
        <is>
          <t>-</t>
        </is>
      </c>
      <c r="H186" s="125" t="inlineStr">
        <is>
          <t>-</t>
        </is>
      </c>
      <c r="I186" s="125" t="inlineStr">
        <is>
          <t>-</t>
        </is>
      </c>
      <c r="J186" s="124" t="inlineStr">
        <is>
          <t>-</t>
        </is>
      </c>
      <c r="K186" s="125" t="inlineStr">
        <is>
          <t>-</t>
        </is>
      </c>
      <c r="L186" s="125" t="inlineStr">
        <is>
          <t>-</t>
        </is>
      </c>
      <c r="M186" s="124" t="inlineStr">
        <is>
          <t>-</t>
        </is>
      </c>
      <c r="N186" s="125" t="inlineStr">
        <is>
          <t>-</t>
        </is>
      </c>
      <c r="O186" s="125" t="inlineStr">
        <is>
          <t>-</t>
        </is>
      </c>
      <c r="P186" s="116" t="inlineStr">
        <is>
          <t>A10792</t>
        </is>
      </c>
      <c r="Q186" s="117" t="n">
        <v>4320.03</v>
      </c>
      <c r="R186" s="118" t="n">
        <v>160</v>
      </c>
      <c r="S186" s="124" t="inlineStr">
        <is>
          <t>-</t>
        </is>
      </c>
      <c r="T186" s="125" t="inlineStr">
        <is>
          <t>-</t>
        </is>
      </c>
      <c r="U186" s="125" t="inlineStr">
        <is>
          <t>-</t>
        </is>
      </c>
      <c r="V186" s="124" t="inlineStr">
        <is>
          <t>-</t>
        </is>
      </c>
      <c r="W186" s="125" t="inlineStr">
        <is>
          <t>-</t>
        </is>
      </c>
      <c r="X186" s="125" t="inlineStr">
        <is>
          <t>-</t>
        </is>
      </c>
      <c r="Y186" s="126" t="inlineStr">
        <is>
          <t>1 Factura(s)</t>
        </is>
      </c>
      <c r="Z186" s="127" t="n">
        <v>4320.03</v>
      </c>
      <c r="AA186" s="128" t="n">
        <v>160</v>
      </c>
    </row>
    <row r="187" ht="20" customHeight="1">
      <c r="F187" s="5" t="inlineStr">
        <is>
          <t>METEPEC ARBOL DE LA VIDA</t>
        </is>
      </c>
      <c r="G187" s="119" t="inlineStr">
        <is>
          <t>-</t>
        </is>
      </c>
      <c r="H187" s="120" t="inlineStr">
        <is>
          <t>-</t>
        </is>
      </c>
      <c r="I187" s="120" t="inlineStr">
        <is>
          <t>-</t>
        </is>
      </c>
      <c r="J187" s="119" t="inlineStr">
        <is>
          <t>-</t>
        </is>
      </c>
      <c r="K187" s="120" t="inlineStr">
        <is>
          <t>-</t>
        </is>
      </c>
      <c r="L187" s="120" t="inlineStr">
        <is>
          <t>-</t>
        </is>
      </c>
      <c r="M187" s="119" t="inlineStr">
        <is>
          <t>-</t>
        </is>
      </c>
      <c r="N187" s="120" t="inlineStr">
        <is>
          <t>-</t>
        </is>
      </c>
      <c r="O187" s="120" t="inlineStr">
        <is>
          <t>-</t>
        </is>
      </c>
      <c r="P187" s="119" t="inlineStr">
        <is>
          <t>-</t>
        </is>
      </c>
      <c r="Q187" s="120" t="inlineStr">
        <is>
          <t>-</t>
        </is>
      </c>
      <c r="R187" s="120" t="inlineStr">
        <is>
          <t>-</t>
        </is>
      </c>
      <c r="S187" s="116" t="inlineStr">
        <is>
          <t>A10803</t>
        </is>
      </c>
      <c r="T187" s="117" t="n">
        <v>3240</v>
      </c>
      <c r="U187" s="118" t="n">
        <v>120</v>
      </c>
      <c r="V187" s="119" t="inlineStr">
        <is>
          <t>-</t>
        </is>
      </c>
      <c r="W187" s="120" t="inlineStr">
        <is>
          <t>-</t>
        </is>
      </c>
      <c r="X187" s="120" t="inlineStr">
        <is>
          <t>-</t>
        </is>
      </c>
      <c r="Y187" s="121" t="inlineStr">
        <is>
          <t>1 Factura(s)</t>
        </is>
      </c>
      <c r="Z187" s="122" t="n">
        <v>3240</v>
      </c>
      <c r="AA187" s="123" t="n">
        <v>120</v>
      </c>
    </row>
    <row r="188" ht="20" customHeight="1">
      <c r="F188" s="9" t="inlineStr">
        <is>
          <t>Maquinaria</t>
        </is>
      </c>
      <c r="G188" s="124" t="inlineStr">
        <is>
          <t>-</t>
        </is>
      </c>
      <c r="H188" s="125" t="inlineStr">
        <is>
          <t>-</t>
        </is>
      </c>
      <c r="I188" s="125" t="inlineStr">
        <is>
          <t>-</t>
        </is>
      </c>
      <c r="J188" s="124" t="inlineStr">
        <is>
          <t>-</t>
        </is>
      </c>
      <c r="K188" s="125" t="inlineStr">
        <is>
          <t>-</t>
        </is>
      </c>
      <c r="L188" s="125" t="inlineStr">
        <is>
          <t>-</t>
        </is>
      </c>
      <c r="M188" s="124" t="inlineStr">
        <is>
          <t>-</t>
        </is>
      </c>
      <c r="N188" s="125" t="inlineStr">
        <is>
          <t>-</t>
        </is>
      </c>
      <c r="O188" s="125" t="inlineStr">
        <is>
          <t>-</t>
        </is>
      </c>
      <c r="P188" s="124" t="inlineStr">
        <is>
          <t>-</t>
        </is>
      </c>
      <c r="Q188" s="125" t="inlineStr">
        <is>
          <t>-</t>
        </is>
      </c>
      <c r="R188" s="125" t="inlineStr">
        <is>
          <t>-</t>
        </is>
      </c>
      <c r="S188" s="116" t="inlineStr">
        <is>
          <t>A10802</t>
        </is>
      </c>
      <c r="T188" s="117" t="n">
        <v>4050.03</v>
      </c>
      <c r="U188" s="118" t="n">
        <v>150</v>
      </c>
      <c r="V188" s="124" t="inlineStr">
        <is>
          <t>-</t>
        </is>
      </c>
      <c r="W188" s="125" t="inlineStr">
        <is>
          <t>-</t>
        </is>
      </c>
      <c r="X188" s="125" t="inlineStr">
        <is>
          <t>-</t>
        </is>
      </c>
      <c r="Y188" s="126" t="inlineStr">
        <is>
          <t>1 Factura(s)</t>
        </is>
      </c>
      <c r="Z188" s="127" t="n">
        <v>4050.03</v>
      </c>
      <c r="AA188" s="128" t="n">
        <v>150</v>
      </c>
    </row>
    <row r="189" ht="20" customHeight="1">
      <c r="F189" s="5" t="inlineStr">
        <is>
          <t>México - Toluca</t>
        </is>
      </c>
      <c r="G189" s="116" t="inlineStr">
        <is>
          <t>A10682</t>
        </is>
      </c>
      <c r="H189" s="117" t="n">
        <v>2565.05</v>
      </c>
      <c r="I189" s="118" t="n">
        <v>95</v>
      </c>
      <c r="J189" s="116" t="inlineStr">
        <is>
          <t>A10692</t>
        </is>
      </c>
      <c r="K189" s="117" t="n">
        <v>24840.06</v>
      </c>
      <c r="L189" s="118" t="n">
        <v>920</v>
      </c>
      <c r="M189" s="119" t="inlineStr">
        <is>
          <t>-</t>
        </is>
      </c>
      <c r="N189" s="120" t="inlineStr">
        <is>
          <t>-</t>
        </is>
      </c>
      <c r="O189" s="120" t="inlineStr">
        <is>
          <t>-</t>
        </is>
      </c>
      <c r="P189" s="116" t="inlineStr">
        <is>
          <t>A10783</t>
        </is>
      </c>
      <c r="Q189" s="117" t="n">
        <v>27000.16</v>
      </c>
      <c r="R189" s="118" t="n">
        <v>1000</v>
      </c>
      <c r="S189" s="119" t="inlineStr">
        <is>
          <t>-</t>
        </is>
      </c>
      <c r="T189" s="120" t="inlineStr">
        <is>
          <t>-</t>
        </is>
      </c>
      <c r="U189" s="120" t="inlineStr">
        <is>
          <t>-</t>
        </is>
      </c>
      <c r="V189" s="116" t="inlineStr">
        <is>
          <t>A10814</t>
        </is>
      </c>
      <c r="W189" s="117" t="n">
        <v>19710.06</v>
      </c>
      <c r="X189" s="118" t="n">
        <v>730</v>
      </c>
      <c r="Y189" s="121" t="inlineStr">
        <is>
          <t>4 Factura(s)</t>
        </is>
      </c>
      <c r="Z189" s="122" t="n">
        <v>74115.33</v>
      </c>
      <c r="AA189" s="123" t="n">
        <v>2745</v>
      </c>
    </row>
    <row r="190" ht="20" customHeight="1">
      <c r="F190" s="9" t="inlineStr">
        <is>
          <t>Planta Huixquilucan</t>
        </is>
      </c>
      <c r="G190" s="116" t="inlineStr">
        <is>
          <t>A10679</t>
        </is>
      </c>
      <c r="H190" s="117" t="n">
        <v>21600.15</v>
      </c>
      <c r="I190" s="118" t="n">
        <v>800</v>
      </c>
      <c r="J190" s="124" t="inlineStr">
        <is>
          <t>-</t>
        </is>
      </c>
      <c r="K190" s="125" t="inlineStr">
        <is>
          <t>-</t>
        </is>
      </c>
      <c r="L190" s="125" t="inlineStr">
        <is>
          <t>-</t>
        </is>
      </c>
      <c r="M190" s="116" t="inlineStr">
        <is>
          <t>A10771</t>
        </is>
      </c>
      <c r="N190" s="117" t="n">
        <v>21600.15</v>
      </c>
      <c r="O190" s="118" t="n">
        <v>800</v>
      </c>
      <c r="P190" s="124" t="inlineStr">
        <is>
          <t>-</t>
        </is>
      </c>
      <c r="Q190" s="125" t="inlineStr">
        <is>
          <t>-</t>
        </is>
      </c>
      <c r="R190" s="125" t="inlineStr">
        <is>
          <t>-</t>
        </is>
      </c>
      <c r="S190" s="116" t="inlineStr">
        <is>
          <t>A10795</t>
        </is>
      </c>
      <c r="T190" s="117" t="n">
        <v>21600.15</v>
      </c>
      <c r="U190" s="118" t="n">
        <v>800</v>
      </c>
      <c r="V190" s="116" t="inlineStr">
        <is>
          <t>A10815</t>
        </is>
      </c>
      <c r="W190" s="117" t="n">
        <v>1350.03</v>
      </c>
      <c r="X190" s="118" t="n">
        <v>50</v>
      </c>
      <c r="Y190" s="126" t="inlineStr">
        <is>
          <t>4 Factura(s)</t>
        </is>
      </c>
      <c r="Z190" s="127" t="n">
        <v>66150.48000000001</v>
      </c>
      <c r="AA190" s="128" t="n">
        <v>2450</v>
      </c>
    </row>
    <row r="191" ht="20" customHeight="1">
      <c r="F191" s="5" t="inlineStr">
        <is>
          <t>Planta Pegaso</t>
        </is>
      </c>
      <c r="G191" s="119" t="inlineStr">
        <is>
          <t>-</t>
        </is>
      </c>
      <c r="H191" s="120" t="inlineStr">
        <is>
          <t>-</t>
        </is>
      </c>
      <c r="I191" s="120" t="inlineStr">
        <is>
          <t>-</t>
        </is>
      </c>
      <c r="J191" s="116" t="inlineStr">
        <is>
          <t>A10699</t>
        </is>
      </c>
      <c r="K191" s="117" t="n">
        <v>27000.11</v>
      </c>
      <c r="L191" s="118" t="n">
        <v>1000</v>
      </c>
      <c r="M191" s="116" t="inlineStr">
        <is>
          <t>A10773</t>
        </is>
      </c>
      <c r="N191" s="117" t="n">
        <v>16200.03</v>
      </c>
      <c r="O191" s="118" t="n">
        <v>600</v>
      </c>
      <c r="P191" s="119" t="inlineStr">
        <is>
          <t>-</t>
        </is>
      </c>
      <c r="Q191" s="120" t="inlineStr">
        <is>
          <t>-</t>
        </is>
      </c>
      <c r="R191" s="120" t="inlineStr">
        <is>
          <t>-</t>
        </is>
      </c>
      <c r="S191" s="119" t="inlineStr">
        <is>
          <t>-</t>
        </is>
      </c>
      <c r="T191" s="120" t="inlineStr">
        <is>
          <t>-</t>
        </is>
      </c>
      <c r="U191" s="120" t="inlineStr">
        <is>
          <t>-</t>
        </is>
      </c>
      <c r="V191" s="119" t="inlineStr">
        <is>
          <t>-</t>
        </is>
      </c>
      <c r="W191" s="120" t="inlineStr">
        <is>
          <t>-</t>
        </is>
      </c>
      <c r="X191" s="120" t="inlineStr">
        <is>
          <t>-</t>
        </is>
      </c>
      <c r="Y191" s="121" t="inlineStr">
        <is>
          <t>2 Factura(s)</t>
        </is>
      </c>
      <c r="Z191" s="122" t="n">
        <v>43200.14</v>
      </c>
      <c r="AA191" s="123" t="n">
        <v>1600</v>
      </c>
    </row>
    <row r="192" ht="20" customHeight="1">
      <c r="F192" s="9" t="inlineStr">
        <is>
          <t>Providencia</t>
        </is>
      </c>
      <c r="G192" s="116" t="inlineStr">
        <is>
          <t>A10683</t>
        </is>
      </c>
      <c r="H192" s="117" t="n">
        <v>1350.03</v>
      </c>
      <c r="I192" s="118" t="n">
        <v>50</v>
      </c>
      <c r="J192" s="124" t="inlineStr">
        <is>
          <t>-</t>
        </is>
      </c>
      <c r="K192" s="125" t="inlineStr">
        <is>
          <t>-</t>
        </is>
      </c>
      <c r="L192" s="125" t="inlineStr">
        <is>
          <t>-</t>
        </is>
      </c>
      <c r="M192" s="124" t="inlineStr">
        <is>
          <t>-</t>
        </is>
      </c>
      <c r="N192" s="125" t="inlineStr">
        <is>
          <t>-</t>
        </is>
      </c>
      <c r="O192" s="125" t="inlineStr">
        <is>
          <t>-</t>
        </is>
      </c>
      <c r="P192" s="124" t="inlineStr">
        <is>
          <t>-</t>
        </is>
      </c>
      <c r="Q192" s="125" t="inlineStr">
        <is>
          <t>-</t>
        </is>
      </c>
      <c r="R192" s="125" t="inlineStr">
        <is>
          <t>-</t>
        </is>
      </c>
      <c r="S192" s="116" t="inlineStr">
        <is>
          <t>A10804</t>
        </is>
      </c>
      <c r="T192" s="117" t="n">
        <v>3240</v>
      </c>
      <c r="U192" s="118" t="n">
        <v>120</v>
      </c>
      <c r="V192" s="124" t="inlineStr">
        <is>
          <t>-</t>
        </is>
      </c>
      <c r="W192" s="125" t="inlineStr">
        <is>
          <t>-</t>
        </is>
      </c>
      <c r="X192" s="125" t="inlineStr">
        <is>
          <t>-</t>
        </is>
      </c>
      <c r="Y192" s="126" t="inlineStr">
        <is>
          <t>2 Factura(s)</t>
        </is>
      </c>
      <c r="Z192" s="127" t="n">
        <v>4590.03</v>
      </c>
      <c r="AA192" s="128" t="n">
        <v>170</v>
      </c>
    </row>
    <row r="193" ht="20" customHeight="1">
      <c r="F193" s="5" t="inlineStr">
        <is>
          <t>San Felipe Tlalminilolpan</t>
        </is>
      </c>
      <c r="G193" s="119" t="inlineStr">
        <is>
          <t>-</t>
        </is>
      </c>
      <c r="H193" s="120" t="inlineStr">
        <is>
          <t>-</t>
        </is>
      </c>
      <c r="I193" s="120" t="inlineStr">
        <is>
          <t>-</t>
        </is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9" t="inlineStr">
        <is>
          <t>-</t>
        </is>
      </c>
      <c r="N193" s="120" t="inlineStr">
        <is>
          <t>-</t>
        </is>
      </c>
      <c r="O193" s="120" t="inlineStr">
        <is>
          <t>-</t>
        </is>
      </c>
      <c r="P193" s="119" t="inlineStr">
        <is>
          <t>-</t>
        </is>
      </c>
      <c r="Q193" s="120" t="inlineStr">
        <is>
          <t>-</t>
        </is>
      </c>
      <c r="R193" s="120" t="inlineStr">
        <is>
          <t>-</t>
        </is>
      </c>
      <c r="S193" s="116" t="inlineStr">
        <is>
          <t>A10801</t>
        </is>
      </c>
      <c r="T193" s="117" t="n">
        <v>10800.1</v>
      </c>
      <c r="U193" s="118" t="n">
        <v>400</v>
      </c>
      <c r="V193" s="119" t="inlineStr">
        <is>
          <t>-</t>
        </is>
      </c>
      <c r="W193" s="120" t="inlineStr">
        <is>
          <t>-</t>
        </is>
      </c>
      <c r="X193" s="120" t="inlineStr">
        <is>
          <t>-</t>
        </is>
      </c>
      <c r="Y193" s="121" t="inlineStr">
        <is>
          <t>1 Factura(s)</t>
        </is>
      </c>
      <c r="Z193" s="122" t="n">
        <v>10800.1</v>
      </c>
      <c r="AA193" s="123" t="n">
        <v>400</v>
      </c>
    </row>
    <row r="194" ht="22" customHeight="1">
      <c r="F194" s="80" t="inlineStr">
        <is>
          <t>TOTAL POR DÍA</t>
        </is>
      </c>
      <c r="G194" s="19" t="inlineStr">
        <is>
          <t>5 Factura(s)</t>
        </is>
      </c>
      <c r="H194" s="16" t="n">
        <v>59535.34</v>
      </c>
      <c r="I194" s="109" t="n">
        <v>2205</v>
      </c>
      <c r="J194" s="19" t="inlineStr">
        <is>
          <t>4 Factura(s)</t>
        </is>
      </c>
      <c r="K194" s="16" t="n">
        <v>68850.22</v>
      </c>
      <c r="L194" s="109" t="n">
        <v>2550</v>
      </c>
      <c r="M194" s="19" t="inlineStr">
        <is>
          <t>6 Factura(s)</t>
        </is>
      </c>
      <c r="N194" s="16" t="n">
        <v>82350.37000000001</v>
      </c>
      <c r="O194" s="109" t="n">
        <v>3050</v>
      </c>
      <c r="P194" s="19" t="inlineStr">
        <is>
          <t>6 Factura(s)</t>
        </is>
      </c>
      <c r="Q194" s="16" t="n">
        <v>45360.3</v>
      </c>
      <c r="R194" s="109" t="n">
        <v>1680</v>
      </c>
      <c r="S194" s="19" t="inlineStr">
        <is>
          <t>6 Factura(s)</t>
        </is>
      </c>
      <c r="T194" s="16" t="n">
        <v>52380.31</v>
      </c>
      <c r="U194" s="109" t="n">
        <v>1940</v>
      </c>
      <c r="V194" s="19" t="inlineStr">
        <is>
          <t>2 Factura(s)</t>
        </is>
      </c>
      <c r="W194" s="16" t="n">
        <v>21060.09</v>
      </c>
      <c r="X194" s="109" t="n">
        <v>780</v>
      </c>
      <c r="Y194" s="19" t="inlineStr">
        <is>
          <t>29 Factura(s)</t>
        </is>
      </c>
      <c r="Z194" s="16" t="n">
        <v>329536.63</v>
      </c>
      <c r="AA194" s="109" t="n">
        <v>12205</v>
      </c>
    </row>
    <row r="197" ht="24" customHeight="1">
      <c r="F197" s="102" t="inlineStr">
        <is>
          <t>▶ FACTURADO SINDICATO POR DÍA — DIESEL (FOLIOS, MONTOS CON IVA Y LITROS — SEMANA 32)</t>
        </is>
      </c>
      <c r="G197" s="131" t="n"/>
      <c r="H197" s="131" t="n"/>
      <c r="I197" s="131" t="n"/>
      <c r="J197" s="131" t="n"/>
      <c r="K197" s="131" t="n"/>
      <c r="L197" s="131" t="n"/>
      <c r="M197" s="131" t="n"/>
      <c r="N197" s="131" t="n"/>
      <c r="O197" s="131" t="n"/>
      <c r="P197" s="131" t="n"/>
      <c r="Q197" s="131" t="n"/>
      <c r="R197" s="131" t="n"/>
      <c r="S197" s="131" t="n"/>
      <c r="T197" s="131" t="n"/>
      <c r="U197" s="131" t="n"/>
      <c r="V197" s="131" t="n"/>
      <c r="W197" s="131" t="n"/>
      <c r="X197" s="131" t="n"/>
      <c r="Y197" s="131" t="n"/>
      <c r="Z197" s="131" t="n"/>
      <c r="AA197" s="132" t="n"/>
    </row>
    <row r="198" ht="20" customHeight="1">
      <c r="F198" s="4" t="inlineStr">
        <is>
          <t>OBRA / DESTINO</t>
        </is>
      </c>
      <c r="G198" s="4" t="inlineStr">
        <is>
          <t>LUN 03-AGO</t>
        </is>
      </c>
      <c r="H198" s="131" t="n"/>
      <c r="I198" s="132" t="n"/>
      <c r="J198" s="4" t="inlineStr">
        <is>
          <t>MAR 04-AGO</t>
        </is>
      </c>
      <c r="K198" s="131" t="n"/>
      <c r="L198" s="132" t="n"/>
      <c r="M198" s="4" t="inlineStr">
        <is>
          <t>MIÉ 05-AGO</t>
        </is>
      </c>
      <c r="N198" s="131" t="n"/>
      <c r="O198" s="132" t="n"/>
      <c r="P198" s="4" t="inlineStr">
        <is>
          <t>JUE 06-AGO</t>
        </is>
      </c>
      <c r="Q198" s="131" t="n"/>
      <c r="R198" s="132" t="n"/>
      <c r="S198" s="4" t="inlineStr">
        <is>
          <t>VIE 07-AGO</t>
        </is>
      </c>
      <c r="T198" s="131" t="n"/>
      <c r="U198" s="132" t="n"/>
      <c r="V198" s="4" t="inlineStr">
        <is>
          <t>SÁB 08-AGO</t>
        </is>
      </c>
      <c r="W198" s="131" t="n"/>
      <c r="X198" s="132" t="n"/>
      <c r="Y198" s="4" t="inlineStr">
        <is>
          <t>TOTALES ACUMULADOS</t>
        </is>
      </c>
      <c r="Z198" s="131" t="n"/>
      <c r="AA198" s="132" t="n"/>
    </row>
    <row r="199" ht="20" customHeight="1">
      <c r="F199" s="135" t="n"/>
      <c r="G199" s="4" t="inlineStr">
        <is>
          <t>FACTURA</t>
        </is>
      </c>
      <c r="H199" s="4" t="inlineStr">
        <is>
          <t>MONTO ($)</t>
        </is>
      </c>
      <c r="I199" s="4" t="inlineStr">
        <is>
          <t>LITROS</t>
        </is>
      </c>
      <c r="J199" s="4" t="inlineStr">
        <is>
          <t>FACTURA</t>
        </is>
      </c>
      <c r="K199" s="4" t="inlineStr">
        <is>
          <t>MONTO ($)</t>
        </is>
      </c>
      <c r="L199" s="4" t="inlineStr">
        <is>
          <t>LITROS</t>
        </is>
      </c>
      <c r="M199" s="4" t="inlineStr">
        <is>
          <t>FACTURA</t>
        </is>
      </c>
      <c r="N199" s="4" t="inlineStr">
        <is>
          <t>MONTO ($)</t>
        </is>
      </c>
      <c r="O199" s="4" t="inlineStr">
        <is>
          <t>LITROS</t>
        </is>
      </c>
      <c r="P199" s="4" t="inlineStr">
        <is>
          <t>FACTURA</t>
        </is>
      </c>
      <c r="Q199" s="4" t="inlineStr">
        <is>
          <t>MONTO ($)</t>
        </is>
      </c>
      <c r="R199" s="4" t="inlineStr">
        <is>
          <t>LITROS</t>
        </is>
      </c>
      <c r="S199" s="4" t="inlineStr">
        <is>
          <t>FACTURA</t>
        </is>
      </c>
      <c r="T199" s="4" t="inlineStr">
        <is>
          <t>MONTO ($)</t>
        </is>
      </c>
      <c r="U199" s="4" t="inlineStr">
        <is>
          <t>LITROS</t>
        </is>
      </c>
      <c r="V199" s="4" t="inlineStr">
        <is>
          <t>FACTURA</t>
        </is>
      </c>
      <c r="W199" s="4" t="inlineStr">
        <is>
          <t>MONTO ($)</t>
        </is>
      </c>
      <c r="X199" s="4" t="inlineStr">
        <is>
          <t>LITROS</t>
        </is>
      </c>
      <c r="Y199" s="4" t="inlineStr">
        <is>
          <t>TOTAL FACTURAS</t>
        </is>
      </c>
      <c r="Z199" s="4" t="inlineStr">
        <is>
          <t>TOTAL MONTO</t>
        </is>
      </c>
      <c r="AA199" s="4" t="inlineStr">
        <is>
          <t>TOTAL LITROS</t>
        </is>
      </c>
    </row>
    <row r="200" ht="20" customHeight="1">
      <c r="F200" s="5" t="inlineStr">
        <is>
          <t>Sindicato COSUM</t>
        </is>
      </c>
      <c r="G200" s="116" t="inlineStr">
        <is>
          <t>A10680</t>
        </is>
      </c>
      <c r="H200" s="117" t="n">
        <v>26999.11</v>
      </c>
      <c r="I200" s="118" t="n">
        <v>999.96</v>
      </c>
      <c r="J200" s="116" t="inlineStr">
        <is>
          <t>A23783104</t>
        </is>
      </c>
      <c r="K200" s="117" t="n">
        <v>26957.72</v>
      </c>
      <c r="L200" s="118" t="n">
        <v>998.4300000000001</v>
      </c>
      <c r="M200" s="119" t="inlineStr">
        <is>
          <t>-</t>
        </is>
      </c>
      <c r="N200" s="120" t="inlineStr">
        <is>
          <t>-</t>
        </is>
      </c>
      <c r="O200" s="120" t="inlineStr">
        <is>
          <t>-</t>
        </is>
      </c>
      <c r="P200" s="119" t="inlineStr">
        <is>
          <t>-</t>
        </is>
      </c>
      <c r="Q200" s="120" t="inlineStr">
        <is>
          <t>-</t>
        </is>
      </c>
      <c r="R200" s="120" t="inlineStr">
        <is>
          <t>-</t>
        </is>
      </c>
      <c r="S200" s="119" t="inlineStr">
        <is>
          <t>-</t>
        </is>
      </c>
      <c r="T200" s="120" t="inlineStr">
        <is>
          <t>-</t>
        </is>
      </c>
      <c r="U200" s="120" t="inlineStr">
        <is>
          <t>-</t>
        </is>
      </c>
      <c r="V200" s="119" t="inlineStr">
        <is>
          <t>-</t>
        </is>
      </c>
      <c r="W200" s="120" t="inlineStr">
        <is>
          <t>-</t>
        </is>
      </c>
      <c r="X200" s="120" t="inlineStr">
        <is>
          <t>-</t>
        </is>
      </c>
      <c r="Y200" s="121" t="inlineStr">
        <is>
          <t>2 Factura(s)</t>
        </is>
      </c>
      <c r="Z200" s="122" t="n">
        <v>53956.83</v>
      </c>
      <c r="AA200" s="123" t="n">
        <v>1998.39</v>
      </c>
    </row>
    <row r="201" ht="22" customHeight="1">
      <c r="F201" s="80" t="inlineStr">
        <is>
          <t>TOTAL POR DÍA</t>
        </is>
      </c>
      <c r="G201" s="19" t="inlineStr">
        <is>
          <t>1 Factura(s)</t>
        </is>
      </c>
      <c r="H201" s="16" t="n">
        <v>26999.11</v>
      </c>
      <c r="I201" s="109" t="n">
        <v>999.96</v>
      </c>
      <c r="J201" s="19" t="inlineStr">
        <is>
          <t>1 Factura(s)</t>
        </is>
      </c>
      <c r="K201" s="16" t="n">
        <v>26957.72</v>
      </c>
      <c r="L201" s="109" t="n">
        <v>998.4300000000001</v>
      </c>
      <c r="M201" s="19" t="inlineStr">
        <is>
          <t>-</t>
        </is>
      </c>
      <c r="N201" s="19" t="inlineStr">
        <is>
          <t>-</t>
        </is>
      </c>
      <c r="O201" s="19" t="inlineStr">
        <is>
          <t>-</t>
        </is>
      </c>
      <c r="P201" s="19" t="inlineStr">
        <is>
          <t>-</t>
        </is>
      </c>
      <c r="Q201" s="19" t="inlineStr">
        <is>
          <t>-</t>
        </is>
      </c>
      <c r="R201" s="19" t="inlineStr">
        <is>
          <t>-</t>
        </is>
      </c>
      <c r="S201" s="19" t="inlineStr">
        <is>
          <t>-</t>
        </is>
      </c>
      <c r="T201" s="19" t="inlineStr">
        <is>
          <t>-</t>
        </is>
      </c>
      <c r="U201" s="19" t="inlineStr">
        <is>
          <t>-</t>
        </is>
      </c>
      <c r="V201" s="19" t="inlineStr">
        <is>
          <t>-</t>
        </is>
      </c>
      <c r="W201" s="19" t="inlineStr">
        <is>
          <t>-</t>
        </is>
      </c>
      <c r="X201" s="19" t="inlineStr">
        <is>
          <t>-</t>
        </is>
      </c>
      <c r="Y201" s="19" t="inlineStr">
        <is>
          <t>2 Factura(s)</t>
        </is>
      </c>
      <c r="Z201" s="16" t="n">
        <v>53956.83</v>
      </c>
      <c r="AA201" s="109" t="n">
        <v>1998.39</v>
      </c>
    </row>
    <row r="204" ht="24" customHeight="1">
      <c r="F204" s="102" t="inlineStr">
        <is>
          <t>▶ COMPARATIVA FACTURADO VS CONSUMIDO POR OBRA — SEMANA 32</t>
        </is>
      </c>
      <c r="G204" s="131" t="n"/>
      <c r="H204" s="131" t="n"/>
      <c r="I204" s="131" t="n"/>
      <c r="J204" s="131" t="n"/>
      <c r="K204" s="131" t="n"/>
      <c r="L204" s="132" t="n"/>
    </row>
    <row r="205" ht="22" customHeight="1">
      <c r="F205" s="4" t="inlineStr">
        <is>
          <t>OBRA / DESTINO</t>
        </is>
      </c>
      <c r="G205" s="4" t="inlineStr">
        <is>
          <t>LITROS FACTURADOS</t>
        </is>
      </c>
      <c r="H205" s="4" t="inlineStr">
        <is>
          <t>LITROS CONSUMIDOS</t>
        </is>
      </c>
      <c r="I205" s="4" t="inlineStr">
        <is>
          <t>MONTO FACTURADO ($)</t>
        </is>
      </c>
      <c r="J205" s="4" t="inlineStr">
        <is>
          <t>MONTO CONSUMIDO ($)</t>
        </is>
      </c>
      <c r="K205" s="4" t="inlineStr">
        <is>
          <t>VARIACIÓN (LTS)</t>
        </is>
      </c>
      <c r="L205" s="4" t="inlineStr">
        <is>
          <t>VARIACIÓN ($)</t>
        </is>
      </c>
    </row>
    <row r="206" ht="19" customHeight="1">
      <c r="F206" s="5" t="inlineStr">
        <is>
          <t>Alfredo del Mazo</t>
        </is>
      </c>
      <c r="G206" s="32" t="n">
        <v>1790</v>
      </c>
      <c r="H206" s="32" t="n">
        <v>1812</v>
      </c>
      <c r="I206" s="33" t="n">
        <v>48330.19</v>
      </c>
      <c r="J206" s="33" t="n">
        <v>48924</v>
      </c>
      <c r="K206" s="103" t="n">
        <v>-22</v>
      </c>
      <c r="L206" s="104" t="n">
        <v>-593.8099999999977</v>
      </c>
    </row>
    <row r="207" ht="19" customHeight="1">
      <c r="F207" s="9" t="inlineStr">
        <is>
          <t>Aurelio Venegas</t>
        </is>
      </c>
      <c r="G207" s="105" t="n">
        <v>350</v>
      </c>
      <c r="H207" s="105" t="n">
        <v>360</v>
      </c>
      <c r="I207" s="106" t="n">
        <v>9450.030000000001</v>
      </c>
      <c r="J207" s="106" t="n">
        <v>9720</v>
      </c>
      <c r="K207" s="107" t="n">
        <v>-10</v>
      </c>
      <c r="L207" s="108" t="n">
        <v>-269.9699999999993</v>
      </c>
    </row>
    <row r="208" ht="19" customHeight="1">
      <c r="F208" s="5" t="inlineStr">
        <is>
          <t>Bacheo Toluca</t>
        </is>
      </c>
      <c r="G208" s="32" t="n">
        <v>165</v>
      </c>
      <c r="H208" s="32" t="n">
        <v>175</v>
      </c>
      <c r="I208" s="33" t="n">
        <v>4455.03</v>
      </c>
      <c r="J208" s="33" t="n">
        <v>4725</v>
      </c>
      <c r="K208" s="103" t="n">
        <v>-10</v>
      </c>
      <c r="L208" s="104" t="n">
        <v>-269.9700000000003</v>
      </c>
    </row>
    <row r="209" ht="19" customHeight="1">
      <c r="F209" s="9" t="inlineStr">
        <is>
          <t>Constitución</t>
        </is>
      </c>
      <c r="G209" s="105" t="n">
        <v>675</v>
      </c>
      <c r="H209" s="105" t="n">
        <v>680</v>
      </c>
      <c r="I209" s="106" t="n">
        <v>18225.08</v>
      </c>
      <c r="J209" s="106" t="n">
        <v>18360</v>
      </c>
      <c r="K209" s="107" t="n">
        <v>-5</v>
      </c>
      <c r="L209" s="108" t="n">
        <v>-134.9199999999983</v>
      </c>
    </row>
    <row r="210" ht="19" customHeight="1">
      <c r="F210" s="5" t="inlineStr">
        <is>
          <t>Desasolve</t>
        </is>
      </c>
      <c r="G210" s="32" t="n">
        <v>1430</v>
      </c>
      <c r="H210" s="32" t="n">
        <v>1440</v>
      </c>
      <c r="I210" s="33" t="n">
        <v>38610.16</v>
      </c>
      <c r="J210" s="33" t="n">
        <v>38880</v>
      </c>
      <c r="K210" s="103" t="n">
        <v>-10</v>
      </c>
      <c r="L210" s="104" t="n">
        <v>-269.8399999999965</v>
      </c>
    </row>
    <row r="211" ht="19" customHeight="1">
      <c r="F211" s="9" t="inlineStr">
        <is>
          <t>Maquinaria</t>
        </is>
      </c>
      <c r="G211" s="105" t="n">
        <v>150</v>
      </c>
      <c r="H211" s="105" t="n">
        <v>161</v>
      </c>
      <c r="I211" s="106" t="n">
        <v>4050.03</v>
      </c>
      <c r="J211" s="106" t="n">
        <v>4347</v>
      </c>
      <c r="K211" s="107" t="n">
        <v>-11</v>
      </c>
      <c r="L211" s="108" t="n">
        <v>-296.9699999999998</v>
      </c>
    </row>
    <row r="212" ht="19" customHeight="1">
      <c r="F212" s="5" t="inlineStr">
        <is>
          <t>METEPEC</t>
        </is>
      </c>
      <c r="G212" s="32" t="n">
        <v>160</v>
      </c>
      <c r="H212" s="32" t="n">
        <v>169</v>
      </c>
      <c r="I212" s="33" t="n">
        <v>4320.03</v>
      </c>
      <c r="J212" s="33" t="n">
        <v>4563</v>
      </c>
      <c r="K212" s="103" t="n">
        <v>-9</v>
      </c>
      <c r="L212" s="104" t="n">
        <v>-242.9700000000003</v>
      </c>
    </row>
    <row r="213" ht="19" customHeight="1">
      <c r="F213" s="9" t="inlineStr">
        <is>
          <t>METEPEC ARBOL DE LA VIDA</t>
        </is>
      </c>
      <c r="G213" s="105" t="n">
        <v>120</v>
      </c>
      <c r="H213" s="105" t="n">
        <v>129</v>
      </c>
      <c r="I213" s="106" t="n">
        <v>3240</v>
      </c>
      <c r="J213" s="106" t="n">
        <v>3483</v>
      </c>
      <c r="K213" s="107" t="n">
        <v>-9</v>
      </c>
      <c r="L213" s="108" t="n">
        <v>-243</v>
      </c>
    </row>
    <row r="214" ht="19" customHeight="1">
      <c r="F214" s="5" t="inlineStr">
        <is>
          <t>México - Toluca</t>
        </is>
      </c>
      <c r="G214" s="32" t="n">
        <v>2745</v>
      </c>
      <c r="H214" s="32" t="n">
        <v>2756</v>
      </c>
      <c r="I214" s="33" t="n">
        <v>74115.33</v>
      </c>
      <c r="J214" s="33" t="n">
        <v>74412</v>
      </c>
      <c r="K214" s="103" t="n">
        <v>-11</v>
      </c>
      <c r="L214" s="104" t="n">
        <v>-296.6699999999983</v>
      </c>
    </row>
    <row r="215" ht="19" customHeight="1">
      <c r="F215" s="9" t="inlineStr">
        <is>
          <t>Planta Huixquilucan</t>
        </is>
      </c>
      <c r="G215" s="105" t="n">
        <v>2450</v>
      </c>
      <c r="H215" s="105" t="n">
        <v>2461</v>
      </c>
      <c r="I215" s="106" t="n">
        <v>66150.48</v>
      </c>
      <c r="J215" s="106" t="n">
        <v>66447</v>
      </c>
      <c r="K215" s="107" t="n">
        <v>-11</v>
      </c>
      <c r="L215" s="108" t="n">
        <v>-296.5200000000041</v>
      </c>
    </row>
    <row r="216" ht="19" customHeight="1">
      <c r="F216" s="5" t="inlineStr">
        <is>
          <t>Planta Pegaso</t>
        </is>
      </c>
      <c r="G216" s="32" t="n">
        <v>1600</v>
      </c>
      <c r="H216" s="32" t="n">
        <v>1610</v>
      </c>
      <c r="I216" s="33" t="n">
        <v>43200.14</v>
      </c>
      <c r="J216" s="33" t="n">
        <v>43470</v>
      </c>
      <c r="K216" s="103" t="n">
        <v>-10</v>
      </c>
      <c r="L216" s="104" t="n">
        <v>-269.8600000000006</v>
      </c>
    </row>
    <row r="217" ht="19" customHeight="1">
      <c r="F217" s="9" t="inlineStr">
        <is>
          <t>Providencia</t>
        </is>
      </c>
      <c r="G217" s="105" t="n">
        <v>170</v>
      </c>
      <c r="H217" s="105" t="n">
        <v>177</v>
      </c>
      <c r="I217" s="106" t="n">
        <v>4590.03</v>
      </c>
      <c r="J217" s="106" t="n">
        <v>4779</v>
      </c>
      <c r="K217" s="107" t="n">
        <v>-7</v>
      </c>
      <c r="L217" s="108" t="n">
        <v>-188.9700000000003</v>
      </c>
    </row>
    <row r="218" ht="19" customHeight="1">
      <c r="F218" s="5" t="inlineStr">
        <is>
          <t>San Felipe Tlalminilolpan</t>
        </is>
      </c>
      <c r="G218" s="32" t="n">
        <v>400</v>
      </c>
      <c r="H218" s="32" t="n">
        <v>407</v>
      </c>
      <c r="I218" s="33" t="n">
        <v>10800.1</v>
      </c>
      <c r="J218" s="33" t="n">
        <v>10989</v>
      </c>
      <c r="K218" s="103" t="n">
        <v>-7</v>
      </c>
      <c r="L218" s="104" t="n">
        <v>-188.8999999999996</v>
      </c>
    </row>
    <row r="219" ht="19" customHeight="1">
      <c r="F219" s="9" t="inlineStr">
        <is>
          <t>Sindicato COSUM</t>
        </is>
      </c>
      <c r="G219" s="105" t="n">
        <v>1998.39</v>
      </c>
      <c r="H219" s="105" t="n"/>
      <c r="I219" s="106" t="n">
        <v>53956.83</v>
      </c>
      <c r="J219" s="106" t="n"/>
      <c r="K219" s="107" t="n">
        <v>1998.39</v>
      </c>
      <c r="L219" s="108" t="n">
        <v>53956.83</v>
      </c>
    </row>
    <row r="220" ht="22" customHeight="1">
      <c r="F220" s="80" t="inlineStr">
        <is>
          <t>TOTAL GENERAL POR OBRA:</t>
        </is>
      </c>
      <c r="G220" s="109">
        <f>SUM(G206:G219)</f>
        <v/>
      </c>
      <c r="H220" s="109">
        <f>SUM(H206:H219)</f>
        <v/>
      </c>
      <c r="I220" s="16">
        <f>SUM(I206:I219)</f>
        <v/>
      </c>
      <c r="J220" s="16">
        <f>SUM(J206:J219)</f>
        <v/>
      </c>
      <c r="K220" s="110">
        <f>SUM(K206:K219)</f>
        <v/>
      </c>
      <c r="L220" s="111">
        <f>SUM(L206:L219)</f>
        <v/>
      </c>
    </row>
    <row r="223" ht="24" customHeight="1">
      <c r="F223" s="102" t="inlineStr">
        <is>
          <t>▶ COMPARATIVA FACTURADO VS CONSUMIDO POR INGENIERO — SEMANA 32</t>
        </is>
      </c>
      <c r="G223" s="131" t="n"/>
      <c r="H223" s="131" t="n"/>
      <c r="I223" s="131" t="n"/>
      <c r="J223" s="131" t="n"/>
      <c r="K223" s="131" t="n"/>
      <c r="L223" s="131" t="n"/>
      <c r="M223" s="132" t="n"/>
    </row>
    <row r="224" ht="22" customHeight="1">
      <c r="F224" s="4" t="inlineStr">
        <is>
          <t>INGENIERO / RESPONSABLE</t>
        </is>
      </c>
      <c r="G224" s="4" t="inlineStr">
        <is>
          <t>OBRAS ASIGNADAS</t>
        </is>
      </c>
      <c r="H224" s="4" t="inlineStr">
        <is>
          <t>LITROS FACTURADOS</t>
        </is>
      </c>
      <c r="I224" s="4" t="inlineStr">
        <is>
          <t>LITROS CONSUMIDOS</t>
        </is>
      </c>
      <c r="J224" s="4" t="inlineStr">
        <is>
          <t>MONTO FACTURADO ($)</t>
        </is>
      </c>
      <c r="K224" s="4" t="inlineStr">
        <is>
          <t>MONTO CONSUMIDO ($)</t>
        </is>
      </c>
      <c r="L224" s="4" t="inlineStr">
        <is>
          <t>VARIACIÓN (LTS)</t>
        </is>
      </c>
      <c r="M224" s="4" t="inlineStr">
        <is>
          <t>VARIACIÓN ($)</t>
        </is>
      </c>
    </row>
    <row r="225" ht="19" customHeight="1">
      <c r="F225" s="5" t="inlineStr">
        <is>
          <t>Edgar</t>
        </is>
      </c>
      <c r="G225" s="74" t="inlineStr">
        <is>
          <t>Maquinaria</t>
        </is>
      </c>
      <c r="H225" s="32" t="n">
        <v>150</v>
      </c>
      <c r="I225" s="32" t="n">
        <v>161</v>
      </c>
      <c r="J225" s="33" t="n">
        <v>4050.03</v>
      </c>
      <c r="K225" s="33" t="n">
        <v>4347</v>
      </c>
      <c r="L225" s="103" t="n">
        <v>-11</v>
      </c>
      <c r="M225" s="104" t="n">
        <v>-296.9699999999998</v>
      </c>
    </row>
    <row r="226" ht="19" customHeight="1">
      <c r="F226" s="9" t="inlineStr">
        <is>
          <t>Ing. Apolinar</t>
        </is>
      </c>
      <c r="G226" s="78" t="inlineStr">
        <is>
          <t>Alfredo del Mazo</t>
        </is>
      </c>
      <c r="H226" s="105" t="n">
        <v>1790</v>
      </c>
      <c r="I226" s="105" t="n">
        <v>1812</v>
      </c>
      <c r="J226" s="106" t="n">
        <v>48330.19</v>
      </c>
      <c r="K226" s="106" t="n">
        <v>48924</v>
      </c>
      <c r="L226" s="107" t="n">
        <v>-22</v>
      </c>
      <c r="M226" s="108" t="n">
        <v>-593.8099999999977</v>
      </c>
    </row>
    <row r="227" ht="19" customHeight="1">
      <c r="F227" s="5" t="inlineStr">
        <is>
          <t>Ing. Diego Carreola</t>
        </is>
      </c>
      <c r="G227" s="74" t="inlineStr">
        <is>
          <t>Bacheo Toluca, Constitución, Desasolve, METEPEC, METEPEC ARBOL DE LA VIDA, San Felipe Tlalminilolpan</t>
        </is>
      </c>
      <c r="H227" s="32" t="n">
        <v>2950</v>
      </c>
      <c r="I227" s="32" t="n">
        <v>3000</v>
      </c>
      <c r="J227" s="33" t="n">
        <v>79650.40000000001</v>
      </c>
      <c r="K227" s="33" t="n">
        <v>81000</v>
      </c>
      <c r="L227" s="103" t="n">
        <v>-50</v>
      </c>
      <c r="M227" s="104" t="n">
        <v>-1349.599999999991</v>
      </c>
    </row>
    <row r="228" ht="19" customHeight="1">
      <c r="F228" s="9" t="inlineStr">
        <is>
          <t>Ing. Francisco Javier</t>
        </is>
      </c>
      <c r="G228" s="78" t="inlineStr">
        <is>
          <t>México - Toluca</t>
        </is>
      </c>
      <c r="H228" s="105" t="n">
        <v>2745</v>
      </c>
      <c r="I228" s="105" t="n">
        <v>2756</v>
      </c>
      <c r="J228" s="106" t="n">
        <v>74115.33</v>
      </c>
      <c r="K228" s="106" t="n">
        <v>74412</v>
      </c>
      <c r="L228" s="107" t="n">
        <v>-11</v>
      </c>
      <c r="M228" s="108" t="n">
        <v>-296.6699999999983</v>
      </c>
    </row>
    <row r="229" ht="19" customHeight="1">
      <c r="F229" s="5" t="inlineStr">
        <is>
          <t>Ing. Luis</t>
        </is>
      </c>
      <c r="G229" s="74" t="inlineStr">
        <is>
          <t>Planta Huixquilucan</t>
        </is>
      </c>
      <c r="H229" s="32" t="n">
        <v>2450</v>
      </c>
      <c r="I229" s="32" t="n">
        <v>2461</v>
      </c>
      <c r="J229" s="33" t="n">
        <v>66150.48</v>
      </c>
      <c r="K229" s="33" t="n">
        <v>66447</v>
      </c>
      <c r="L229" s="103" t="n">
        <v>-11</v>
      </c>
      <c r="M229" s="104" t="n">
        <v>-296.5200000000041</v>
      </c>
    </row>
    <row r="230" ht="19" customHeight="1">
      <c r="F230" s="9" t="inlineStr">
        <is>
          <t>Jack</t>
        </is>
      </c>
      <c r="G230" s="78" t="inlineStr">
        <is>
          <t>Planta Pegaso</t>
        </is>
      </c>
      <c r="H230" s="105" t="n">
        <v>1600</v>
      </c>
      <c r="I230" s="105" t="n">
        <v>1610</v>
      </c>
      <c r="J230" s="106" t="n">
        <v>43200.14</v>
      </c>
      <c r="K230" s="106" t="n">
        <v>43470</v>
      </c>
      <c r="L230" s="107" t="n">
        <v>-10</v>
      </c>
      <c r="M230" s="108" t="n">
        <v>-269.8600000000006</v>
      </c>
    </row>
    <row r="231" ht="19" customHeight="1">
      <c r="F231" s="5" t="inlineStr">
        <is>
          <t>Samuel</t>
        </is>
      </c>
      <c r="G231" s="74" t="inlineStr">
        <is>
          <t>Aurelio Venegas, Providencia</t>
        </is>
      </c>
      <c r="H231" s="32" t="n">
        <v>520</v>
      </c>
      <c r="I231" s="32" t="n">
        <v>537</v>
      </c>
      <c r="J231" s="33" t="n">
        <v>14040.06</v>
      </c>
      <c r="K231" s="33" t="n">
        <v>14499</v>
      </c>
      <c r="L231" s="103" t="n">
        <v>-17</v>
      </c>
      <c r="M231" s="104" t="n">
        <v>-458.9399999999987</v>
      </c>
    </row>
    <row r="232" ht="19" customHeight="1">
      <c r="F232" s="9" t="inlineStr">
        <is>
          <t>Sin Asignar</t>
        </is>
      </c>
      <c r="G232" s="78" t="inlineStr">
        <is>
          <t>Sindicato COSUM</t>
        </is>
      </c>
      <c r="H232" s="105" t="n">
        <v>1998.39</v>
      </c>
      <c r="I232" s="105" t="n"/>
      <c r="J232" s="106" t="n">
        <v>53956.83</v>
      </c>
      <c r="K232" s="106" t="n"/>
      <c r="L232" s="107" t="n">
        <v>1998.39</v>
      </c>
      <c r="M232" s="108" t="n">
        <v>53956.83</v>
      </c>
    </row>
    <row r="233" ht="22" customHeight="1">
      <c r="F233" s="80" t="inlineStr">
        <is>
          <t>TOTAL GENERAL POR INGENIERO:</t>
        </is>
      </c>
      <c r="G233" s="132" t="n"/>
      <c r="H233" s="109">
        <f>SUM(H225:H232)</f>
        <v/>
      </c>
      <c r="I233" s="109">
        <f>SUM(I225:I232)</f>
        <v/>
      </c>
      <c r="J233" s="16">
        <f>SUM(J225:J232)</f>
        <v/>
      </c>
      <c r="K233" s="16">
        <f>SUM(K225:K232)</f>
        <v/>
      </c>
      <c r="L233" s="110">
        <f>SUM(L225:L232)</f>
        <v/>
      </c>
      <c r="M233" s="111">
        <f>SUM(M225:M232)</f>
        <v/>
      </c>
    </row>
  </sheetData>
  <mergeCells count="69">
    <mergeCell ref="F160:H160"/>
    <mergeCell ref="F140:O140"/>
    <mergeCell ref="F164:N164"/>
    <mergeCell ref="F198:F199"/>
    <mergeCell ref="F58:I58"/>
    <mergeCell ref="J179:L179"/>
    <mergeCell ref="F7:F12"/>
    <mergeCell ref="L7:L12"/>
    <mergeCell ref="P179:R179"/>
    <mergeCell ref="K38:N38"/>
    <mergeCell ref="F92:L92"/>
    <mergeCell ref="F152:O152"/>
    <mergeCell ref="F97:K97"/>
    <mergeCell ref="G19:G20"/>
    <mergeCell ref="F233:G233"/>
    <mergeCell ref="F100:N100"/>
    <mergeCell ref="F21:G21"/>
    <mergeCell ref="F15:G15"/>
    <mergeCell ref="M198:O198"/>
    <mergeCell ref="F223:M223"/>
    <mergeCell ref="G7:G12"/>
    <mergeCell ref="K25:N25"/>
    <mergeCell ref="F149:N149"/>
    <mergeCell ref="F173:M173"/>
    <mergeCell ref="F96:H96"/>
    <mergeCell ref="Y198:AA198"/>
    <mergeCell ref="F25:I25"/>
    <mergeCell ref="K33:N33"/>
    <mergeCell ref="M179:O179"/>
    <mergeCell ref="Y179:AA179"/>
    <mergeCell ref="F197:AA197"/>
    <mergeCell ref="H19:H20"/>
    <mergeCell ref="F137:O137"/>
    <mergeCell ref="F161:N161"/>
    <mergeCell ref="K45:N45"/>
    <mergeCell ref="F178:AA178"/>
    <mergeCell ref="F136:H136"/>
    <mergeCell ref="V179:X179"/>
    <mergeCell ref="J198:L198"/>
    <mergeCell ref="F74:O74"/>
    <mergeCell ref="F148:H148"/>
    <mergeCell ref="F179:F180"/>
    <mergeCell ref="H7:H12"/>
    <mergeCell ref="P198:R198"/>
    <mergeCell ref="F119:H119"/>
    <mergeCell ref="F22:G22"/>
    <mergeCell ref="F88:H88"/>
    <mergeCell ref="G198:I198"/>
    <mergeCell ref="V198:X198"/>
    <mergeCell ref="F33:I33"/>
    <mergeCell ref="K19:K20"/>
    <mergeCell ref="F45:I45"/>
    <mergeCell ref="F204:L204"/>
    <mergeCell ref="K50:N50"/>
    <mergeCell ref="F172:H172"/>
    <mergeCell ref="F50:I50"/>
    <mergeCell ref="F19:F20"/>
    <mergeCell ref="K58:N58"/>
    <mergeCell ref="F66:I66"/>
    <mergeCell ref="S198:U198"/>
    <mergeCell ref="K7:K12"/>
    <mergeCell ref="F2:L2"/>
    <mergeCell ref="F89:N89"/>
    <mergeCell ref="F38:I38"/>
    <mergeCell ref="F120:M120"/>
    <mergeCell ref="G179:I179"/>
    <mergeCell ref="S179:U179"/>
    <mergeCell ref="F123:P123"/>
    <mergeCell ref="L19:L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2:AA1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33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1185</v>
      </c>
      <c r="K5" s="75" t="n">
        <v>1185</v>
      </c>
      <c r="L5" s="76" t="n">
        <v>1215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3040</v>
      </c>
      <c r="K6" s="79" t="n">
        <v>3040</v>
      </c>
      <c r="L6" s="76" t="n">
        <v>260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Bacheo Toluca</t>
        </is>
      </c>
      <c r="J7" s="73" t="n">
        <v>140</v>
      </c>
      <c r="K7" s="75" t="n">
        <v>400</v>
      </c>
      <c r="L7" s="76" t="n">
        <v>5000</v>
      </c>
    </row>
    <row r="8" ht="18" customHeight="1">
      <c r="F8" s="135" t="n"/>
      <c r="G8" s="135" t="n"/>
      <c r="H8" s="135" t="n"/>
      <c r="I8" s="74" t="inlineStr">
        <is>
          <t>San Felipe Tlalminilolpan</t>
        </is>
      </c>
      <c r="J8" s="73" t="n">
        <v>260</v>
      </c>
      <c r="K8" s="135" t="n"/>
      <c r="L8" s="135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5000</v>
      </c>
      <c r="K9" s="79" t="n">
        <v>5000</v>
      </c>
      <c r="L9" s="112" t="n">
        <v>-2600</v>
      </c>
    </row>
    <row r="10" ht="18" customHeight="1">
      <c r="F10" s="72" t="inlineStr">
        <is>
          <t>LUIS</t>
        </is>
      </c>
      <c r="G10" s="73" t="n">
        <v>400</v>
      </c>
      <c r="H10" s="73" t="n">
        <v>2400</v>
      </c>
      <c r="I10" s="74" t="inlineStr">
        <is>
          <t>Planta Huixquilucan</t>
        </is>
      </c>
      <c r="J10" s="73" t="n">
        <v>2800</v>
      </c>
      <c r="K10" s="75" t="n">
        <v>2800</v>
      </c>
      <c r="L10" s="112" t="n">
        <v>-400</v>
      </c>
    </row>
    <row r="11" ht="20" customHeight="1">
      <c r="F11" s="80" t="inlineStr">
        <is>
          <t>SUBTOTAL (6 DÍAS):</t>
        </is>
      </c>
      <c r="G11" s="132" t="n"/>
      <c r="H11" s="80" t="n">
        <v>15900</v>
      </c>
      <c r="I11" s="15" t="n"/>
      <c r="J11" s="80" t="n">
        <v>12425</v>
      </c>
      <c r="K11" s="80" t="n">
        <v>12425</v>
      </c>
      <c r="L11" s="80" t="n">
        <v>3475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Aurelio Venegas</t>
        </is>
      </c>
      <c r="J15" s="73" t="n">
        <v>120</v>
      </c>
      <c r="K15" s="75" t="n">
        <v>220</v>
      </c>
      <c r="L15" s="112" t="n">
        <v>-220</v>
      </c>
    </row>
    <row r="16" ht="18" customHeight="1">
      <c r="F16" s="135" t="n"/>
      <c r="G16" s="135" t="n"/>
      <c r="H16" s="135" t="n"/>
      <c r="I16" s="74" t="inlineStr">
        <is>
          <t>Providencia</t>
        </is>
      </c>
      <c r="J16" s="73" t="n">
        <v>100</v>
      </c>
      <c r="K16" s="135" t="n"/>
      <c r="L16" s="135" t="n"/>
    </row>
    <row r="17" ht="20" customHeight="1">
      <c r="F17" s="80" t="inlineStr">
        <is>
          <t>SUBTOTAL (5 DÍAS):</t>
        </is>
      </c>
      <c r="G17" s="132" t="n"/>
      <c r="H17" s="80" t="inlineStr"/>
      <c r="I17" s="15" t="n"/>
      <c r="J17" s="80" t="n">
        <v>220</v>
      </c>
      <c r="K17" s="80" t="n">
        <v>220</v>
      </c>
      <c r="L17" s="80" t="n">
        <v>-220</v>
      </c>
    </row>
    <row r="18" ht="22" customHeight="1">
      <c r="F18" s="80" t="inlineStr">
        <is>
          <t>TOTAL GENERAL:</t>
        </is>
      </c>
      <c r="G18" s="132" t="n"/>
      <c r="H18" s="80" t="n">
        <v>15900</v>
      </c>
      <c r="I18" s="15" t="n"/>
      <c r="J18" s="80" t="n">
        <v>12645</v>
      </c>
      <c r="K18" s="80" t="n">
        <v>12645</v>
      </c>
      <c r="L18" s="80" t="n">
        <v>3255</v>
      </c>
    </row>
    <row r="21" ht="20" customHeight="1">
      <c r="F21" s="3" t="inlineStr">
        <is>
          <t>▶  Alfredo del Mazo</t>
        </is>
      </c>
      <c r="G21" s="131" t="n"/>
      <c r="H21" s="131" t="n"/>
      <c r="I21" s="132" t="n"/>
      <c r="K21" s="3" t="inlineStr">
        <is>
          <t>▶  Aurelio Venegas</t>
        </is>
      </c>
      <c r="L21" s="131" t="n"/>
      <c r="M21" s="131" t="n"/>
      <c r="N21" s="132" t="n"/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10-ago</t>
        </is>
      </c>
      <c r="G23" s="6" t="n">
        <v>460</v>
      </c>
      <c r="H23" s="7" t="n">
        <v>27</v>
      </c>
      <c r="I23" s="8" t="n">
        <v>12420</v>
      </c>
      <c r="K23" s="5" t="inlineStr">
        <is>
          <t>Mar 11-ago</t>
        </is>
      </c>
      <c r="L23" s="6" t="n">
        <v>120</v>
      </c>
      <c r="M23" s="7" t="n">
        <v>27</v>
      </c>
      <c r="N23" s="8" t="n">
        <v>3240</v>
      </c>
    </row>
    <row r="24" ht="20" customHeight="1">
      <c r="F24" s="9" t="inlineStr">
        <is>
          <t>Jue 13-ago</t>
        </is>
      </c>
      <c r="G24" s="10" t="n">
        <v>400</v>
      </c>
      <c r="H24" s="11" t="n">
        <v>27</v>
      </c>
      <c r="I24" s="12" t="n">
        <v>10800</v>
      </c>
      <c r="K24" s="80" t="inlineStr">
        <is>
          <t>TOTAL — Aurelio Venegas</t>
        </is>
      </c>
      <c r="L24" s="14" t="n">
        <v>120</v>
      </c>
      <c r="M24" s="15" t="n"/>
      <c r="N24" s="16" t="n">
        <v>3240</v>
      </c>
    </row>
    <row r="25" ht="18" customHeight="1">
      <c r="F25" s="5" t="inlineStr">
        <is>
          <t>Sáb 15-ago</t>
        </is>
      </c>
      <c r="G25" s="6" t="n">
        <v>325</v>
      </c>
      <c r="H25" s="7" t="n">
        <v>27</v>
      </c>
      <c r="I25" s="8" t="n">
        <v>8775</v>
      </c>
    </row>
    <row r="26" ht="20" customHeight="1">
      <c r="F26" s="80" t="inlineStr">
        <is>
          <t>TOTAL — Alfredo del Mazo</t>
        </is>
      </c>
      <c r="G26" s="14" t="n">
        <v>1185</v>
      </c>
      <c r="H26" s="15" t="n"/>
      <c r="I26" s="16" t="n">
        <v>31995</v>
      </c>
    </row>
    <row r="28" ht="20" customHeight="1">
      <c r="F28" s="3" t="inlineStr">
        <is>
          <t>▶  Bacheo Toluca</t>
        </is>
      </c>
      <c r="G28" s="131" t="n"/>
      <c r="H28" s="131" t="n"/>
      <c r="I28" s="132" t="n"/>
      <c r="K28" s="3" t="inlineStr">
        <is>
          <t>▶  México - Toluca</t>
        </is>
      </c>
      <c r="L28" s="131" t="n"/>
      <c r="M28" s="131" t="n"/>
      <c r="N28" s="132" t="n"/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Jue 13-ago</t>
        </is>
      </c>
      <c r="G30" s="6" t="n">
        <v>30</v>
      </c>
      <c r="H30" s="7" t="n">
        <v>27</v>
      </c>
      <c r="I30" s="8" t="n">
        <v>810</v>
      </c>
      <c r="K30" s="5" t="inlineStr">
        <is>
          <t>Lun 10-ago</t>
        </is>
      </c>
      <c r="L30" s="6" t="n">
        <v>788</v>
      </c>
      <c r="M30" s="7" t="n">
        <v>27</v>
      </c>
      <c r="N30" s="8" t="n">
        <v>21276</v>
      </c>
    </row>
    <row r="31" ht="18" customHeight="1">
      <c r="F31" s="9" t="inlineStr">
        <is>
          <t>Vie 14-ago</t>
        </is>
      </c>
      <c r="G31" s="10" t="n">
        <v>110</v>
      </c>
      <c r="H31" s="11" t="n">
        <v>27</v>
      </c>
      <c r="I31" s="12" t="n">
        <v>2970</v>
      </c>
      <c r="K31" s="9" t="inlineStr">
        <is>
          <t>Mar 11-ago</t>
        </is>
      </c>
      <c r="L31" s="10" t="n">
        <v>514</v>
      </c>
      <c r="M31" s="11" t="n">
        <v>27</v>
      </c>
      <c r="N31" s="12" t="n">
        <v>13878</v>
      </c>
    </row>
    <row r="32" ht="18" customHeight="1">
      <c r="F32" s="80" t="inlineStr">
        <is>
          <t>TOTAL — Bacheo Toluca</t>
        </is>
      </c>
      <c r="G32" s="14" t="n">
        <v>140</v>
      </c>
      <c r="H32" s="15" t="n"/>
      <c r="I32" s="16" t="n">
        <v>3780</v>
      </c>
      <c r="K32" s="5" t="inlineStr">
        <is>
          <t>Mié 12-ago</t>
        </is>
      </c>
      <c r="L32" s="6" t="n">
        <v>763</v>
      </c>
      <c r="M32" s="7" t="n">
        <v>27</v>
      </c>
      <c r="N32" s="8" t="n">
        <v>20601</v>
      </c>
    </row>
    <row r="33" ht="18" customHeight="1">
      <c r="K33" s="9" t="inlineStr">
        <is>
          <t>Jue 13-ago</t>
        </is>
      </c>
      <c r="L33" s="10" t="n">
        <v>120</v>
      </c>
      <c r="M33" s="11" t="n">
        <v>27</v>
      </c>
      <c r="N33" s="12" t="n">
        <v>3240</v>
      </c>
    </row>
    <row r="34" ht="18" customHeight="1">
      <c r="K34" s="5" t="inlineStr">
        <is>
          <t>Vie 14-ago</t>
        </is>
      </c>
      <c r="L34" s="6" t="n">
        <v>815</v>
      </c>
      <c r="M34" s="7" t="n">
        <v>27</v>
      </c>
      <c r="N34" s="8" t="n">
        <v>22005</v>
      </c>
    </row>
    <row r="35" ht="18" customHeight="1">
      <c r="K35" s="9" t="inlineStr">
        <is>
          <t>Sáb 15-ago</t>
        </is>
      </c>
      <c r="L35" s="10" t="n">
        <v>40</v>
      </c>
      <c r="M35" s="11" t="n">
        <v>27</v>
      </c>
      <c r="N35" s="12" t="n">
        <v>1080</v>
      </c>
    </row>
    <row r="36" ht="20" customHeight="1">
      <c r="K36" s="80" t="inlineStr">
        <is>
          <t>TOTAL — México - Toluca</t>
        </is>
      </c>
      <c r="L36" s="14" t="n">
        <v>3040</v>
      </c>
      <c r="M36" s="15" t="n"/>
      <c r="N36" s="16" t="n">
        <v>82080</v>
      </c>
    </row>
    <row r="38" ht="20" customHeight="1">
      <c r="F38" s="3" t="inlineStr">
        <is>
          <t>▶  Planta Huixquilucan</t>
        </is>
      </c>
      <c r="G38" s="131" t="n"/>
      <c r="H38" s="131" t="n"/>
      <c r="I38" s="132" t="n"/>
      <c r="K38" s="3" t="inlineStr">
        <is>
          <t>▶  Planta Pegaso</t>
        </is>
      </c>
      <c r="L38" s="131" t="n"/>
      <c r="M38" s="131" t="n"/>
      <c r="N38" s="132" t="n"/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10-ago</t>
        </is>
      </c>
      <c r="G40" s="6" t="n">
        <v>800</v>
      </c>
      <c r="H40" s="7" t="n">
        <v>27</v>
      </c>
      <c r="I40" s="8" t="n">
        <v>21600</v>
      </c>
      <c r="K40" s="5" t="inlineStr">
        <is>
          <t>Mar 11-ago</t>
        </is>
      </c>
      <c r="L40" s="6" t="n">
        <v>1000</v>
      </c>
      <c r="M40" s="7" t="n">
        <v>27</v>
      </c>
      <c r="N40" s="8" t="n">
        <v>27000</v>
      </c>
    </row>
    <row r="41" ht="18" customHeight="1">
      <c r="F41" s="9" t="inlineStr">
        <is>
          <t>Mié 12-ago</t>
        </is>
      </c>
      <c r="G41" s="10" t="n">
        <v>800</v>
      </c>
      <c r="H41" s="11" t="n">
        <v>27</v>
      </c>
      <c r="I41" s="12" t="n">
        <v>21600</v>
      </c>
      <c r="K41" s="9" t="inlineStr">
        <is>
          <t>Jue 13-ago</t>
        </is>
      </c>
      <c r="L41" s="10" t="n">
        <v>4000</v>
      </c>
      <c r="M41" s="11" t="n">
        <v>27</v>
      </c>
      <c r="N41" s="12" t="n">
        <v>162000</v>
      </c>
    </row>
    <row r="42" ht="20" customHeight="1">
      <c r="F42" s="5" t="inlineStr">
        <is>
          <t>Vie 14-ago</t>
        </is>
      </c>
      <c r="G42" s="6" t="n">
        <v>800</v>
      </c>
      <c r="H42" s="7" t="n">
        <v>27</v>
      </c>
      <c r="I42" s="8" t="n">
        <v>21600</v>
      </c>
      <c r="K42" s="80" t="inlineStr">
        <is>
          <t>TOTAL — Planta Pegaso</t>
        </is>
      </c>
      <c r="L42" s="14" t="n">
        <v>5000</v>
      </c>
      <c r="M42" s="15" t="n"/>
      <c r="N42" s="16" t="n">
        <v>189000</v>
      </c>
    </row>
    <row r="43" ht="18" customHeight="1">
      <c r="F43" s="9" t="inlineStr">
        <is>
          <t>Sáb 15-ago</t>
        </is>
      </c>
      <c r="G43" s="10" t="n">
        <v>400</v>
      </c>
      <c r="H43" s="11" t="n">
        <v>27</v>
      </c>
      <c r="I43" s="12" t="n">
        <v>10800</v>
      </c>
    </row>
    <row r="44" ht="20" customHeight="1">
      <c r="F44" s="80" t="inlineStr">
        <is>
          <t>TOTAL — Planta Huixquilucan</t>
        </is>
      </c>
      <c r="G44" s="14" t="n">
        <v>2800</v>
      </c>
      <c r="H44" s="15" t="n"/>
      <c r="I44" s="16" t="n">
        <v>75600</v>
      </c>
    </row>
    <row r="46" ht="20" customHeight="1">
      <c r="F46" s="3" t="inlineStr">
        <is>
          <t>▶  Providencia</t>
        </is>
      </c>
      <c r="G46" s="131" t="n"/>
      <c r="H46" s="131" t="n"/>
      <c r="I46" s="132" t="n"/>
      <c r="K46" s="3" t="inlineStr">
        <is>
          <t>▶  San Felipe Tlalminilolpan</t>
        </is>
      </c>
      <c r="L46" s="131" t="n"/>
      <c r="M46" s="131" t="n"/>
      <c r="N46" s="132" t="n"/>
    </row>
    <row r="47" ht="20" customHeight="1">
      <c r="F47" s="4" t="inlineStr">
        <is>
          <t>DÍA</t>
        </is>
      </c>
      <c r="G47" s="4" t="inlineStr">
        <is>
          <t>LITROS CONSUMIDOS</t>
        </is>
      </c>
      <c r="H47" s="4" t="inlineStr">
        <is>
          <t>PRECIO PROM. ($/L)</t>
        </is>
      </c>
      <c r="I47" s="4" t="inlineStr">
        <is>
          <t>IMPORTE TOTAL</t>
        </is>
      </c>
      <c r="K47" s="4" t="inlineStr">
        <is>
          <t>DÍA</t>
        </is>
      </c>
      <c r="L47" s="4" t="inlineStr">
        <is>
          <t>LITROS CONSUMIDOS</t>
        </is>
      </c>
      <c r="M47" s="4" t="inlineStr">
        <is>
          <t>PRECIO PROM. ($/L)</t>
        </is>
      </c>
      <c r="N47" s="4" t="inlineStr">
        <is>
          <t>IMPORTE TOTAL</t>
        </is>
      </c>
    </row>
    <row r="48" ht="18" customHeight="1">
      <c r="F48" s="5" t="inlineStr">
        <is>
          <t>Mié 12-ago</t>
        </is>
      </c>
      <c r="G48" s="6" t="n">
        <v>60</v>
      </c>
      <c r="H48" s="7" t="n">
        <v>27</v>
      </c>
      <c r="I48" s="8" t="n">
        <v>1620</v>
      </c>
      <c r="K48" s="5" t="inlineStr">
        <is>
          <t>Vie 14-ago</t>
        </is>
      </c>
      <c r="L48" s="6" t="n">
        <v>260</v>
      </c>
      <c r="M48" s="7" t="n">
        <v>27</v>
      </c>
      <c r="N48" s="8" t="n">
        <v>7020</v>
      </c>
    </row>
    <row r="49" ht="20" customHeight="1">
      <c r="F49" s="9" t="inlineStr">
        <is>
          <t>Jue 13-ago</t>
        </is>
      </c>
      <c r="G49" s="10" t="n">
        <v>40</v>
      </c>
      <c r="H49" s="11" t="n">
        <v>27</v>
      </c>
      <c r="I49" s="12" t="n">
        <v>1080</v>
      </c>
      <c r="K49" s="80" t="inlineStr">
        <is>
          <t>TOTAL — San Felipe Tlalminilolpan</t>
        </is>
      </c>
      <c r="L49" s="14" t="n">
        <v>260</v>
      </c>
      <c r="M49" s="15" t="n"/>
      <c r="N49" s="16" t="n">
        <v>7020</v>
      </c>
    </row>
    <row r="50" ht="20" customHeight="1">
      <c r="F50" s="80" t="inlineStr">
        <is>
          <t>TOTAL — Providencia</t>
        </is>
      </c>
      <c r="G50" s="14" t="n">
        <v>100</v>
      </c>
      <c r="H50" s="15" t="n"/>
      <c r="I50" s="16" t="n">
        <v>2700</v>
      </c>
    </row>
    <row r="53" ht="22" customHeight="1">
      <c r="F53" s="81" t="inlineStr">
        <is>
          <t>APOLINAR</t>
        </is>
      </c>
      <c r="G53" s="131" t="n"/>
      <c r="H53" s="131" t="n"/>
      <c r="I53" s="131" t="n"/>
      <c r="J53" s="131" t="n"/>
      <c r="K53" s="131" t="n"/>
      <c r="L53" s="131" t="n"/>
      <c r="M53" s="131" t="n"/>
      <c r="N53" s="132" t="n"/>
    </row>
    <row r="54" ht="28" customHeight="1">
      <c r="F54" s="4" t="inlineStr">
        <is>
          <t>#</t>
        </is>
      </c>
      <c r="G54" s="4" t="inlineStr">
        <is>
          <t>EQUIPO / MAQUINARIA</t>
        </is>
      </c>
      <c r="H54" s="4" t="inlineStr">
        <is>
          <t>LTS. SEM.
AUT.</t>
        </is>
      </c>
      <c r="I54" s="4" t="inlineStr">
        <is>
          <t>Lun
10/08</t>
        </is>
      </c>
      <c r="J54" s="4" t="inlineStr">
        <is>
          <t>Jue
13/08</t>
        </is>
      </c>
      <c r="K54" s="4" t="inlineStr">
        <is>
          <t>Sáb
15/08</t>
        </is>
      </c>
      <c r="L54" s="4" t="inlineStr">
        <is>
          <t>LITROS
TOTAL</t>
        </is>
      </c>
      <c r="M54" s="4" t="inlineStr">
        <is>
          <t>PRECIO
UNIT.</t>
        </is>
      </c>
      <c r="N54" s="4" t="inlineStr">
        <is>
          <t>TOTAL $</t>
        </is>
      </c>
    </row>
    <row r="55" ht="22" customHeight="1">
      <c r="F55" s="82" t="n"/>
      <c r="G55" s="83" t="inlineStr">
        <is>
          <t>OBRA DESTINO</t>
        </is>
      </c>
      <c r="H55" s="82" t="n"/>
      <c r="I55" s="84" t="inlineStr">
        <is>
          <t>Alfredo del Mazo</t>
        </is>
      </c>
      <c r="J55" s="84" t="inlineStr">
        <is>
          <t>Alfredo del Mazo</t>
        </is>
      </c>
      <c r="K55" s="84" t="inlineStr">
        <is>
          <t>Alfredo del Mazo</t>
        </is>
      </c>
      <c r="L55" s="82" t="n"/>
      <c r="M55" s="82" t="n"/>
      <c r="N55" s="82" t="n"/>
    </row>
    <row r="56" ht="18" customHeight="1">
      <c r="F56" s="85" t="n">
        <v>1</v>
      </c>
      <c r="G56" s="86" t="inlineStr">
        <is>
          <t>BARREDORA LAYMOR SM400</t>
        </is>
      </c>
      <c r="H56" s="87" t="n">
        <v>2800</v>
      </c>
      <c r="I56" s="85" t="n"/>
      <c r="J56" s="85" t="n">
        <v>50</v>
      </c>
      <c r="K56" s="85" t="n"/>
      <c r="L56" s="88" t="n">
        <v>50</v>
      </c>
      <c r="M56" s="55" t="n">
        <v>27</v>
      </c>
      <c r="N56" s="89" t="n">
        <v>1350</v>
      </c>
    </row>
    <row r="57" ht="18" customHeight="1">
      <c r="F57" s="90" t="n">
        <v>2</v>
      </c>
      <c r="G57" s="91" t="inlineStr">
        <is>
          <t>NEUMATICO VOLVO PT- 240R</t>
        </is>
      </c>
      <c r="H57" s="92" t="n"/>
      <c r="I57" s="90" t="n">
        <v>30</v>
      </c>
      <c r="J57" s="90" t="n"/>
      <c r="K57" s="90" t="n">
        <v>30</v>
      </c>
      <c r="L57" s="93" t="n">
        <v>60</v>
      </c>
      <c r="M57" s="94" t="n">
        <v>27</v>
      </c>
      <c r="N57" s="95" t="n">
        <v>1620</v>
      </c>
    </row>
    <row r="58" ht="18" customHeight="1">
      <c r="F58" s="85" t="n">
        <v>3</v>
      </c>
      <c r="G58" s="86" t="inlineStr">
        <is>
          <t>NEUMATICO VOLVO PT-240R</t>
        </is>
      </c>
      <c r="H58" s="96" t="n"/>
      <c r="I58" s="85" t="n"/>
      <c r="J58" s="85" t="n">
        <v>27</v>
      </c>
      <c r="K58" s="85" t="n"/>
      <c r="L58" s="88" t="n">
        <v>27</v>
      </c>
      <c r="M58" s="55" t="n">
        <v>27</v>
      </c>
      <c r="N58" s="89" t="n">
        <v>729</v>
      </c>
    </row>
    <row r="59" ht="18" customHeight="1">
      <c r="F59" s="90" t="n">
        <v>4</v>
      </c>
      <c r="G59" s="91" t="inlineStr">
        <is>
          <t>PAVIMENTADORA VOGELE SJ 1800-3</t>
        </is>
      </c>
      <c r="H59" s="92" t="n"/>
      <c r="I59" s="90" t="n">
        <v>128</v>
      </c>
      <c r="J59" s="90" t="n">
        <v>150</v>
      </c>
      <c r="K59" s="90" t="n">
        <v>165</v>
      </c>
      <c r="L59" s="93" t="n">
        <v>443</v>
      </c>
      <c r="M59" s="94" t="n">
        <v>27</v>
      </c>
      <c r="N59" s="95" t="n">
        <v>11961</v>
      </c>
    </row>
    <row r="60" ht="18" customHeight="1">
      <c r="F60" s="85" t="n">
        <v>5</v>
      </c>
      <c r="G60" s="86" t="inlineStr">
        <is>
          <t>PETROLIZADORA (IMPACTO 04) FORD F800</t>
        </is>
      </c>
      <c r="H60" s="96" t="n"/>
      <c r="I60" s="85" t="n">
        <v>50</v>
      </c>
      <c r="J60" s="85" t="n"/>
      <c r="K60" s="85" t="n"/>
      <c r="L60" s="88" t="n">
        <v>50</v>
      </c>
      <c r="M60" s="55" t="n">
        <v>27</v>
      </c>
      <c r="N60" s="89" t="n">
        <v>1350</v>
      </c>
    </row>
    <row r="61" ht="18" customHeight="1">
      <c r="F61" s="90" t="n">
        <v>6</v>
      </c>
      <c r="G61" s="91" t="inlineStr">
        <is>
          <t>PETROLIZADORA INTERNATIONAL</t>
        </is>
      </c>
      <c r="H61" s="92" t="n"/>
      <c r="I61" s="90" t="n">
        <v>91</v>
      </c>
      <c r="J61" s="90" t="n"/>
      <c r="K61" s="90" t="n">
        <v>50</v>
      </c>
      <c r="L61" s="93" t="n">
        <v>141</v>
      </c>
      <c r="M61" s="94" t="n">
        <v>27</v>
      </c>
      <c r="N61" s="95" t="n">
        <v>3807</v>
      </c>
    </row>
    <row r="62" ht="18" customHeight="1">
      <c r="F62" s="85" t="n">
        <v>7</v>
      </c>
      <c r="G62" s="86" t="inlineStr">
        <is>
          <t>PIPA DE AGUA (IMPACTO 01) FORD</t>
        </is>
      </c>
      <c r="H62" s="96" t="n"/>
      <c r="I62" s="85" t="n">
        <v>56</v>
      </c>
      <c r="J62" s="85" t="n">
        <v>40</v>
      </c>
      <c r="K62" s="85" t="n">
        <v>30</v>
      </c>
      <c r="L62" s="88" t="n">
        <v>126</v>
      </c>
      <c r="M62" s="55" t="n">
        <v>27</v>
      </c>
      <c r="N62" s="89" t="n">
        <v>3402</v>
      </c>
    </row>
    <row r="63" ht="18" customHeight="1">
      <c r="F63" s="90" t="n">
        <v>8</v>
      </c>
      <c r="G63" s="91" t="inlineStr">
        <is>
          <t>RETROEXCAVADORA JHONDEREE 310 K</t>
        </is>
      </c>
      <c r="H63" s="92" t="n"/>
      <c r="I63" s="90" t="n">
        <v>55</v>
      </c>
      <c r="J63" s="90" t="n">
        <v>60</v>
      </c>
      <c r="K63" s="90" t="n"/>
      <c r="L63" s="93" t="n">
        <v>115</v>
      </c>
      <c r="M63" s="94" t="n">
        <v>27</v>
      </c>
      <c r="N63" s="95" t="n">
        <v>3105</v>
      </c>
    </row>
    <row r="64" ht="18" customHeight="1">
      <c r="F64" s="85" t="n">
        <v>9</v>
      </c>
      <c r="G64" s="86" t="inlineStr">
        <is>
          <t>VIBROCOMPACTADOR CATERPILLAR CB66B</t>
        </is>
      </c>
      <c r="H64" s="96" t="n"/>
      <c r="I64" s="85" t="n">
        <v>50</v>
      </c>
      <c r="J64" s="85" t="n">
        <v>73</v>
      </c>
      <c r="K64" s="85" t="n">
        <v>50</v>
      </c>
      <c r="L64" s="88" t="n">
        <v>173</v>
      </c>
      <c r="M64" s="55" t="n">
        <v>27</v>
      </c>
      <c r="N64" s="89" t="n">
        <v>4671</v>
      </c>
    </row>
    <row r="65" ht="20" customHeight="1">
      <c r="F65" s="80" t="inlineStr">
        <is>
          <t>TOTAL LITROS</t>
        </is>
      </c>
      <c r="G65" s="131" t="n"/>
      <c r="H65" s="132" t="n"/>
      <c r="I65" s="98" t="n">
        <v>460</v>
      </c>
      <c r="J65" s="97" t="n">
        <v>400</v>
      </c>
      <c r="K65" s="97" t="n">
        <v>325</v>
      </c>
      <c r="L65" s="80" t="n">
        <v>1185</v>
      </c>
      <c r="M65" s="15" t="n"/>
      <c r="N65" s="16" t="n">
        <v>31995</v>
      </c>
    </row>
    <row r="66" ht="20" customHeight="1">
      <c r="F66" s="99" t="inlineStr">
        <is>
          <t>IMPORTE SEMANAL AUTORIZADO: $75,600.00  (Litros aut.: 2,800.00 L)</t>
        </is>
      </c>
      <c r="G66" s="131" t="n"/>
      <c r="H66" s="131" t="n"/>
      <c r="I66" s="131" t="n"/>
      <c r="J66" s="131" t="n"/>
      <c r="K66" s="131" t="n"/>
      <c r="L66" s="131" t="n"/>
      <c r="M66" s="132" t="n"/>
      <c r="N66" s="101" t="n">
        <v>31995</v>
      </c>
    </row>
    <row r="69" ht="22" customHeight="1">
      <c r="F69" s="81" t="inlineStr">
        <is>
          <t>FRANCISCO JAVIER</t>
        </is>
      </c>
      <c r="G69" s="131" t="n"/>
      <c r="H69" s="131" t="n"/>
      <c r="I69" s="131" t="n"/>
      <c r="J69" s="131" t="n"/>
      <c r="K69" s="131" t="n"/>
      <c r="L69" s="131" t="n"/>
      <c r="M69" s="131" t="n"/>
      <c r="N69" s="131" t="n"/>
      <c r="O69" s="131" t="n"/>
      <c r="P69" s="131" t="n"/>
      <c r="Q69" s="132" t="n"/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10/08</t>
        </is>
      </c>
      <c r="J70" s="4" t="inlineStr">
        <is>
          <t>Mar
11/08</t>
        </is>
      </c>
      <c r="K70" s="4" t="inlineStr">
        <is>
          <t>Mié
12/08</t>
        </is>
      </c>
      <c r="L70" s="4" t="inlineStr">
        <is>
          <t>Jue
13/08</t>
        </is>
      </c>
      <c r="M70" s="4" t="inlineStr">
        <is>
          <t>Vie
14/08</t>
        </is>
      </c>
      <c r="N70" s="4" t="inlineStr">
        <is>
          <t>Sáb
15/08</t>
        </is>
      </c>
      <c r="O70" s="4" t="inlineStr">
        <is>
          <t>LITROS
TOTAL</t>
        </is>
      </c>
      <c r="P70" s="4" t="inlineStr">
        <is>
          <t>PRECIO
UNIT.</t>
        </is>
      </c>
      <c r="Q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México - Toluca</t>
        </is>
      </c>
      <c r="J71" s="84" t="inlineStr">
        <is>
          <t>México - Toluca</t>
        </is>
      </c>
      <c r="K71" s="84" t="inlineStr">
        <is>
          <t>México - Toluca</t>
        </is>
      </c>
      <c r="L71" s="84" t="inlineStr">
        <is>
          <t>México - Toluca</t>
        </is>
      </c>
      <c r="M71" s="84" t="inlineStr">
        <is>
          <t>México - Toluca</t>
        </is>
      </c>
      <c r="N71" s="84" t="inlineStr">
        <is>
          <t>México - Toluca</t>
        </is>
      </c>
      <c r="O71" s="82" t="n"/>
      <c r="P71" s="82" t="n"/>
      <c r="Q71" s="82" t="n"/>
    </row>
    <row r="72" ht="18" customHeight="1">
      <c r="F72" s="85" t="n">
        <v>1</v>
      </c>
      <c r="G72" s="86" t="inlineStr">
        <is>
          <t>BARREDORA BROCE BROOM KR350</t>
        </is>
      </c>
      <c r="H72" s="87" t="n">
        <v>3850</v>
      </c>
      <c r="I72" s="85" t="n">
        <v>20</v>
      </c>
      <c r="J72" s="85" t="n">
        <v>30</v>
      </c>
      <c r="K72" s="85" t="n">
        <v>24</v>
      </c>
      <c r="L72" s="85" t="n"/>
      <c r="M72" s="85" t="n">
        <v>37</v>
      </c>
      <c r="N72" s="85" t="n"/>
      <c r="O72" s="88" t="n">
        <v>111</v>
      </c>
      <c r="P72" s="55" t="n">
        <v>27</v>
      </c>
      <c r="Q72" s="89" t="n">
        <v>2997</v>
      </c>
    </row>
    <row r="73" ht="18" customHeight="1">
      <c r="F73" s="90" t="n">
        <v>2</v>
      </c>
      <c r="G73" s="91" t="inlineStr">
        <is>
          <t>DOBLE RODILLO/VIBROCOMPACTADOR DE RODILLOS HAMM 120HD VV</t>
        </is>
      </c>
      <c r="H73" s="92" t="n"/>
      <c r="I73" s="90" t="n">
        <v>50</v>
      </c>
      <c r="J73" s="90" t="n"/>
      <c r="K73" s="90" t="n">
        <v>50</v>
      </c>
      <c r="L73" s="90" t="n"/>
      <c r="M73" s="90" t="n">
        <v>48</v>
      </c>
      <c r="N73" s="90" t="n"/>
      <c r="O73" s="93" t="n">
        <v>148</v>
      </c>
      <c r="P73" s="94" t="n">
        <v>27</v>
      </c>
      <c r="Q73" s="95" t="n">
        <v>3996</v>
      </c>
    </row>
    <row r="74" ht="18" customHeight="1">
      <c r="F74" s="85" t="n">
        <v>3</v>
      </c>
      <c r="G74" s="86" t="inlineStr">
        <is>
          <t>DOBLE RODILLO/VIBROCOMPACTADOR DE RODILLOS HAMM 140HD</t>
        </is>
      </c>
      <c r="H74" s="96" t="n"/>
      <c r="I74" s="85" t="n"/>
      <c r="J74" s="85" t="n">
        <v>50</v>
      </c>
      <c r="K74" s="85" t="n"/>
      <c r="L74" s="85" t="n"/>
      <c r="M74" s="85" t="n"/>
      <c r="N74" s="85" t="n"/>
      <c r="O74" s="88" t="n">
        <v>50</v>
      </c>
      <c r="P74" s="55" t="n">
        <v>27</v>
      </c>
      <c r="Q74" s="89" t="n">
        <v>1350</v>
      </c>
    </row>
    <row r="75" ht="18" customHeight="1">
      <c r="F75" s="90" t="n">
        <v>4</v>
      </c>
      <c r="G75" s="91" t="inlineStr">
        <is>
          <t>NEUMATICO / COMPACTADOR DE NEUMATICOS DINAPAC CP271</t>
        </is>
      </c>
      <c r="H75" s="92" t="n"/>
      <c r="I75" s="90" t="n"/>
      <c r="J75" s="90" t="n">
        <v>34</v>
      </c>
      <c r="K75" s="90" t="n"/>
      <c r="L75" s="90" t="n"/>
      <c r="M75" s="90" t="n"/>
      <c r="N75" s="90" t="n"/>
      <c r="O75" s="93" t="n">
        <v>34</v>
      </c>
      <c r="P75" s="94" t="n">
        <v>27</v>
      </c>
      <c r="Q75" s="95" t="n">
        <v>918</v>
      </c>
    </row>
    <row r="76" ht="18" customHeight="1">
      <c r="F76" s="85" t="n">
        <v>5</v>
      </c>
      <c r="G76" s="86" t="inlineStr">
        <is>
          <t>NEUMATICO HAMM 208</t>
        </is>
      </c>
      <c r="H76" s="96" t="n"/>
      <c r="I76" s="85" t="n">
        <v>48</v>
      </c>
      <c r="J76" s="85" t="n"/>
      <c r="K76" s="85" t="n">
        <v>49</v>
      </c>
      <c r="L76" s="85" t="n"/>
      <c r="M76" s="85" t="n">
        <v>50</v>
      </c>
      <c r="N76" s="85" t="n"/>
      <c r="O76" s="88" t="n">
        <v>147</v>
      </c>
      <c r="P76" s="55" t="n">
        <v>27</v>
      </c>
      <c r="Q76" s="89" t="n">
        <v>3969</v>
      </c>
    </row>
    <row r="77" ht="18" customHeight="1">
      <c r="F77" s="90" t="n">
        <v>6</v>
      </c>
      <c r="G77" s="91" t="inlineStr">
        <is>
          <t>PAVIMENTADORA VOGELE 1800-3 i</t>
        </is>
      </c>
      <c r="H77" s="92" t="n"/>
      <c r="I77" s="90" t="n">
        <v>150</v>
      </c>
      <c r="J77" s="90" t="n">
        <v>230</v>
      </c>
      <c r="K77" s="90" t="n">
        <v>160</v>
      </c>
      <c r="L77" s="90" t="n"/>
      <c r="M77" s="90" t="n">
        <v>160</v>
      </c>
      <c r="N77" s="90" t="n"/>
      <c r="O77" s="93" t="n">
        <v>700</v>
      </c>
      <c r="P77" s="94" t="n">
        <v>27</v>
      </c>
      <c r="Q77" s="95" t="n">
        <v>18900</v>
      </c>
    </row>
    <row r="78" ht="18" customHeight="1">
      <c r="F78" s="85" t="n">
        <v>7</v>
      </c>
      <c r="G78" s="86" t="inlineStr">
        <is>
          <t>PERFILADORA RODATEC RX600-4-4008</t>
        </is>
      </c>
      <c r="H78" s="96" t="n"/>
      <c r="I78" s="85" t="n">
        <v>400</v>
      </c>
      <c r="J78" s="85" t="n"/>
      <c r="K78" s="85" t="n"/>
      <c r="L78" s="85" t="n"/>
      <c r="M78" s="85" t="n"/>
      <c r="N78" s="85" t="n"/>
      <c r="O78" s="88" t="n">
        <v>400</v>
      </c>
      <c r="P78" s="55" t="n">
        <v>27</v>
      </c>
      <c r="Q78" s="89" t="n">
        <v>10800</v>
      </c>
    </row>
    <row r="79" ht="18" customHeight="1">
      <c r="F79" s="90" t="n">
        <v>8</v>
      </c>
      <c r="G79" s="91" t="inlineStr">
        <is>
          <t>PERFILADORA RODATEC RX600E</t>
        </is>
      </c>
      <c r="H79" s="92" t="n"/>
      <c r="I79" s="90" t="n"/>
      <c r="J79" s="90" t="n">
        <v>120</v>
      </c>
      <c r="K79" s="90" t="n">
        <v>300</v>
      </c>
      <c r="L79" s="90" t="n"/>
      <c r="M79" s="90" t="n">
        <v>400</v>
      </c>
      <c r="N79" s="90" t="n"/>
      <c r="O79" s="93" t="n">
        <v>820</v>
      </c>
      <c r="P79" s="94" t="n">
        <v>27</v>
      </c>
      <c r="Q79" s="95" t="n">
        <v>22140</v>
      </c>
    </row>
    <row r="80" ht="18" customHeight="1">
      <c r="F80" s="85" t="n">
        <v>9</v>
      </c>
      <c r="G80" s="86" t="inlineStr">
        <is>
          <t>PETROLIZADORA (IMPACTO 04) FORD F800</t>
        </is>
      </c>
      <c r="H80" s="96" t="n"/>
      <c r="I80" s="85" t="n">
        <v>60</v>
      </c>
      <c r="J80" s="85" t="n"/>
      <c r="K80" s="85" t="n">
        <v>120</v>
      </c>
      <c r="L80" s="85" t="n"/>
      <c r="M80" s="85" t="n">
        <v>60</v>
      </c>
      <c r="N80" s="85" t="n"/>
      <c r="O80" s="88" t="n">
        <v>240</v>
      </c>
      <c r="P80" s="55" t="n">
        <v>27</v>
      </c>
      <c r="Q80" s="89" t="n">
        <v>6480</v>
      </c>
    </row>
    <row r="81" ht="18" customHeight="1">
      <c r="F81" s="90" t="n">
        <v>10</v>
      </c>
      <c r="G81" s="91" t="inlineStr">
        <is>
          <t>RETROEXCAVADORA CASE 420E</t>
        </is>
      </c>
      <c r="H81" s="92" t="n"/>
      <c r="I81" s="90" t="n"/>
      <c r="J81" s="90" t="n"/>
      <c r="K81" s="90" t="n"/>
      <c r="L81" s="90" t="n">
        <v>120</v>
      </c>
      <c r="M81" s="90" t="n"/>
      <c r="N81" s="90" t="n"/>
      <c r="O81" s="93" t="n">
        <v>120</v>
      </c>
      <c r="P81" s="94" t="n">
        <v>27</v>
      </c>
      <c r="Q81" s="95" t="n">
        <v>3240</v>
      </c>
    </row>
    <row r="82" ht="18" customHeight="1">
      <c r="F82" s="85" t="n">
        <v>11</v>
      </c>
      <c r="G82" s="86" t="inlineStr">
        <is>
          <t>RETROEXCAVADORA CASE 580 N</t>
        </is>
      </c>
      <c r="H82" s="96" t="n"/>
      <c r="I82" s="85" t="n"/>
      <c r="J82" s="85" t="n">
        <v>50</v>
      </c>
      <c r="K82" s="85" t="n"/>
      <c r="L82" s="85" t="n"/>
      <c r="M82" s="85" t="n"/>
      <c r="N82" s="85" t="n"/>
      <c r="O82" s="88" t="n">
        <v>50</v>
      </c>
      <c r="P82" s="55" t="n">
        <v>27</v>
      </c>
      <c r="Q82" s="89" t="n">
        <v>1350</v>
      </c>
    </row>
    <row r="83" ht="18" customHeight="1">
      <c r="F83" s="90" t="n">
        <v>12</v>
      </c>
      <c r="G83" s="91" t="inlineStr">
        <is>
          <t>RETROEXCAVADORA JHONDEREE 310SK</t>
        </is>
      </c>
      <c r="H83" s="92" t="n"/>
      <c r="I83" s="90" t="n">
        <v>60</v>
      </c>
      <c r="J83" s="90" t="n"/>
      <c r="K83" s="90" t="n">
        <v>60</v>
      </c>
      <c r="L83" s="90" t="n"/>
      <c r="M83" s="90" t="n">
        <v>60</v>
      </c>
      <c r="N83" s="90" t="n">
        <v>40</v>
      </c>
      <c r="O83" s="93" t="n">
        <v>220</v>
      </c>
      <c r="P83" s="94" t="n">
        <v>27</v>
      </c>
      <c r="Q83" s="95" t="n">
        <v>5940</v>
      </c>
    </row>
    <row r="84" ht="20" customHeight="1">
      <c r="F84" s="80" t="inlineStr">
        <is>
          <t>TOTAL LITROS</t>
        </is>
      </c>
      <c r="G84" s="131" t="n"/>
      <c r="H84" s="132" t="n"/>
      <c r="I84" s="98" t="n">
        <v>788</v>
      </c>
      <c r="J84" s="97" t="n">
        <v>514</v>
      </c>
      <c r="K84" s="98" t="n">
        <v>763</v>
      </c>
      <c r="L84" s="97" t="n">
        <v>120</v>
      </c>
      <c r="M84" s="98" t="n">
        <v>815</v>
      </c>
      <c r="N84" s="97" t="n">
        <v>40</v>
      </c>
      <c r="O84" s="80" t="n">
        <v>3040</v>
      </c>
      <c r="P84" s="15" t="n"/>
      <c r="Q84" s="16" t="n">
        <v>82080</v>
      </c>
    </row>
    <row r="85" ht="20" customHeight="1">
      <c r="F85" s="99" t="inlineStr">
        <is>
          <t>IMPORTE SEMANAL AUTORIZADO: $103,950.00  (Litros aut.: 3,850.00 L)</t>
        </is>
      </c>
      <c r="G85" s="131" t="n"/>
      <c r="H85" s="131" t="n"/>
      <c r="I85" s="131" t="n"/>
      <c r="J85" s="131" t="n"/>
      <c r="K85" s="131" t="n"/>
      <c r="L85" s="131" t="n"/>
      <c r="M85" s="131" t="n"/>
      <c r="N85" s="131" t="n"/>
      <c r="O85" s="131" t="n"/>
      <c r="P85" s="132" t="n"/>
      <c r="Q85" s="101" t="n">
        <v>82080</v>
      </c>
    </row>
    <row r="88" ht="22" customHeight="1">
      <c r="F88" s="81" t="inlineStr">
        <is>
          <t>ING. DIEGO CARREOLA</t>
        </is>
      </c>
      <c r="G88" s="131" t="n"/>
      <c r="H88" s="131" t="n"/>
      <c r="I88" s="131" t="n"/>
      <c r="J88" s="131" t="n"/>
      <c r="K88" s="131" t="n"/>
      <c r="L88" s="131" t="n"/>
      <c r="M88" s="132" t="n"/>
    </row>
    <row r="89" ht="28" customHeight="1">
      <c r="F89" s="4" t="inlineStr">
        <is>
          <t>#</t>
        </is>
      </c>
      <c r="G89" s="4" t="inlineStr">
        <is>
          <t>EQUIPO / MAQUINARIA</t>
        </is>
      </c>
      <c r="H89" s="4" t="inlineStr">
        <is>
          <t>LTS. SEM.
AUT.</t>
        </is>
      </c>
      <c r="I89" s="4" t="inlineStr">
        <is>
          <t>Jue
13/08</t>
        </is>
      </c>
      <c r="J89" s="4" t="inlineStr">
        <is>
          <t>Vie
14/08</t>
        </is>
      </c>
      <c r="K89" s="4" t="inlineStr">
        <is>
          <t>LITROS
TOTAL</t>
        </is>
      </c>
      <c r="L89" s="4" t="inlineStr">
        <is>
          <t>PRECIO
UNIT.</t>
        </is>
      </c>
      <c r="M89" s="4" t="inlineStr">
        <is>
          <t>TOTAL $</t>
        </is>
      </c>
    </row>
    <row r="90" ht="22" customHeight="1">
      <c r="F90" s="82" t="n"/>
      <c r="G90" s="83" t="inlineStr">
        <is>
          <t>OBRA DESTINO</t>
        </is>
      </c>
      <c r="H90" s="82" t="n"/>
      <c r="I90" s="84" t="inlineStr">
        <is>
          <t>Bacheo Toluca</t>
        </is>
      </c>
      <c r="J90" s="84" t="inlineStr">
        <is>
          <t>San Felipe Tlalminilolpan</t>
        </is>
      </c>
      <c r="K90" s="82" t="n"/>
      <c r="L90" s="82" t="n"/>
      <c r="M90" s="82" t="n"/>
    </row>
    <row r="91" ht="18" customHeight="1">
      <c r="F91" s="85" t="n">
        <v>1</v>
      </c>
      <c r="G91" s="86" t="inlineStr">
        <is>
          <t>BARREDORA LAYMOR SM400</t>
        </is>
      </c>
      <c r="H91" s="87" t="n">
        <v>6300</v>
      </c>
      <c r="I91" s="85" t="n"/>
      <c r="J91" s="85" t="n">
        <v>30</v>
      </c>
      <c r="K91" s="88" t="n">
        <v>30</v>
      </c>
      <c r="L91" s="55" t="n">
        <v>27</v>
      </c>
      <c r="M91" s="89" t="n">
        <v>810</v>
      </c>
    </row>
    <row r="92" ht="18" customHeight="1">
      <c r="F92" s="90" t="n">
        <v>2</v>
      </c>
      <c r="G92" s="91" t="inlineStr">
        <is>
          <t>PERFILADORA RODATEC RX600-4-4008</t>
        </is>
      </c>
      <c r="H92" s="92" t="n"/>
      <c r="I92" s="90" t="n"/>
      <c r="J92" s="90" t="n">
        <v>200</v>
      </c>
      <c r="K92" s="93" t="n">
        <v>200</v>
      </c>
      <c r="L92" s="94" t="n">
        <v>27</v>
      </c>
      <c r="M92" s="95" t="n">
        <v>5400</v>
      </c>
    </row>
    <row r="93" ht="18" customHeight="1">
      <c r="F93" s="85" t="n">
        <v>3</v>
      </c>
      <c r="G93" s="86" t="inlineStr">
        <is>
          <t>Petrolizadora</t>
        </is>
      </c>
      <c r="H93" s="96" t="n"/>
      <c r="I93" s="85" t="n">
        <v>30</v>
      </c>
      <c r="J93" s="85" t="n"/>
      <c r="K93" s="88" t="n">
        <v>30</v>
      </c>
      <c r="L93" s="55" t="n">
        <v>27</v>
      </c>
      <c r="M93" s="89" t="n">
        <v>810</v>
      </c>
    </row>
    <row r="94" ht="18" customHeight="1">
      <c r="F94" s="90" t="n">
        <v>4</v>
      </c>
      <c r="G94" s="91" t="inlineStr">
        <is>
          <t>RETROEXCAVADORA CASE 580 N</t>
        </is>
      </c>
      <c r="H94" s="92" t="n"/>
      <c r="I94" s="90" t="n"/>
      <c r="J94" s="90" t="n">
        <v>140</v>
      </c>
      <c r="K94" s="93" t="n">
        <v>140</v>
      </c>
      <c r="L94" s="94" t="n">
        <v>27</v>
      </c>
      <c r="M94" s="95" t="n">
        <v>3780</v>
      </c>
    </row>
    <row r="95" ht="20" customHeight="1">
      <c r="F95" s="80" t="inlineStr">
        <is>
          <t>TOTAL LITROS</t>
        </is>
      </c>
      <c r="G95" s="131" t="n"/>
      <c r="H95" s="132" t="n"/>
      <c r="I95" s="97" t="n">
        <v>30</v>
      </c>
      <c r="J95" s="97" t="n">
        <v>370</v>
      </c>
      <c r="K95" s="80" t="n">
        <v>400</v>
      </c>
      <c r="L95" s="15" t="n"/>
      <c r="M95" s="16" t="n">
        <v>10800</v>
      </c>
    </row>
    <row r="96" ht="20" customHeight="1">
      <c r="F96" s="99" t="inlineStr">
        <is>
          <t>IMPORTE SEMANAL AUTORIZADO: $170,100.00  (Litros aut.: 6,300.00 L)</t>
        </is>
      </c>
      <c r="G96" s="131" t="n"/>
      <c r="H96" s="131" t="n"/>
      <c r="I96" s="131" t="n"/>
      <c r="J96" s="131" t="n"/>
      <c r="K96" s="131" t="n"/>
      <c r="L96" s="132" t="n"/>
      <c r="M96" s="101" t="n">
        <v>10800</v>
      </c>
    </row>
    <row r="99" ht="22" customHeight="1">
      <c r="F99" s="81" t="inlineStr">
        <is>
          <t>JACK</t>
        </is>
      </c>
      <c r="G99" s="131" t="n"/>
      <c r="H99" s="131" t="n"/>
      <c r="I99" s="131" t="n"/>
      <c r="J99" s="131" t="n"/>
      <c r="K99" s="131" t="n"/>
      <c r="L99" s="131" t="n"/>
      <c r="M99" s="132" t="n"/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Mar
11/08</t>
        </is>
      </c>
      <c r="J100" s="4" t="inlineStr">
        <is>
          <t>Jue
13/08</t>
        </is>
      </c>
      <c r="K100" s="4" t="inlineStr">
        <is>
          <t>LITROS
TOTAL</t>
        </is>
      </c>
      <c r="L100" s="4" t="inlineStr">
        <is>
          <t>PRECIO
UNIT.</t>
        </is>
      </c>
      <c r="M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Planta Pegaso</t>
        </is>
      </c>
      <c r="J101" s="84" t="inlineStr">
        <is>
          <t>Planta Pegaso</t>
        </is>
      </c>
      <c r="K101" s="82" t="n"/>
      <c r="L101" s="82" t="n"/>
      <c r="M101" s="82" t="n"/>
    </row>
    <row r="102" ht="18" customHeight="1">
      <c r="F102" s="85" t="n">
        <v>1</v>
      </c>
      <c r="G102" s="86" t="inlineStr">
        <is>
          <t>CALDERA PEGASO</t>
        </is>
      </c>
      <c r="H102" s="87" t="n">
        <v>2800</v>
      </c>
      <c r="I102" s="85" t="n">
        <v>880</v>
      </c>
      <c r="J102" s="85" t="n">
        <v>4000</v>
      </c>
      <c r="K102" s="88" t="n">
        <v>4880</v>
      </c>
      <c r="L102" s="55" t="n">
        <v>27</v>
      </c>
      <c r="M102" s="89" t="n">
        <v>131760</v>
      </c>
    </row>
    <row r="103" ht="18" customHeight="1">
      <c r="F103" s="90" t="n">
        <v>2</v>
      </c>
      <c r="G103" s="91" t="inlineStr">
        <is>
          <t>Payloder 644k</t>
        </is>
      </c>
      <c r="H103" s="92" t="n"/>
      <c r="I103" s="90" t="n">
        <v>120</v>
      </c>
      <c r="J103" s="90" t="n"/>
      <c r="K103" s="93" t="n">
        <v>120</v>
      </c>
      <c r="L103" s="94" t="n">
        <v>27</v>
      </c>
      <c r="M103" s="95" t="n">
        <v>3240</v>
      </c>
    </row>
    <row r="104" ht="20" customHeight="1">
      <c r="F104" s="80" t="inlineStr">
        <is>
          <t>TOTAL LITROS</t>
        </is>
      </c>
      <c r="G104" s="131" t="n"/>
      <c r="H104" s="132" t="n"/>
      <c r="I104" s="98" t="n">
        <v>1000</v>
      </c>
      <c r="J104" s="98" t="n">
        <v>4000</v>
      </c>
      <c r="K104" s="80" t="n">
        <v>5000</v>
      </c>
      <c r="L104" s="15" t="n"/>
      <c r="M104" s="16" t="n">
        <v>135000</v>
      </c>
    </row>
    <row r="105" ht="20" customHeight="1">
      <c r="F105" s="99" t="inlineStr">
        <is>
          <t>IMPORTE SEMANAL AUTORIZADO: $75,600.00  (Litros aut.: 2,800.00 L)</t>
        </is>
      </c>
      <c r="G105" s="131" t="n"/>
      <c r="H105" s="131" t="n"/>
      <c r="I105" s="131" t="n"/>
      <c r="J105" s="131" t="n"/>
      <c r="K105" s="131" t="n"/>
      <c r="L105" s="132" t="n"/>
      <c r="M105" s="130" t="n">
        <v>135000</v>
      </c>
    </row>
    <row r="108" ht="22" customHeight="1">
      <c r="F108" s="81" t="inlineStr">
        <is>
          <t>LUIS</t>
        </is>
      </c>
      <c r="G108" s="131" t="n"/>
      <c r="H108" s="131" t="n"/>
      <c r="I108" s="131" t="n"/>
      <c r="J108" s="131" t="n"/>
      <c r="K108" s="131" t="n"/>
      <c r="L108" s="131" t="n"/>
      <c r="M108" s="131" t="n"/>
      <c r="N108" s="131" t="n"/>
      <c r="O108" s="132" t="n"/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10/08</t>
        </is>
      </c>
      <c r="J109" s="4" t="inlineStr">
        <is>
          <t>Mié
12/08</t>
        </is>
      </c>
      <c r="K109" s="4" t="inlineStr">
        <is>
          <t>Vie
14/08</t>
        </is>
      </c>
      <c r="L109" s="4" t="inlineStr">
        <is>
          <t>Sáb
15/08</t>
        </is>
      </c>
      <c r="M109" s="4" t="inlineStr">
        <is>
          <t>LITROS
TOTAL</t>
        </is>
      </c>
      <c r="N109" s="4" t="inlineStr">
        <is>
          <t>PRECIO
UNIT.</t>
        </is>
      </c>
      <c r="O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Planta Huixquilucan</t>
        </is>
      </c>
      <c r="J110" s="84" t="inlineStr">
        <is>
          <t>Planta Huixquilucan</t>
        </is>
      </c>
      <c r="K110" s="84" t="inlineStr">
        <is>
          <t>Planta Huixquilucan</t>
        </is>
      </c>
      <c r="L110" s="84" t="inlineStr">
        <is>
          <t>Planta Huixquilucan</t>
        </is>
      </c>
      <c r="M110" s="82" t="n"/>
      <c r="N110" s="82" t="n"/>
      <c r="O110" s="82" t="n"/>
    </row>
    <row r="111" ht="18" customHeight="1">
      <c r="F111" s="85" t="n">
        <v>1</v>
      </c>
      <c r="G111" s="86" t="inlineStr">
        <is>
          <t>BIDONES</t>
        </is>
      </c>
      <c r="H111" s="87" t="n">
        <v>2800</v>
      </c>
      <c r="I111" s="85" t="n">
        <v>100</v>
      </c>
      <c r="J111" s="85" t="n">
        <v>600</v>
      </c>
      <c r="K111" s="85" t="n">
        <v>400</v>
      </c>
      <c r="L111" s="85" t="n">
        <v>400</v>
      </c>
      <c r="M111" s="88" t="n">
        <v>1500</v>
      </c>
      <c r="N111" s="55" t="n">
        <v>27</v>
      </c>
      <c r="O111" s="89" t="n">
        <v>40500</v>
      </c>
    </row>
    <row r="112" ht="18" customHeight="1">
      <c r="F112" s="90" t="n">
        <v>2</v>
      </c>
      <c r="G112" s="91" t="inlineStr">
        <is>
          <t>CALDERA PLANTA  AH</t>
        </is>
      </c>
      <c r="H112" s="92" t="n"/>
      <c r="I112" s="90" t="n">
        <v>304</v>
      </c>
      <c r="J112" s="90" t="n"/>
      <c r="K112" s="90" t="n">
        <v>300</v>
      </c>
      <c r="L112" s="90" t="n"/>
      <c r="M112" s="93" t="n">
        <v>604</v>
      </c>
      <c r="N112" s="94" t="n">
        <v>27</v>
      </c>
      <c r="O112" s="95" t="n">
        <v>16308</v>
      </c>
    </row>
    <row r="113" ht="18" customHeight="1">
      <c r="F113" s="85" t="n">
        <v>3</v>
      </c>
      <c r="G113" s="86" t="inlineStr">
        <is>
          <t>Criba Mobil</t>
        </is>
      </c>
      <c r="H113" s="96" t="n"/>
      <c r="I113" s="85" t="n">
        <v>50</v>
      </c>
      <c r="J113" s="85" t="n"/>
      <c r="K113" s="85" t="n"/>
      <c r="L113" s="85" t="n"/>
      <c r="M113" s="88" t="n">
        <v>50</v>
      </c>
      <c r="N113" s="55" t="n">
        <v>27</v>
      </c>
      <c r="O113" s="89" t="n">
        <v>1350</v>
      </c>
    </row>
    <row r="114" ht="18" customHeight="1">
      <c r="F114" s="90" t="n">
        <v>4</v>
      </c>
      <c r="G114" s="91" t="inlineStr">
        <is>
          <t>Generador</t>
        </is>
      </c>
      <c r="H114" s="92" t="n"/>
      <c r="I114" s="90" t="n">
        <v>250</v>
      </c>
      <c r="J114" s="90" t="n">
        <v>200</v>
      </c>
      <c r="K114" s="90" t="n"/>
      <c r="L114" s="90" t="n"/>
      <c r="M114" s="93" t="n">
        <v>450</v>
      </c>
      <c r="N114" s="94" t="n">
        <v>27</v>
      </c>
      <c r="O114" s="95" t="n">
        <v>12150</v>
      </c>
    </row>
    <row r="115" ht="18" customHeight="1">
      <c r="F115" s="85" t="n">
        <v>5</v>
      </c>
      <c r="G115" s="86" t="inlineStr">
        <is>
          <t>PAYLOADER</t>
        </is>
      </c>
      <c r="H115" s="96" t="n"/>
      <c r="I115" s="85" t="n">
        <v>96</v>
      </c>
      <c r="J115" s="85" t="n"/>
      <c r="K115" s="85" t="n"/>
      <c r="L115" s="85" t="n"/>
      <c r="M115" s="88" t="n">
        <v>96</v>
      </c>
      <c r="N115" s="55" t="n">
        <v>27</v>
      </c>
      <c r="O115" s="89" t="n">
        <v>2592</v>
      </c>
    </row>
    <row r="116" ht="18" customHeight="1">
      <c r="F116" s="90" t="n">
        <v>6</v>
      </c>
      <c r="G116" s="91" t="inlineStr">
        <is>
          <t>Torre de Luces Maxilight</t>
        </is>
      </c>
      <c r="H116" s="92" t="n"/>
      <c r="I116" s="90" t="n"/>
      <c r="J116" s="90" t="n"/>
      <c r="K116" s="90" t="n">
        <v>100</v>
      </c>
      <c r="L116" s="90" t="n"/>
      <c r="M116" s="93" t="n">
        <v>100</v>
      </c>
      <c r="N116" s="94" t="n">
        <v>27</v>
      </c>
      <c r="O116" s="95" t="n">
        <v>2700</v>
      </c>
    </row>
    <row r="117" ht="20" customHeight="1">
      <c r="F117" s="80" t="inlineStr">
        <is>
          <t>TOTAL LITROS</t>
        </is>
      </c>
      <c r="G117" s="131" t="n"/>
      <c r="H117" s="132" t="n"/>
      <c r="I117" s="98" t="n">
        <v>800</v>
      </c>
      <c r="J117" s="98" t="n">
        <v>800</v>
      </c>
      <c r="K117" s="98" t="n">
        <v>800</v>
      </c>
      <c r="L117" s="97" t="n">
        <v>400</v>
      </c>
      <c r="M117" s="80" t="n">
        <v>2800</v>
      </c>
      <c r="N117" s="15" t="n"/>
      <c r="O117" s="16" t="n">
        <v>75600</v>
      </c>
    </row>
    <row r="118" ht="20" customHeight="1">
      <c r="F118" s="99" t="inlineStr">
        <is>
          <t>IMPORTE SEMANAL AUTORIZADO: $75,600.00  (Litros aut.: 2,800.00 L)</t>
        </is>
      </c>
      <c r="G118" s="131" t="n"/>
      <c r="H118" s="131" t="n"/>
      <c r="I118" s="131" t="n"/>
      <c r="J118" s="131" t="n"/>
      <c r="K118" s="131" t="n"/>
      <c r="L118" s="131" t="n"/>
      <c r="M118" s="131" t="n"/>
      <c r="N118" s="132" t="n"/>
      <c r="O118" s="101" t="n">
        <v>75600</v>
      </c>
    </row>
    <row r="121" ht="22" customHeight="1">
      <c r="F121" s="81" t="inlineStr">
        <is>
          <t>SAMUEL</t>
        </is>
      </c>
      <c r="G121" s="131" t="n"/>
      <c r="H121" s="131" t="n"/>
      <c r="I121" s="131" t="n"/>
      <c r="J121" s="131" t="n"/>
      <c r="K121" s="131" t="n"/>
      <c r="L121" s="131" t="n"/>
      <c r="M121" s="131" t="n"/>
      <c r="N121" s="132" t="n"/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11/08</t>
        </is>
      </c>
      <c r="J122" s="4" t="inlineStr">
        <is>
          <t>Mié
12/08</t>
        </is>
      </c>
      <c r="K122" s="4" t="inlineStr">
        <is>
          <t>Jue
13/08</t>
        </is>
      </c>
      <c r="L122" s="4" t="inlineStr">
        <is>
          <t>LITROS
TOTAL</t>
        </is>
      </c>
      <c r="M122" s="4" t="inlineStr">
        <is>
          <t>PRECIO
UNIT.</t>
        </is>
      </c>
      <c r="N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Aurelio Venegas</t>
        </is>
      </c>
      <c r="J123" s="84" t="inlineStr">
        <is>
          <t>Providencia</t>
        </is>
      </c>
      <c r="K123" s="84" t="inlineStr">
        <is>
          <t>Providencia</t>
        </is>
      </c>
      <c r="L123" s="82" t="n"/>
      <c r="M123" s="82" t="n"/>
      <c r="N123" s="82" t="n"/>
    </row>
    <row r="124" ht="18" customHeight="1">
      <c r="F124" s="85" t="n">
        <v>1</v>
      </c>
      <c r="G124" s="86" t="inlineStr">
        <is>
          <t>LIMPIEZA DE 2 CUADRILLAS DE BACHEO - -</t>
        </is>
      </c>
      <c r="H124" s="96" t="n"/>
      <c r="I124" s="85" t="n"/>
      <c r="J124" s="85" t="n">
        <v>10</v>
      </c>
      <c r="K124" s="85" t="n"/>
      <c r="L124" s="88" t="n">
        <v>10</v>
      </c>
      <c r="M124" s="55" t="n">
        <v>27</v>
      </c>
      <c r="N124" s="89" t="n">
        <v>270</v>
      </c>
    </row>
    <row r="125" ht="18" customHeight="1">
      <c r="F125" s="90" t="n">
        <v>2</v>
      </c>
      <c r="G125" s="91" t="inlineStr">
        <is>
          <t>PETROLIZADORA INTERNATIONAL None</t>
        </is>
      </c>
      <c r="H125" s="92" t="n"/>
      <c r="I125" s="90" t="n"/>
      <c r="J125" s="90" t="n"/>
      <c r="K125" s="90" t="n">
        <v>40</v>
      </c>
      <c r="L125" s="93" t="n">
        <v>40</v>
      </c>
      <c r="M125" s="94" t="n">
        <v>27</v>
      </c>
      <c r="N125" s="95" t="n">
        <v>1080</v>
      </c>
    </row>
    <row r="126" ht="18" customHeight="1">
      <c r="F126" s="85" t="n">
        <v>3</v>
      </c>
      <c r="G126" s="86" t="inlineStr">
        <is>
          <t>RETROEXCAVADORA CASE 580 N</t>
        </is>
      </c>
      <c r="H126" s="96" t="n"/>
      <c r="I126" s="85" t="n">
        <v>120</v>
      </c>
      <c r="J126" s="85" t="n"/>
      <c r="K126" s="85" t="n"/>
      <c r="L126" s="88" t="n">
        <v>120</v>
      </c>
      <c r="M126" s="55" t="n">
        <v>27</v>
      </c>
      <c r="N126" s="89" t="n">
        <v>3240</v>
      </c>
    </row>
    <row r="127" ht="18" customHeight="1">
      <c r="F127" s="90" t="n">
        <v>4</v>
      </c>
      <c r="G127" s="91" t="inlineStr">
        <is>
          <t>TANDEM DOBLE RODILLO / VIBROCOMPACTOR RODILLO CAT CB54</t>
        </is>
      </c>
      <c r="H127" s="92" t="n"/>
      <c r="I127" s="90" t="n"/>
      <c r="J127" s="90" t="n">
        <v>50</v>
      </c>
      <c r="K127" s="90" t="n"/>
      <c r="L127" s="93" t="n">
        <v>50</v>
      </c>
      <c r="M127" s="94" t="n">
        <v>27</v>
      </c>
      <c r="N127" s="95" t="n">
        <v>1350</v>
      </c>
    </row>
    <row r="128" ht="20" customHeight="1">
      <c r="F128" s="80" t="inlineStr">
        <is>
          <t>TOTAL LITROS</t>
        </is>
      </c>
      <c r="G128" s="131" t="n"/>
      <c r="H128" s="132" t="n"/>
      <c r="I128" s="97" t="n">
        <v>120</v>
      </c>
      <c r="J128" s="97" t="n">
        <v>60</v>
      </c>
      <c r="K128" s="97" t="n">
        <v>40</v>
      </c>
      <c r="L128" s="80" t="n">
        <v>220</v>
      </c>
      <c r="M128" s="15" t="n"/>
      <c r="N128" s="16" t="n">
        <v>5940</v>
      </c>
    </row>
    <row r="129" ht="20" customHeight="1">
      <c r="F129" s="99" t="inlineStr">
        <is>
          <t>IMPORTE SEMANAL AUTORIZADO: $0.00  (Litros aut.: 0.00 L)</t>
        </is>
      </c>
      <c r="G129" s="131" t="n"/>
      <c r="H129" s="131" t="n"/>
      <c r="I129" s="131" t="n"/>
      <c r="J129" s="131" t="n"/>
      <c r="K129" s="131" t="n"/>
      <c r="L129" s="131" t="n"/>
      <c r="M129" s="132" t="n"/>
      <c r="N129" s="130" t="n">
        <v>5940</v>
      </c>
    </row>
    <row r="134" ht="24" customHeight="1">
      <c r="F134" s="102" t="inlineStr">
        <is>
          <t>▶ FACTURADO POR OBRA Y DÍA — DIESEL (FOLIOS, MONTOS CON IVA Y LITROS — SEMANA 33)</t>
        </is>
      </c>
      <c r="G134" s="131" t="n"/>
      <c r="H134" s="131" t="n"/>
      <c r="I134" s="131" t="n"/>
      <c r="J134" s="131" t="n"/>
      <c r="K134" s="131" t="n"/>
      <c r="L134" s="131" t="n"/>
      <c r="M134" s="131" t="n"/>
      <c r="N134" s="131" t="n"/>
      <c r="O134" s="131" t="n"/>
      <c r="P134" s="131" t="n"/>
      <c r="Q134" s="131" t="n"/>
      <c r="R134" s="131" t="n"/>
      <c r="S134" s="131" t="n"/>
      <c r="T134" s="131" t="n"/>
      <c r="U134" s="131" t="n"/>
      <c r="V134" s="131" t="n"/>
      <c r="W134" s="131" t="n"/>
      <c r="X134" s="131" t="n"/>
      <c r="Y134" s="131" t="n"/>
      <c r="Z134" s="131" t="n"/>
      <c r="AA134" s="132" t="n"/>
    </row>
    <row r="135" ht="20" customHeight="1">
      <c r="F135" s="4" t="inlineStr">
        <is>
          <t>OBRA / DESTINO</t>
        </is>
      </c>
      <c r="G135" s="4" t="inlineStr">
        <is>
          <t>LUN 10-AGO</t>
        </is>
      </c>
      <c r="H135" s="131" t="n"/>
      <c r="I135" s="132" t="n"/>
      <c r="J135" s="4" t="inlineStr">
        <is>
          <t>MAR 11-AGO</t>
        </is>
      </c>
      <c r="K135" s="131" t="n"/>
      <c r="L135" s="132" t="n"/>
      <c r="M135" s="4" t="inlineStr">
        <is>
          <t>MIÉ 12-AGO</t>
        </is>
      </c>
      <c r="N135" s="131" t="n"/>
      <c r="O135" s="132" t="n"/>
      <c r="P135" s="4" t="inlineStr">
        <is>
          <t>JUE 13-AGO</t>
        </is>
      </c>
      <c r="Q135" s="131" t="n"/>
      <c r="R135" s="132" t="n"/>
      <c r="S135" s="4" t="inlineStr">
        <is>
          <t>VIE 14-AGO</t>
        </is>
      </c>
      <c r="T135" s="131" t="n"/>
      <c r="U135" s="132" t="n"/>
      <c r="V135" s="4" t="inlineStr">
        <is>
          <t>SÁB 15-AGO</t>
        </is>
      </c>
      <c r="W135" s="131" t="n"/>
      <c r="X135" s="132" t="n"/>
      <c r="Y135" s="4" t="inlineStr">
        <is>
          <t>TOTALES ACUMULADOS</t>
        </is>
      </c>
      <c r="Z135" s="131" t="n"/>
      <c r="AA135" s="132" t="n"/>
    </row>
    <row r="136" ht="20" customHeight="1">
      <c r="F136" s="135" t="n"/>
      <c r="G136" s="4" t="inlineStr">
        <is>
          <t>FACTURA</t>
        </is>
      </c>
      <c r="H136" s="4" t="inlineStr">
        <is>
          <t>MONTO ($)</t>
        </is>
      </c>
      <c r="I136" s="4" t="inlineStr">
        <is>
          <t>LITROS</t>
        </is>
      </c>
      <c r="J136" s="4" t="inlineStr">
        <is>
          <t>FACTURA</t>
        </is>
      </c>
      <c r="K136" s="4" t="inlineStr">
        <is>
          <t>MONTO ($)</t>
        </is>
      </c>
      <c r="L136" s="4" t="inlineStr">
        <is>
          <t>LITROS</t>
        </is>
      </c>
      <c r="M136" s="4" t="inlineStr">
        <is>
          <t>FACTURA</t>
        </is>
      </c>
      <c r="N136" s="4" t="inlineStr">
        <is>
          <t>MONTO ($)</t>
        </is>
      </c>
      <c r="O136" s="4" t="inlineStr">
        <is>
          <t>LITROS</t>
        </is>
      </c>
      <c r="P136" s="4" t="inlineStr">
        <is>
          <t>FACTURA</t>
        </is>
      </c>
      <c r="Q136" s="4" t="inlineStr">
        <is>
          <t>MONTO ($)</t>
        </is>
      </c>
      <c r="R136" s="4" t="inlineStr">
        <is>
          <t>LITROS</t>
        </is>
      </c>
      <c r="S136" s="4" t="inlineStr">
        <is>
          <t>FACTURA</t>
        </is>
      </c>
      <c r="T136" s="4" t="inlineStr">
        <is>
          <t>MONTO ($)</t>
        </is>
      </c>
      <c r="U136" s="4" t="inlineStr">
        <is>
          <t>LITROS</t>
        </is>
      </c>
      <c r="V136" s="4" t="inlineStr">
        <is>
          <t>FACTURA</t>
        </is>
      </c>
      <c r="W136" s="4" t="inlineStr">
        <is>
          <t>MONTO ($)</t>
        </is>
      </c>
      <c r="X136" s="4" t="inlineStr">
        <is>
          <t>LITROS</t>
        </is>
      </c>
      <c r="Y136" s="4" t="inlineStr">
        <is>
          <t>TOTAL FACTURAS</t>
        </is>
      </c>
      <c r="Z136" s="4" t="inlineStr">
        <is>
          <t>TOTAL MONTO</t>
        </is>
      </c>
      <c r="AA136" s="4" t="inlineStr">
        <is>
          <t>TOTAL LITROS</t>
        </is>
      </c>
    </row>
    <row r="137" ht="20" customHeight="1">
      <c r="F137" s="5" t="inlineStr">
        <is>
          <t>Alfredo del Mazo</t>
        </is>
      </c>
      <c r="G137" s="116" t="inlineStr">
        <is>
          <t>A10832</t>
        </is>
      </c>
      <c r="H137" s="117" t="n">
        <v>11610.05</v>
      </c>
      <c r="I137" s="118" t="n">
        <v>430</v>
      </c>
      <c r="J137" s="119" t="inlineStr">
        <is>
          <t>-</t>
        </is>
      </c>
      <c r="K137" s="120" t="inlineStr">
        <is>
          <t>-</t>
        </is>
      </c>
      <c r="L137" s="120" t="inlineStr">
        <is>
          <t>-</t>
        </is>
      </c>
      <c r="M137" s="116" t="inlineStr">
        <is>
          <t>A10859</t>
        </is>
      </c>
      <c r="N137" s="117" t="n">
        <v>1620.03</v>
      </c>
      <c r="O137" s="118" t="n">
        <v>60</v>
      </c>
      <c r="P137" s="119" t="inlineStr">
        <is>
          <t>-</t>
        </is>
      </c>
      <c r="Q137" s="120" t="inlineStr">
        <is>
          <t>-</t>
        </is>
      </c>
      <c r="R137" s="120" t="inlineStr">
        <is>
          <t>-</t>
        </is>
      </c>
      <c r="S137" s="119" t="inlineStr">
        <is>
          <t>-</t>
        </is>
      </c>
      <c r="T137" s="120" t="inlineStr">
        <is>
          <t>-</t>
        </is>
      </c>
      <c r="U137" s="120" t="inlineStr">
        <is>
          <t>-</t>
        </is>
      </c>
      <c r="V137" s="116" t="inlineStr">
        <is>
          <t>A10945</t>
        </is>
      </c>
      <c r="W137" s="117" t="n">
        <v>11205.06</v>
      </c>
      <c r="X137" s="118" t="n">
        <v>415</v>
      </c>
      <c r="Y137" s="121" t="inlineStr">
        <is>
          <t>3 Factura(s)</t>
        </is>
      </c>
      <c r="Z137" s="122" t="n">
        <v>24435.14</v>
      </c>
      <c r="AA137" s="123" t="n">
        <v>905</v>
      </c>
    </row>
    <row r="138" ht="20" customHeight="1">
      <c r="F138" s="9" t="inlineStr">
        <is>
          <t>Bacheo Toluca</t>
        </is>
      </c>
      <c r="G138" s="124" t="inlineStr">
        <is>
          <t>-</t>
        </is>
      </c>
      <c r="H138" s="125" t="inlineStr">
        <is>
          <t>-</t>
        </is>
      </c>
      <c r="I138" s="125" t="inlineStr">
        <is>
          <t>-</t>
        </is>
      </c>
      <c r="J138" s="116" t="inlineStr">
        <is>
          <t>A10844</t>
        </is>
      </c>
      <c r="K138" s="117" t="n">
        <v>3240</v>
      </c>
      <c r="L138" s="118" t="n">
        <v>120</v>
      </c>
      <c r="M138" s="124" t="inlineStr">
        <is>
          <t>-</t>
        </is>
      </c>
      <c r="N138" s="125" t="inlineStr">
        <is>
          <t>-</t>
        </is>
      </c>
      <c r="O138" s="125" t="inlineStr">
        <is>
          <t>-</t>
        </is>
      </c>
      <c r="P138" s="116" t="inlineStr">
        <is>
          <t>A10875</t>
        </is>
      </c>
      <c r="Q138" s="117" t="n">
        <v>3240</v>
      </c>
      <c r="R138" s="118" t="n">
        <v>120</v>
      </c>
      <c r="S138" s="116" t="inlineStr">
        <is>
          <t>A10933</t>
        </is>
      </c>
      <c r="T138" s="117" t="n">
        <v>2700.08</v>
      </c>
      <c r="U138" s="118" t="n">
        <v>100</v>
      </c>
      <c r="V138" s="124" t="inlineStr">
        <is>
          <t>-</t>
        </is>
      </c>
      <c r="W138" s="125" t="inlineStr">
        <is>
          <t>-</t>
        </is>
      </c>
      <c r="X138" s="125" t="inlineStr">
        <is>
          <t>-</t>
        </is>
      </c>
      <c r="Y138" s="126" t="inlineStr">
        <is>
          <t>3 Factura(s)</t>
        </is>
      </c>
      <c r="Z138" s="127" t="n">
        <v>9180.08</v>
      </c>
      <c r="AA138" s="128" t="n">
        <v>340</v>
      </c>
    </row>
    <row r="139" ht="20" customHeight="1">
      <c r="F139" s="5" t="inlineStr">
        <is>
          <t>Chalma-Mexico</t>
        </is>
      </c>
      <c r="G139" s="119" t="inlineStr">
        <is>
          <t>-</t>
        </is>
      </c>
      <c r="H139" s="120" t="inlineStr">
        <is>
          <t>-</t>
        </is>
      </c>
      <c r="I139" s="120" t="inlineStr">
        <is>
          <t>-</t>
        </is>
      </c>
      <c r="J139" s="116" t="inlineStr">
        <is>
          <t>A10842</t>
        </is>
      </c>
      <c r="K139" s="117" t="n">
        <v>5400.05</v>
      </c>
      <c r="L139" s="118" t="n">
        <v>200</v>
      </c>
      <c r="M139" s="119" t="inlineStr">
        <is>
          <t>-</t>
        </is>
      </c>
      <c r="N139" s="120" t="inlineStr">
        <is>
          <t>-</t>
        </is>
      </c>
      <c r="O139" s="120" t="inlineStr">
        <is>
          <t>-</t>
        </is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9" t="inlineStr">
        <is>
          <t>-</t>
        </is>
      </c>
      <c r="T139" s="120" t="inlineStr">
        <is>
          <t>-</t>
        </is>
      </c>
      <c r="U139" s="120" t="inlineStr">
        <is>
          <t>-</t>
        </is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1 Factura(s)</t>
        </is>
      </c>
      <c r="Z139" s="122" t="n">
        <v>5400.05</v>
      </c>
      <c r="AA139" s="123" t="n">
        <v>200</v>
      </c>
    </row>
    <row r="140" ht="20" customHeight="1">
      <c r="F140" s="9" t="inlineStr">
        <is>
          <t>Mina Tabernillas</t>
        </is>
      </c>
      <c r="G140" s="124" t="inlineStr">
        <is>
          <t>-</t>
        </is>
      </c>
      <c r="H140" s="125" t="inlineStr">
        <is>
          <t>-</t>
        </is>
      </c>
      <c r="I140" s="125" t="inlineStr">
        <is>
          <t>-</t>
        </is>
      </c>
      <c r="J140" s="124" t="inlineStr">
        <is>
          <t>-</t>
        </is>
      </c>
      <c r="K140" s="125" t="inlineStr">
        <is>
          <t>-</t>
        </is>
      </c>
      <c r="L140" s="125" t="inlineStr">
        <is>
          <t>-</t>
        </is>
      </c>
      <c r="M140" s="124" t="inlineStr">
        <is>
          <t>-</t>
        </is>
      </c>
      <c r="N140" s="125" t="inlineStr">
        <is>
          <t>-</t>
        </is>
      </c>
      <c r="O140" s="125" t="inlineStr">
        <is>
          <t>-</t>
        </is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 10931</t>
        </is>
      </c>
      <c r="T140" s="117" t="n">
        <v>9990.030000000001</v>
      </c>
      <c r="U140" s="118" t="n">
        <v>370</v>
      </c>
      <c r="V140" s="124" t="inlineStr">
        <is>
          <t>-</t>
        </is>
      </c>
      <c r="W140" s="125" t="inlineStr">
        <is>
          <t>-</t>
        </is>
      </c>
      <c r="X140" s="125" t="inlineStr">
        <is>
          <t>-</t>
        </is>
      </c>
      <c r="Y140" s="126" t="inlineStr">
        <is>
          <t>1 Factura(s)</t>
        </is>
      </c>
      <c r="Z140" s="127" t="n">
        <v>9990.030000000001</v>
      </c>
      <c r="AA140" s="128" t="n">
        <v>370</v>
      </c>
    </row>
    <row r="141" ht="20" customHeight="1">
      <c r="F141" s="5" t="inlineStr">
        <is>
          <t>México - Toluca</t>
        </is>
      </c>
      <c r="G141" s="116" t="inlineStr">
        <is>
          <t>A10826</t>
        </is>
      </c>
      <c r="H141" s="117" t="n">
        <v>24570.1</v>
      </c>
      <c r="I141" s="118" t="n">
        <v>910</v>
      </c>
      <c r="J141" s="116" t="inlineStr">
        <is>
          <t>A10843</t>
        </is>
      </c>
      <c r="K141" s="117" t="n">
        <v>6210</v>
      </c>
      <c r="L141" s="118" t="n">
        <v>230</v>
      </c>
      <c r="M141" s="116" t="inlineStr">
        <is>
          <t>A10861, A10864</t>
        </is>
      </c>
      <c r="N141" s="117" t="n">
        <v>26460.09</v>
      </c>
      <c r="O141" s="118" t="n">
        <v>980</v>
      </c>
      <c r="P141" s="119" t="inlineStr">
        <is>
          <t>-</t>
        </is>
      </c>
      <c r="Q141" s="120" t="inlineStr">
        <is>
          <t>-</t>
        </is>
      </c>
      <c r="R141" s="120" t="inlineStr">
        <is>
          <t>-</t>
        </is>
      </c>
      <c r="S141" s="116" t="inlineStr">
        <is>
          <t>A10930</t>
        </is>
      </c>
      <c r="T141" s="117" t="n">
        <v>24840.11</v>
      </c>
      <c r="U141" s="118" t="n">
        <v>920</v>
      </c>
      <c r="V141" s="116" t="inlineStr">
        <is>
          <t>A10941</t>
        </is>
      </c>
      <c r="W141" s="117" t="n">
        <v>1080.03</v>
      </c>
      <c r="X141" s="118" t="n">
        <v>40</v>
      </c>
      <c r="Y141" s="121" t="inlineStr">
        <is>
          <t>6 Factura(s)</t>
        </is>
      </c>
      <c r="Z141" s="122" t="n">
        <v>83160.33</v>
      </c>
      <c r="AA141" s="123" t="n">
        <v>3080</v>
      </c>
    </row>
    <row r="142" ht="20" customHeight="1">
      <c r="F142" s="9" t="inlineStr">
        <is>
          <t>Planta Huixquilucan</t>
        </is>
      </c>
      <c r="G142" s="116" t="inlineStr">
        <is>
          <t>A10825</t>
        </is>
      </c>
      <c r="H142" s="117" t="n">
        <v>21612.91</v>
      </c>
      <c r="I142" s="118" t="n">
        <v>800.48</v>
      </c>
      <c r="J142" s="124" t="inlineStr">
        <is>
          <t>-</t>
        </is>
      </c>
      <c r="K142" s="125" t="inlineStr">
        <is>
          <t>-</t>
        </is>
      </c>
      <c r="L142" s="125" t="inlineStr">
        <is>
          <t>-</t>
        </is>
      </c>
      <c r="M142" s="116" t="inlineStr">
        <is>
          <t>A10860</t>
        </is>
      </c>
      <c r="N142" s="117" t="n">
        <v>21600.15</v>
      </c>
      <c r="O142" s="118" t="n">
        <v>800</v>
      </c>
      <c r="P142" s="124" t="inlineStr">
        <is>
          <t>-</t>
        </is>
      </c>
      <c r="Q142" s="125" t="inlineStr">
        <is>
          <t>-</t>
        </is>
      </c>
      <c r="R142" s="125" t="inlineStr">
        <is>
          <t>-</t>
        </is>
      </c>
      <c r="S142" s="116" t="inlineStr">
        <is>
          <t>A10927</t>
        </is>
      </c>
      <c r="T142" s="117" t="n">
        <v>21600.14</v>
      </c>
      <c r="U142" s="118" t="n">
        <v>800</v>
      </c>
      <c r="V142" s="116" t="inlineStr">
        <is>
          <t>A10940, A10944</t>
        </is>
      </c>
      <c r="W142" s="117" t="n">
        <v>13500.11</v>
      </c>
      <c r="X142" s="118" t="n">
        <v>500</v>
      </c>
      <c r="Y142" s="126" t="inlineStr">
        <is>
          <t>5 Factura(s)</t>
        </is>
      </c>
      <c r="Z142" s="127" t="n">
        <v>78313.31</v>
      </c>
      <c r="AA142" s="128" t="n">
        <v>2900.48</v>
      </c>
    </row>
    <row r="143" ht="20" customHeight="1">
      <c r="F143" s="5" t="inlineStr">
        <is>
          <t>Planta Pegaso</t>
        </is>
      </c>
      <c r="G143" s="119" t="inlineStr">
        <is>
          <t>-</t>
        </is>
      </c>
      <c r="H143" s="120" t="inlineStr">
        <is>
          <t>-</t>
        </is>
      </c>
      <c r="I143" s="120" t="inlineStr">
        <is>
          <t>-</t>
        </is>
      </c>
      <c r="J143" s="116" t="inlineStr">
        <is>
          <t>A10841, A10849</t>
        </is>
      </c>
      <c r="K143" s="117" t="n">
        <v>102635.31</v>
      </c>
      <c r="L143" s="118" t="n">
        <v>3801.29</v>
      </c>
      <c r="M143" s="116" t="inlineStr">
        <is>
          <t>A10855</t>
        </is>
      </c>
      <c r="N143" s="117" t="n">
        <v>81000.27</v>
      </c>
      <c r="O143" s="118" t="n">
        <v>3000</v>
      </c>
      <c r="P143" s="119" t="inlineStr">
        <is>
          <t>-</t>
        </is>
      </c>
      <c r="Q143" s="120" t="inlineStr">
        <is>
          <t>-</t>
        </is>
      </c>
      <c r="R143" s="120" t="inlineStr">
        <is>
          <t>-</t>
        </is>
      </c>
      <c r="S143" s="119" t="inlineStr">
        <is>
          <t>-</t>
        </is>
      </c>
      <c r="T143" s="120" t="inlineStr">
        <is>
          <t>-</t>
        </is>
      </c>
      <c r="U143" s="120" t="inlineStr">
        <is>
          <t>-</t>
        </is>
      </c>
      <c r="V143" s="119" t="inlineStr">
        <is>
          <t>-</t>
        </is>
      </c>
      <c r="W143" s="120" t="inlineStr">
        <is>
          <t>-</t>
        </is>
      </c>
      <c r="X143" s="120" t="inlineStr">
        <is>
          <t>-</t>
        </is>
      </c>
      <c r="Y143" s="121" t="inlineStr">
        <is>
          <t>3 Factura(s)</t>
        </is>
      </c>
      <c r="Z143" s="122" t="n">
        <v>183635.58</v>
      </c>
      <c r="AA143" s="123" t="n">
        <v>6801.29</v>
      </c>
    </row>
    <row r="144" ht="20" customHeight="1">
      <c r="F144" s="9" t="inlineStr">
        <is>
          <t>Providencia</t>
        </is>
      </c>
      <c r="G144" s="124" t="inlineStr">
        <is>
          <t>-</t>
        </is>
      </c>
      <c r="H144" s="125" t="inlineStr">
        <is>
          <t>-</t>
        </is>
      </c>
      <c r="I144" s="125" t="inlineStr">
        <is>
          <t>-</t>
        </is>
      </c>
      <c r="J144" s="124" t="inlineStr">
        <is>
          <t>-</t>
        </is>
      </c>
      <c r="K144" s="125" t="inlineStr">
        <is>
          <t>-</t>
        </is>
      </c>
      <c r="L144" s="125" t="inlineStr">
        <is>
          <t>-</t>
        </is>
      </c>
      <c r="M144" s="116" t="inlineStr">
        <is>
          <t>A10858</t>
        </is>
      </c>
      <c r="N144" s="117" t="n">
        <v>5400.05</v>
      </c>
      <c r="O144" s="118" t="n">
        <v>200</v>
      </c>
      <c r="P144" s="124" t="inlineStr">
        <is>
          <t>-</t>
        </is>
      </c>
      <c r="Q144" s="125" t="inlineStr">
        <is>
          <t>-</t>
        </is>
      </c>
      <c r="R144" s="125" t="inlineStr">
        <is>
          <t>-</t>
        </is>
      </c>
      <c r="S144" s="124" t="inlineStr">
        <is>
          <t>-</t>
        </is>
      </c>
      <c r="T144" s="125" t="inlineStr">
        <is>
          <t>-</t>
        </is>
      </c>
      <c r="U144" s="125" t="inlineStr">
        <is>
          <t>-</t>
        </is>
      </c>
      <c r="V144" s="124" t="inlineStr">
        <is>
          <t>-</t>
        </is>
      </c>
      <c r="W144" s="125" t="inlineStr">
        <is>
          <t>-</t>
        </is>
      </c>
      <c r="X144" s="125" t="inlineStr">
        <is>
          <t>-</t>
        </is>
      </c>
      <c r="Y144" s="126" t="inlineStr">
        <is>
          <t>1 Factura(s)</t>
        </is>
      </c>
      <c r="Z144" s="127" t="n">
        <v>5400.05</v>
      </c>
      <c r="AA144" s="128" t="n">
        <v>200</v>
      </c>
    </row>
    <row r="145" ht="20" customHeight="1">
      <c r="F145" s="5" t="inlineStr">
        <is>
          <t>San Felipe Tlalminilolpan</t>
        </is>
      </c>
      <c r="G145" s="119" t="inlineStr">
        <is>
          <t>-</t>
        </is>
      </c>
      <c r="H145" s="120" t="inlineStr">
        <is>
          <t>-</t>
        </is>
      </c>
      <c r="I145" s="120" t="inlineStr">
        <is>
          <t>-</t>
        </is>
      </c>
      <c r="J145" s="119" t="inlineStr">
        <is>
          <t>-</t>
        </is>
      </c>
      <c r="K145" s="120" t="inlineStr">
        <is>
          <t>-</t>
        </is>
      </c>
      <c r="L145" s="120" t="inlineStr">
        <is>
          <t>-</t>
        </is>
      </c>
      <c r="M145" s="116" t="inlineStr">
        <is>
          <t>A10863</t>
        </is>
      </c>
      <c r="N145" s="117" t="n">
        <v>8100.05</v>
      </c>
      <c r="O145" s="118" t="n">
        <v>300</v>
      </c>
      <c r="P145" s="119" t="inlineStr">
        <is>
          <t>-</t>
        </is>
      </c>
      <c r="Q145" s="120" t="inlineStr">
        <is>
          <t>-</t>
        </is>
      </c>
      <c r="R145" s="120" t="inlineStr">
        <is>
          <t>-</t>
        </is>
      </c>
      <c r="S145" s="116" t="inlineStr">
        <is>
          <t>A10932</t>
        </is>
      </c>
      <c r="T145" s="117" t="n">
        <v>7020.03</v>
      </c>
      <c r="U145" s="118" t="n">
        <v>260</v>
      </c>
      <c r="V145" s="119" t="inlineStr">
        <is>
          <t>-</t>
        </is>
      </c>
      <c r="W145" s="120" t="inlineStr">
        <is>
          <t>-</t>
        </is>
      </c>
      <c r="X145" s="120" t="inlineStr">
        <is>
          <t>-</t>
        </is>
      </c>
      <c r="Y145" s="121" t="inlineStr">
        <is>
          <t>2 Factura(s)</t>
        </is>
      </c>
      <c r="Z145" s="122" t="n">
        <v>15120.08</v>
      </c>
      <c r="AA145" s="123" t="n">
        <v>560</v>
      </c>
    </row>
    <row r="146" ht="22" customHeight="1">
      <c r="F146" s="80" t="inlineStr">
        <is>
          <t>TOTAL POR DÍA</t>
        </is>
      </c>
      <c r="G146" s="19" t="inlineStr">
        <is>
          <t>3 Factura(s)</t>
        </is>
      </c>
      <c r="H146" s="16" t="n">
        <v>57793.06</v>
      </c>
      <c r="I146" s="109" t="n">
        <v>2140.48</v>
      </c>
      <c r="J146" s="19" t="inlineStr">
        <is>
          <t>5 Factura(s)</t>
        </is>
      </c>
      <c r="K146" s="16" t="n">
        <v>117485.36</v>
      </c>
      <c r="L146" s="109" t="n">
        <v>4351.29</v>
      </c>
      <c r="M146" s="19" t="inlineStr">
        <is>
          <t>7 Factura(s)</t>
        </is>
      </c>
      <c r="N146" s="16" t="n">
        <v>144180.64</v>
      </c>
      <c r="O146" s="109" t="n">
        <v>5340</v>
      </c>
      <c r="P146" s="19" t="inlineStr">
        <is>
          <t>1 Factura(s)</t>
        </is>
      </c>
      <c r="Q146" s="16" t="n">
        <v>3240</v>
      </c>
      <c r="R146" s="109" t="n">
        <v>120</v>
      </c>
      <c r="S146" s="19" t="inlineStr">
        <is>
          <t>5 Factura(s)</t>
        </is>
      </c>
      <c r="T146" s="16" t="n">
        <v>66150.39</v>
      </c>
      <c r="U146" s="109" t="n">
        <v>2450</v>
      </c>
      <c r="V146" s="19" t="inlineStr">
        <is>
          <t>4 Factura(s)</t>
        </is>
      </c>
      <c r="W146" s="16" t="n">
        <v>25785.2</v>
      </c>
      <c r="X146" s="109" t="n">
        <v>955</v>
      </c>
      <c r="Y146" s="19" t="inlineStr">
        <is>
          <t>25 Factura(s)</t>
        </is>
      </c>
      <c r="Z146" s="16" t="n">
        <v>414634.6500000001</v>
      </c>
      <c r="AA146" s="109" t="n">
        <v>15356.77</v>
      </c>
    </row>
    <row r="149" ht="24" customHeight="1">
      <c r="F149" s="102" t="inlineStr">
        <is>
          <t>▶ COMPARATIVA FACTURADO VS CONSUMIDO POR OBRA — SEMANA 33</t>
        </is>
      </c>
      <c r="G149" s="131" t="n"/>
      <c r="H149" s="131" t="n"/>
      <c r="I149" s="131" t="n"/>
      <c r="J149" s="131" t="n"/>
      <c r="K149" s="131" t="n"/>
      <c r="L149" s="132" t="n"/>
    </row>
    <row r="150" ht="22" customHeight="1">
      <c r="F150" s="4" t="inlineStr">
        <is>
          <t>OBRA / DESTINO</t>
        </is>
      </c>
      <c r="G150" s="4" t="inlineStr">
        <is>
          <t>LITROS FACTURADOS</t>
        </is>
      </c>
      <c r="H150" s="4" t="inlineStr">
        <is>
          <t>LITROS CONSUMIDOS</t>
        </is>
      </c>
      <c r="I150" s="4" t="inlineStr">
        <is>
          <t>MONTO FACTURADO ($)</t>
        </is>
      </c>
      <c r="J150" s="4" t="inlineStr">
        <is>
          <t>MONTO CONSUMIDO ($)</t>
        </is>
      </c>
      <c r="K150" s="4" t="inlineStr">
        <is>
          <t>VARIACIÓN (LTS)</t>
        </is>
      </c>
      <c r="L150" s="4" t="inlineStr">
        <is>
          <t>VARIACIÓN ($)</t>
        </is>
      </c>
    </row>
    <row r="151" ht="19" customHeight="1">
      <c r="F151" s="5" t="inlineStr">
        <is>
          <t>Alfredo del Mazo</t>
        </is>
      </c>
      <c r="G151" s="32" t="n">
        <v>905</v>
      </c>
      <c r="H151" s="32" t="n">
        <v>1185</v>
      </c>
      <c r="I151" s="33" t="n">
        <v>24435.14</v>
      </c>
      <c r="J151" s="33" t="n">
        <v>31995</v>
      </c>
      <c r="K151" s="103" t="n">
        <v>-280</v>
      </c>
      <c r="L151" s="104" t="n">
        <v>-7559.860000000001</v>
      </c>
    </row>
    <row r="152" ht="19" customHeight="1">
      <c r="F152" s="9" t="inlineStr">
        <is>
          <t>Aurelio Venegas</t>
        </is>
      </c>
      <c r="G152" s="105" t="n"/>
      <c r="H152" s="105" t="n">
        <v>120</v>
      </c>
      <c r="I152" s="106" t="n"/>
      <c r="J152" s="106" t="n">
        <v>3240</v>
      </c>
      <c r="K152" s="107" t="n">
        <v>-120</v>
      </c>
      <c r="L152" s="108" t="n">
        <v>-3240</v>
      </c>
    </row>
    <row r="153" ht="19" customHeight="1">
      <c r="F153" s="5" t="inlineStr">
        <is>
          <t>Bacheo Toluca</t>
        </is>
      </c>
      <c r="G153" s="32" t="n">
        <v>340</v>
      </c>
      <c r="H153" s="32" t="n">
        <v>140</v>
      </c>
      <c r="I153" s="33" t="n">
        <v>9180.08</v>
      </c>
      <c r="J153" s="33" t="n">
        <v>3780</v>
      </c>
      <c r="K153" s="103" t="n">
        <v>200</v>
      </c>
      <c r="L153" s="104" t="n">
        <v>5400.08</v>
      </c>
    </row>
    <row r="154" ht="19" customHeight="1">
      <c r="F154" s="9" t="inlineStr">
        <is>
          <t>Chalma-Mexico</t>
        </is>
      </c>
      <c r="G154" s="105" t="n">
        <v>200</v>
      </c>
      <c r="H154" s="105" t="n"/>
      <c r="I154" s="106" t="n">
        <v>5400.05</v>
      </c>
      <c r="J154" s="106" t="n"/>
      <c r="K154" s="107" t="n">
        <v>200</v>
      </c>
      <c r="L154" s="108" t="n">
        <v>5400.05</v>
      </c>
    </row>
    <row r="155" ht="19" customHeight="1">
      <c r="F155" s="5" t="inlineStr">
        <is>
          <t>México - Toluca</t>
        </is>
      </c>
      <c r="G155" s="32" t="n">
        <v>3080</v>
      </c>
      <c r="H155" s="32" t="n">
        <v>3040</v>
      </c>
      <c r="I155" s="33" t="n">
        <v>83160.33</v>
      </c>
      <c r="J155" s="33" t="n">
        <v>82080</v>
      </c>
      <c r="K155" s="103" t="n">
        <v>40</v>
      </c>
      <c r="L155" s="104" t="n">
        <v>1080.330000000002</v>
      </c>
    </row>
    <row r="156" ht="19" customHeight="1">
      <c r="F156" s="9" t="inlineStr">
        <is>
          <t>Mina Tabernillas</t>
        </is>
      </c>
      <c r="G156" s="105" t="n">
        <v>370</v>
      </c>
      <c r="H156" s="105" t="n"/>
      <c r="I156" s="106" t="n">
        <v>9990.030000000001</v>
      </c>
      <c r="J156" s="106" t="n"/>
      <c r="K156" s="107" t="n">
        <v>370</v>
      </c>
      <c r="L156" s="108" t="n">
        <v>9990.030000000001</v>
      </c>
    </row>
    <row r="157" ht="19" customHeight="1">
      <c r="F157" s="5" t="inlineStr">
        <is>
          <t>Planta Huixquilucan</t>
        </is>
      </c>
      <c r="G157" s="32" t="n">
        <v>2900.48</v>
      </c>
      <c r="H157" s="32" t="n">
        <v>2800</v>
      </c>
      <c r="I157" s="33" t="n">
        <v>78313.31</v>
      </c>
      <c r="J157" s="33" t="n">
        <v>75600</v>
      </c>
      <c r="K157" s="103" t="n">
        <v>100.48</v>
      </c>
      <c r="L157" s="104" t="n">
        <v>2713.309999999998</v>
      </c>
    </row>
    <row r="158" ht="19" customHeight="1">
      <c r="F158" s="9" t="inlineStr">
        <is>
          <t>Planta Pegaso</t>
        </is>
      </c>
      <c r="G158" s="105" t="n">
        <v>6801.29</v>
      </c>
      <c r="H158" s="105" t="n">
        <v>5000</v>
      </c>
      <c r="I158" s="106" t="n">
        <v>183635.58</v>
      </c>
      <c r="J158" s="106" t="n">
        <v>135000</v>
      </c>
      <c r="K158" s="107" t="n">
        <v>1801.29</v>
      </c>
      <c r="L158" s="108" t="n">
        <v>48635.58000000002</v>
      </c>
    </row>
    <row r="159" ht="19" customHeight="1">
      <c r="F159" s="5" t="inlineStr">
        <is>
          <t>Providencia</t>
        </is>
      </c>
      <c r="G159" s="32" t="n">
        <v>200</v>
      </c>
      <c r="H159" s="32" t="n">
        <v>100</v>
      </c>
      <c r="I159" s="33" t="n">
        <v>5400.05</v>
      </c>
      <c r="J159" s="33" t="n">
        <v>2700</v>
      </c>
      <c r="K159" s="103" t="n">
        <v>100</v>
      </c>
      <c r="L159" s="104" t="n">
        <v>2700.05</v>
      </c>
    </row>
    <row r="160" ht="19" customHeight="1">
      <c r="F160" s="9" t="inlineStr">
        <is>
          <t>San Felipe Tlalminilolpan</t>
        </is>
      </c>
      <c r="G160" s="105" t="n">
        <v>560</v>
      </c>
      <c r="H160" s="105" t="n">
        <v>260</v>
      </c>
      <c r="I160" s="106" t="n">
        <v>15120.08</v>
      </c>
      <c r="J160" s="106" t="n">
        <v>7020</v>
      </c>
      <c r="K160" s="107" t="n">
        <v>300</v>
      </c>
      <c r="L160" s="108" t="n">
        <v>8100.08</v>
      </c>
    </row>
    <row r="161" ht="22" customHeight="1">
      <c r="F161" s="80" t="inlineStr">
        <is>
          <t>TOTAL GENERAL POR OBRA:</t>
        </is>
      </c>
      <c r="G161" s="109">
        <f>SUM(G151:G160)</f>
        <v/>
      </c>
      <c r="H161" s="109">
        <f>SUM(H151:H160)</f>
        <v/>
      </c>
      <c r="I161" s="16">
        <f>SUM(I151:I160)</f>
        <v/>
      </c>
      <c r="J161" s="16">
        <f>SUM(J151:J160)</f>
        <v/>
      </c>
      <c r="K161" s="110">
        <f>SUM(K151:K160)</f>
        <v/>
      </c>
      <c r="L161" s="111">
        <f>SUM(L151:L160)</f>
        <v/>
      </c>
    </row>
    <row r="164" ht="24" customHeight="1">
      <c r="F164" s="102" t="inlineStr">
        <is>
          <t>▶ COMPARATIVA FACTURADO VS CONSUMIDO POR INGENIERO — SEMANA 33</t>
        </is>
      </c>
      <c r="G164" s="131" t="n"/>
      <c r="H164" s="131" t="n"/>
      <c r="I164" s="131" t="n"/>
      <c r="J164" s="131" t="n"/>
      <c r="K164" s="131" t="n"/>
      <c r="L164" s="131" t="n"/>
      <c r="M164" s="132" t="n"/>
    </row>
    <row r="165" ht="22" customHeight="1">
      <c r="F165" s="4" t="inlineStr">
        <is>
          <t>INGENIERO / RESPONSABLE</t>
        </is>
      </c>
      <c r="G165" s="4" t="inlineStr">
        <is>
          <t>OBRAS ASIGNADAS</t>
        </is>
      </c>
      <c r="H165" s="4" t="inlineStr">
        <is>
          <t>LITROS FACTURADOS</t>
        </is>
      </c>
      <c r="I165" s="4" t="inlineStr">
        <is>
          <t>LITROS CONSUMIDOS</t>
        </is>
      </c>
      <c r="J165" s="4" t="inlineStr">
        <is>
          <t>MONTO FACTURADO ($)</t>
        </is>
      </c>
      <c r="K165" s="4" t="inlineStr">
        <is>
          <t>MONTO CONSUMIDO ($)</t>
        </is>
      </c>
      <c r="L165" s="4" t="inlineStr">
        <is>
          <t>VARIACIÓN (LTS)</t>
        </is>
      </c>
      <c r="M165" s="4" t="inlineStr">
        <is>
          <t>VARIACIÓN ($)</t>
        </is>
      </c>
    </row>
    <row r="166" ht="19" customHeight="1">
      <c r="F166" s="5" t="inlineStr">
        <is>
          <t>Edgar</t>
        </is>
      </c>
      <c r="G166" s="74" t="inlineStr">
        <is>
          <t>Mina Tabernillas</t>
        </is>
      </c>
      <c r="H166" s="32" t="n">
        <v>370</v>
      </c>
      <c r="I166" s="32" t="n"/>
      <c r="J166" s="33" t="n">
        <v>9990.030000000001</v>
      </c>
      <c r="K166" s="33" t="n"/>
      <c r="L166" s="103" t="n">
        <v>370</v>
      </c>
      <c r="M166" s="104" t="n">
        <v>9990.030000000001</v>
      </c>
    </row>
    <row r="167" ht="19" customHeight="1">
      <c r="F167" s="9" t="inlineStr">
        <is>
          <t>Ing. Apolinar</t>
        </is>
      </c>
      <c r="G167" s="78" t="inlineStr">
        <is>
          <t>Alfredo del Mazo</t>
        </is>
      </c>
      <c r="H167" s="105" t="n">
        <v>905</v>
      </c>
      <c r="I167" s="105" t="n">
        <v>1185</v>
      </c>
      <c r="J167" s="106" t="n">
        <v>24435.14</v>
      </c>
      <c r="K167" s="106" t="n">
        <v>31995</v>
      </c>
      <c r="L167" s="107" t="n">
        <v>-280</v>
      </c>
      <c r="M167" s="108" t="n">
        <v>-7559.860000000001</v>
      </c>
    </row>
    <row r="168" ht="19" customHeight="1">
      <c r="F168" s="5" t="inlineStr">
        <is>
          <t>Ing. Diego Carreola</t>
        </is>
      </c>
      <c r="G168" s="74" t="inlineStr">
        <is>
          <t>Bacheo Toluca, San Felipe Tlalminilolpan</t>
        </is>
      </c>
      <c r="H168" s="32" t="n">
        <v>900</v>
      </c>
      <c r="I168" s="32" t="n">
        <v>400</v>
      </c>
      <c r="J168" s="33" t="n">
        <v>24300.16</v>
      </c>
      <c r="K168" s="33" t="n">
        <v>10800</v>
      </c>
      <c r="L168" s="103" t="n">
        <v>500</v>
      </c>
      <c r="M168" s="104" t="n">
        <v>13500.16</v>
      </c>
    </row>
    <row r="169" ht="19" customHeight="1">
      <c r="F169" s="9" t="inlineStr">
        <is>
          <t>Ing. Francisco Javier</t>
        </is>
      </c>
      <c r="G169" s="78" t="inlineStr">
        <is>
          <t>Chalma-Mexico, México - Toluca</t>
        </is>
      </c>
      <c r="H169" s="105" t="n">
        <v>3280</v>
      </c>
      <c r="I169" s="105" t="n">
        <v>3040</v>
      </c>
      <c r="J169" s="106" t="n">
        <v>88560.38</v>
      </c>
      <c r="K169" s="106" t="n">
        <v>82080</v>
      </c>
      <c r="L169" s="107" t="n">
        <v>240</v>
      </c>
      <c r="M169" s="108" t="n">
        <v>6480.380000000005</v>
      </c>
    </row>
    <row r="170" ht="19" customHeight="1">
      <c r="F170" s="5" t="inlineStr">
        <is>
          <t>Ing. Luis</t>
        </is>
      </c>
      <c r="G170" s="74" t="inlineStr">
        <is>
          <t>Planta Huixquilucan</t>
        </is>
      </c>
      <c r="H170" s="32" t="n">
        <v>2900.48</v>
      </c>
      <c r="I170" s="32" t="n">
        <v>2800</v>
      </c>
      <c r="J170" s="33" t="n">
        <v>78313.31</v>
      </c>
      <c r="K170" s="33" t="n">
        <v>75600</v>
      </c>
      <c r="L170" s="103" t="n">
        <v>100.48</v>
      </c>
      <c r="M170" s="104" t="n">
        <v>2713.309999999998</v>
      </c>
    </row>
    <row r="171" ht="19" customHeight="1">
      <c r="F171" s="9" t="inlineStr">
        <is>
          <t>Jack</t>
        </is>
      </c>
      <c r="G171" s="78" t="inlineStr">
        <is>
          <t>Planta Pegaso</t>
        </is>
      </c>
      <c r="H171" s="105" t="n">
        <v>6801.29</v>
      </c>
      <c r="I171" s="105" t="n">
        <v>5000</v>
      </c>
      <c r="J171" s="106" t="n">
        <v>183635.58</v>
      </c>
      <c r="K171" s="106" t="n">
        <v>135000</v>
      </c>
      <c r="L171" s="107" t="n">
        <v>1801.29</v>
      </c>
      <c r="M171" s="108" t="n">
        <v>48635.58000000002</v>
      </c>
    </row>
    <row r="172" ht="19" customHeight="1">
      <c r="F172" s="5" t="inlineStr">
        <is>
          <t>Samuel</t>
        </is>
      </c>
      <c r="G172" s="74" t="inlineStr">
        <is>
          <t>Aurelio Venegas, Providencia</t>
        </is>
      </c>
      <c r="H172" s="32" t="n">
        <v>200</v>
      </c>
      <c r="I172" s="32" t="n">
        <v>220</v>
      </c>
      <c r="J172" s="33" t="n">
        <v>5400.05</v>
      </c>
      <c r="K172" s="33" t="n">
        <v>5940</v>
      </c>
      <c r="L172" s="103" t="n">
        <v>-20</v>
      </c>
      <c r="M172" s="104" t="n">
        <v>-539.9499999999998</v>
      </c>
    </row>
    <row r="173" ht="22" customHeight="1">
      <c r="F173" s="80" t="inlineStr">
        <is>
          <t>TOTAL GENERAL POR INGENIERO:</t>
        </is>
      </c>
      <c r="G173" s="132" t="n"/>
      <c r="H173" s="109">
        <f>SUM(H166:H172)</f>
        <v/>
      </c>
      <c r="I173" s="109">
        <f>SUM(I166:I172)</f>
        <v/>
      </c>
      <c r="J173" s="16">
        <f>SUM(J166:J172)</f>
        <v/>
      </c>
      <c r="K173" s="16">
        <f>SUM(K166:K172)</f>
        <v/>
      </c>
      <c r="L173" s="110">
        <f>SUM(L166:L172)</f>
        <v/>
      </c>
      <c r="M173" s="111">
        <f>SUM(M166:M172)</f>
        <v/>
      </c>
    </row>
  </sheetData>
  <mergeCells count="52">
    <mergeCell ref="F15:F16"/>
    <mergeCell ref="F95:H95"/>
    <mergeCell ref="F134:AA134"/>
    <mergeCell ref="F11:G11"/>
    <mergeCell ref="F88:M88"/>
    <mergeCell ref="F104:H104"/>
    <mergeCell ref="F149:L149"/>
    <mergeCell ref="F96:L96"/>
    <mergeCell ref="F105:L105"/>
    <mergeCell ref="G7:G8"/>
    <mergeCell ref="F99:M99"/>
    <mergeCell ref="K38:N38"/>
    <mergeCell ref="L15:L16"/>
    <mergeCell ref="K28:N28"/>
    <mergeCell ref="F173:G173"/>
    <mergeCell ref="F121:N121"/>
    <mergeCell ref="F135:F136"/>
    <mergeCell ref="F164:M164"/>
    <mergeCell ref="F18:G18"/>
    <mergeCell ref="H7:H8"/>
    <mergeCell ref="G15:G16"/>
    <mergeCell ref="G135:I135"/>
    <mergeCell ref="F85:P85"/>
    <mergeCell ref="M135:O135"/>
    <mergeCell ref="Y135:AA135"/>
    <mergeCell ref="L7:L8"/>
    <mergeCell ref="F17:G17"/>
    <mergeCell ref="F117:H117"/>
    <mergeCell ref="F108:O108"/>
    <mergeCell ref="F66:M66"/>
    <mergeCell ref="K21:N21"/>
    <mergeCell ref="F129:M129"/>
    <mergeCell ref="S135:U135"/>
    <mergeCell ref="F21:I21"/>
    <mergeCell ref="K7:K8"/>
    <mergeCell ref="J135:L135"/>
    <mergeCell ref="H15:H16"/>
    <mergeCell ref="F53:N53"/>
    <mergeCell ref="V135:X135"/>
    <mergeCell ref="P135:R135"/>
    <mergeCell ref="F65:H65"/>
    <mergeCell ref="F69:Q69"/>
    <mergeCell ref="K46:N46"/>
    <mergeCell ref="F128:H128"/>
    <mergeCell ref="F84:H84"/>
    <mergeCell ref="F2:L2"/>
    <mergeCell ref="F38:I38"/>
    <mergeCell ref="F118:N118"/>
    <mergeCell ref="F7:F8"/>
    <mergeCell ref="K15:K16"/>
    <mergeCell ref="F46:I46"/>
    <mergeCell ref="F28:I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2:AA1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34</t>
        </is>
      </c>
      <c r="G2" s="131" t="n"/>
      <c r="H2" s="131" t="n"/>
      <c r="I2" s="131" t="n"/>
      <c r="J2" s="131" t="n"/>
      <c r="K2" s="131" t="n"/>
      <c r="L2" s="132" t="n"/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865</v>
      </c>
      <c r="K5" s="75" t="n">
        <v>865</v>
      </c>
      <c r="L5" s="76" t="n">
        <v>1535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2775</v>
      </c>
      <c r="K6" s="79" t="n">
        <v>2775</v>
      </c>
      <c r="L6" s="76" t="n">
        <v>525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METEPEC ARBOL DE LA VIDA</t>
        </is>
      </c>
      <c r="J7" s="73" t="n">
        <v>513</v>
      </c>
      <c r="K7" s="75" t="n">
        <v>1121</v>
      </c>
      <c r="L7" s="76" t="n">
        <v>4279</v>
      </c>
    </row>
    <row r="8" ht="18" customHeight="1">
      <c r="F8" s="135" t="n"/>
      <c r="G8" s="135" t="n"/>
      <c r="H8" s="135" t="n"/>
      <c r="I8" s="74" t="inlineStr">
        <is>
          <t>San Felipe Tlalminilolpan</t>
        </is>
      </c>
      <c r="J8" s="73" t="n">
        <v>608</v>
      </c>
      <c r="K8" s="135" t="n"/>
      <c r="L8" s="135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995</v>
      </c>
      <c r="K9" s="79" t="n">
        <v>995</v>
      </c>
      <c r="L9" s="76" t="n">
        <v>1405</v>
      </c>
    </row>
    <row r="10" ht="18" customHeight="1">
      <c r="F10" s="72" t="inlineStr">
        <is>
          <t>LUIS</t>
        </is>
      </c>
      <c r="G10" s="73" t="n">
        <v>400</v>
      </c>
      <c r="H10" s="73" t="n">
        <v>2400</v>
      </c>
      <c r="I10" s="74" t="inlineStr">
        <is>
          <t>Planta Huixquilucan</t>
        </is>
      </c>
      <c r="J10" s="73" t="n">
        <v>1594</v>
      </c>
      <c r="K10" s="75" t="n">
        <v>1594</v>
      </c>
      <c r="L10" s="76" t="n">
        <v>806</v>
      </c>
    </row>
    <row r="11" ht="20" customHeight="1">
      <c r="F11" s="80" t="inlineStr">
        <is>
          <t>SUBTOTAL (6 DÍAS):</t>
        </is>
      </c>
      <c r="G11" s="132" t="n"/>
      <c r="H11" s="80" t="n">
        <v>15900</v>
      </c>
      <c r="I11" s="15" t="n"/>
      <c r="J11" s="80" t="n">
        <v>7350</v>
      </c>
      <c r="K11" s="80" t="n">
        <v>7350</v>
      </c>
      <c r="L11" s="80" t="n">
        <v>8550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>
        <v>400</v>
      </c>
      <c r="H15" s="73" t="n">
        <v>2000</v>
      </c>
      <c r="I15" s="74" t="inlineStr">
        <is>
          <t>Providencia</t>
        </is>
      </c>
      <c r="J15" s="73" t="n">
        <v>412</v>
      </c>
      <c r="K15" s="75" t="n">
        <v>412</v>
      </c>
      <c r="L15" s="76" t="n">
        <v>1588</v>
      </c>
    </row>
    <row r="16" ht="20" customHeight="1">
      <c r="F16" s="80" t="inlineStr">
        <is>
          <t>SUBTOTAL (5 DÍAS):</t>
        </is>
      </c>
      <c r="G16" s="132" t="n"/>
      <c r="H16" s="80" t="n">
        <v>2000</v>
      </c>
      <c r="I16" s="15" t="n"/>
      <c r="J16" s="80" t="n">
        <v>412</v>
      </c>
      <c r="K16" s="80" t="n">
        <v>412</v>
      </c>
      <c r="L16" s="80" t="n">
        <v>1588</v>
      </c>
    </row>
    <row r="17" ht="22" customHeight="1">
      <c r="F17" s="80" t="inlineStr">
        <is>
          <t>TOTAL GENERAL:</t>
        </is>
      </c>
      <c r="G17" s="132" t="n"/>
      <c r="H17" s="80" t="n">
        <v>17900</v>
      </c>
      <c r="I17" s="15" t="n"/>
      <c r="J17" s="80" t="n">
        <v>7762</v>
      </c>
      <c r="K17" s="80" t="n">
        <v>7762</v>
      </c>
      <c r="L17" s="80" t="n">
        <v>10138</v>
      </c>
    </row>
    <row r="20" ht="20" customHeight="1">
      <c r="F20" s="3" t="inlineStr">
        <is>
          <t>▶  Alfredo del Mazo</t>
        </is>
      </c>
      <c r="G20" s="131" t="n"/>
      <c r="H20" s="131" t="n"/>
      <c r="I20" s="132" t="n"/>
      <c r="K20" s="3" t="inlineStr">
        <is>
          <t>▶  METEPEC ARBOL DE LA VIDA</t>
        </is>
      </c>
      <c r="L20" s="131" t="n"/>
      <c r="M20" s="131" t="n"/>
      <c r="N20" s="132" t="n"/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Mar 18-ago</t>
        </is>
      </c>
      <c r="G22" s="6" t="n">
        <v>445</v>
      </c>
      <c r="H22" s="7" t="n">
        <v>27</v>
      </c>
      <c r="I22" s="8" t="n">
        <v>12015</v>
      </c>
      <c r="K22" s="5" t="inlineStr">
        <is>
          <t>Jue 20-ago</t>
        </is>
      </c>
      <c r="L22" s="6" t="n">
        <v>513</v>
      </c>
      <c r="M22" s="7" t="n">
        <v>27</v>
      </c>
      <c r="N22" s="8" t="n">
        <v>13851</v>
      </c>
    </row>
    <row r="23" ht="20" customHeight="1">
      <c r="F23" s="9" t="inlineStr">
        <is>
          <t>Mié 19-ago</t>
        </is>
      </c>
      <c r="G23" s="10" t="n">
        <v>420</v>
      </c>
      <c r="H23" s="11" t="n">
        <v>27</v>
      </c>
      <c r="I23" s="12" t="n">
        <v>11340</v>
      </c>
      <c r="K23" s="80" t="inlineStr">
        <is>
          <t>TOTAL — METEPEC ARBOL DE LA VIDA</t>
        </is>
      </c>
      <c r="L23" s="14" t="n">
        <v>513</v>
      </c>
      <c r="M23" s="15" t="n"/>
      <c r="N23" s="16" t="n">
        <v>13851</v>
      </c>
    </row>
    <row r="24" ht="20" customHeight="1">
      <c r="F24" s="80" t="inlineStr">
        <is>
          <t>TOTAL — Alfredo del Mazo</t>
        </is>
      </c>
      <c r="G24" s="14" t="n">
        <v>865</v>
      </c>
      <c r="H24" s="15" t="n"/>
      <c r="I24" s="16" t="n">
        <v>23355</v>
      </c>
    </row>
    <row r="26" ht="20" customHeight="1">
      <c r="F26" s="3" t="inlineStr">
        <is>
          <t>▶  México - Toluca</t>
        </is>
      </c>
      <c r="G26" s="131" t="n"/>
      <c r="H26" s="131" t="n"/>
      <c r="I26" s="132" t="n"/>
      <c r="K26" s="3" t="inlineStr">
        <is>
          <t>▶  Planta Huixquilucan</t>
        </is>
      </c>
      <c r="L26" s="131" t="n"/>
      <c r="M26" s="131" t="n"/>
      <c r="N26" s="132" t="n"/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17-ago</t>
        </is>
      </c>
      <c r="G28" s="6" t="n">
        <v>891</v>
      </c>
      <c r="H28" s="7" t="n">
        <v>27</v>
      </c>
      <c r="I28" s="8" t="n">
        <v>24057</v>
      </c>
      <c r="K28" s="5" t="inlineStr">
        <is>
          <t>Lun 17-ago</t>
        </is>
      </c>
      <c r="L28" s="6" t="n">
        <v>443</v>
      </c>
      <c r="M28" s="7" t="n">
        <v>27</v>
      </c>
      <c r="N28" s="8" t="n">
        <v>11961</v>
      </c>
    </row>
    <row r="29" ht="18" customHeight="1">
      <c r="F29" s="9" t="inlineStr">
        <is>
          <t>Mar 18-ago</t>
        </is>
      </c>
      <c r="G29" s="10" t="n">
        <v>120</v>
      </c>
      <c r="H29" s="11" t="n">
        <v>27</v>
      </c>
      <c r="I29" s="12" t="n">
        <v>3240</v>
      </c>
      <c r="K29" s="9" t="inlineStr">
        <is>
          <t>Mar 18-ago</t>
        </is>
      </c>
      <c r="L29" s="10" t="n">
        <v>1000</v>
      </c>
      <c r="M29" s="11" t="n">
        <v>27</v>
      </c>
      <c r="N29" s="12" t="n">
        <v>27000</v>
      </c>
    </row>
    <row r="30" ht="18" customHeight="1">
      <c r="F30" s="5" t="inlineStr">
        <is>
          <t>Mié 19-ago</t>
        </is>
      </c>
      <c r="G30" s="6" t="n">
        <v>850</v>
      </c>
      <c r="H30" s="7" t="n">
        <v>27</v>
      </c>
      <c r="I30" s="8" t="n">
        <v>22950</v>
      </c>
      <c r="K30" s="5" t="inlineStr">
        <is>
          <t>Jue 20-ago</t>
        </is>
      </c>
      <c r="L30" s="6" t="n">
        <v>-649</v>
      </c>
      <c r="M30" s="7" t="n">
        <v>27</v>
      </c>
      <c r="N30" s="8" t="n">
        <v>-17523</v>
      </c>
    </row>
    <row r="31" ht="18" customHeight="1">
      <c r="F31" s="9" t="inlineStr">
        <is>
          <t>Jue 20-ago</t>
        </is>
      </c>
      <c r="G31" s="10" t="n">
        <v>-393</v>
      </c>
      <c r="H31" s="11" t="n">
        <v>27</v>
      </c>
      <c r="I31" s="12" t="n">
        <v>-10611</v>
      </c>
      <c r="K31" s="9" t="inlineStr">
        <is>
          <t>Vie 21-ago</t>
        </is>
      </c>
      <c r="L31" s="10" t="n">
        <v>800</v>
      </c>
      <c r="M31" s="11" t="n">
        <v>27</v>
      </c>
      <c r="N31" s="12" t="n">
        <v>21600</v>
      </c>
    </row>
    <row r="32" ht="20" customHeight="1">
      <c r="F32" s="5" t="inlineStr">
        <is>
          <t>Vie 21-ago</t>
        </is>
      </c>
      <c r="G32" s="6" t="n">
        <v>1067</v>
      </c>
      <c r="H32" s="7" t="n">
        <v>27</v>
      </c>
      <c r="I32" s="8" t="n">
        <v>28809</v>
      </c>
      <c r="K32" s="80" t="inlineStr">
        <is>
          <t>TOTAL — Planta Huixquilucan</t>
        </is>
      </c>
      <c r="L32" s="14" t="n">
        <v>1594</v>
      </c>
      <c r="M32" s="15" t="n"/>
      <c r="N32" s="16" t="n">
        <v>43038</v>
      </c>
    </row>
    <row r="33" ht="18" customHeight="1">
      <c r="F33" s="9" t="inlineStr">
        <is>
          <t>Sáb 22-ago</t>
        </is>
      </c>
      <c r="G33" s="10" t="n">
        <v>240</v>
      </c>
      <c r="H33" s="11" t="n">
        <v>27</v>
      </c>
      <c r="I33" s="12" t="n">
        <v>6480</v>
      </c>
    </row>
    <row r="34" ht="20" customHeight="1">
      <c r="F34" s="80" t="inlineStr">
        <is>
          <t>TOTAL — México - Toluca</t>
        </is>
      </c>
      <c r="G34" s="14" t="n">
        <v>2775</v>
      </c>
      <c r="H34" s="15" t="n"/>
      <c r="I34" s="16" t="n">
        <v>74925</v>
      </c>
    </row>
    <row r="36" ht="20" customHeight="1">
      <c r="F36" s="3" t="inlineStr">
        <is>
          <t>▶  Planta Pegaso</t>
        </is>
      </c>
      <c r="G36" s="131" t="n"/>
      <c r="H36" s="131" t="n"/>
      <c r="I36" s="132" t="n"/>
      <c r="K36" s="3" t="inlineStr">
        <is>
          <t>▶  Providencia</t>
        </is>
      </c>
      <c r="L36" s="131" t="n"/>
      <c r="M36" s="131" t="n"/>
      <c r="N36" s="132" t="n"/>
    </row>
    <row r="37" ht="20" customHeight="1">
      <c r="F37" s="4" t="inlineStr">
        <is>
          <t>DÍA</t>
        </is>
      </c>
      <c r="G37" s="4" t="inlineStr">
        <is>
          <t>LITROS CONSUMIDOS</t>
        </is>
      </c>
      <c r="H37" s="4" t="inlineStr">
        <is>
          <t>PRECIO PROM. ($/L)</t>
        </is>
      </c>
      <c r="I37" s="4" t="inlineStr">
        <is>
          <t>IMPORTE TOTAL</t>
        </is>
      </c>
      <c r="K37" s="4" t="inlineStr">
        <is>
          <t>DÍA</t>
        </is>
      </c>
      <c r="L37" s="4" t="inlineStr">
        <is>
          <t>LITROS CONSUMIDOS</t>
        </is>
      </c>
      <c r="M37" s="4" t="inlineStr">
        <is>
          <t>PRECIO PROM. ($/L)</t>
        </is>
      </c>
      <c r="N37" s="4" t="inlineStr">
        <is>
          <t>IMPORTE TOTAL</t>
        </is>
      </c>
    </row>
    <row r="38" ht="18" customHeight="1">
      <c r="F38" s="5" t="inlineStr">
        <is>
          <t>Jue 20-ago</t>
        </is>
      </c>
      <c r="G38" s="6" t="n">
        <v>995</v>
      </c>
      <c r="H38" s="7" t="n">
        <v>27</v>
      </c>
      <c r="I38" s="8" t="n">
        <v>26865</v>
      </c>
      <c r="K38" s="5" t="inlineStr">
        <is>
          <t>Lun 17-ago</t>
        </is>
      </c>
      <c r="L38" s="6" t="n">
        <v>60</v>
      </c>
      <c r="M38" s="7" t="n">
        <v>27</v>
      </c>
      <c r="N38" s="8" t="n">
        <v>1620</v>
      </c>
    </row>
    <row r="39" ht="18" customHeight="1">
      <c r="F39" s="80" t="inlineStr">
        <is>
          <t>TOTAL — Planta Pegaso</t>
        </is>
      </c>
      <c r="G39" s="14" t="n">
        <v>995</v>
      </c>
      <c r="H39" s="15" t="n"/>
      <c r="I39" s="16" t="n">
        <v>26865</v>
      </c>
      <c r="K39" s="9" t="inlineStr">
        <is>
          <t>Mar 18-ago</t>
        </is>
      </c>
      <c r="L39" s="10" t="n">
        <v>40</v>
      </c>
      <c r="M39" s="11" t="n">
        <v>27</v>
      </c>
      <c r="N39" s="12" t="n">
        <v>1080</v>
      </c>
    </row>
    <row r="40" ht="18" customHeight="1">
      <c r="K40" s="5" t="inlineStr">
        <is>
          <t>Mié 19-ago</t>
        </is>
      </c>
      <c r="L40" s="6" t="n">
        <v>43</v>
      </c>
      <c r="M40" s="7" t="n">
        <v>27</v>
      </c>
      <c r="N40" s="8" t="n">
        <v>1161</v>
      </c>
    </row>
    <row r="41" ht="18" customHeight="1">
      <c r="K41" s="9" t="inlineStr">
        <is>
          <t>Jue 20-ago</t>
        </is>
      </c>
      <c r="L41" s="10" t="n">
        <v>269</v>
      </c>
      <c r="M41" s="11" t="n">
        <v>27</v>
      </c>
      <c r="N41" s="12" t="n">
        <v>7263</v>
      </c>
    </row>
    <row r="42" ht="20" customHeight="1">
      <c r="K42" s="80" t="inlineStr">
        <is>
          <t>TOTAL — Providencia</t>
        </is>
      </c>
      <c r="L42" s="14" t="n">
        <v>412</v>
      </c>
      <c r="M42" s="15" t="n"/>
      <c r="N42" s="16" t="n">
        <v>11124</v>
      </c>
    </row>
    <row r="44" ht="20" customHeight="1">
      <c r="F44" s="3" t="inlineStr">
        <is>
          <t>▶  San Felipe Tlalminilolpan</t>
        </is>
      </c>
      <c r="G44" s="131" t="n"/>
      <c r="H44" s="131" t="n"/>
      <c r="I44" s="132" t="n"/>
    </row>
    <row r="45" ht="20" customHeight="1">
      <c r="F45" s="4" t="inlineStr">
        <is>
          <t>DÍA</t>
        </is>
      </c>
      <c r="G45" s="4" t="inlineStr">
        <is>
          <t>LITROS CONSUMIDOS</t>
        </is>
      </c>
      <c r="H45" s="4" t="inlineStr">
        <is>
          <t>PRECIO PROM. ($/L)</t>
        </is>
      </c>
      <c r="I45" s="4" t="inlineStr">
        <is>
          <t>IMPORTE TOTAL</t>
        </is>
      </c>
    </row>
    <row r="46" ht="18" customHeight="1">
      <c r="F46" s="5" t="inlineStr">
        <is>
          <t>Mar 18-ago</t>
        </is>
      </c>
      <c r="G46" s="6" t="n">
        <v>260</v>
      </c>
      <c r="H46" s="7" t="n">
        <v>27</v>
      </c>
      <c r="I46" s="8" t="n">
        <v>7020</v>
      </c>
    </row>
    <row r="47" ht="18" customHeight="1">
      <c r="F47" s="9" t="inlineStr">
        <is>
          <t>Mié 19-ago</t>
        </is>
      </c>
      <c r="G47" s="10" t="n">
        <v>240</v>
      </c>
      <c r="H47" s="11" t="n">
        <v>27</v>
      </c>
      <c r="I47" s="12" t="n">
        <v>6480</v>
      </c>
    </row>
    <row r="48" ht="18" customHeight="1">
      <c r="F48" s="5" t="inlineStr">
        <is>
          <t>Jue 20-ago</t>
        </is>
      </c>
      <c r="G48" s="6" t="n">
        <v>48</v>
      </c>
      <c r="H48" s="7" t="n">
        <v>27</v>
      </c>
      <c r="I48" s="8" t="n">
        <v>1296</v>
      </c>
    </row>
    <row r="49" ht="18" customHeight="1">
      <c r="F49" s="9" t="inlineStr">
        <is>
          <t>Vie 21-ago</t>
        </is>
      </c>
      <c r="G49" s="10" t="n">
        <v>60</v>
      </c>
      <c r="H49" s="11" t="n">
        <v>27</v>
      </c>
      <c r="I49" s="12" t="n">
        <v>1620</v>
      </c>
    </row>
    <row r="50" ht="20" customHeight="1">
      <c r="F50" s="80" t="inlineStr">
        <is>
          <t>TOTAL — San Felipe Tlalminilolpan</t>
        </is>
      </c>
      <c r="G50" s="14" t="n">
        <v>608</v>
      </c>
      <c r="H50" s="15" t="n"/>
      <c r="I50" s="16" t="n">
        <v>16416</v>
      </c>
    </row>
    <row r="53" ht="22" customHeight="1">
      <c r="F53" s="81" t="inlineStr">
        <is>
          <t>APOLINAR</t>
        </is>
      </c>
      <c r="G53" s="131" t="n"/>
      <c r="H53" s="131" t="n"/>
      <c r="I53" s="131" t="n"/>
      <c r="J53" s="131" t="n"/>
      <c r="K53" s="131" t="n"/>
      <c r="L53" s="131" t="n"/>
      <c r="M53" s="132" t="n"/>
    </row>
    <row r="54" ht="28" customHeight="1">
      <c r="F54" s="4" t="inlineStr">
        <is>
          <t>#</t>
        </is>
      </c>
      <c r="G54" s="4" t="inlineStr">
        <is>
          <t>EQUIPO / MAQUINARIA</t>
        </is>
      </c>
      <c r="H54" s="4" t="inlineStr">
        <is>
          <t>LTS. SEM.
AUT.</t>
        </is>
      </c>
      <c r="I54" s="4" t="inlineStr">
        <is>
          <t>Mar
18/08</t>
        </is>
      </c>
      <c r="J54" s="4" t="inlineStr">
        <is>
          <t>Mié
19/08</t>
        </is>
      </c>
      <c r="K54" s="4" t="inlineStr">
        <is>
          <t>LITROS
TOTAL</t>
        </is>
      </c>
      <c r="L54" s="4" t="inlineStr">
        <is>
          <t>PRECIO
UNIT.</t>
        </is>
      </c>
      <c r="M54" s="4" t="inlineStr">
        <is>
          <t>TOTAL $</t>
        </is>
      </c>
    </row>
    <row r="55" ht="22" customHeight="1">
      <c r="F55" s="82" t="n"/>
      <c r="G55" s="83" t="inlineStr">
        <is>
          <t>OBRA DESTINO</t>
        </is>
      </c>
      <c r="H55" s="82" t="n"/>
      <c r="I55" s="84" t="inlineStr">
        <is>
          <t>Alfredo del Mazo</t>
        </is>
      </c>
      <c r="J55" s="84" t="inlineStr">
        <is>
          <t>Alfredo del Mazo</t>
        </is>
      </c>
      <c r="K55" s="82" t="n"/>
      <c r="L55" s="82" t="n"/>
      <c r="M55" s="82" t="n"/>
    </row>
    <row r="56" ht="18" customHeight="1">
      <c r="F56" s="85" t="n">
        <v>1</v>
      </c>
      <c r="G56" s="86" t="inlineStr">
        <is>
          <t>BARREDORA LAYMOR SM400</t>
        </is>
      </c>
      <c r="H56" s="87" t="n">
        <v>2800</v>
      </c>
      <c r="I56" s="85" t="n">
        <v>25</v>
      </c>
      <c r="J56" s="85" t="n"/>
      <c r="K56" s="88" t="n">
        <v>25</v>
      </c>
      <c r="L56" s="55" t="n">
        <v>27</v>
      </c>
      <c r="M56" s="89" t="n">
        <v>675</v>
      </c>
    </row>
    <row r="57" ht="18" customHeight="1">
      <c r="F57" s="90" t="n">
        <v>2</v>
      </c>
      <c r="G57" s="91" t="inlineStr">
        <is>
          <t>NEUMATICO VOLVO PT- 240R</t>
        </is>
      </c>
      <c r="H57" s="92" t="n"/>
      <c r="I57" s="90" t="n">
        <v>50</v>
      </c>
      <c r="J57" s="90" t="n"/>
      <c r="K57" s="93" t="n">
        <v>50</v>
      </c>
      <c r="L57" s="94" t="n">
        <v>27</v>
      </c>
      <c r="M57" s="95" t="n">
        <v>1350</v>
      </c>
    </row>
    <row r="58" ht="18" customHeight="1">
      <c r="F58" s="85" t="n">
        <v>3</v>
      </c>
      <c r="G58" s="86" t="inlineStr">
        <is>
          <t>PAVIMENTADORA VOGELE SJ 1800-3</t>
        </is>
      </c>
      <c r="H58" s="96" t="n"/>
      <c r="I58" s="85" t="n">
        <v>180</v>
      </c>
      <c r="J58" s="85" t="n">
        <v>150</v>
      </c>
      <c r="K58" s="88" t="n">
        <v>330</v>
      </c>
      <c r="L58" s="55" t="n">
        <v>27</v>
      </c>
      <c r="M58" s="89" t="n">
        <v>8910</v>
      </c>
    </row>
    <row r="59" ht="18" customHeight="1">
      <c r="F59" s="90" t="n">
        <v>4</v>
      </c>
      <c r="G59" s="91" t="inlineStr">
        <is>
          <t>PETROLIZADORA (IMPACTO 04) FORD F800</t>
        </is>
      </c>
      <c r="H59" s="92" t="n"/>
      <c r="I59" s="90" t="n">
        <v>25</v>
      </c>
      <c r="J59" s="90" t="n">
        <v>120</v>
      </c>
      <c r="K59" s="93" t="n">
        <v>145</v>
      </c>
      <c r="L59" s="94" t="n">
        <v>27</v>
      </c>
      <c r="M59" s="95" t="n">
        <v>3915</v>
      </c>
    </row>
    <row r="60" ht="18" customHeight="1">
      <c r="F60" s="85" t="n">
        <v>5</v>
      </c>
      <c r="G60" s="86" t="inlineStr">
        <is>
          <t>PIPA DE AGUA (IMPACTO 01) FORD</t>
        </is>
      </c>
      <c r="H60" s="96" t="n"/>
      <c r="I60" s="85" t="n">
        <v>40</v>
      </c>
      <c r="J60" s="85" t="n"/>
      <c r="K60" s="88" t="n">
        <v>40</v>
      </c>
      <c r="L60" s="55" t="n">
        <v>27</v>
      </c>
      <c r="M60" s="89" t="n">
        <v>1080</v>
      </c>
    </row>
    <row r="61" ht="18" customHeight="1">
      <c r="F61" s="90" t="n">
        <v>6</v>
      </c>
      <c r="G61" s="91" t="inlineStr">
        <is>
          <t>RETROEXCAVADORA JHONDEREE 310 K</t>
        </is>
      </c>
      <c r="H61" s="92" t="n"/>
      <c r="I61" s="90" t="n">
        <v>75</v>
      </c>
      <c r="J61" s="90" t="n">
        <v>80</v>
      </c>
      <c r="K61" s="93" t="n">
        <v>155</v>
      </c>
      <c r="L61" s="94" t="n">
        <v>27</v>
      </c>
      <c r="M61" s="95" t="n">
        <v>4185</v>
      </c>
    </row>
    <row r="62" ht="18" customHeight="1">
      <c r="F62" s="85" t="n">
        <v>7</v>
      </c>
      <c r="G62" s="86" t="inlineStr">
        <is>
          <t>VIBROCOMPACTADOR CATERPILLAR CB66B</t>
        </is>
      </c>
      <c r="H62" s="96" t="n"/>
      <c r="I62" s="85" t="n">
        <v>50</v>
      </c>
      <c r="J62" s="85" t="n">
        <v>70</v>
      </c>
      <c r="K62" s="88" t="n">
        <v>120</v>
      </c>
      <c r="L62" s="55" t="n">
        <v>27</v>
      </c>
      <c r="M62" s="89" t="n">
        <v>3240</v>
      </c>
    </row>
    <row r="63" ht="20" customHeight="1">
      <c r="F63" s="80" t="inlineStr">
        <is>
          <t>TOTAL LITROS</t>
        </is>
      </c>
      <c r="G63" s="131" t="n"/>
      <c r="H63" s="132" t="n"/>
      <c r="I63" s="98" t="n">
        <v>445</v>
      </c>
      <c r="J63" s="98" t="n">
        <v>420</v>
      </c>
      <c r="K63" s="80" t="n">
        <v>865</v>
      </c>
      <c r="L63" s="15" t="n"/>
      <c r="M63" s="16" t="n">
        <v>23355</v>
      </c>
    </row>
    <row r="64" ht="20" customHeight="1">
      <c r="F64" s="99" t="inlineStr">
        <is>
          <t>IMPORTE SEMANAL AUTORIZADO: $75,600.00  (Litros aut.: 2,800.00 L)</t>
        </is>
      </c>
      <c r="G64" s="131" t="n"/>
      <c r="H64" s="131" t="n"/>
      <c r="I64" s="131" t="n"/>
      <c r="J64" s="131" t="n"/>
      <c r="K64" s="131" t="n"/>
      <c r="L64" s="132" t="n"/>
      <c r="M64" s="101" t="n">
        <v>23355</v>
      </c>
    </row>
    <row r="67" ht="22" customHeight="1">
      <c r="F67" s="81" t="inlineStr">
        <is>
          <t>FRANCISCO JAVIER</t>
        </is>
      </c>
      <c r="G67" s="131" t="n"/>
      <c r="H67" s="131" t="n"/>
      <c r="I67" s="131" t="n"/>
      <c r="J67" s="131" t="n"/>
      <c r="K67" s="131" t="n"/>
      <c r="L67" s="131" t="n"/>
      <c r="M67" s="131" t="n"/>
      <c r="N67" s="131" t="n"/>
      <c r="O67" s="131" t="n"/>
      <c r="P67" s="131" t="n"/>
      <c r="Q67" s="132" t="n"/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17/08</t>
        </is>
      </c>
      <c r="J68" s="4" t="inlineStr">
        <is>
          <t>Mar
18/08</t>
        </is>
      </c>
      <c r="K68" s="4" t="inlineStr">
        <is>
          <t>Mié
19/08</t>
        </is>
      </c>
      <c r="L68" s="4" t="inlineStr">
        <is>
          <t>Jue
20/08</t>
        </is>
      </c>
      <c r="M68" s="4" t="inlineStr">
        <is>
          <t>Vie
21/08</t>
        </is>
      </c>
      <c r="N68" s="4" t="inlineStr">
        <is>
          <t>Sáb
22/08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-393</v>
      </c>
      <c r="M70" s="85" t="n"/>
      <c r="N70" s="85" t="n"/>
      <c r="O70" s="88" t="n">
        <v>-393</v>
      </c>
      <c r="P70" s="55" t="n">
        <v>27</v>
      </c>
      <c r="Q70" s="89" t="n">
        <v>-10611</v>
      </c>
    </row>
    <row r="71" ht="18" customHeight="1">
      <c r="F71" s="90" t="n">
        <v>2</v>
      </c>
      <c r="G71" s="91" t="inlineStr">
        <is>
          <t>BARREDORA BROCE BROOM KR350</t>
        </is>
      </c>
      <c r="H71" s="92" t="n"/>
      <c r="I71" s="90" t="n">
        <v>40</v>
      </c>
      <c r="J71" s="90" t="n"/>
      <c r="K71" s="90" t="n">
        <v>40</v>
      </c>
      <c r="L71" s="90" t="n"/>
      <c r="M71" s="90" t="n"/>
      <c r="N71" s="90" t="n">
        <v>40</v>
      </c>
      <c r="O71" s="93" t="n">
        <v>120</v>
      </c>
      <c r="P71" s="94" t="n">
        <v>27</v>
      </c>
      <c r="Q71" s="95" t="n">
        <v>3240</v>
      </c>
    </row>
    <row r="72" ht="18" customHeight="1">
      <c r="F72" s="85" t="n">
        <v>3</v>
      </c>
      <c r="G72" s="86" t="inlineStr">
        <is>
          <t>DOBLE RODILLO/VIBROCOMPACTADOR DE RODILLOS HAMM 120HD VV</t>
        </is>
      </c>
      <c r="H72" s="96" t="n"/>
      <c r="I72" s="85" t="n">
        <v>50</v>
      </c>
      <c r="J72" s="85" t="n"/>
      <c r="K72" s="85" t="n">
        <v>50</v>
      </c>
      <c r="L72" s="85" t="n"/>
      <c r="M72" s="85" t="n"/>
      <c r="N72" s="85" t="n">
        <v>50</v>
      </c>
      <c r="O72" s="88" t="n">
        <v>150</v>
      </c>
      <c r="P72" s="55" t="n">
        <v>27</v>
      </c>
      <c r="Q72" s="89" t="n">
        <v>4050</v>
      </c>
    </row>
    <row r="73" ht="18" customHeight="1">
      <c r="F73" s="90" t="n">
        <v>4</v>
      </c>
      <c r="G73" s="91" t="inlineStr">
        <is>
          <t>DOBLE RODILLO/VIBROCOMPACTADOR DE RODILLOS HAMM 140HD</t>
        </is>
      </c>
      <c r="H73" s="92" t="n"/>
      <c r="I73" s="90" t="n">
        <v>50</v>
      </c>
      <c r="J73" s="90" t="n"/>
      <c r="K73" s="90" t="n">
        <v>50</v>
      </c>
      <c r="L73" s="90" t="n"/>
      <c r="M73" s="90" t="n"/>
      <c r="N73" s="90" t="n">
        <v>50</v>
      </c>
      <c r="O73" s="93" t="n">
        <v>150</v>
      </c>
      <c r="P73" s="94" t="n">
        <v>27</v>
      </c>
      <c r="Q73" s="95" t="n">
        <v>4050</v>
      </c>
    </row>
    <row r="74" ht="18" customHeight="1">
      <c r="F74" s="85" t="n">
        <v>5</v>
      </c>
      <c r="G74" s="86" t="inlineStr">
        <is>
          <t>MOTOCONFORMADORA</t>
        </is>
      </c>
      <c r="H74" s="96" t="n"/>
      <c r="I74" s="85" t="n"/>
      <c r="J74" s="85" t="n"/>
      <c r="K74" s="85" t="n"/>
      <c r="L74" s="85" t="n"/>
      <c r="M74" s="85" t="n">
        <v>252</v>
      </c>
      <c r="N74" s="85" t="n"/>
      <c r="O74" s="88" t="n">
        <v>252</v>
      </c>
      <c r="P74" s="55" t="n">
        <v>27</v>
      </c>
      <c r="Q74" s="89" t="n">
        <v>6804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>
        <v>21</v>
      </c>
      <c r="J75" s="90" t="n"/>
      <c r="K75" s="90" t="n"/>
      <c r="L75" s="90" t="n"/>
      <c r="M75" s="90" t="n"/>
      <c r="N75" s="90" t="n">
        <v>50</v>
      </c>
      <c r="O75" s="93" t="n">
        <v>71</v>
      </c>
      <c r="P75" s="94" t="n">
        <v>27</v>
      </c>
      <c r="Q75" s="95" t="n">
        <v>1917</v>
      </c>
    </row>
    <row r="76" ht="18" customHeight="1">
      <c r="F76" s="85" t="n">
        <v>7</v>
      </c>
      <c r="G76" s="86" t="inlineStr">
        <is>
          <t>NEUMATICO HAMM 208</t>
        </is>
      </c>
      <c r="H76" s="96" t="n"/>
      <c r="I76" s="85" t="n">
        <v>50</v>
      </c>
      <c r="J76" s="85" t="n"/>
      <c r="K76" s="85" t="n">
        <v>50</v>
      </c>
      <c r="L76" s="85" t="n"/>
      <c r="M76" s="85" t="n"/>
      <c r="N76" s="85" t="n">
        <v>50</v>
      </c>
      <c r="O76" s="88" t="n">
        <v>150</v>
      </c>
      <c r="P76" s="55" t="n">
        <v>27</v>
      </c>
      <c r="Q76" s="89" t="n">
        <v>4050</v>
      </c>
    </row>
    <row r="77" ht="18" customHeight="1">
      <c r="F77" s="90" t="n">
        <v>8</v>
      </c>
      <c r="G77" s="91" t="inlineStr">
        <is>
          <t>PAVIMENTADORA VOGELE SJ 1800-3</t>
        </is>
      </c>
      <c r="H77" s="92" t="n"/>
      <c r="I77" s="90" t="n">
        <v>160</v>
      </c>
      <c r="J77" s="90" t="n"/>
      <c r="K77" s="90" t="n">
        <v>200</v>
      </c>
      <c r="L77" s="90" t="n"/>
      <c r="M77" s="90" t="n">
        <v>220</v>
      </c>
      <c r="N77" s="90" t="n"/>
      <c r="O77" s="93" t="n">
        <v>580</v>
      </c>
      <c r="P77" s="94" t="n">
        <v>27</v>
      </c>
      <c r="Q77" s="95" t="n">
        <v>15660</v>
      </c>
    </row>
    <row r="78" ht="18" customHeight="1">
      <c r="F78" s="85" t="n">
        <v>9</v>
      </c>
      <c r="G78" s="86" t="inlineStr">
        <is>
          <t>PERFILADORA RODATEC RX600-4-4008</t>
        </is>
      </c>
      <c r="H78" s="96" t="n"/>
      <c r="I78" s="85" t="n"/>
      <c r="J78" s="85" t="n"/>
      <c r="K78" s="85" t="n"/>
      <c r="L78" s="85" t="n"/>
      <c r="M78" s="85" t="n">
        <v>400</v>
      </c>
      <c r="N78" s="85" t="n"/>
      <c r="O78" s="88" t="n">
        <v>400</v>
      </c>
      <c r="P78" s="55" t="n">
        <v>27</v>
      </c>
      <c r="Q78" s="89" t="n">
        <v>10800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400</v>
      </c>
      <c r="J79" s="90" t="n"/>
      <c r="K79" s="90" t="n">
        <v>400</v>
      </c>
      <c r="L79" s="90" t="n"/>
      <c r="M79" s="90" t="n"/>
      <c r="N79" s="90" t="n"/>
      <c r="O79" s="93" t="n">
        <v>800</v>
      </c>
      <c r="P79" s="94" t="n">
        <v>27</v>
      </c>
      <c r="Q79" s="95" t="n">
        <v>21600</v>
      </c>
    </row>
    <row r="80" ht="18" customHeight="1">
      <c r="F80" s="85" t="n">
        <v>11</v>
      </c>
      <c r="G80" s="86" t="inlineStr">
        <is>
          <t>PETROLIZADORA INTERNATIONAL None</t>
        </is>
      </c>
      <c r="H80" s="96" t="n"/>
      <c r="I80" s="85" t="n">
        <v>60</v>
      </c>
      <c r="J80" s="85" t="n"/>
      <c r="K80" s="85" t="n"/>
      <c r="L80" s="85" t="n"/>
      <c r="M80" s="85" t="n"/>
      <c r="N80" s="85" t="n"/>
      <c r="O80" s="88" t="n">
        <v>60</v>
      </c>
      <c r="P80" s="55" t="n">
        <v>27</v>
      </c>
      <c r="Q80" s="89" t="n">
        <v>1620</v>
      </c>
    </row>
    <row r="81" ht="18" customHeight="1">
      <c r="F81" s="90" t="n">
        <v>12</v>
      </c>
      <c r="G81" s="91" t="inlineStr">
        <is>
          <t>RETROEXCAVADORA CASE 580 N</t>
        </is>
      </c>
      <c r="H81" s="92" t="n"/>
      <c r="I81" s="90" t="n"/>
      <c r="J81" s="90" t="n">
        <v>120</v>
      </c>
      <c r="K81" s="90" t="n"/>
      <c r="L81" s="90" t="n"/>
      <c r="M81" s="90" t="n">
        <v>115</v>
      </c>
      <c r="N81" s="90" t="n"/>
      <c r="O81" s="93" t="n">
        <v>235</v>
      </c>
      <c r="P81" s="94" t="n">
        <v>27</v>
      </c>
      <c r="Q81" s="95" t="n">
        <v>6345</v>
      </c>
    </row>
    <row r="82" ht="18" customHeight="1">
      <c r="F82" s="85" t="n">
        <v>13</v>
      </c>
      <c r="G82" s="86" t="inlineStr">
        <is>
          <t>RETROEXCAVADORA JHONDEREE 310SK</t>
        </is>
      </c>
      <c r="H82" s="96" t="n"/>
      <c r="I82" s="85" t="n">
        <v>60</v>
      </c>
      <c r="J82" s="85" t="n"/>
      <c r="K82" s="85" t="n">
        <v>60</v>
      </c>
      <c r="L82" s="85" t="n"/>
      <c r="M82" s="85" t="n">
        <v>80</v>
      </c>
      <c r="N82" s="85" t="n"/>
      <c r="O82" s="88" t="n">
        <v>200</v>
      </c>
      <c r="P82" s="55" t="n">
        <v>27</v>
      </c>
      <c r="Q82" s="89" t="n">
        <v>5400</v>
      </c>
    </row>
    <row r="83" ht="20" customHeight="1">
      <c r="F83" s="80" t="inlineStr">
        <is>
          <t>TOTAL LITROS</t>
        </is>
      </c>
      <c r="G83" s="131" t="n"/>
      <c r="H83" s="132" t="n"/>
      <c r="I83" s="98" t="n">
        <v>891</v>
      </c>
      <c r="J83" s="97" t="n">
        <v>120</v>
      </c>
      <c r="K83" s="98" t="n">
        <v>850</v>
      </c>
      <c r="L83" s="97" t="n">
        <v>-393</v>
      </c>
      <c r="M83" s="98" t="n">
        <v>1067</v>
      </c>
      <c r="N83" s="97" t="n">
        <v>240</v>
      </c>
      <c r="O83" s="80" t="n">
        <v>2775</v>
      </c>
      <c r="P83" s="15" t="n"/>
      <c r="Q83" s="16" t="n">
        <v>74925</v>
      </c>
    </row>
    <row r="84" ht="20" customHeight="1">
      <c r="F84" s="99" t="inlineStr">
        <is>
          <t>IMPORTE SEMANAL AUTORIZADO: $103,950.00  (Litros aut.: 3,850.00 L)</t>
        </is>
      </c>
      <c r="G84" s="131" t="n"/>
      <c r="H84" s="131" t="n"/>
      <c r="I84" s="131" t="n"/>
      <c r="J84" s="131" t="n"/>
      <c r="K84" s="131" t="n"/>
      <c r="L84" s="131" t="n"/>
      <c r="M84" s="131" t="n"/>
      <c r="N84" s="131" t="n"/>
      <c r="O84" s="131" t="n"/>
      <c r="P84" s="132" t="n"/>
      <c r="Q84" s="101" t="n">
        <v>74925</v>
      </c>
    </row>
    <row r="87" ht="22" customHeight="1">
      <c r="F87" s="81" t="inlineStr">
        <is>
          <t>ING. DIEGO CARREOLA</t>
        </is>
      </c>
      <c r="G87" s="131" t="n"/>
      <c r="H87" s="131" t="n"/>
      <c r="I87" s="131" t="n"/>
      <c r="J87" s="131" t="n"/>
      <c r="K87" s="131" t="n"/>
      <c r="L87" s="131" t="n"/>
      <c r="M87" s="131" t="n"/>
      <c r="N87" s="131" t="n"/>
      <c r="O87" s="132" t="n"/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Mar
18/08</t>
        </is>
      </c>
      <c r="J88" s="4" t="inlineStr">
        <is>
          <t>Mié
19/08</t>
        </is>
      </c>
      <c r="K88" s="4" t="inlineStr">
        <is>
          <t>Jue
20/08</t>
        </is>
      </c>
      <c r="L88" s="4" t="inlineStr">
        <is>
          <t>Vie
21/08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San Felipe Tlalminilolpan</t>
        </is>
      </c>
      <c r="J89" s="84" t="inlineStr">
        <is>
          <t>San Felipe Tlalminilolpan</t>
        </is>
      </c>
      <c r="K89" s="84" t="inlineStr">
        <is>
          <t>METEPEC ARBOL DE LA VIDA</t>
        </is>
      </c>
      <c r="L89" s="84" t="inlineStr">
        <is>
          <t>San Felipe Tlalminilolpan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6300</v>
      </c>
      <c r="I90" s="85" t="n"/>
      <c r="J90" s="85" t="n"/>
      <c r="K90" s="85" t="n">
        <v>561</v>
      </c>
      <c r="L90" s="85" t="n"/>
      <c r="M90" s="88" t="n">
        <v>561</v>
      </c>
      <c r="N90" s="55" t="n">
        <v>27</v>
      </c>
      <c r="O90" s="89" t="n">
        <v>15147</v>
      </c>
    </row>
    <row r="91" ht="18" customHeight="1">
      <c r="F91" s="90" t="n">
        <v>2</v>
      </c>
      <c r="G91" s="91" t="inlineStr">
        <is>
          <t>BARREDORA BROCE BROOM KR350</t>
        </is>
      </c>
      <c r="H91" s="92" t="n"/>
      <c r="I91" s="90" t="n">
        <v>30</v>
      </c>
      <c r="J91" s="90" t="n"/>
      <c r="K91" s="90" t="n"/>
      <c r="L91" s="90" t="n"/>
      <c r="M91" s="93" t="n">
        <v>30</v>
      </c>
      <c r="N91" s="94" t="n">
        <v>27</v>
      </c>
      <c r="O91" s="95" t="n">
        <v>810</v>
      </c>
    </row>
    <row r="92" ht="18" customHeight="1">
      <c r="F92" s="85" t="n">
        <v>3</v>
      </c>
      <c r="G92" s="86" t="inlineStr">
        <is>
          <t>Barredora Broce Broom</t>
        </is>
      </c>
      <c r="H92" s="96" t="n"/>
      <c r="I92" s="85" t="n"/>
      <c r="J92" s="85" t="n"/>
      <c r="K92" s="85" t="n"/>
      <c r="L92" s="85" t="n">
        <v>30</v>
      </c>
      <c r="M92" s="88" t="n">
        <v>30</v>
      </c>
      <c r="N92" s="55" t="n">
        <v>27</v>
      </c>
      <c r="O92" s="89" t="n">
        <v>810</v>
      </c>
    </row>
    <row r="93" ht="18" customHeight="1">
      <c r="F93" s="90" t="n">
        <v>4</v>
      </c>
      <c r="G93" s="91" t="inlineStr">
        <is>
          <t>PERFILADORA RODATEC RX600E</t>
        </is>
      </c>
      <c r="H93" s="92" t="n"/>
      <c r="I93" s="90" t="n">
        <v>200</v>
      </c>
      <c r="J93" s="90" t="n">
        <v>200</v>
      </c>
      <c r="K93" s="90" t="n"/>
      <c r="L93" s="90" t="n"/>
      <c r="M93" s="93" t="n">
        <v>400</v>
      </c>
      <c r="N93" s="94" t="n">
        <v>27</v>
      </c>
      <c r="O93" s="95" t="n">
        <v>10800</v>
      </c>
    </row>
    <row r="94" ht="18" customHeight="1">
      <c r="F94" s="85" t="n">
        <v>5</v>
      </c>
      <c r="G94" s="86" t="inlineStr">
        <is>
          <t>RETROEXCAVADORA CASE 580 N</t>
        </is>
      </c>
      <c r="H94" s="96" t="n"/>
      <c r="I94" s="85" t="n">
        <v>30</v>
      </c>
      <c r="J94" s="85" t="n">
        <v>40</v>
      </c>
      <c r="K94" s="85" t="n"/>
      <c r="L94" s="85" t="n">
        <v>30</v>
      </c>
      <c r="M94" s="88" t="n">
        <v>100</v>
      </c>
      <c r="N94" s="55" t="n">
        <v>27</v>
      </c>
      <c r="O94" s="89" t="n">
        <v>2700</v>
      </c>
    </row>
    <row r="95" ht="20" customHeight="1">
      <c r="F95" s="80" t="inlineStr">
        <is>
          <t>TOTAL LITROS</t>
        </is>
      </c>
      <c r="G95" s="131" t="n"/>
      <c r="H95" s="132" t="n"/>
      <c r="I95" s="97" t="n">
        <v>260</v>
      </c>
      <c r="J95" s="97" t="n">
        <v>240</v>
      </c>
      <c r="K95" s="97" t="n">
        <v>561</v>
      </c>
      <c r="L95" s="97" t="n">
        <v>60</v>
      </c>
      <c r="M95" s="80" t="n">
        <v>1121</v>
      </c>
      <c r="N95" s="15" t="n"/>
      <c r="O95" s="16" t="n">
        <v>30267</v>
      </c>
    </row>
    <row r="96" ht="20" customHeight="1">
      <c r="F96" s="99" t="inlineStr">
        <is>
          <t>IMPORTE SEMANAL AUTORIZADO: $170,100.00  (Litros aut.: 6,300.00 L)</t>
        </is>
      </c>
      <c r="G96" s="131" t="n"/>
      <c r="H96" s="131" t="n"/>
      <c r="I96" s="131" t="n"/>
      <c r="J96" s="131" t="n"/>
      <c r="K96" s="131" t="n"/>
      <c r="L96" s="131" t="n"/>
      <c r="M96" s="131" t="n"/>
      <c r="N96" s="132" t="n"/>
      <c r="O96" s="101" t="n">
        <v>30267</v>
      </c>
    </row>
    <row r="99" ht="22" customHeight="1">
      <c r="F99" s="81" t="inlineStr">
        <is>
          <t>JACK</t>
        </is>
      </c>
      <c r="G99" s="131" t="n"/>
      <c r="H99" s="131" t="n"/>
      <c r="I99" s="131" t="n"/>
      <c r="J99" s="131" t="n"/>
      <c r="K99" s="131" t="n"/>
      <c r="L99" s="132" t="n"/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Jue
20/08</t>
        </is>
      </c>
      <c r="J100" s="4" t="inlineStr">
        <is>
          <t>LITROS
TOTAL</t>
        </is>
      </c>
      <c r="K100" s="4" t="inlineStr">
        <is>
          <t>PRECIO
UNIT.</t>
        </is>
      </c>
      <c r="L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Planta Pegaso</t>
        </is>
      </c>
      <c r="J101" s="82" t="n"/>
      <c r="K101" s="82" t="n"/>
      <c r="L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2800</v>
      </c>
      <c r="I102" s="85" t="n">
        <v>995</v>
      </c>
      <c r="J102" s="88" t="n">
        <v>995</v>
      </c>
      <c r="K102" s="55" t="n">
        <v>27</v>
      </c>
      <c r="L102" s="89" t="n">
        <v>26865</v>
      </c>
    </row>
    <row r="103" ht="20" customHeight="1">
      <c r="F103" s="80" t="inlineStr">
        <is>
          <t>TOTAL LITROS</t>
        </is>
      </c>
      <c r="G103" s="131" t="n"/>
      <c r="H103" s="132" t="n"/>
      <c r="I103" s="98" t="n">
        <v>995</v>
      </c>
      <c r="J103" s="80" t="n">
        <v>995</v>
      </c>
      <c r="K103" s="15" t="n"/>
      <c r="L103" s="16" t="n">
        <v>26865</v>
      </c>
    </row>
    <row r="104" ht="20" customHeight="1">
      <c r="F104" s="99" t="inlineStr">
        <is>
          <t>IMPORTE SEMANAL AUTORIZADO: $75,600.00  (Litros aut.: 2,800.00 L)</t>
        </is>
      </c>
      <c r="G104" s="131" t="n"/>
      <c r="H104" s="131" t="n"/>
      <c r="I104" s="131" t="n"/>
      <c r="J104" s="131" t="n"/>
      <c r="K104" s="132" t="n"/>
      <c r="L104" s="101" t="n">
        <v>26865</v>
      </c>
    </row>
    <row r="107" ht="22" customHeight="1">
      <c r="F107" s="81" t="inlineStr">
        <is>
          <t>LUIS</t>
        </is>
      </c>
      <c r="G107" s="131" t="n"/>
      <c r="H107" s="131" t="n"/>
      <c r="I107" s="131" t="n"/>
      <c r="J107" s="131" t="n"/>
      <c r="K107" s="131" t="n"/>
      <c r="L107" s="131" t="n"/>
      <c r="M107" s="131" t="n"/>
      <c r="N107" s="131" t="n"/>
      <c r="O107" s="132" t="n"/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17/08</t>
        </is>
      </c>
      <c r="J108" s="4" t="inlineStr">
        <is>
          <t>Mar
18/08</t>
        </is>
      </c>
      <c r="K108" s="4" t="inlineStr">
        <is>
          <t>Jue
20/08</t>
        </is>
      </c>
      <c r="L108" s="4" t="inlineStr">
        <is>
          <t>Vie
21/08</t>
        </is>
      </c>
      <c r="M108" s="4" t="inlineStr">
        <is>
          <t>LITROS
TOTAL</t>
        </is>
      </c>
      <c r="N108" s="4" t="inlineStr">
        <is>
          <t>PRECIO
UNIT.</t>
        </is>
      </c>
      <c r="O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Huixquilucan</t>
        </is>
      </c>
      <c r="J109" s="84" t="inlineStr">
        <is>
          <t>Planta Huixquilucan</t>
        </is>
      </c>
      <c r="K109" s="84" t="inlineStr">
        <is>
          <t>Planta Huixquilucan</t>
        </is>
      </c>
      <c r="L109" s="84" t="inlineStr">
        <is>
          <t>Planta Huixquilucan</t>
        </is>
      </c>
      <c r="M109" s="82" t="n"/>
      <c r="N109" s="82" t="n"/>
      <c r="O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-649</v>
      </c>
      <c r="L110" s="85" t="n"/>
      <c r="M110" s="88" t="n">
        <v>-649</v>
      </c>
      <c r="N110" s="55" t="n">
        <v>27</v>
      </c>
      <c r="O110" s="89" t="n">
        <v>-17523</v>
      </c>
    </row>
    <row r="111" ht="18" customHeight="1">
      <c r="F111" s="90" t="n">
        <v>2</v>
      </c>
      <c r="G111" s="91" t="inlineStr">
        <is>
          <t>BIDONES</t>
        </is>
      </c>
      <c r="H111" s="92" t="n"/>
      <c r="I111" s="90" t="n"/>
      <c r="J111" s="90" t="n">
        <v>800</v>
      </c>
      <c r="K111" s="90" t="n"/>
      <c r="L111" s="90" t="n">
        <v>433</v>
      </c>
      <c r="M111" s="93" t="n">
        <v>1233</v>
      </c>
      <c r="N111" s="94" t="n">
        <v>27</v>
      </c>
      <c r="O111" s="95" t="n">
        <v>33291</v>
      </c>
    </row>
    <row r="112" ht="18" customHeight="1">
      <c r="F112" s="85" t="n">
        <v>3</v>
      </c>
      <c r="G112" s="86" t="inlineStr">
        <is>
          <t>CALDERA PLANTA  AH</t>
        </is>
      </c>
      <c r="H112" s="96" t="n"/>
      <c r="I112" s="85" t="n">
        <v>300</v>
      </c>
      <c r="J112" s="85" t="n">
        <v>108</v>
      </c>
      <c r="K112" s="85" t="n"/>
      <c r="L112" s="85" t="n"/>
      <c r="M112" s="88" t="n">
        <v>408</v>
      </c>
      <c r="N112" s="55" t="n">
        <v>27</v>
      </c>
      <c r="O112" s="89" t="n">
        <v>11016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>
        <v>50</v>
      </c>
      <c r="J113" s="90" t="n"/>
      <c r="K113" s="90" t="n"/>
      <c r="L113" s="90" t="n"/>
      <c r="M113" s="93" t="n">
        <v>50</v>
      </c>
      <c r="N113" s="94" t="n">
        <v>27</v>
      </c>
      <c r="O113" s="95" t="n">
        <v>1350</v>
      </c>
    </row>
    <row r="114" ht="18" customHeight="1">
      <c r="F114" s="85" t="n">
        <v>5</v>
      </c>
      <c r="G114" s="86" t="inlineStr">
        <is>
          <t>DOBLE RODILLO RAD ROLLER FILY-325 PRO</t>
        </is>
      </c>
      <c r="H114" s="96" t="n"/>
      <c r="I114" s="85" t="n"/>
      <c r="J114" s="85" t="n"/>
      <c r="K114" s="85" t="n"/>
      <c r="L114" s="85" t="n">
        <v>55</v>
      </c>
      <c r="M114" s="88" t="n">
        <v>55</v>
      </c>
      <c r="N114" s="55" t="n">
        <v>27</v>
      </c>
      <c r="O114" s="89" t="n">
        <v>1485</v>
      </c>
    </row>
    <row r="115" ht="18" customHeight="1">
      <c r="F115" s="90" t="n">
        <v>6</v>
      </c>
      <c r="G115" s="91" t="inlineStr">
        <is>
          <t>Generador</t>
        </is>
      </c>
      <c r="H115" s="92" t="n"/>
      <c r="I115" s="90" t="n"/>
      <c r="J115" s="90" t="n"/>
      <c r="K115" s="90" t="n"/>
      <c r="L115" s="90" t="n">
        <v>200</v>
      </c>
      <c r="M115" s="93" t="n">
        <v>200</v>
      </c>
      <c r="N115" s="94" t="n">
        <v>27</v>
      </c>
      <c r="O115" s="95" t="n">
        <v>5400</v>
      </c>
    </row>
    <row r="116" ht="18" customHeight="1">
      <c r="F116" s="85" t="n">
        <v>7</v>
      </c>
      <c r="G116" s="86" t="inlineStr">
        <is>
          <t>MOTOCONFORMADORA</t>
        </is>
      </c>
      <c r="H116" s="96" t="n"/>
      <c r="I116" s="85" t="n"/>
      <c r="J116" s="85" t="n"/>
      <c r="K116" s="85" t="n"/>
      <c r="L116" s="85" t="n">
        <v>112</v>
      </c>
      <c r="M116" s="88" t="n">
        <v>112</v>
      </c>
      <c r="N116" s="55" t="n">
        <v>27</v>
      </c>
      <c r="O116" s="89" t="n">
        <v>3024</v>
      </c>
    </row>
    <row r="117" ht="18" customHeight="1">
      <c r="F117" s="90" t="n">
        <v>8</v>
      </c>
      <c r="G117" s="91" t="inlineStr">
        <is>
          <t>PAYLOADER</t>
        </is>
      </c>
      <c r="H117" s="92" t="n"/>
      <c r="I117" s="90" t="n">
        <v>93</v>
      </c>
      <c r="J117" s="90" t="n"/>
      <c r="K117" s="90" t="n"/>
      <c r="L117" s="90" t="n"/>
      <c r="M117" s="93" t="n">
        <v>93</v>
      </c>
      <c r="N117" s="94" t="n">
        <v>27</v>
      </c>
      <c r="O117" s="95" t="n">
        <v>2511</v>
      </c>
    </row>
    <row r="118" ht="18" customHeight="1">
      <c r="F118" s="85" t="n">
        <v>9</v>
      </c>
      <c r="G118" s="86" t="inlineStr">
        <is>
          <t>Torre de Luces Maxilight</t>
        </is>
      </c>
      <c r="H118" s="96" t="n"/>
      <c r="I118" s="85" t="n"/>
      <c r="J118" s="85" t="n">
        <v>92</v>
      </c>
      <c r="K118" s="85" t="n"/>
      <c r="L118" s="85" t="n"/>
      <c r="M118" s="88" t="n">
        <v>92</v>
      </c>
      <c r="N118" s="55" t="n">
        <v>27</v>
      </c>
      <c r="O118" s="89" t="n">
        <v>2484</v>
      </c>
    </row>
    <row r="119" ht="20" customHeight="1">
      <c r="F119" s="80" t="inlineStr">
        <is>
          <t>TOTAL LITROS</t>
        </is>
      </c>
      <c r="G119" s="131" t="n"/>
      <c r="H119" s="132" t="n"/>
      <c r="I119" s="98" t="n">
        <v>443</v>
      </c>
      <c r="J119" s="98" t="n">
        <v>1000</v>
      </c>
      <c r="K119" s="97" t="n">
        <v>-649</v>
      </c>
      <c r="L119" s="98" t="n">
        <v>800</v>
      </c>
      <c r="M119" s="80" t="n">
        <v>1594</v>
      </c>
      <c r="N119" s="15" t="n"/>
      <c r="O119" s="16" t="n">
        <v>43038</v>
      </c>
    </row>
    <row r="120" ht="20" customHeight="1">
      <c r="F120" s="99" t="inlineStr">
        <is>
          <t>IMPORTE SEMANAL AUTORIZADO: $75,600.00  (Litros aut.: 2,800.00 L)</t>
        </is>
      </c>
      <c r="G120" s="131" t="n"/>
      <c r="H120" s="131" t="n"/>
      <c r="I120" s="131" t="n"/>
      <c r="J120" s="131" t="n"/>
      <c r="K120" s="131" t="n"/>
      <c r="L120" s="131" t="n"/>
      <c r="M120" s="131" t="n"/>
      <c r="N120" s="132" t="n"/>
      <c r="O120" s="101" t="n">
        <v>43038</v>
      </c>
    </row>
    <row r="123" ht="22" customHeight="1">
      <c r="F123" s="81" t="inlineStr">
        <is>
          <t>SAMUEL</t>
        </is>
      </c>
      <c r="G123" s="131" t="n"/>
      <c r="H123" s="131" t="n"/>
      <c r="I123" s="131" t="n"/>
      <c r="J123" s="131" t="n"/>
      <c r="K123" s="131" t="n"/>
      <c r="L123" s="131" t="n"/>
      <c r="M123" s="131" t="n"/>
      <c r="N123" s="131" t="n"/>
      <c r="O123" s="132" t="n"/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Lun
17/08</t>
        </is>
      </c>
      <c r="J124" s="4" t="inlineStr">
        <is>
          <t>Mar
18/08</t>
        </is>
      </c>
      <c r="K124" s="4" t="inlineStr">
        <is>
          <t>Mié
19/08</t>
        </is>
      </c>
      <c r="L124" s="4" t="inlineStr">
        <is>
          <t>Jue
20/08</t>
        </is>
      </c>
      <c r="M124" s="4" t="inlineStr">
        <is>
          <t>LITROS
TOTAL</t>
        </is>
      </c>
      <c r="N124" s="4" t="inlineStr">
        <is>
          <t>PRECIO
UNIT.</t>
        </is>
      </c>
      <c r="O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Providencia</t>
        </is>
      </c>
      <c r="J125" s="84" t="inlineStr">
        <is>
          <t>Providencia</t>
        </is>
      </c>
      <c r="K125" s="84" t="inlineStr">
        <is>
          <t>Providencia</t>
        </is>
      </c>
      <c r="L125" s="84" t="inlineStr">
        <is>
          <t>Providencia</t>
        </is>
      </c>
      <c r="M125" s="82" t="n"/>
      <c r="N125" s="82" t="n"/>
      <c r="O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269</v>
      </c>
      <c r="M126" s="88" t="n">
        <v>269</v>
      </c>
      <c r="N126" s="55" t="n">
        <v>27</v>
      </c>
      <c r="O126" s="89" t="n">
        <v>7263</v>
      </c>
    </row>
    <row r="127" ht="18" customHeight="1">
      <c r="F127" s="90" t="n">
        <v>2</v>
      </c>
      <c r="G127" s="91" t="inlineStr">
        <is>
          <t>HOMBRE A BORDO CIPSA SL2000</t>
        </is>
      </c>
      <c r="H127" s="92" t="n"/>
      <c r="I127" s="90" t="n">
        <v>10</v>
      </c>
      <c r="J127" s="90" t="n"/>
      <c r="K127" s="90" t="n"/>
      <c r="L127" s="90" t="n"/>
      <c r="M127" s="93" t="n">
        <v>10</v>
      </c>
      <c r="N127" s="94" t="n">
        <v>27</v>
      </c>
      <c r="O127" s="95" t="n">
        <v>270</v>
      </c>
    </row>
    <row r="128" ht="18" customHeight="1">
      <c r="F128" s="85" t="n">
        <v>3</v>
      </c>
      <c r="G128" s="86" t="inlineStr">
        <is>
          <t>Petrolizadora</t>
        </is>
      </c>
      <c r="H128" s="96" t="n"/>
      <c r="I128" s="85" t="n"/>
      <c r="J128" s="85" t="n">
        <v>40</v>
      </c>
      <c r="K128" s="85" t="n"/>
      <c r="L128" s="85" t="n"/>
      <c r="M128" s="88" t="n">
        <v>40</v>
      </c>
      <c r="N128" s="55" t="n">
        <v>27</v>
      </c>
      <c r="O128" s="89" t="n">
        <v>1080</v>
      </c>
    </row>
    <row r="129" ht="18" customHeight="1">
      <c r="F129" s="90" t="n">
        <v>4</v>
      </c>
      <c r="G129" s="91" t="inlineStr">
        <is>
          <t>RETROEXCAVADORA CASE 580 N</t>
        </is>
      </c>
      <c r="H129" s="92" t="n"/>
      <c r="I129" s="90" t="n">
        <v>50</v>
      </c>
      <c r="J129" s="90" t="n"/>
      <c r="K129" s="90" t="n">
        <v>43</v>
      </c>
      <c r="L129" s="90" t="n"/>
      <c r="M129" s="93" t="n">
        <v>93</v>
      </c>
      <c r="N129" s="94" t="n">
        <v>27</v>
      </c>
      <c r="O129" s="95" t="n">
        <v>2511</v>
      </c>
    </row>
    <row r="130" ht="20" customHeight="1">
      <c r="F130" s="80" t="inlineStr">
        <is>
          <t>TOTAL LITROS</t>
        </is>
      </c>
      <c r="G130" s="131" t="n"/>
      <c r="H130" s="132" t="n"/>
      <c r="I130" s="97" t="n">
        <v>60</v>
      </c>
      <c r="J130" s="97" t="n">
        <v>40</v>
      </c>
      <c r="K130" s="97" t="n">
        <v>43</v>
      </c>
      <c r="L130" s="97" t="n">
        <v>269</v>
      </c>
      <c r="M130" s="80" t="n">
        <v>412</v>
      </c>
      <c r="N130" s="15" t="n"/>
      <c r="O130" s="16" t="n">
        <v>11124</v>
      </c>
    </row>
    <row r="131" ht="20" customHeight="1">
      <c r="F131" s="99" t="inlineStr">
        <is>
          <t>IMPORTE SEMANAL AUTORIZADO: $75,600.00  (Litros aut.: 2,800.00 L)</t>
        </is>
      </c>
      <c r="G131" s="131" t="n"/>
      <c r="H131" s="131" t="n"/>
      <c r="I131" s="131" t="n"/>
      <c r="J131" s="131" t="n"/>
      <c r="K131" s="131" t="n"/>
      <c r="L131" s="131" t="n"/>
      <c r="M131" s="131" t="n"/>
      <c r="N131" s="132" t="n"/>
      <c r="O131" s="101" t="n">
        <v>11124</v>
      </c>
    </row>
    <row r="136" ht="24" customHeight="1">
      <c r="F136" s="102" t="inlineStr">
        <is>
          <t>▶ FACTURADO POR OBRA Y DÍA — DIESEL (FOLIOS, MONTOS CON IVA Y LITROS — SEMANA 34)</t>
        </is>
      </c>
      <c r="G136" s="131" t="n"/>
      <c r="H136" s="131" t="n"/>
      <c r="I136" s="131" t="n"/>
      <c r="J136" s="131" t="n"/>
      <c r="K136" s="131" t="n"/>
      <c r="L136" s="131" t="n"/>
      <c r="M136" s="131" t="n"/>
      <c r="N136" s="131" t="n"/>
      <c r="O136" s="131" t="n"/>
      <c r="P136" s="131" t="n"/>
      <c r="Q136" s="131" t="n"/>
      <c r="R136" s="131" t="n"/>
      <c r="S136" s="131" t="n"/>
      <c r="T136" s="131" t="n"/>
      <c r="U136" s="131" t="n"/>
      <c r="V136" s="131" t="n"/>
      <c r="W136" s="131" t="n"/>
      <c r="X136" s="131" t="n"/>
      <c r="Y136" s="131" t="n"/>
      <c r="Z136" s="131" t="n"/>
      <c r="AA136" s="132" t="n"/>
    </row>
    <row r="137" ht="20" customHeight="1">
      <c r="F137" s="4" t="inlineStr">
        <is>
          <t>OBRA / DESTINO</t>
        </is>
      </c>
      <c r="G137" s="4" t="inlineStr">
        <is>
          <t>LUN 17-AGO</t>
        </is>
      </c>
      <c r="H137" s="131" t="n"/>
      <c r="I137" s="132" t="n"/>
      <c r="J137" s="4" t="inlineStr">
        <is>
          <t>MAR 18-AGO</t>
        </is>
      </c>
      <c r="K137" s="131" t="n"/>
      <c r="L137" s="132" t="n"/>
      <c r="M137" s="4" t="inlineStr">
        <is>
          <t>MIÉ 19-AGO</t>
        </is>
      </c>
      <c r="N137" s="131" t="n"/>
      <c r="O137" s="132" t="n"/>
      <c r="P137" s="4" t="inlineStr">
        <is>
          <t>JUE 20-AGO</t>
        </is>
      </c>
      <c r="Q137" s="131" t="n"/>
      <c r="R137" s="132" t="n"/>
      <c r="S137" s="4" t="inlineStr">
        <is>
          <t>VIE 21-AGO</t>
        </is>
      </c>
      <c r="T137" s="131" t="n"/>
      <c r="U137" s="132" t="n"/>
      <c r="V137" s="4" t="inlineStr">
        <is>
          <t>SÁB 22-AGO</t>
        </is>
      </c>
      <c r="W137" s="131" t="n"/>
      <c r="X137" s="132" t="n"/>
      <c r="Y137" s="4" t="inlineStr">
        <is>
          <t>TOTALES ACUMULADOS</t>
        </is>
      </c>
      <c r="Z137" s="131" t="n"/>
      <c r="AA137" s="132" t="n"/>
    </row>
    <row r="138" ht="20" customHeight="1">
      <c r="F138" s="135" t="n"/>
      <c r="G138" s="4" t="inlineStr">
        <is>
          <t>FACTURA</t>
        </is>
      </c>
      <c r="H138" s="4" t="inlineStr">
        <is>
          <t>MONTO ($)</t>
        </is>
      </c>
      <c r="I138" s="4" t="inlineStr">
        <is>
          <t>LITROS</t>
        </is>
      </c>
      <c r="J138" s="4" t="inlineStr">
        <is>
          <t>FACTURA</t>
        </is>
      </c>
      <c r="K138" s="4" t="inlineStr">
        <is>
          <t>MONTO ($)</t>
        </is>
      </c>
      <c r="L138" s="4" t="inlineStr">
        <is>
          <t>LITROS</t>
        </is>
      </c>
      <c r="M138" s="4" t="inlineStr">
        <is>
          <t>FACTURA</t>
        </is>
      </c>
      <c r="N138" s="4" t="inlineStr">
        <is>
          <t>MONTO ($)</t>
        </is>
      </c>
      <c r="O138" s="4" t="inlineStr">
        <is>
          <t>LITROS</t>
        </is>
      </c>
      <c r="P138" s="4" t="inlineStr">
        <is>
          <t>FACTURA</t>
        </is>
      </c>
      <c r="Q138" s="4" t="inlineStr">
        <is>
          <t>MONTO ($)</t>
        </is>
      </c>
      <c r="R138" s="4" t="inlineStr">
        <is>
          <t>LITROS</t>
        </is>
      </c>
      <c r="S138" s="4" t="inlineStr">
        <is>
          <t>FACTURA</t>
        </is>
      </c>
      <c r="T138" s="4" t="inlineStr">
        <is>
          <t>MONTO ($)</t>
        </is>
      </c>
      <c r="U138" s="4" t="inlineStr">
        <is>
          <t>LITROS</t>
        </is>
      </c>
      <c r="V138" s="4" t="inlineStr">
        <is>
          <t>FACTURA</t>
        </is>
      </c>
      <c r="W138" s="4" t="inlineStr">
        <is>
          <t>MONTO ($)</t>
        </is>
      </c>
      <c r="X138" s="4" t="inlineStr">
        <is>
          <t>LITROS</t>
        </is>
      </c>
      <c r="Y138" s="4" t="inlineStr">
        <is>
          <t>TOTAL FACTURAS</t>
        </is>
      </c>
      <c r="Z138" s="4" t="inlineStr">
        <is>
          <t>TOTAL MONTO</t>
        </is>
      </c>
      <c r="AA138" s="4" t="inlineStr">
        <is>
          <t>TOTAL LITROS</t>
        </is>
      </c>
    </row>
    <row r="139" ht="20" customHeight="1">
      <c r="F139" s="5" t="inlineStr">
        <is>
          <t>METEPEC ARBOL DE LA VIDA</t>
        </is>
      </c>
      <c r="G139" s="119" t="inlineStr">
        <is>
          <t>-</t>
        </is>
      </c>
      <c r="H139" s="120" t="inlineStr">
        <is>
          <t>-</t>
        </is>
      </c>
      <c r="I139" s="120" t="inlineStr">
        <is>
          <t>-</t>
        </is>
      </c>
      <c r="J139" s="116" t="inlineStr">
        <is>
          <t>A10964</t>
        </is>
      </c>
      <c r="K139" s="117" t="n">
        <v>3240</v>
      </c>
      <c r="L139" s="118" t="n">
        <v>120</v>
      </c>
      <c r="M139" s="119" t="inlineStr">
        <is>
          <t>-</t>
        </is>
      </c>
      <c r="N139" s="120" t="inlineStr">
        <is>
          <t>-</t>
        </is>
      </c>
      <c r="O139" s="120" t="inlineStr">
        <is>
          <t>-</t>
        </is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6" t="inlineStr">
        <is>
          <t>A11008</t>
        </is>
      </c>
      <c r="T139" s="117" t="n">
        <v>10800.06</v>
      </c>
      <c r="U139" s="118" t="n">
        <v>400</v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2 Factura(s)</t>
        </is>
      </c>
      <c r="Z139" s="122" t="n">
        <v>14040.06</v>
      </c>
      <c r="AA139" s="123" t="n">
        <v>520</v>
      </c>
    </row>
    <row r="140" ht="20" customHeight="1">
      <c r="F140" s="9" t="inlineStr">
        <is>
          <t>México - Toluca</t>
        </is>
      </c>
      <c r="G140" s="116" t="inlineStr">
        <is>
          <t>A23783109</t>
        </is>
      </c>
      <c r="H140" s="117" t="n">
        <v>24840.1</v>
      </c>
      <c r="I140" s="118" t="n">
        <v>920</v>
      </c>
      <c r="J140" s="124" t="inlineStr">
        <is>
          <t>-</t>
        </is>
      </c>
      <c r="K140" s="125" t="inlineStr">
        <is>
          <t>-</t>
        </is>
      </c>
      <c r="L140" s="125" t="inlineStr">
        <is>
          <t>-</t>
        </is>
      </c>
      <c r="M140" s="116" t="inlineStr">
        <is>
          <t>A10981</t>
        </is>
      </c>
      <c r="N140" s="117" t="n">
        <v>24840.06</v>
      </c>
      <c r="O140" s="118" t="n">
        <v>920</v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A11005</t>
        </is>
      </c>
      <c r="T140" s="117" t="n">
        <v>19980.09</v>
      </c>
      <c r="U140" s="118" t="n">
        <v>740</v>
      </c>
      <c r="V140" s="116" t="inlineStr">
        <is>
          <t>A11020</t>
        </is>
      </c>
      <c r="W140" s="117" t="n">
        <v>5400.05</v>
      </c>
      <c r="X140" s="118" t="n">
        <v>200</v>
      </c>
      <c r="Y140" s="126" t="inlineStr">
        <is>
          <t>4 Factura(s)</t>
        </is>
      </c>
      <c r="Z140" s="127" t="n">
        <v>75060.3</v>
      </c>
      <c r="AA140" s="128" t="n">
        <v>2780</v>
      </c>
    </row>
    <row r="141" ht="20" customHeight="1">
      <c r="F141" s="5" t="inlineStr">
        <is>
          <t>Planta Huixquilucan</t>
        </is>
      </c>
      <c r="G141" s="116" t="inlineStr">
        <is>
          <t>A10951</t>
        </is>
      </c>
      <c r="H141" s="117" t="n">
        <v>21600.15</v>
      </c>
      <c r="I141" s="118" t="n">
        <v>800</v>
      </c>
      <c r="J141" s="119" t="inlineStr">
        <is>
          <t>-</t>
        </is>
      </c>
      <c r="K141" s="120" t="inlineStr">
        <is>
          <t>-</t>
        </is>
      </c>
      <c r="L141" s="120" t="inlineStr">
        <is>
          <t>-</t>
        </is>
      </c>
      <c r="M141" s="119" t="inlineStr">
        <is>
          <t>-</t>
        </is>
      </c>
      <c r="N141" s="120" t="inlineStr">
        <is>
          <t>-</t>
        </is>
      </c>
      <c r="O141" s="120" t="inlineStr">
        <is>
          <t>-</t>
        </is>
      </c>
      <c r="P141" s="119" t="inlineStr">
        <is>
          <t>-</t>
        </is>
      </c>
      <c r="Q141" s="120" t="inlineStr">
        <is>
          <t>-</t>
        </is>
      </c>
      <c r="R141" s="120" t="inlineStr">
        <is>
          <t>-</t>
        </is>
      </c>
      <c r="S141" s="116" t="inlineStr">
        <is>
          <t>A11006</t>
        </is>
      </c>
      <c r="T141" s="117" t="n">
        <v>21600.14</v>
      </c>
      <c r="U141" s="118" t="n">
        <v>800</v>
      </c>
      <c r="V141" s="119" t="inlineStr">
        <is>
          <t>-</t>
        </is>
      </c>
      <c r="W141" s="120" t="inlineStr">
        <is>
          <t>-</t>
        </is>
      </c>
      <c r="X141" s="120" t="inlineStr">
        <is>
          <t>-</t>
        </is>
      </c>
      <c r="Y141" s="121" t="inlineStr">
        <is>
          <t>2 Factura(s)</t>
        </is>
      </c>
      <c r="Z141" s="122" t="n">
        <v>43200.29</v>
      </c>
      <c r="AA141" s="123" t="n">
        <v>1600</v>
      </c>
    </row>
    <row r="142" ht="20" customHeight="1">
      <c r="F142" s="9" t="inlineStr">
        <is>
          <t>Planta Pegaso</t>
        </is>
      </c>
      <c r="G142" s="124" t="inlineStr">
        <is>
          <t>-</t>
        </is>
      </c>
      <c r="H142" s="125" t="inlineStr">
        <is>
          <t>-</t>
        </is>
      </c>
      <c r="I142" s="125" t="inlineStr">
        <is>
          <t>-</t>
        </is>
      </c>
      <c r="J142" s="116" t="inlineStr">
        <is>
          <t>A10963</t>
        </is>
      </c>
      <c r="K142" s="117" t="n">
        <v>27000.11</v>
      </c>
      <c r="L142" s="118" t="n">
        <v>1000</v>
      </c>
      <c r="M142" s="124" t="inlineStr">
        <is>
          <t>-</t>
        </is>
      </c>
      <c r="N142" s="125" t="inlineStr">
        <is>
          <t>-</t>
        </is>
      </c>
      <c r="O142" s="125" t="inlineStr">
        <is>
          <t>-</t>
        </is>
      </c>
      <c r="P142" s="124" t="inlineStr">
        <is>
          <t>-</t>
        </is>
      </c>
      <c r="Q142" s="125" t="inlineStr">
        <is>
          <t>-</t>
        </is>
      </c>
      <c r="R142" s="125" t="inlineStr">
        <is>
          <t>-</t>
        </is>
      </c>
      <c r="S142" s="124" t="inlineStr">
        <is>
          <t>-</t>
        </is>
      </c>
      <c r="T142" s="125" t="inlineStr">
        <is>
          <t>-</t>
        </is>
      </c>
      <c r="U142" s="125" t="inlineStr">
        <is>
          <t>-</t>
        </is>
      </c>
      <c r="V142" s="124" t="inlineStr">
        <is>
          <t>-</t>
        </is>
      </c>
      <c r="W142" s="125" t="inlineStr">
        <is>
          <t>-</t>
        </is>
      </c>
      <c r="X142" s="125" t="inlineStr">
        <is>
          <t>-</t>
        </is>
      </c>
      <c r="Y142" s="126" t="inlineStr">
        <is>
          <t>1 Factura(s)</t>
        </is>
      </c>
      <c r="Z142" s="127" t="n">
        <v>27000.11</v>
      </c>
      <c r="AA142" s="128" t="n">
        <v>1000</v>
      </c>
    </row>
    <row r="143" ht="20" customHeight="1">
      <c r="F143" s="5" t="inlineStr">
        <is>
          <t>Providencia</t>
        </is>
      </c>
      <c r="G143" s="116" t="inlineStr">
        <is>
          <t>A10953</t>
        </is>
      </c>
      <c r="H143" s="117" t="n">
        <v>2700.08</v>
      </c>
      <c r="I143" s="118" t="n">
        <v>100</v>
      </c>
      <c r="J143" s="119" t="inlineStr">
        <is>
          <t>-</t>
        </is>
      </c>
      <c r="K143" s="120" t="inlineStr">
        <is>
          <t>-</t>
        </is>
      </c>
      <c r="L143" s="120" t="inlineStr">
        <is>
          <t>-</t>
        </is>
      </c>
      <c r="M143" s="116" t="inlineStr">
        <is>
          <t>A10982</t>
        </is>
      </c>
      <c r="N143" s="117" t="n">
        <v>8640</v>
      </c>
      <c r="O143" s="118" t="n">
        <v>320</v>
      </c>
      <c r="P143" s="119" t="inlineStr">
        <is>
          <t>-</t>
        </is>
      </c>
      <c r="Q143" s="120" t="inlineStr">
        <is>
          <t>-</t>
        </is>
      </c>
      <c r="R143" s="120" t="inlineStr">
        <is>
          <t>-</t>
        </is>
      </c>
      <c r="S143" s="119" t="inlineStr">
        <is>
          <t>-</t>
        </is>
      </c>
      <c r="T143" s="120" t="inlineStr">
        <is>
          <t>-</t>
        </is>
      </c>
      <c r="U143" s="120" t="inlineStr">
        <is>
          <t>-</t>
        </is>
      </c>
      <c r="V143" s="119" t="inlineStr">
        <is>
          <t>-</t>
        </is>
      </c>
      <c r="W143" s="120" t="inlineStr">
        <is>
          <t>-</t>
        </is>
      </c>
      <c r="X143" s="120" t="inlineStr">
        <is>
          <t>-</t>
        </is>
      </c>
      <c r="Y143" s="121" t="inlineStr">
        <is>
          <t>2 Factura(s)</t>
        </is>
      </c>
      <c r="Z143" s="122" t="n">
        <v>11340.08</v>
      </c>
      <c r="AA143" s="123" t="n">
        <v>420</v>
      </c>
    </row>
    <row r="144" ht="20" customHeight="1">
      <c r="F144" s="9" t="inlineStr">
        <is>
          <t>San Felipe Tlalminilolpan</t>
        </is>
      </c>
      <c r="G144" s="124" t="inlineStr">
        <is>
          <t>-</t>
        </is>
      </c>
      <c r="H144" s="125" t="inlineStr">
        <is>
          <t>-</t>
        </is>
      </c>
      <c r="I144" s="125" t="inlineStr">
        <is>
          <t>-</t>
        </is>
      </c>
      <c r="J144" s="116" t="inlineStr">
        <is>
          <t>A10965</t>
        </is>
      </c>
      <c r="K144" s="117" t="n">
        <v>7020.03</v>
      </c>
      <c r="L144" s="118" t="n">
        <v>260</v>
      </c>
      <c r="M144" s="124" t="inlineStr">
        <is>
          <t>-</t>
        </is>
      </c>
      <c r="N144" s="125" t="inlineStr">
        <is>
          <t>-</t>
        </is>
      </c>
      <c r="O144" s="125" t="inlineStr">
        <is>
          <t>-</t>
        </is>
      </c>
      <c r="P144" s="124" t="inlineStr">
        <is>
          <t>-</t>
        </is>
      </c>
      <c r="Q144" s="125" t="inlineStr">
        <is>
          <t>-</t>
        </is>
      </c>
      <c r="R144" s="125" t="inlineStr">
        <is>
          <t>-</t>
        </is>
      </c>
      <c r="S144" s="116" t="inlineStr">
        <is>
          <t>A11007</t>
        </is>
      </c>
      <c r="T144" s="117" t="n">
        <v>9720.030000000001</v>
      </c>
      <c r="U144" s="118" t="n">
        <v>360</v>
      </c>
      <c r="V144" s="124" t="inlineStr">
        <is>
          <t>-</t>
        </is>
      </c>
      <c r="W144" s="125" t="inlineStr">
        <is>
          <t>-</t>
        </is>
      </c>
      <c r="X144" s="125" t="inlineStr">
        <is>
          <t>-</t>
        </is>
      </c>
      <c r="Y144" s="126" t="inlineStr">
        <is>
          <t>2 Factura(s)</t>
        </is>
      </c>
      <c r="Z144" s="127" t="n">
        <v>16740.06</v>
      </c>
      <c r="AA144" s="128" t="n">
        <v>620</v>
      </c>
    </row>
    <row r="145" ht="22" customHeight="1">
      <c r="F145" s="80" t="inlineStr">
        <is>
          <t>TOTAL POR DÍA</t>
        </is>
      </c>
      <c r="G145" s="19" t="inlineStr">
        <is>
          <t>3 Factura(s)</t>
        </is>
      </c>
      <c r="H145" s="16" t="n">
        <v>49140.33</v>
      </c>
      <c r="I145" s="109" t="n">
        <v>1820</v>
      </c>
      <c r="J145" s="19" t="inlineStr">
        <is>
          <t>3 Factura(s)</t>
        </is>
      </c>
      <c r="K145" s="16" t="n">
        <v>37260.14</v>
      </c>
      <c r="L145" s="109" t="n">
        <v>1380</v>
      </c>
      <c r="M145" s="19" t="inlineStr">
        <is>
          <t>2 Factura(s)</t>
        </is>
      </c>
      <c r="N145" s="16" t="n">
        <v>33480.06</v>
      </c>
      <c r="O145" s="109" t="n">
        <v>1240</v>
      </c>
      <c r="P145" s="19" t="inlineStr">
        <is>
          <t>-</t>
        </is>
      </c>
      <c r="Q145" s="19" t="inlineStr">
        <is>
          <t>-</t>
        </is>
      </c>
      <c r="R145" s="19" t="inlineStr">
        <is>
          <t>-</t>
        </is>
      </c>
      <c r="S145" s="19" t="inlineStr">
        <is>
          <t>4 Factura(s)</t>
        </is>
      </c>
      <c r="T145" s="16" t="n">
        <v>62100.32</v>
      </c>
      <c r="U145" s="109" t="n">
        <v>2300</v>
      </c>
      <c r="V145" s="19" t="inlineStr">
        <is>
          <t>1 Factura(s)</t>
        </is>
      </c>
      <c r="W145" s="16" t="n">
        <v>5400.05</v>
      </c>
      <c r="X145" s="109" t="n">
        <v>200</v>
      </c>
      <c r="Y145" s="19" t="inlineStr">
        <is>
          <t>13 Factura(s)</t>
        </is>
      </c>
      <c r="Z145" s="16" t="n">
        <v>187380.9</v>
      </c>
      <c r="AA145" s="109" t="n">
        <v>6940</v>
      </c>
    </row>
    <row r="148" ht="24" customHeight="1">
      <c r="F148" s="102" t="inlineStr">
        <is>
          <t>▶ FACTURADO SINDICATO POR DÍA — DIESEL (FOLIOS, MONTOS CON IVA Y LITROS — SEMANA 34)</t>
        </is>
      </c>
      <c r="G148" s="131" t="n"/>
      <c r="H148" s="131" t="n"/>
      <c r="I148" s="131" t="n"/>
      <c r="J148" s="131" t="n"/>
      <c r="K148" s="131" t="n"/>
      <c r="L148" s="131" t="n"/>
      <c r="M148" s="131" t="n"/>
      <c r="N148" s="131" t="n"/>
      <c r="O148" s="131" t="n"/>
      <c r="P148" s="131" t="n"/>
      <c r="Q148" s="131" t="n"/>
      <c r="R148" s="131" t="n"/>
      <c r="S148" s="131" t="n"/>
      <c r="T148" s="131" t="n"/>
      <c r="U148" s="131" t="n"/>
      <c r="V148" s="131" t="n"/>
      <c r="W148" s="131" t="n"/>
      <c r="X148" s="131" t="n"/>
      <c r="Y148" s="131" t="n"/>
      <c r="Z148" s="131" t="n"/>
      <c r="AA148" s="132" t="n"/>
    </row>
    <row r="149" ht="20" customHeight="1">
      <c r="F149" s="4" t="inlineStr">
        <is>
          <t>OBRA / DESTINO</t>
        </is>
      </c>
      <c r="G149" s="4" t="inlineStr">
        <is>
          <t>LUN 17-AGO</t>
        </is>
      </c>
      <c r="H149" s="131" t="n"/>
      <c r="I149" s="132" t="n"/>
      <c r="J149" s="4" t="inlineStr">
        <is>
          <t>MAR 18-AGO</t>
        </is>
      </c>
      <c r="K149" s="131" t="n"/>
      <c r="L149" s="132" t="n"/>
      <c r="M149" s="4" t="inlineStr">
        <is>
          <t>MIÉ 19-AGO</t>
        </is>
      </c>
      <c r="N149" s="131" t="n"/>
      <c r="O149" s="132" t="n"/>
      <c r="P149" s="4" t="inlineStr">
        <is>
          <t>JUE 20-AGO</t>
        </is>
      </c>
      <c r="Q149" s="131" t="n"/>
      <c r="R149" s="132" t="n"/>
      <c r="S149" s="4" t="inlineStr">
        <is>
          <t>VIE 21-AGO</t>
        </is>
      </c>
      <c r="T149" s="131" t="n"/>
      <c r="U149" s="132" t="n"/>
      <c r="V149" s="4" t="inlineStr">
        <is>
          <t>SÁB 22-AGO</t>
        </is>
      </c>
      <c r="W149" s="131" t="n"/>
      <c r="X149" s="132" t="n"/>
      <c r="Y149" s="4" t="inlineStr">
        <is>
          <t>TOTALES ACUMULADOS</t>
        </is>
      </c>
      <c r="Z149" s="131" t="n"/>
      <c r="AA149" s="132" t="n"/>
    </row>
    <row r="150" ht="20" customHeight="1">
      <c r="F150" s="135" t="n"/>
      <c r="G150" s="4" t="inlineStr">
        <is>
          <t>FACTURA</t>
        </is>
      </c>
      <c r="H150" s="4" t="inlineStr">
        <is>
          <t>MONTO ($)</t>
        </is>
      </c>
      <c r="I150" s="4" t="inlineStr">
        <is>
          <t>LITROS</t>
        </is>
      </c>
      <c r="J150" s="4" t="inlineStr">
        <is>
          <t>FACTURA</t>
        </is>
      </c>
      <c r="K150" s="4" t="inlineStr">
        <is>
          <t>MONTO ($)</t>
        </is>
      </c>
      <c r="L150" s="4" t="inlineStr">
        <is>
          <t>LITROS</t>
        </is>
      </c>
      <c r="M150" s="4" t="inlineStr">
        <is>
          <t>FACTURA</t>
        </is>
      </c>
      <c r="N150" s="4" t="inlineStr">
        <is>
          <t>MONTO ($)</t>
        </is>
      </c>
      <c r="O150" s="4" t="inlineStr">
        <is>
          <t>LITROS</t>
        </is>
      </c>
      <c r="P150" s="4" t="inlineStr">
        <is>
          <t>FACTURA</t>
        </is>
      </c>
      <c r="Q150" s="4" t="inlineStr">
        <is>
          <t>MONTO ($)</t>
        </is>
      </c>
      <c r="R150" s="4" t="inlineStr">
        <is>
          <t>LITROS</t>
        </is>
      </c>
      <c r="S150" s="4" t="inlineStr">
        <is>
          <t>FACTURA</t>
        </is>
      </c>
      <c r="T150" s="4" t="inlineStr">
        <is>
          <t>MONTO ($)</t>
        </is>
      </c>
      <c r="U150" s="4" t="inlineStr">
        <is>
          <t>LITROS</t>
        </is>
      </c>
      <c r="V150" s="4" t="inlineStr">
        <is>
          <t>FACTURA</t>
        </is>
      </c>
      <c r="W150" s="4" t="inlineStr">
        <is>
          <t>MONTO ($)</t>
        </is>
      </c>
      <c r="X150" s="4" t="inlineStr">
        <is>
          <t>LITROS</t>
        </is>
      </c>
      <c r="Y150" s="4" t="inlineStr">
        <is>
          <t>TOTAL FACTURAS</t>
        </is>
      </c>
      <c r="Z150" s="4" t="inlineStr">
        <is>
          <t>TOTAL MONTO</t>
        </is>
      </c>
      <c r="AA150" s="4" t="inlineStr">
        <is>
          <t>TOTAL LITROS</t>
        </is>
      </c>
    </row>
    <row r="151" ht="20" customHeight="1">
      <c r="F151" s="5" t="inlineStr">
        <is>
          <t>Sindicato COSUM</t>
        </is>
      </c>
      <c r="G151" s="116" t="inlineStr">
        <is>
          <t>A10952</t>
        </is>
      </c>
      <c r="H151" s="117" t="n">
        <v>11214.51</v>
      </c>
      <c r="I151" s="118" t="n">
        <v>415.35</v>
      </c>
      <c r="J151" s="119" t="inlineStr">
        <is>
          <t>-</t>
        </is>
      </c>
      <c r="K151" s="120" t="inlineStr">
        <is>
          <t>-</t>
        </is>
      </c>
      <c r="L151" s="120" t="inlineStr">
        <is>
          <t>-</t>
        </is>
      </c>
      <c r="M151" s="119" t="inlineStr">
        <is>
          <t>-</t>
        </is>
      </c>
      <c r="N151" s="120" t="inlineStr">
        <is>
          <t>-</t>
        </is>
      </c>
      <c r="O151" s="120" t="inlineStr">
        <is>
          <t>-</t>
        </is>
      </c>
      <c r="P151" s="116" t="inlineStr">
        <is>
          <t>A10996</t>
        </is>
      </c>
      <c r="Q151" s="117" t="n">
        <v>9999</v>
      </c>
      <c r="R151" s="118" t="n">
        <v>370.33</v>
      </c>
      <c r="S151" s="116" t="inlineStr">
        <is>
          <t>A10992</t>
        </is>
      </c>
      <c r="T151" s="117" t="n">
        <v>11449.25</v>
      </c>
      <c r="U151" s="118" t="n">
        <v>424.04</v>
      </c>
      <c r="V151" s="119" t="inlineStr">
        <is>
          <t>-</t>
        </is>
      </c>
      <c r="W151" s="120" t="inlineStr">
        <is>
          <t>-</t>
        </is>
      </c>
      <c r="X151" s="120" t="inlineStr">
        <is>
          <t>-</t>
        </is>
      </c>
      <c r="Y151" s="121" t="inlineStr">
        <is>
          <t>3 Factura(s)</t>
        </is>
      </c>
      <c r="Z151" s="122" t="n">
        <v>32662.76</v>
      </c>
      <c r="AA151" s="123" t="n">
        <v>1209.72</v>
      </c>
    </row>
    <row r="152" ht="22" customHeight="1">
      <c r="F152" s="80" t="inlineStr">
        <is>
          <t>TOTAL POR DÍA</t>
        </is>
      </c>
      <c r="G152" s="19" t="inlineStr">
        <is>
          <t>1 Factura(s)</t>
        </is>
      </c>
      <c r="H152" s="16" t="n">
        <v>11214.51</v>
      </c>
      <c r="I152" s="109" t="n">
        <v>415.35</v>
      </c>
      <c r="J152" s="19" t="inlineStr">
        <is>
          <t>-</t>
        </is>
      </c>
      <c r="K152" s="19" t="inlineStr">
        <is>
          <t>-</t>
        </is>
      </c>
      <c r="L152" s="19" t="inlineStr">
        <is>
          <t>-</t>
        </is>
      </c>
      <c r="M152" s="19" t="inlineStr">
        <is>
          <t>-</t>
        </is>
      </c>
      <c r="N152" s="19" t="inlineStr">
        <is>
          <t>-</t>
        </is>
      </c>
      <c r="O152" s="19" t="inlineStr">
        <is>
          <t>-</t>
        </is>
      </c>
      <c r="P152" s="19" t="inlineStr">
        <is>
          <t>1 Factura(s)</t>
        </is>
      </c>
      <c r="Q152" s="16" t="n">
        <v>9999</v>
      </c>
      <c r="R152" s="109" t="n">
        <v>370.33</v>
      </c>
      <c r="S152" s="19" t="inlineStr">
        <is>
          <t>1 Factura(s)</t>
        </is>
      </c>
      <c r="T152" s="16" t="n">
        <v>11449.25</v>
      </c>
      <c r="U152" s="109" t="n">
        <v>424.04</v>
      </c>
      <c r="V152" s="19" t="inlineStr">
        <is>
          <t>-</t>
        </is>
      </c>
      <c r="W152" s="19" t="inlineStr">
        <is>
          <t>-</t>
        </is>
      </c>
      <c r="X152" s="19" t="inlineStr">
        <is>
          <t>-</t>
        </is>
      </c>
      <c r="Y152" s="19" t="inlineStr">
        <is>
          <t>3 Factura(s)</t>
        </is>
      </c>
      <c r="Z152" s="16" t="n">
        <v>32662.76</v>
      </c>
      <c r="AA152" s="109" t="n">
        <v>1209.72</v>
      </c>
    </row>
    <row r="155" ht="24" customHeight="1">
      <c r="F155" s="102" t="inlineStr">
        <is>
          <t>▶ COMPARATIVA FACTURADO VS CONSUMIDO POR OBRA — SEMANA 34</t>
        </is>
      </c>
      <c r="G155" s="131" t="n"/>
      <c r="H155" s="131" t="n"/>
      <c r="I155" s="131" t="n"/>
      <c r="J155" s="131" t="n"/>
      <c r="K155" s="131" t="n"/>
      <c r="L155" s="132" t="n"/>
    </row>
    <row r="156" ht="22" customHeight="1">
      <c r="F156" s="4" t="inlineStr">
        <is>
          <t>OBRA / DESTINO</t>
        </is>
      </c>
      <c r="G156" s="4" t="inlineStr">
        <is>
          <t>LITROS FACTURADOS</t>
        </is>
      </c>
      <c r="H156" s="4" t="inlineStr">
        <is>
          <t>LITROS CONSUMIDOS</t>
        </is>
      </c>
      <c r="I156" s="4" t="inlineStr">
        <is>
          <t>MONTO FACTURADO ($)</t>
        </is>
      </c>
      <c r="J156" s="4" t="inlineStr">
        <is>
          <t>MONTO CONSUMIDO ($)</t>
        </is>
      </c>
      <c r="K156" s="4" t="inlineStr">
        <is>
          <t>VARIACIÓN (LTS)</t>
        </is>
      </c>
      <c r="L156" s="4" t="inlineStr">
        <is>
          <t>VARIACIÓN ($)</t>
        </is>
      </c>
    </row>
    <row r="157" ht="19" customHeight="1">
      <c r="F157" s="5" t="inlineStr">
        <is>
          <t>Alfredo del Mazo</t>
        </is>
      </c>
      <c r="G157" s="32" t="n"/>
      <c r="H157" s="32" t="n">
        <v>865</v>
      </c>
      <c r="I157" s="33" t="n"/>
      <c r="J157" s="33" t="n">
        <v>23355</v>
      </c>
      <c r="K157" s="103" t="n">
        <v>-865</v>
      </c>
      <c r="L157" s="104" t="n">
        <v>-23355</v>
      </c>
    </row>
    <row r="158" ht="19" customHeight="1">
      <c r="F158" s="9" t="inlineStr">
        <is>
          <t>METEPEC ARBOL DE LA VIDA</t>
        </is>
      </c>
      <c r="G158" s="105" t="n">
        <v>520</v>
      </c>
      <c r="H158" s="105" t="n">
        <v>513</v>
      </c>
      <c r="I158" s="106" t="n">
        <v>14040.06</v>
      </c>
      <c r="J158" s="106" t="n">
        <v>13851</v>
      </c>
      <c r="K158" s="107" t="n">
        <v>7</v>
      </c>
      <c r="L158" s="108" t="n">
        <v>189.0600000000013</v>
      </c>
    </row>
    <row r="159" ht="19" customHeight="1">
      <c r="F159" s="5" t="inlineStr">
        <is>
          <t>México - Toluca</t>
        </is>
      </c>
      <c r="G159" s="32" t="n">
        <v>2780</v>
      </c>
      <c r="H159" s="32" t="n">
        <v>2775</v>
      </c>
      <c r="I159" s="33" t="n">
        <v>75060.3</v>
      </c>
      <c r="J159" s="33" t="n">
        <v>74925</v>
      </c>
      <c r="K159" s="103" t="n">
        <v>5</v>
      </c>
      <c r="L159" s="104" t="n">
        <v>135.3000000000029</v>
      </c>
    </row>
    <row r="160" ht="19" customHeight="1">
      <c r="F160" s="9" t="inlineStr">
        <is>
          <t>Planta Huixquilucan</t>
        </is>
      </c>
      <c r="G160" s="105" t="n">
        <v>1600</v>
      </c>
      <c r="H160" s="105" t="n">
        <v>1594</v>
      </c>
      <c r="I160" s="106" t="n">
        <v>43200.29</v>
      </c>
      <c r="J160" s="106" t="n">
        <v>43038</v>
      </c>
      <c r="K160" s="107" t="n">
        <v>6</v>
      </c>
      <c r="L160" s="108" t="n">
        <v>162.2900000000009</v>
      </c>
    </row>
    <row r="161" ht="19" customHeight="1">
      <c r="F161" s="5" t="inlineStr">
        <is>
          <t>Planta Pegaso</t>
        </is>
      </c>
      <c r="G161" s="32" t="n">
        <v>1000</v>
      </c>
      <c r="H161" s="32" t="n">
        <v>995</v>
      </c>
      <c r="I161" s="33" t="n">
        <v>27000.11</v>
      </c>
      <c r="J161" s="33" t="n">
        <v>26865</v>
      </c>
      <c r="K161" s="103" t="n">
        <v>5</v>
      </c>
      <c r="L161" s="104" t="n">
        <v>135.1100000000006</v>
      </c>
    </row>
    <row r="162" ht="19" customHeight="1">
      <c r="F162" s="9" t="inlineStr">
        <is>
          <t>Providencia</t>
        </is>
      </c>
      <c r="G162" s="105" t="n">
        <v>420</v>
      </c>
      <c r="H162" s="105" t="n">
        <v>412</v>
      </c>
      <c r="I162" s="106" t="n">
        <v>11340.08</v>
      </c>
      <c r="J162" s="106" t="n">
        <v>11124</v>
      </c>
      <c r="K162" s="107" t="n">
        <v>8</v>
      </c>
      <c r="L162" s="108" t="n">
        <v>216.0799999999999</v>
      </c>
    </row>
    <row r="163" ht="19" customHeight="1">
      <c r="F163" s="5" t="inlineStr">
        <is>
          <t>San Felipe Tlalminilolpan</t>
        </is>
      </c>
      <c r="G163" s="32" t="n">
        <v>620</v>
      </c>
      <c r="H163" s="32" t="n">
        <v>608</v>
      </c>
      <c r="I163" s="33" t="n">
        <v>16740.06</v>
      </c>
      <c r="J163" s="33" t="n">
        <v>16416</v>
      </c>
      <c r="K163" s="103" t="n">
        <v>12</v>
      </c>
      <c r="L163" s="104" t="n">
        <v>324.0600000000013</v>
      </c>
    </row>
    <row r="164" ht="19" customHeight="1">
      <c r="F164" s="9" t="inlineStr">
        <is>
          <t>Sindicato COSUM</t>
        </is>
      </c>
      <c r="G164" s="105" t="n">
        <v>1209.72</v>
      </c>
      <c r="H164" s="105" t="n"/>
      <c r="I164" s="106" t="n">
        <v>32662.76</v>
      </c>
      <c r="J164" s="106" t="n"/>
      <c r="K164" s="107" t="n">
        <v>1209.72</v>
      </c>
      <c r="L164" s="108" t="n">
        <v>32662.76</v>
      </c>
    </row>
    <row r="165" ht="22" customHeight="1">
      <c r="F165" s="80" t="inlineStr">
        <is>
          <t>TOTAL GENERAL POR OBRA:</t>
        </is>
      </c>
      <c r="G165" s="109">
        <f>SUM(G157:G164)</f>
        <v/>
      </c>
      <c r="H165" s="109">
        <f>SUM(H157:H164)</f>
        <v/>
      </c>
      <c r="I165" s="16">
        <f>SUM(I157:I164)</f>
        <v/>
      </c>
      <c r="J165" s="16">
        <f>SUM(J157:J164)</f>
        <v/>
      </c>
      <c r="K165" s="110">
        <f>SUM(K157:K164)</f>
        <v/>
      </c>
      <c r="L165" s="111">
        <f>SUM(L157:L164)</f>
        <v/>
      </c>
    </row>
    <row r="168" ht="24" customHeight="1">
      <c r="F168" s="102" t="inlineStr">
        <is>
          <t>▶ COMPARATIVA FACTURADO VS CONSUMIDO POR INGENIERO — SEMANA 34</t>
        </is>
      </c>
      <c r="G168" s="131" t="n"/>
      <c r="H168" s="131" t="n"/>
      <c r="I168" s="131" t="n"/>
      <c r="J168" s="131" t="n"/>
      <c r="K168" s="131" t="n"/>
      <c r="L168" s="131" t="n"/>
      <c r="M168" s="132" t="n"/>
    </row>
    <row r="169" ht="22" customHeight="1">
      <c r="F169" s="4" t="inlineStr">
        <is>
          <t>INGENIERO / RESPONSABLE</t>
        </is>
      </c>
      <c r="G169" s="4" t="inlineStr">
        <is>
          <t>OBRAS ASIGNADAS</t>
        </is>
      </c>
      <c r="H169" s="4" t="inlineStr">
        <is>
          <t>LITROS FACTURADOS</t>
        </is>
      </c>
      <c r="I169" s="4" t="inlineStr">
        <is>
          <t>LITROS CONSUMIDOS</t>
        </is>
      </c>
      <c r="J169" s="4" t="inlineStr">
        <is>
          <t>MONTO FACTURADO ($)</t>
        </is>
      </c>
      <c r="K169" s="4" t="inlineStr">
        <is>
          <t>MONTO CONSUMIDO ($)</t>
        </is>
      </c>
      <c r="L169" s="4" t="inlineStr">
        <is>
          <t>VARIACIÓN (LTS)</t>
        </is>
      </c>
      <c r="M169" s="4" t="inlineStr">
        <is>
          <t>VARIACIÓN ($)</t>
        </is>
      </c>
    </row>
    <row r="170" ht="19" customHeight="1">
      <c r="F170" s="5" t="inlineStr">
        <is>
          <t>Ing. Apolinar</t>
        </is>
      </c>
      <c r="G170" s="74" t="inlineStr">
        <is>
          <t>Alfredo del Mazo</t>
        </is>
      </c>
      <c r="H170" s="32" t="n"/>
      <c r="I170" s="32" t="n">
        <v>865</v>
      </c>
      <c r="J170" s="33" t="n"/>
      <c r="K170" s="33" t="n">
        <v>23355</v>
      </c>
      <c r="L170" s="103" t="n">
        <v>-865</v>
      </c>
      <c r="M170" s="104" t="n">
        <v>-23355</v>
      </c>
    </row>
    <row r="171" ht="19" customHeight="1">
      <c r="F171" s="9" t="inlineStr">
        <is>
          <t>Ing. Diego Carreola</t>
        </is>
      </c>
      <c r="G171" s="78" t="inlineStr">
        <is>
          <t>METEPEC ARBOL DE LA VIDA, San Felipe Tlalminilolpan</t>
        </is>
      </c>
      <c r="H171" s="105" t="n">
        <v>1140</v>
      </c>
      <c r="I171" s="105" t="n">
        <v>1121</v>
      </c>
      <c r="J171" s="106" t="n">
        <v>30780.12</v>
      </c>
      <c r="K171" s="106" t="n">
        <v>30267</v>
      </c>
      <c r="L171" s="107" t="n">
        <v>19</v>
      </c>
      <c r="M171" s="108" t="n">
        <v>513.1200000000026</v>
      </c>
    </row>
    <row r="172" ht="19" customHeight="1">
      <c r="F172" s="5" t="inlineStr">
        <is>
          <t>Ing. Francisco Javier</t>
        </is>
      </c>
      <c r="G172" s="74" t="inlineStr">
        <is>
          <t>México - Toluca</t>
        </is>
      </c>
      <c r="H172" s="32" t="n">
        <v>2780</v>
      </c>
      <c r="I172" s="32" t="n">
        <v>2775</v>
      </c>
      <c r="J172" s="33" t="n">
        <v>75060.3</v>
      </c>
      <c r="K172" s="33" t="n">
        <v>74925</v>
      </c>
      <c r="L172" s="103" t="n">
        <v>5</v>
      </c>
      <c r="M172" s="104" t="n">
        <v>135.3000000000029</v>
      </c>
    </row>
    <row r="173" ht="19" customHeight="1">
      <c r="F173" s="9" t="inlineStr">
        <is>
          <t>Ing. Luis</t>
        </is>
      </c>
      <c r="G173" s="78" t="inlineStr">
        <is>
          <t>Planta Huixquilucan</t>
        </is>
      </c>
      <c r="H173" s="105" t="n">
        <v>1600</v>
      </c>
      <c r="I173" s="105" t="n">
        <v>1594</v>
      </c>
      <c r="J173" s="106" t="n">
        <v>43200.29</v>
      </c>
      <c r="K173" s="106" t="n">
        <v>43038</v>
      </c>
      <c r="L173" s="107" t="n">
        <v>6</v>
      </c>
      <c r="M173" s="108" t="n">
        <v>162.2900000000009</v>
      </c>
    </row>
    <row r="174" ht="19" customHeight="1">
      <c r="F174" s="5" t="inlineStr">
        <is>
          <t>Jack</t>
        </is>
      </c>
      <c r="G174" s="74" t="inlineStr">
        <is>
          <t>Planta Pegaso</t>
        </is>
      </c>
      <c r="H174" s="32" t="n">
        <v>1000</v>
      </c>
      <c r="I174" s="32" t="n">
        <v>995</v>
      </c>
      <c r="J174" s="33" t="n">
        <v>27000.11</v>
      </c>
      <c r="K174" s="33" t="n">
        <v>26865</v>
      </c>
      <c r="L174" s="103" t="n">
        <v>5</v>
      </c>
      <c r="M174" s="104" t="n">
        <v>135.1100000000006</v>
      </c>
    </row>
    <row r="175" ht="19" customHeight="1">
      <c r="F175" s="9" t="inlineStr">
        <is>
          <t>Samuel</t>
        </is>
      </c>
      <c r="G175" s="78" t="inlineStr">
        <is>
          <t>Providencia</t>
        </is>
      </c>
      <c r="H175" s="105" t="n">
        <v>420</v>
      </c>
      <c r="I175" s="105" t="n">
        <v>412</v>
      </c>
      <c r="J175" s="106" t="n">
        <v>11340.08</v>
      </c>
      <c r="K175" s="106" t="n">
        <v>11124</v>
      </c>
      <c r="L175" s="107" t="n">
        <v>8</v>
      </c>
      <c r="M175" s="108" t="n">
        <v>216.0799999999999</v>
      </c>
    </row>
    <row r="176" ht="19" customHeight="1">
      <c r="F176" s="5" t="inlineStr">
        <is>
          <t>Sin Asignar</t>
        </is>
      </c>
      <c r="G176" s="74" t="inlineStr">
        <is>
          <t>Sindicato COSUM</t>
        </is>
      </c>
      <c r="H176" s="32" t="n">
        <v>1209.72</v>
      </c>
      <c r="I176" s="32" t="n"/>
      <c r="J176" s="33" t="n">
        <v>32662.76</v>
      </c>
      <c r="K176" s="33" t="n"/>
      <c r="L176" s="103" t="n">
        <v>1209.72</v>
      </c>
      <c r="M176" s="104" t="n">
        <v>32662.76</v>
      </c>
    </row>
    <row r="177" ht="22" customHeight="1">
      <c r="F177" s="80" t="inlineStr">
        <is>
          <t>TOTAL GENERAL POR INGENIERO:</t>
        </is>
      </c>
      <c r="G177" s="132" t="n"/>
      <c r="H177" s="109">
        <f>SUM(H170:H176)</f>
        <v/>
      </c>
      <c r="I177" s="109">
        <f>SUM(I170:I176)</f>
        <v/>
      </c>
      <c r="J177" s="16">
        <f>SUM(J170:J176)</f>
        <v/>
      </c>
      <c r="K177" s="16">
        <f>SUM(K170:K176)</f>
        <v/>
      </c>
      <c r="L177" s="110">
        <f>SUM(L170:L176)</f>
        <v/>
      </c>
      <c r="M177" s="111">
        <f>SUM(M170:M176)</f>
        <v/>
      </c>
    </row>
  </sheetData>
  <mergeCells count="55">
    <mergeCell ref="F95:H95"/>
    <mergeCell ref="F104:K104"/>
    <mergeCell ref="F11:G11"/>
    <mergeCell ref="F155:L155"/>
    <mergeCell ref="F53:M53"/>
    <mergeCell ref="G137:I137"/>
    <mergeCell ref="F16:G16"/>
    <mergeCell ref="M137:O137"/>
    <mergeCell ref="G7:G8"/>
    <mergeCell ref="Y137:AA137"/>
    <mergeCell ref="F168:M168"/>
    <mergeCell ref="M149:O149"/>
    <mergeCell ref="Y149:AA149"/>
    <mergeCell ref="F84:P84"/>
    <mergeCell ref="F107:O107"/>
    <mergeCell ref="S137:U137"/>
    <mergeCell ref="J137:L137"/>
    <mergeCell ref="F177:G177"/>
    <mergeCell ref="F123:O123"/>
    <mergeCell ref="F136:AA136"/>
    <mergeCell ref="F64:L64"/>
    <mergeCell ref="P137:R137"/>
    <mergeCell ref="F44:I44"/>
    <mergeCell ref="F131:N131"/>
    <mergeCell ref="V137:X137"/>
    <mergeCell ref="F148:AA148"/>
    <mergeCell ref="F96:N96"/>
    <mergeCell ref="H7:H8"/>
    <mergeCell ref="J149:L149"/>
    <mergeCell ref="F87:O87"/>
    <mergeCell ref="V149:X149"/>
    <mergeCell ref="F130:H130"/>
    <mergeCell ref="F17:G17"/>
    <mergeCell ref="F67:Q67"/>
    <mergeCell ref="F99:L99"/>
    <mergeCell ref="K36:N36"/>
    <mergeCell ref="F120:N120"/>
    <mergeCell ref="F149:F150"/>
    <mergeCell ref="K26:N26"/>
    <mergeCell ref="K20:N20"/>
    <mergeCell ref="F119:H119"/>
    <mergeCell ref="K7:K8"/>
    <mergeCell ref="G149:I149"/>
    <mergeCell ref="S149:U149"/>
    <mergeCell ref="F20:I20"/>
    <mergeCell ref="F63:H63"/>
    <mergeCell ref="F36:I36"/>
    <mergeCell ref="F103:H103"/>
    <mergeCell ref="F26:I26"/>
    <mergeCell ref="F2:L2"/>
    <mergeCell ref="F7:F8"/>
    <mergeCell ref="L7:L8"/>
    <mergeCell ref="F83:H83"/>
    <mergeCell ref="P149:R149"/>
    <mergeCell ref="F137:F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2026-08-25T18:58:02Z</dcterms:created>
  <dcterms:modified xsi:type="dcterms:W3CDTF">2026-08-31T17:13:20Z</dcterms:modified>
</cp:coreProperties>
</file>