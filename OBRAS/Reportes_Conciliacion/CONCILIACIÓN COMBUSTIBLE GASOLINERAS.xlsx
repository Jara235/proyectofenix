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1_{48AA9D63-FE12-4147-A7B2-046730F6BF7E}" xr6:coauthVersionLast="47" xr6:coauthVersionMax="47" xr10:uidLastSave="{00000000-0000-0000-0000-000000000000}"/>
  <bookViews>
    <workbookView xWindow="-108" yWindow="-108" windowWidth="23256" windowHeight="12456" firstSheet="3" activeTab="4" xr2:uid="{48C6F75A-F6C7-422F-8083-B8D6C7D7C05B}"/>
  </bookViews>
  <sheets>
    <sheet name="SEMANA 26" sheetId="2" r:id="rId1"/>
    <sheet name="SEMANA 27" sheetId="3" r:id="rId2"/>
    <sheet name="SEMANA 28" sheetId="4" r:id="rId3"/>
    <sheet name="SEMANA 29" sheetId="7" r:id="rId4"/>
    <sheet name="SEMANA 30" sheetId="9" r:id="rId5"/>
    <sheet name="Hoja4" sheetId="6" r:id="rId6"/>
    <sheet name="Hoja1" sheetId="1" r:id="rId7"/>
    <sheet name="Hoja3" sheetId="5" r:id="rId8"/>
    <sheet name="COPIA BASE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2" i="9" l="1"/>
  <c r="C119" i="9"/>
  <c r="Q79" i="9" l="1"/>
  <c r="Q80" i="9"/>
  <c r="Q81" i="9"/>
  <c r="Q82" i="9"/>
  <c r="Q83" i="9"/>
  <c r="Q84" i="9"/>
  <c r="Q85" i="9"/>
  <c r="Q86" i="9"/>
  <c r="Q87" i="9"/>
  <c r="Q90" i="9"/>
  <c r="AG23" i="7" l="1"/>
  <c r="J48" i="9" l="1"/>
  <c r="M48" i="9"/>
  <c r="P48" i="9"/>
  <c r="S48" i="9"/>
  <c r="V48" i="9"/>
  <c r="Y48" i="9"/>
  <c r="G48" i="9"/>
  <c r="AC51" i="9" l="1"/>
  <c r="AC52" i="9"/>
  <c r="AC53" i="9"/>
  <c r="AC54" i="9"/>
  <c r="AC55" i="9"/>
  <c r="AC56" i="9"/>
  <c r="AC57" i="9"/>
  <c r="AC50" i="9"/>
  <c r="AB57" i="9"/>
  <c r="AB51" i="9"/>
  <c r="AB52" i="9"/>
  <c r="AB53" i="9"/>
  <c r="AB54" i="9"/>
  <c r="AB55" i="9"/>
  <c r="AB56" i="9"/>
  <c r="AB50" i="9"/>
  <c r="AC43" i="9"/>
  <c r="AB43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20" i="9"/>
  <c r="AB18" i="9"/>
  <c r="AB19" i="9"/>
  <c r="AB17" i="9"/>
  <c r="AB5" i="9"/>
  <c r="AB6" i="9"/>
  <c r="AB7" i="9"/>
  <c r="AB8" i="9"/>
  <c r="AB9" i="9"/>
  <c r="AB10" i="9"/>
  <c r="AB11" i="9"/>
  <c r="AB12" i="9"/>
  <c r="AB13" i="9"/>
  <c r="AB14" i="9"/>
  <c r="AB15" i="9"/>
  <c r="AB16" i="9"/>
  <c r="AB4" i="9"/>
  <c r="F44" i="9"/>
  <c r="I44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W44" i="9"/>
  <c r="X44" i="9"/>
  <c r="Y44" i="9"/>
  <c r="Z44" i="9"/>
  <c r="AA44" i="9"/>
  <c r="H44" i="9"/>
  <c r="G44" i="9"/>
  <c r="AG23" i="9" l="1"/>
  <c r="AB44" i="9"/>
  <c r="G239" i="9"/>
  <c r="G228" i="9"/>
  <c r="K170" i="9"/>
  <c r="F163" i="9"/>
  <c r="G159" i="9"/>
  <c r="G158" i="9"/>
  <c r="E158" i="9"/>
  <c r="G157" i="9"/>
  <c r="E157" i="9"/>
  <c r="G154" i="9"/>
  <c r="E154" i="9"/>
  <c r="G152" i="9"/>
  <c r="E152" i="9"/>
  <c r="G149" i="9"/>
  <c r="E149" i="9"/>
  <c r="L112" i="9"/>
  <c r="L102" i="9"/>
  <c r="J102" i="9"/>
  <c r="H102" i="9"/>
  <c r="F102" i="9"/>
  <c r="D102" i="9"/>
  <c r="B102" i="9"/>
  <c r="O88" i="9"/>
  <c r="O89" i="9" s="1"/>
  <c r="M88" i="9"/>
  <c r="M89" i="9" s="1"/>
  <c r="K88" i="9"/>
  <c r="K89" i="9" s="1"/>
  <c r="I88" i="9"/>
  <c r="I89" i="9" s="1"/>
  <c r="G88" i="9"/>
  <c r="G89" i="9" s="1"/>
  <c r="E88" i="9"/>
  <c r="E89" i="9" s="1"/>
  <c r="C88" i="9"/>
  <c r="C89" i="9" s="1"/>
  <c r="Q78" i="9"/>
  <c r="Q88" i="9" s="1"/>
  <c r="N72" i="9"/>
  <c r="M72" i="9"/>
  <c r="L72" i="9"/>
  <c r="K72" i="9"/>
  <c r="J72" i="9"/>
  <c r="I72" i="9"/>
  <c r="H72" i="9"/>
  <c r="G72" i="9"/>
  <c r="O71" i="9"/>
  <c r="O70" i="9"/>
  <c r="O69" i="9"/>
  <c r="O68" i="9"/>
  <c r="O67" i="9"/>
  <c r="O66" i="9"/>
  <c r="O65" i="9"/>
  <c r="W58" i="9"/>
  <c r="V58" i="9"/>
  <c r="T58" i="9"/>
  <c r="S58" i="9"/>
  <c r="R58" i="9"/>
  <c r="Q58" i="9"/>
  <c r="P58" i="9"/>
  <c r="N58" i="9"/>
  <c r="M58" i="9"/>
  <c r="K58" i="9"/>
  <c r="J58" i="9"/>
  <c r="H58" i="9"/>
  <c r="C118" i="9" s="1"/>
  <c r="C120" i="9" s="1"/>
  <c r="G58" i="9"/>
  <c r="F58" i="9"/>
  <c r="AC42" i="9"/>
  <c r="AC41" i="9"/>
  <c r="AC40" i="9"/>
  <c r="AC39" i="9"/>
  <c r="AC38" i="9"/>
  <c r="AC37" i="9"/>
  <c r="AC36" i="9"/>
  <c r="AC35" i="9"/>
  <c r="AC34" i="9"/>
  <c r="AC33" i="9"/>
  <c r="AC32" i="9"/>
  <c r="AC31" i="9"/>
  <c r="AC30" i="9"/>
  <c r="AC29" i="9"/>
  <c r="AC28" i="9"/>
  <c r="AC27" i="9"/>
  <c r="AC26" i="9"/>
  <c r="AC25" i="9"/>
  <c r="AC24" i="9"/>
  <c r="AC23" i="9"/>
  <c r="AC22" i="9"/>
  <c r="AC21" i="9"/>
  <c r="AC20" i="9"/>
  <c r="AC19" i="9"/>
  <c r="AC16" i="9"/>
  <c r="AC15" i="9"/>
  <c r="AC14" i="9"/>
  <c r="AC13" i="9"/>
  <c r="AC12" i="9"/>
  <c r="AC11" i="9"/>
  <c r="AC10" i="9"/>
  <c r="AC9" i="9"/>
  <c r="AC8" i="9"/>
  <c r="AC7" i="9"/>
  <c r="AC6" i="9"/>
  <c r="AC5" i="9"/>
  <c r="AC4" i="9"/>
  <c r="Q88" i="7"/>
  <c r="H149" i="9" l="1"/>
  <c r="Q89" i="9"/>
  <c r="AI10" i="9"/>
  <c r="AH18" i="9" s="1"/>
  <c r="H154" i="9"/>
  <c r="P102" i="9"/>
  <c r="H157" i="9"/>
  <c r="H158" i="9"/>
  <c r="AC58" i="9"/>
  <c r="O72" i="9"/>
  <c r="C111" i="9"/>
  <c r="E111" i="9" s="1"/>
  <c r="AI54" i="9"/>
  <c r="R88" i="9"/>
  <c r="E163" i="9"/>
  <c r="AI9" i="9"/>
  <c r="C109" i="9"/>
  <c r="F113" i="9" s="1"/>
  <c r="I111" i="9" s="1"/>
  <c r="AI53" i="9"/>
  <c r="AI8" i="9"/>
  <c r="AC44" i="9"/>
  <c r="AB45" i="9" s="1"/>
  <c r="H152" i="9"/>
  <c r="AC45" i="9"/>
  <c r="G163" i="9"/>
  <c r="C100" i="3"/>
  <c r="C105" i="4"/>
  <c r="C104" i="4"/>
  <c r="J95" i="4" s="1"/>
  <c r="H100" i="3"/>
  <c r="D101" i="3"/>
  <c r="C98" i="3"/>
  <c r="D100" i="3"/>
  <c r="D99" i="3"/>
  <c r="T84" i="3"/>
  <c r="M94" i="4"/>
  <c r="AH16" i="9" l="1"/>
  <c r="AH15" i="9"/>
  <c r="AG9" i="9"/>
  <c r="AG8" i="9"/>
  <c r="L111" i="9"/>
  <c r="L113" i="9" s="1"/>
  <c r="I113" i="9"/>
  <c r="G228" i="7"/>
  <c r="G238" i="8" l="1"/>
  <c r="G227" i="8"/>
  <c r="K169" i="8"/>
  <c r="F162" i="8"/>
  <c r="G158" i="8"/>
  <c r="H157" i="8"/>
  <c r="G157" i="8"/>
  <c r="E157" i="8"/>
  <c r="H156" i="8"/>
  <c r="G156" i="8"/>
  <c r="E156" i="8"/>
  <c r="H153" i="8"/>
  <c r="G153" i="8"/>
  <c r="E153" i="8"/>
  <c r="G151" i="8"/>
  <c r="E151" i="8"/>
  <c r="H151" i="8" s="1"/>
  <c r="G148" i="8"/>
  <c r="G162" i="8" s="1"/>
  <c r="E148" i="8"/>
  <c r="H148" i="8" s="1"/>
  <c r="H142" i="8"/>
  <c r="L109" i="8"/>
  <c r="L99" i="8"/>
  <c r="J99" i="8"/>
  <c r="H99" i="8"/>
  <c r="F99" i="8"/>
  <c r="D99" i="8"/>
  <c r="B99" i="8"/>
  <c r="P99" i="8" s="1"/>
  <c r="Q87" i="8"/>
  <c r="M86" i="8"/>
  <c r="K86" i="8"/>
  <c r="G86" i="8"/>
  <c r="C86" i="8"/>
  <c r="O85" i="8"/>
  <c r="O86" i="8" s="1"/>
  <c r="Q86" i="8" s="1"/>
  <c r="M85" i="8"/>
  <c r="K85" i="8"/>
  <c r="I85" i="8"/>
  <c r="I86" i="8" s="1"/>
  <c r="G85" i="8"/>
  <c r="E85" i="8"/>
  <c r="E86" i="8" s="1"/>
  <c r="C85" i="8"/>
  <c r="Q84" i="8"/>
  <c r="Q83" i="8"/>
  <c r="Q82" i="8"/>
  <c r="Q81" i="8"/>
  <c r="Q80" i="8"/>
  <c r="Q79" i="8"/>
  <c r="Q78" i="8"/>
  <c r="Q77" i="8"/>
  <c r="Q76" i="8"/>
  <c r="Q75" i="8"/>
  <c r="Q85" i="8" s="1"/>
  <c r="R85" i="8" s="1"/>
  <c r="N69" i="8"/>
  <c r="M69" i="8"/>
  <c r="L69" i="8"/>
  <c r="K69" i="8"/>
  <c r="J69" i="8"/>
  <c r="I69" i="8"/>
  <c r="H69" i="8"/>
  <c r="G69" i="8"/>
  <c r="C108" i="8" s="1"/>
  <c r="E108" i="8" s="1"/>
  <c r="O68" i="8"/>
  <c r="O67" i="8"/>
  <c r="O66" i="8"/>
  <c r="O65" i="8"/>
  <c r="O64" i="8"/>
  <c r="O63" i="8"/>
  <c r="O62" i="8"/>
  <c r="O69" i="8" s="1"/>
  <c r="W55" i="8"/>
  <c r="V55" i="8"/>
  <c r="T55" i="8"/>
  <c r="S55" i="8"/>
  <c r="R55" i="8"/>
  <c r="Q55" i="8"/>
  <c r="P55" i="8"/>
  <c r="N55" i="8"/>
  <c r="M55" i="8"/>
  <c r="K55" i="8"/>
  <c r="J55" i="8"/>
  <c r="AI51" i="8" s="1"/>
  <c r="H55" i="8"/>
  <c r="G55" i="8"/>
  <c r="F55" i="8"/>
  <c r="AC54" i="8"/>
  <c r="AB54" i="8"/>
  <c r="AC53" i="8"/>
  <c r="AB53" i="8"/>
  <c r="AI52" i="8"/>
  <c r="AC52" i="8"/>
  <c r="AB52" i="8"/>
  <c r="AC51" i="8"/>
  <c r="AB51" i="8"/>
  <c r="AC50" i="8"/>
  <c r="AB50" i="8"/>
  <c r="AC49" i="8"/>
  <c r="AC55" i="8" s="1"/>
  <c r="AB49" i="8"/>
  <c r="AC48" i="8"/>
  <c r="AB48" i="8"/>
  <c r="AB55" i="8" s="1"/>
  <c r="X42" i="8"/>
  <c r="W42" i="8"/>
  <c r="V42" i="8"/>
  <c r="U42" i="8"/>
  <c r="T42" i="8"/>
  <c r="S42" i="8"/>
  <c r="R42" i="8"/>
  <c r="AI10" i="8" s="1"/>
  <c r="AH17" i="8" s="1"/>
  <c r="Q42" i="8"/>
  <c r="P42" i="8"/>
  <c r="O42" i="8"/>
  <c r="N42" i="8"/>
  <c r="M42" i="8"/>
  <c r="L42" i="8"/>
  <c r="K42" i="8"/>
  <c r="J42" i="8"/>
  <c r="C106" i="8" s="1"/>
  <c r="F110" i="8" s="1"/>
  <c r="I108" i="8" s="1"/>
  <c r="I42" i="8"/>
  <c r="H42" i="8"/>
  <c r="AC43" i="8" s="1"/>
  <c r="G42" i="8"/>
  <c r="F42" i="8"/>
  <c r="AC41" i="8"/>
  <c r="AB41" i="8"/>
  <c r="AC40" i="8"/>
  <c r="AB40" i="8"/>
  <c r="AC39" i="8"/>
  <c r="AB39" i="8"/>
  <c r="AC38" i="8"/>
  <c r="AB38" i="8"/>
  <c r="AC37" i="8"/>
  <c r="AB37" i="8"/>
  <c r="AC36" i="8"/>
  <c r="AB36" i="8"/>
  <c r="AC35" i="8"/>
  <c r="AB35" i="8"/>
  <c r="AC34" i="8"/>
  <c r="AB34" i="8"/>
  <c r="AC33" i="8"/>
  <c r="AB33" i="8"/>
  <c r="AC32" i="8"/>
  <c r="AB32" i="8"/>
  <c r="AC31" i="8"/>
  <c r="AB31" i="8"/>
  <c r="AC30" i="8"/>
  <c r="AB30" i="8"/>
  <c r="AC29" i="8"/>
  <c r="AB29" i="8"/>
  <c r="AC28" i="8"/>
  <c r="AB28" i="8"/>
  <c r="AC27" i="8"/>
  <c r="AB27" i="8"/>
  <c r="AC26" i="8"/>
  <c r="AB26" i="8"/>
  <c r="AC25" i="8"/>
  <c r="AB25" i="8"/>
  <c r="AC24" i="8"/>
  <c r="AB24" i="8"/>
  <c r="AC23" i="8"/>
  <c r="AB23" i="8"/>
  <c r="AC22" i="8"/>
  <c r="AB22" i="8"/>
  <c r="AC21" i="8"/>
  <c r="AB21" i="8"/>
  <c r="AC20" i="8"/>
  <c r="AB20" i="8"/>
  <c r="AC19" i="8"/>
  <c r="AC18" i="8"/>
  <c r="AB18" i="8"/>
  <c r="AB17" i="8"/>
  <c r="AC16" i="8"/>
  <c r="AB16" i="8"/>
  <c r="AC15" i="8"/>
  <c r="AB15" i="8"/>
  <c r="AC14" i="8"/>
  <c r="AB14" i="8"/>
  <c r="AC13" i="8"/>
  <c r="AB13" i="8"/>
  <c r="AC12" i="8"/>
  <c r="AB12" i="8"/>
  <c r="AC11" i="8"/>
  <c r="AC42" i="8" s="1"/>
  <c r="AB11" i="8"/>
  <c r="AC10" i="8"/>
  <c r="AB10" i="8"/>
  <c r="AC9" i="8"/>
  <c r="AB9" i="8"/>
  <c r="AC8" i="8"/>
  <c r="AB8" i="8"/>
  <c r="AC7" i="8"/>
  <c r="AB7" i="8"/>
  <c r="AC6" i="8"/>
  <c r="AB6" i="8"/>
  <c r="AC5" i="8"/>
  <c r="AB5" i="8"/>
  <c r="AC4" i="8"/>
  <c r="AB4" i="8"/>
  <c r="AB42" i="8" s="1"/>
  <c r="C117" i="7"/>
  <c r="O86" i="7"/>
  <c r="O87" i="7" s="1"/>
  <c r="M86" i="7"/>
  <c r="M87" i="7" s="1"/>
  <c r="K86" i="7"/>
  <c r="I86" i="7"/>
  <c r="I87" i="7" s="1"/>
  <c r="G86" i="7"/>
  <c r="G87" i="7" s="1"/>
  <c r="E86" i="7"/>
  <c r="E87" i="7" s="1"/>
  <c r="C86" i="7"/>
  <c r="C87" i="7" s="1"/>
  <c r="Q85" i="7"/>
  <c r="Q83" i="7"/>
  <c r="Q82" i="7"/>
  <c r="Q81" i="7"/>
  <c r="Q80" i="7"/>
  <c r="Q79" i="7"/>
  <c r="Q78" i="7"/>
  <c r="Q77" i="7"/>
  <c r="Q76" i="7"/>
  <c r="Q75" i="7"/>
  <c r="G239" i="7"/>
  <c r="L100" i="7"/>
  <c r="J100" i="7"/>
  <c r="H100" i="7"/>
  <c r="F100" i="7"/>
  <c r="D100" i="7"/>
  <c r="B100" i="7"/>
  <c r="K168" i="7"/>
  <c r="F161" i="7"/>
  <c r="G157" i="7"/>
  <c r="G156" i="7"/>
  <c r="E156" i="7"/>
  <c r="G155" i="7"/>
  <c r="E155" i="7"/>
  <c r="G152" i="7"/>
  <c r="E152" i="7"/>
  <c r="G150" i="7"/>
  <c r="E150" i="7"/>
  <c r="G147" i="7"/>
  <c r="E147" i="7"/>
  <c r="H141" i="7"/>
  <c r="L110" i="7"/>
  <c r="N69" i="7"/>
  <c r="M69" i="7"/>
  <c r="L69" i="7"/>
  <c r="K69" i="7"/>
  <c r="J69" i="7"/>
  <c r="I69" i="7"/>
  <c r="H69" i="7"/>
  <c r="G69" i="7"/>
  <c r="O68" i="7"/>
  <c r="O67" i="7"/>
  <c r="O66" i="7"/>
  <c r="O65" i="7"/>
  <c r="O64" i="7"/>
  <c r="O63" i="7"/>
  <c r="O62" i="7"/>
  <c r="W55" i="7"/>
  <c r="V55" i="7"/>
  <c r="T55" i="7"/>
  <c r="S55" i="7"/>
  <c r="R55" i="7"/>
  <c r="Q55" i="7"/>
  <c r="P55" i="7"/>
  <c r="N55" i="7"/>
  <c r="M55" i="7"/>
  <c r="K55" i="7"/>
  <c r="J55" i="7"/>
  <c r="H55" i="7"/>
  <c r="G55" i="7"/>
  <c r="F55" i="7"/>
  <c r="AC54" i="7"/>
  <c r="AB54" i="7"/>
  <c r="AC53" i="7"/>
  <c r="AB53" i="7"/>
  <c r="AC52" i="7"/>
  <c r="AB52" i="7"/>
  <c r="AC51" i="7"/>
  <c r="AB51" i="7"/>
  <c r="AC50" i="7"/>
  <c r="AB50" i="7"/>
  <c r="AC49" i="7"/>
  <c r="AB49" i="7"/>
  <c r="AC48" i="7"/>
  <c r="AB48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H42" i="7"/>
  <c r="G42" i="7"/>
  <c r="F42" i="7"/>
  <c r="AC41" i="7"/>
  <c r="AB41" i="7"/>
  <c r="AC40" i="7"/>
  <c r="AB40" i="7"/>
  <c r="AC39" i="7"/>
  <c r="AB39" i="7"/>
  <c r="AC38" i="7"/>
  <c r="AB38" i="7"/>
  <c r="AC37" i="7"/>
  <c r="AB37" i="7"/>
  <c r="AC36" i="7"/>
  <c r="AB36" i="7"/>
  <c r="AC35" i="7"/>
  <c r="AB35" i="7"/>
  <c r="AC34" i="7"/>
  <c r="AB34" i="7"/>
  <c r="AC33" i="7"/>
  <c r="AB33" i="7"/>
  <c r="AC32" i="7"/>
  <c r="AB32" i="7"/>
  <c r="AC31" i="7"/>
  <c r="AB31" i="7"/>
  <c r="AC30" i="7"/>
  <c r="AB30" i="7"/>
  <c r="AC29" i="7"/>
  <c r="AB29" i="7"/>
  <c r="AC28" i="7"/>
  <c r="AB28" i="7"/>
  <c r="AC27" i="7"/>
  <c r="AB27" i="7"/>
  <c r="AC26" i="7"/>
  <c r="AB26" i="7"/>
  <c r="AC25" i="7"/>
  <c r="AB25" i="7"/>
  <c r="AC24" i="7"/>
  <c r="AB24" i="7"/>
  <c r="AC23" i="7"/>
  <c r="AB23" i="7"/>
  <c r="AC22" i="7"/>
  <c r="AB22" i="7"/>
  <c r="AC21" i="7"/>
  <c r="AB21" i="7"/>
  <c r="AC20" i="7"/>
  <c r="AB20" i="7"/>
  <c r="AC19" i="7"/>
  <c r="AC18" i="7"/>
  <c r="AB18" i="7"/>
  <c r="AB17" i="7"/>
  <c r="AC16" i="7"/>
  <c r="AB16" i="7"/>
  <c r="AC15" i="7"/>
  <c r="AB15" i="7"/>
  <c r="AC14" i="7"/>
  <c r="AB14" i="7"/>
  <c r="AC13" i="7"/>
  <c r="AB13" i="7"/>
  <c r="AC12" i="7"/>
  <c r="AB12" i="7"/>
  <c r="AC11" i="7"/>
  <c r="AB11" i="7"/>
  <c r="AC10" i="7"/>
  <c r="AB10" i="7"/>
  <c r="AC9" i="7"/>
  <c r="AB9" i="7"/>
  <c r="AC8" i="7"/>
  <c r="AB8" i="7"/>
  <c r="AC7" i="7"/>
  <c r="AB7" i="7"/>
  <c r="AC6" i="7"/>
  <c r="AB6" i="7"/>
  <c r="AC5" i="7"/>
  <c r="AB5" i="7"/>
  <c r="AC4" i="7"/>
  <c r="AB4" i="7"/>
  <c r="K87" i="7" l="1"/>
  <c r="S80" i="7"/>
  <c r="S81" i="7" s="1"/>
  <c r="AB43" i="8"/>
  <c r="C115" i="8"/>
  <c r="AI9" i="8"/>
  <c r="E162" i="8"/>
  <c r="AI8" i="8"/>
  <c r="Q86" i="7"/>
  <c r="R86" i="7" s="1"/>
  <c r="Q87" i="7"/>
  <c r="AI51" i="7"/>
  <c r="E161" i="7"/>
  <c r="H156" i="7"/>
  <c r="P100" i="7"/>
  <c r="G161" i="7"/>
  <c r="H150" i="7"/>
  <c r="O69" i="7"/>
  <c r="AH18" i="7" s="1"/>
  <c r="C109" i="7"/>
  <c r="E109" i="7" s="1"/>
  <c r="H152" i="7"/>
  <c r="AI52" i="7"/>
  <c r="AB55" i="7"/>
  <c r="AC55" i="7"/>
  <c r="AI10" i="7"/>
  <c r="AH17" i="7" s="1"/>
  <c r="C107" i="7"/>
  <c r="F111" i="7" s="1"/>
  <c r="I109" i="7" s="1"/>
  <c r="AI9" i="7"/>
  <c r="AG9" i="7" s="1"/>
  <c r="C116" i="7"/>
  <c r="L109" i="7" s="1"/>
  <c r="L111" i="7" s="1"/>
  <c r="AI8" i="7"/>
  <c r="AB42" i="7"/>
  <c r="AC42" i="7"/>
  <c r="AB43" i="7" s="1"/>
  <c r="H147" i="7"/>
  <c r="H155" i="7"/>
  <c r="AC43" i="7"/>
  <c r="L236" i="4"/>
  <c r="J236" i="4"/>
  <c r="H236" i="4"/>
  <c r="F236" i="4"/>
  <c r="D236" i="4"/>
  <c r="B236" i="4"/>
  <c r="P236" i="4" s="1"/>
  <c r="T22" i="6"/>
  <c r="R21" i="6"/>
  <c r="R20" i="6"/>
  <c r="P20" i="6"/>
  <c r="P21" i="6" s="1"/>
  <c r="N20" i="6"/>
  <c r="N21" i="6" s="1"/>
  <c r="L20" i="6"/>
  <c r="L21" i="6" s="1"/>
  <c r="J20" i="6"/>
  <c r="J21" i="6" s="1"/>
  <c r="H20" i="6"/>
  <c r="H21" i="6" s="1"/>
  <c r="F20" i="6"/>
  <c r="F21" i="6" s="1"/>
  <c r="T19" i="6"/>
  <c r="T18" i="6"/>
  <c r="T17" i="6"/>
  <c r="T16" i="6"/>
  <c r="T15" i="6"/>
  <c r="T14" i="6"/>
  <c r="T13" i="6"/>
  <c r="T12" i="6"/>
  <c r="T11" i="6"/>
  <c r="T10" i="6"/>
  <c r="T20" i="6" s="1"/>
  <c r="U20" i="6" s="1"/>
  <c r="U87" i="4"/>
  <c r="C102" i="4" s="1"/>
  <c r="U92" i="4"/>
  <c r="K85" i="4"/>
  <c r="K86" i="4" s="1"/>
  <c r="AH15" i="8" l="1"/>
  <c r="AG8" i="8"/>
  <c r="AH16" i="8"/>
  <c r="AG9" i="8"/>
  <c r="L108" i="8"/>
  <c r="L110" i="8" s="1"/>
  <c r="C119" i="8"/>
  <c r="I109" i="8" s="1"/>
  <c r="I110" i="8" s="1"/>
  <c r="AH15" i="7"/>
  <c r="AH16" i="7"/>
  <c r="C118" i="7"/>
  <c r="I110" i="7" s="1"/>
  <c r="I111" i="7" s="1"/>
  <c r="AG8" i="7"/>
  <c r="T21" i="6"/>
  <c r="T249" i="4" l="1"/>
  <c r="L86" i="3"/>
  <c r="K86" i="3"/>
  <c r="Q82" i="3"/>
  <c r="O82" i="3"/>
  <c r="M82" i="3"/>
  <c r="K82" i="3"/>
  <c r="I82" i="3"/>
  <c r="G82" i="3"/>
  <c r="J18" i="5" l="1"/>
  <c r="K14" i="5"/>
  <c r="L13" i="5"/>
  <c r="K13" i="5"/>
  <c r="I13" i="5"/>
  <c r="K12" i="5"/>
  <c r="I12" i="5"/>
  <c r="L12" i="5" s="1"/>
  <c r="K9" i="5"/>
  <c r="I9" i="5"/>
  <c r="K7" i="5"/>
  <c r="I7" i="5"/>
  <c r="L7" i="5" s="1"/>
  <c r="K4" i="5"/>
  <c r="I4" i="5"/>
  <c r="R41" i="5"/>
  <c r="R42" i="5" s="1"/>
  <c r="Q41" i="5"/>
  <c r="Q42" i="5" s="1"/>
  <c r="P41" i="5"/>
  <c r="P42" i="5" s="1"/>
  <c r="O41" i="5"/>
  <c r="O42" i="5" s="1"/>
  <c r="N41" i="5"/>
  <c r="N42" i="5" s="1"/>
  <c r="M41" i="5"/>
  <c r="M42" i="5" s="1"/>
  <c r="L41" i="5"/>
  <c r="L42" i="5" s="1"/>
  <c r="S40" i="5"/>
  <c r="U40" i="5" s="1"/>
  <c r="S39" i="5"/>
  <c r="U39" i="5" s="1"/>
  <c r="S38" i="5"/>
  <c r="U38" i="5" s="1"/>
  <c r="S37" i="5"/>
  <c r="U37" i="5" s="1"/>
  <c r="S36" i="5"/>
  <c r="U36" i="5" s="1"/>
  <c r="S35" i="5"/>
  <c r="U35" i="5" s="1"/>
  <c r="S34" i="5"/>
  <c r="U34" i="5" s="1"/>
  <c r="S33" i="5"/>
  <c r="U33" i="5" s="1"/>
  <c r="S32" i="5"/>
  <c r="U32" i="5" s="1"/>
  <c r="S31" i="5"/>
  <c r="U31" i="5" s="1"/>
  <c r="S30" i="5"/>
  <c r="U30" i="5" s="1"/>
  <c r="G199" i="4"/>
  <c r="H195" i="4"/>
  <c r="H194" i="4"/>
  <c r="H193" i="4"/>
  <c r="H190" i="4"/>
  <c r="H188" i="4"/>
  <c r="H185" i="4"/>
  <c r="K199" i="4"/>
  <c r="G217" i="4"/>
  <c r="G212" i="4"/>
  <c r="U81" i="4"/>
  <c r="U82" i="4"/>
  <c r="U83" i="4"/>
  <c r="U84" i="4"/>
  <c r="F188" i="4"/>
  <c r="F185" i="4"/>
  <c r="F190" i="4"/>
  <c r="J217" i="4" s="1"/>
  <c r="F193" i="4"/>
  <c r="J220" i="4" s="1"/>
  <c r="F194" i="4"/>
  <c r="J221" i="4" s="1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53" i="4"/>
  <c r="AC35" i="4"/>
  <c r="AC36" i="4"/>
  <c r="AC37" i="4"/>
  <c r="AC38" i="4"/>
  <c r="AC39" i="4"/>
  <c r="AC40" i="4"/>
  <c r="AC41" i="4"/>
  <c r="I146" i="4"/>
  <c r="F42" i="4"/>
  <c r="I85" i="4"/>
  <c r="G85" i="4"/>
  <c r="G86" i="4" s="1"/>
  <c r="AB18" i="4"/>
  <c r="AB17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H42" i="4"/>
  <c r="G42" i="4"/>
  <c r="AB41" i="4"/>
  <c r="AB40" i="4"/>
  <c r="AB39" i="4"/>
  <c r="AF118" i="4"/>
  <c r="S118" i="4"/>
  <c r="AB117" i="4"/>
  <c r="R117" i="4"/>
  <c r="Q117" i="4"/>
  <c r="P117" i="4"/>
  <c r="O117" i="4"/>
  <c r="N117" i="4"/>
  <c r="M117" i="4"/>
  <c r="AF116" i="4"/>
  <c r="S116" i="4"/>
  <c r="AF115" i="4"/>
  <c r="S115" i="4"/>
  <c r="AF114" i="4"/>
  <c r="S114" i="4"/>
  <c r="AF113" i="4"/>
  <c r="AD117" i="4"/>
  <c r="S113" i="4"/>
  <c r="AF112" i="4"/>
  <c r="S112" i="4"/>
  <c r="AE117" i="4"/>
  <c r="AC117" i="4"/>
  <c r="W117" i="4"/>
  <c r="S111" i="4"/>
  <c r="S85" i="4"/>
  <c r="S86" i="4" s="1"/>
  <c r="Q85" i="4"/>
  <c r="Q86" i="4" s="1"/>
  <c r="O85" i="4"/>
  <c r="M85" i="4"/>
  <c r="M86" i="4" s="1"/>
  <c r="U80" i="4"/>
  <c r="U79" i="4"/>
  <c r="U78" i="4"/>
  <c r="U77" i="4"/>
  <c r="U76" i="4"/>
  <c r="F76" i="4"/>
  <c r="U75" i="4"/>
  <c r="F75" i="4"/>
  <c r="N69" i="4"/>
  <c r="M69" i="4"/>
  <c r="L69" i="4"/>
  <c r="K69" i="4"/>
  <c r="J69" i="4"/>
  <c r="I69" i="4"/>
  <c r="H69" i="4"/>
  <c r="G69" i="4"/>
  <c r="O68" i="4"/>
  <c r="O67" i="4"/>
  <c r="O66" i="4"/>
  <c r="O65" i="4"/>
  <c r="O64" i="4"/>
  <c r="O63" i="4"/>
  <c r="O62" i="4"/>
  <c r="W55" i="4"/>
  <c r="V55" i="4"/>
  <c r="T55" i="4"/>
  <c r="S55" i="4"/>
  <c r="R55" i="4"/>
  <c r="Q55" i="4"/>
  <c r="P55" i="4"/>
  <c r="N55" i="4"/>
  <c r="M55" i="4"/>
  <c r="K55" i="4"/>
  <c r="J55" i="4"/>
  <c r="H55" i="4"/>
  <c r="G55" i="4"/>
  <c r="F55" i="4"/>
  <c r="AC54" i="4"/>
  <c r="AB54" i="4"/>
  <c r="AC53" i="4"/>
  <c r="AB53" i="4"/>
  <c r="AC52" i="4"/>
  <c r="AB52" i="4"/>
  <c r="AC51" i="4"/>
  <c r="AB51" i="4"/>
  <c r="AC50" i="4"/>
  <c r="AB50" i="4"/>
  <c r="AC49" i="4"/>
  <c r="AB49" i="4"/>
  <c r="AC48" i="4"/>
  <c r="AB48" i="4"/>
  <c r="AB38" i="4"/>
  <c r="AB37" i="4"/>
  <c r="AB36" i="4"/>
  <c r="AB35" i="4"/>
  <c r="AC34" i="4"/>
  <c r="AB34" i="4"/>
  <c r="AC33" i="4"/>
  <c r="AB33" i="4"/>
  <c r="AC32" i="4"/>
  <c r="AB32" i="4"/>
  <c r="AC31" i="4"/>
  <c r="AB31" i="4"/>
  <c r="AC30" i="4"/>
  <c r="AB30" i="4"/>
  <c r="AC29" i="4"/>
  <c r="AB29" i="4"/>
  <c r="AC28" i="4"/>
  <c r="AB28" i="4"/>
  <c r="AC27" i="4"/>
  <c r="AB27" i="4"/>
  <c r="AC26" i="4"/>
  <c r="AB26" i="4"/>
  <c r="AC25" i="4"/>
  <c r="AB25" i="4"/>
  <c r="AC24" i="4"/>
  <c r="AB24" i="4"/>
  <c r="AC23" i="4"/>
  <c r="AB23" i="4"/>
  <c r="AC22" i="4"/>
  <c r="AB22" i="4"/>
  <c r="AC21" i="4"/>
  <c r="AB21" i="4"/>
  <c r="AC20" i="4"/>
  <c r="AB20" i="4"/>
  <c r="AC19" i="4"/>
  <c r="AC18" i="4"/>
  <c r="AC16" i="4"/>
  <c r="AB16" i="4"/>
  <c r="AC15" i="4"/>
  <c r="AB15" i="4"/>
  <c r="AC14" i="4"/>
  <c r="AB14" i="4"/>
  <c r="AC13" i="4"/>
  <c r="AB13" i="4"/>
  <c r="AC12" i="4"/>
  <c r="AB12" i="4"/>
  <c r="AC11" i="4"/>
  <c r="AB11" i="4"/>
  <c r="AC10" i="4"/>
  <c r="AB10" i="4"/>
  <c r="AC9" i="4"/>
  <c r="AB9" i="4"/>
  <c r="AC8" i="4"/>
  <c r="AB8" i="4"/>
  <c r="AC7" i="4"/>
  <c r="AB7" i="4"/>
  <c r="AC6" i="4"/>
  <c r="AB6" i="4"/>
  <c r="AC5" i="4"/>
  <c r="AB5" i="4"/>
  <c r="AC4" i="4"/>
  <c r="AB4" i="4"/>
  <c r="I188" i="4" l="1"/>
  <c r="I185" i="4"/>
  <c r="H199" i="4"/>
  <c r="I193" i="4"/>
  <c r="F199" i="4"/>
  <c r="I190" i="4"/>
  <c r="I194" i="4"/>
  <c r="L9" i="5"/>
  <c r="K18" i="5"/>
  <c r="L4" i="5"/>
  <c r="I18" i="5"/>
  <c r="S41" i="5"/>
  <c r="S42" i="5"/>
  <c r="U42" i="5" s="1"/>
  <c r="U41" i="5"/>
  <c r="J212" i="4"/>
  <c r="C101" i="4"/>
  <c r="C103" i="4" s="1"/>
  <c r="C94" i="4"/>
  <c r="E94" i="4" s="1"/>
  <c r="AI9" i="4"/>
  <c r="AG9" i="4" s="1"/>
  <c r="H89" i="4"/>
  <c r="I86" i="4"/>
  <c r="C92" i="4"/>
  <c r="F96" i="4" s="1"/>
  <c r="J94" i="4" s="1"/>
  <c r="AI52" i="4"/>
  <c r="AB42" i="4"/>
  <c r="S117" i="4"/>
  <c r="S119" i="4" s="1"/>
  <c r="T119" i="4" s="1"/>
  <c r="R96" i="4" s="1"/>
  <c r="U85" i="4"/>
  <c r="V85" i="4" s="1"/>
  <c r="O69" i="4"/>
  <c r="AC55" i="4"/>
  <c r="AB55" i="4"/>
  <c r="AI10" i="4"/>
  <c r="AH17" i="4" s="1"/>
  <c r="AC43" i="4"/>
  <c r="AC42" i="4"/>
  <c r="AB43" i="4" s="1"/>
  <c r="AF111" i="4"/>
  <c r="AI8" i="4"/>
  <c r="X117" i="4"/>
  <c r="AF117" i="4" s="1"/>
  <c r="AI51" i="4"/>
  <c r="O86" i="4"/>
  <c r="U86" i="4" s="1"/>
  <c r="R95" i="4" l="1"/>
  <c r="R97" i="4" s="1"/>
  <c r="AH16" i="4"/>
  <c r="AG8" i="4"/>
  <c r="AH15" i="4"/>
  <c r="T117" i="4"/>
  <c r="AG117" i="4"/>
  <c r="AF119" i="4"/>
  <c r="J96" i="4"/>
  <c r="J125" i="3" l="1"/>
  <c r="J124" i="3"/>
  <c r="J123" i="3"/>
  <c r="J122" i="3"/>
  <c r="J121" i="3"/>
  <c r="J120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4" i="3"/>
  <c r="F73" i="3" l="1"/>
  <c r="F72" i="3"/>
  <c r="AB115" i="3"/>
  <c r="AA115" i="3"/>
  <c r="Z115" i="3"/>
  <c r="Y115" i="3"/>
  <c r="X115" i="3"/>
  <c r="W115" i="3"/>
  <c r="AB110" i="3"/>
  <c r="AB108" i="3"/>
  <c r="AA113" i="3"/>
  <c r="AC113" i="3" s="1"/>
  <c r="AA112" i="3"/>
  <c r="AC112" i="3" s="1"/>
  <c r="AA110" i="3"/>
  <c r="AA114" i="3" s="1"/>
  <c r="Z111" i="3"/>
  <c r="Z109" i="3"/>
  <c r="Z108" i="3"/>
  <c r="Z114" i="3" s="1"/>
  <c r="Y111" i="3"/>
  <c r="AC111" i="3" s="1"/>
  <c r="Y109" i="3"/>
  <c r="Y108" i="3"/>
  <c r="X109" i="3"/>
  <c r="X108" i="3"/>
  <c r="X114" i="3" s="1"/>
  <c r="W108" i="3"/>
  <c r="S115" i="3"/>
  <c r="S113" i="3"/>
  <c r="S112" i="3"/>
  <c r="S111" i="3"/>
  <c r="S110" i="3"/>
  <c r="S109" i="3"/>
  <c r="S108" i="3"/>
  <c r="I113" i="3"/>
  <c r="I112" i="3"/>
  <c r="I111" i="3"/>
  <c r="I110" i="3"/>
  <c r="I109" i="3"/>
  <c r="I108" i="3"/>
  <c r="H114" i="3"/>
  <c r="G114" i="3"/>
  <c r="F114" i="3"/>
  <c r="E114" i="3"/>
  <c r="D114" i="3"/>
  <c r="C114" i="3"/>
  <c r="R114" i="3"/>
  <c r="Q114" i="3"/>
  <c r="P114" i="3"/>
  <c r="O114" i="3"/>
  <c r="N114" i="3"/>
  <c r="M114" i="3"/>
  <c r="S114" i="3" s="1"/>
  <c r="T114" i="3" s="1"/>
  <c r="AF23" i="3"/>
  <c r="AD23" i="3"/>
  <c r="Y34" i="3"/>
  <c r="Y35" i="3"/>
  <c r="Y36" i="3"/>
  <c r="Y37" i="3"/>
  <c r="Y38" i="3"/>
  <c r="S116" i="3" l="1"/>
  <c r="T116" i="3" s="1"/>
  <c r="AB114" i="3"/>
  <c r="I114" i="3"/>
  <c r="J114" i="3" s="1"/>
  <c r="AC109" i="3"/>
  <c r="AC115" i="3"/>
  <c r="Y114" i="3"/>
  <c r="AC110" i="3"/>
  <c r="AC108" i="3"/>
  <c r="W114" i="3"/>
  <c r="AC114" i="3" l="1"/>
  <c r="AD114" i="3" s="1"/>
  <c r="L100" i="3"/>
  <c r="C99" i="3"/>
  <c r="O83" i="3"/>
  <c r="L96" i="3"/>
  <c r="U78" i="3"/>
  <c r="U77" i="3"/>
  <c r="U76" i="3"/>
  <c r="U75" i="3"/>
  <c r="U74" i="3"/>
  <c r="U73" i="3"/>
  <c r="U72" i="3"/>
  <c r="S82" i="3"/>
  <c r="S83" i="3" s="1"/>
  <c r="Q83" i="3"/>
  <c r="M83" i="3"/>
  <c r="K83" i="3"/>
  <c r="I83" i="3"/>
  <c r="G83" i="3"/>
  <c r="AC116" i="3" l="1"/>
  <c r="S84" i="3"/>
  <c r="U82" i="3"/>
  <c r="V82" i="3" s="1"/>
  <c r="T83" i="3"/>
  <c r="Y70" i="2"/>
  <c r="Y71" i="2" s="1"/>
  <c r="C132" i="2" s="1"/>
  <c r="C133" i="2" s="1"/>
  <c r="Z43" i="2"/>
  <c r="Y43" i="2"/>
  <c r="Y28" i="2"/>
  <c r="I36" i="2" l="1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H36" i="2"/>
  <c r="G36" i="2"/>
  <c r="Z10" i="2"/>
  <c r="Y10" i="2"/>
  <c r="AF9" i="2" l="1"/>
  <c r="AF8" i="2"/>
  <c r="AJ8" i="2" s="1"/>
  <c r="Y17" i="3" l="1"/>
  <c r="V71" i="2"/>
  <c r="V72" i="2"/>
  <c r="V73" i="2"/>
  <c r="V70" i="2"/>
  <c r="U70" i="2" s="1"/>
  <c r="S74" i="2"/>
  <c r="S75" i="2" s="1"/>
  <c r="Q74" i="2"/>
  <c r="Q75" i="2" s="1"/>
  <c r="O74" i="2"/>
  <c r="O75" i="2" s="1"/>
  <c r="M74" i="2"/>
  <c r="M75" i="2" s="1"/>
  <c r="K74" i="2"/>
  <c r="K75" i="2" s="1"/>
  <c r="I74" i="2"/>
  <c r="I75" i="2" s="1"/>
  <c r="G74" i="2"/>
  <c r="G75" i="2" s="1"/>
  <c r="L66" i="3"/>
  <c r="N66" i="3"/>
  <c r="M66" i="3"/>
  <c r="K66" i="3"/>
  <c r="J66" i="3"/>
  <c r="I66" i="3"/>
  <c r="H66" i="3"/>
  <c r="G66" i="3"/>
  <c r="O65" i="3"/>
  <c r="O64" i="3"/>
  <c r="O63" i="3"/>
  <c r="O62" i="3"/>
  <c r="O61" i="3"/>
  <c r="O60" i="3"/>
  <c r="O59" i="3"/>
  <c r="W52" i="3"/>
  <c r="V52" i="3"/>
  <c r="T52" i="3"/>
  <c r="S52" i="3"/>
  <c r="R52" i="3"/>
  <c r="Q52" i="3"/>
  <c r="P52" i="3"/>
  <c r="N52" i="3"/>
  <c r="M52" i="3"/>
  <c r="K52" i="3"/>
  <c r="J52" i="3"/>
  <c r="H52" i="3"/>
  <c r="G52" i="3"/>
  <c r="F52" i="3"/>
  <c r="Z51" i="3"/>
  <c r="Y51" i="3"/>
  <c r="Z50" i="3"/>
  <c r="Y50" i="3"/>
  <c r="Z49" i="3"/>
  <c r="Y49" i="3"/>
  <c r="Z48" i="3"/>
  <c r="Y48" i="3"/>
  <c r="Z47" i="3"/>
  <c r="Y47" i="3"/>
  <c r="Z46" i="3"/>
  <c r="Y46" i="3"/>
  <c r="Z45" i="3"/>
  <c r="Y45" i="3"/>
  <c r="X39" i="3"/>
  <c r="W39" i="3"/>
  <c r="AD29" i="3" s="1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Z38" i="3"/>
  <c r="Z34" i="3"/>
  <c r="Z33" i="3"/>
  <c r="Y33" i="3"/>
  <c r="Z32" i="3"/>
  <c r="Y32" i="3"/>
  <c r="Z31" i="3"/>
  <c r="Y31" i="3"/>
  <c r="Z30" i="3"/>
  <c r="Y30" i="3"/>
  <c r="Z29" i="3"/>
  <c r="Y29" i="3"/>
  <c r="Z28" i="3"/>
  <c r="Y28" i="3"/>
  <c r="Z27" i="3"/>
  <c r="Y27" i="3"/>
  <c r="Z26" i="3"/>
  <c r="Y26" i="3"/>
  <c r="Z25" i="3"/>
  <c r="Y25" i="3"/>
  <c r="Z24" i="3"/>
  <c r="Y24" i="3"/>
  <c r="Z23" i="3"/>
  <c r="Y23" i="3"/>
  <c r="Z22" i="3"/>
  <c r="Y22" i="3"/>
  <c r="Z21" i="3"/>
  <c r="Y21" i="3"/>
  <c r="Z20" i="3"/>
  <c r="Y20" i="3"/>
  <c r="Z19" i="3"/>
  <c r="Y19" i="3"/>
  <c r="Z18" i="3"/>
  <c r="Y18" i="3"/>
  <c r="Z16" i="3"/>
  <c r="Y16" i="3"/>
  <c r="Z15" i="3"/>
  <c r="Y15" i="3"/>
  <c r="Z14" i="3"/>
  <c r="Y14" i="3"/>
  <c r="Z13" i="3"/>
  <c r="Y13" i="3"/>
  <c r="Z12" i="3"/>
  <c r="Y12" i="3"/>
  <c r="Z11" i="3"/>
  <c r="Y11" i="3"/>
  <c r="Z10" i="3"/>
  <c r="Y10" i="3"/>
  <c r="Z9" i="3"/>
  <c r="Y9" i="3"/>
  <c r="Z8" i="3"/>
  <c r="Y8" i="3"/>
  <c r="Z7" i="3"/>
  <c r="Y7" i="3"/>
  <c r="Z6" i="3"/>
  <c r="Y6" i="3"/>
  <c r="Z5" i="3"/>
  <c r="Y5" i="3"/>
  <c r="Z4" i="3"/>
  <c r="Y4" i="3"/>
  <c r="I97" i="2"/>
  <c r="J97" i="2"/>
  <c r="K97" i="2"/>
  <c r="L97" i="2"/>
  <c r="M97" i="2"/>
  <c r="N97" i="2"/>
  <c r="O97" i="2"/>
  <c r="P97" i="2"/>
  <c r="Q97" i="2"/>
  <c r="R97" i="2"/>
  <c r="S97" i="2"/>
  <c r="T97" i="2"/>
  <c r="H97" i="2"/>
  <c r="G97" i="2"/>
  <c r="U88" i="2"/>
  <c r="W88" i="2" s="1"/>
  <c r="U89" i="2"/>
  <c r="W89" i="2" s="1"/>
  <c r="U90" i="2"/>
  <c r="W90" i="2" s="1"/>
  <c r="U91" i="2"/>
  <c r="W91" i="2" s="1"/>
  <c r="U92" i="2"/>
  <c r="U93" i="2"/>
  <c r="W93" i="2" s="1"/>
  <c r="U94" i="2"/>
  <c r="W94" i="2" s="1"/>
  <c r="U95" i="2"/>
  <c r="W95" i="2" s="1"/>
  <c r="U96" i="2"/>
  <c r="W96" i="2" s="1"/>
  <c r="U87" i="2"/>
  <c r="W87" i="2" s="1"/>
  <c r="U86" i="2"/>
  <c r="W86" i="2" s="1"/>
  <c r="Z7" i="2"/>
  <c r="Z8" i="2"/>
  <c r="Z9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5" i="2"/>
  <c r="Z5" i="2"/>
  <c r="Z6" i="2"/>
  <c r="Y20" i="2"/>
  <c r="Y21" i="2"/>
  <c r="Y22" i="2"/>
  <c r="F36" i="2"/>
  <c r="Z4" i="2"/>
  <c r="Y24" i="2"/>
  <c r="Y25" i="2"/>
  <c r="Y26" i="2"/>
  <c r="Y27" i="2"/>
  <c r="Y29" i="2"/>
  <c r="Y30" i="2"/>
  <c r="Y31" i="2"/>
  <c r="Y32" i="2"/>
  <c r="Y33" i="2"/>
  <c r="Y35" i="2"/>
  <c r="Y23" i="2"/>
  <c r="Y5" i="2"/>
  <c r="Y6" i="2"/>
  <c r="Y7" i="2"/>
  <c r="Y8" i="2"/>
  <c r="Y9" i="2"/>
  <c r="Y11" i="2"/>
  <c r="Y12" i="2"/>
  <c r="Y13" i="2"/>
  <c r="Y14" i="2"/>
  <c r="Y15" i="2"/>
  <c r="Y16" i="2"/>
  <c r="Y17" i="2"/>
  <c r="Y18" i="2"/>
  <c r="Y19" i="2"/>
  <c r="Y4" i="2"/>
  <c r="I64" i="2"/>
  <c r="Z58" i="2"/>
  <c r="Z59" i="2"/>
  <c r="Z60" i="2"/>
  <c r="Z61" i="2"/>
  <c r="Z62" i="2"/>
  <c r="Z63" i="2"/>
  <c r="Z57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H64" i="2"/>
  <c r="G64" i="2"/>
  <c r="Z44" i="2"/>
  <c r="Z45" i="2"/>
  <c r="Z46" i="2"/>
  <c r="Z47" i="2"/>
  <c r="Z48" i="2"/>
  <c r="Z49" i="2"/>
  <c r="Y44" i="2"/>
  <c r="Y45" i="2"/>
  <c r="Y46" i="2"/>
  <c r="Y47" i="2"/>
  <c r="Y48" i="2"/>
  <c r="Y49" i="2"/>
  <c r="J50" i="2"/>
  <c r="K50" i="2"/>
  <c r="M50" i="2"/>
  <c r="N50" i="2"/>
  <c r="P50" i="2"/>
  <c r="Q50" i="2"/>
  <c r="R50" i="2"/>
  <c r="S50" i="2"/>
  <c r="T50" i="2"/>
  <c r="V50" i="2"/>
  <c r="W50" i="2"/>
  <c r="H50" i="2"/>
  <c r="G50" i="2"/>
  <c r="F50" i="2"/>
  <c r="C92" i="3" l="1"/>
  <c r="C91" i="3"/>
  <c r="AE15" i="3"/>
  <c r="AH15" i="3" s="1"/>
  <c r="AG15" i="3"/>
  <c r="AG23" i="3" s="1"/>
  <c r="AE14" i="3"/>
  <c r="AD22" i="3"/>
  <c r="AF9" i="3"/>
  <c r="AD9" i="3" s="1"/>
  <c r="U71" i="2"/>
  <c r="V74" i="2"/>
  <c r="G98" i="2"/>
  <c r="AF10" i="3"/>
  <c r="AF48" i="3"/>
  <c r="AF49" i="3"/>
  <c r="Y61" i="3"/>
  <c r="O66" i="3"/>
  <c r="Y62" i="3"/>
  <c r="Y63" i="3"/>
  <c r="Y52" i="3"/>
  <c r="Z52" i="3"/>
  <c r="AF8" i="3"/>
  <c r="AD8" i="3" s="1"/>
  <c r="Y39" i="3"/>
  <c r="Z39" i="3"/>
  <c r="Y40" i="3" s="1"/>
  <c r="Z40" i="3"/>
  <c r="O98" i="2"/>
  <c r="M98" i="2"/>
  <c r="K98" i="2"/>
  <c r="Q98" i="2"/>
  <c r="AF59" i="2"/>
  <c r="AJ9" i="2" s="1"/>
  <c r="U97" i="2"/>
  <c r="S98" i="2"/>
  <c r="I98" i="2"/>
  <c r="AF60" i="2"/>
  <c r="AF61" i="2"/>
  <c r="W92" i="2"/>
  <c r="W97" i="2" s="1"/>
  <c r="Z64" i="2"/>
  <c r="Y36" i="2"/>
  <c r="AD8" i="2"/>
  <c r="AF10" i="2"/>
  <c r="Z37" i="2"/>
  <c r="Z36" i="2"/>
  <c r="AF46" i="2"/>
  <c r="AJ10" i="2" s="1"/>
  <c r="AF47" i="2"/>
  <c r="AD9" i="2"/>
  <c r="Y50" i="2"/>
  <c r="I92" i="3" l="1"/>
  <c r="AE16" i="3"/>
  <c r="C89" i="3"/>
  <c r="E91" i="3"/>
  <c r="E92" i="3"/>
  <c r="AK8" i="2"/>
  <c r="AA36" i="2"/>
  <c r="Y37" i="2" s="1"/>
  <c r="V75" i="2"/>
  <c r="U72" i="2"/>
  <c r="U73" i="2" s="1"/>
  <c r="U74" i="2" s="1"/>
  <c r="U98" i="2"/>
  <c r="W98" i="2" s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3" i="1"/>
  <c r="S24" i="1"/>
  <c r="S25" i="1"/>
  <c r="S26" i="1"/>
  <c r="S27" i="1"/>
  <c r="S28" i="1"/>
  <c r="S29" i="1"/>
  <c r="S30" i="1"/>
  <c r="S31" i="1"/>
  <c r="S32" i="1"/>
  <c r="S33" i="1"/>
  <c r="S34" i="1"/>
  <c r="S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4" i="1"/>
  <c r="F46" i="1"/>
  <c r="E93" i="3" l="1"/>
  <c r="L99" i="3"/>
  <c r="L101" i="3" s="1"/>
  <c r="I91" i="3"/>
  <c r="I93" i="3" s="1"/>
  <c r="U75" i="2"/>
  <c r="F35" i="1"/>
  <c r="C125" i="2"/>
  <c r="C127" i="2" s="1"/>
  <c r="Z50" i="2"/>
  <c r="AB58" i="9"/>
  <c r="B126" i="9" s="1" a="1"/>
  <c r="B126" i="9" l="1"/>
  <c r="H143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<sst xmlns="http://schemas.openxmlformats.org/spreadsheetml/2006/main" count="3269" uniqueCount="533">
  <si>
    <t>RESONSABLE</t>
  </si>
  <si>
    <t>PLACAS</t>
  </si>
  <si>
    <t>CENTRO DE TRABAJO</t>
  </si>
  <si>
    <t>IMPORTE SEMANAL</t>
  </si>
  <si>
    <t xml:space="preserve">ING.ARMANDO  COLIN       </t>
  </si>
  <si>
    <t>CHEVROLET S10</t>
  </si>
  <si>
    <t>PAT8298</t>
  </si>
  <si>
    <t xml:space="preserve">BACHEO TOLUCA </t>
  </si>
  <si>
    <t>UNIDAD / EQUIPO</t>
  </si>
  <si>
    <t>ING. ANTONIO IBAÑEZ</t>
  </si>
  <si>
    <t xml:space="preserve">MAQUINARIA </t>
  </si>
  <si>
    <t>RAM 1200</t>
  </si>
  <si>
    <t>LHB188D</t>
  </si>
  <si>
    <t>ALBERTO HERNANDEZ DE JESUS</t>
  </si>
  <si>
    <t>DODGE RAM 700</t>
  </si>
  <si>
    <t>PCW9391</t>
  </si>
  <si>
    <t>JUAN CARLOS NAZAR</t>
  </si>
  <si>
    <t>PCW9238</t>
  </si>
  <si>
    <t xml:space="preserve">EDGAR VELAZQUEZ ESQUIVEL </t>
  </si>
  <si>
    <t xml:space="preserve">ROBERTO CARLOS GARCÍA </t>
  </si>
  <si>
    <t xml:space="preserve">H. COLEGIO MILITAR </t>
  </si>
  <si>
    <t>CHANGAN ALSVIN</t>
  </si>
  <si>
    <t>LMH893A</t>
  </si>
  <si>
    <t>OSCAR ESTRADA LINARES</t>
  </si>
  <si>
    <t>EXPLANADA DAMIAN CARMONA</t>
  </si>
  <si>
    <t>NISSAN NP-300</t>
  </si>
  <si>
    <t>MAH844C</t>
  </si>
  <si>
    <t>DIEGO CARREOLA</t>
  </si>
  <si>
    <t>BACHEO TOLUCA Y C. VICENTE LOMBARDO</t>
  </si>
  <si>
    <t xml:space="preserve"> MITSUBISHI L1200</t>
  </si>
  <si>
    <t>NYZ829C</t>
  </si>
  <si>
    <t>TOMAS ARANDA PROSPERO</t>
  </si>
  <si>
    <t>LF05470</t>
  </si>
  <si>
    <t>DODGE RAM 4000 (3/2)</t>
  </si>
  <si>
    <t>BACHEO TOLUCA</t>
  </si>
  <si>
    <t xml:space="preserve">EQUIPO MENOR </t>
  </si>
  <si>
    <t>JAVIER PEREZ DÍAZ</t>
  </si>
  <si>
    <t>OBRA MÉXICO TOLUCA</t>
  </si>
  <si>
    <t>MHL758A</t>
  </si>
  <si>
    <t>MITSUBISHI 1200</t>
  </si>
  <si>
    <t xml:space="preserve">ALEXIS SAMUEL RENDON DOMINGUEZ </t>
  </si>
  <si>
    <t>PBT1230</t>
  </si>
  <si>
    <t>TOYOTA HIACE (URBAN)</t>
  </si>
  <si>
    <t>CRISTIAN REYES GAMORA</t>
  </si>
  <si>
    <t>LH49730</t>
  </si>
  <si>
    <t>APOLINAR REYES BOLAINA</t>
  </si>
  <si>
    <t xml:space="preserve">LERMA TENANGO </t>
  </si>
  <si>
    <t>NYZ971C</t>
  </si>
  <si>
    <t>LEONCIO MARTINEZ PASCACIO</t>
  </si>
  <si>
    <t>NYZ790C</t>
  </si>
  <si>
    <t>CARMELO ALVAREZ ANICETO</t>
  </si>
  <si>
    <t>LH49746</t>
  </si>
  <si>
    <t>DIEGO FERNANDEZ SANTIAGO</t>
  </si>
  <si>
    <t>PBT1229</t>
  </si>
  <si>
    <t xml:space="preserve">CORTADORA DE CONCRETO </t>
  </si>
  <si>
    <t>MOTOR AUXILIAR PETROLIZADORA</t>
  </si>
  <si>
    <t>MOTOR AUXILIAR PIPA DE AGUA</t>
  </si>
  <si>
    <t>LUIS VALDEZ</t>
  </si>
  <si>
    <t>P. ASFALTO HUIXQUILUCAN</t>
  </si>
  <si>
    <t>FORD RANGER</t>
  </si>
  <si>
    <t>PCU7482</t>
  </si>
  <si>
    <t>CLEMENTE SANABRIA</t>
  </si>
  <si>
    <t xml:space="preserve">TRANSPORTES FLOTILLA </t>
  </si>
  <si>
    <t>LHB184D</t>
  </si>
  <si>
    <t>BRYAN GABRIEL CHAVEZ ALVAREZ</t>
  </si>
  <si>
    <t>CHEVROLET TORNADO</t>
  </si>
  <si>
    <t>DAMIAN ANTONIO PUINI</t>
  </si>
  <si>
    <t>NUZ948C</t>
  </si>
  <si>
    <t>MOTORES LOWBOY</t>
  </si>
  <si>
    <t>ROBERTO ORTEGA</t>
  </si>
  <si>
    <t>MNX601B</t>
  </si>
  <si>
    <t>SAMUEL ORTEGA SILVA</t>
  </si>
  <si>
    <t>NZT266B</t>
  </si>
  <si>
    <t>MITSUBISHI L200</t>
  </si>
  <si>
    <t>MHL757A</t>
  </si>
  <si>
    <t>CARLOS REYES TRUJANO</t>
  </si>
  <si>
    <t>TOYOTA TACOMA</t>
  </si>
  <si>
    <t>MINA TABERNILLAS</t>
  </si>
  <si>
    <t>33K849</t>
  </si>
  <si>
    <t xml:space="preserve">LAZARO PINAL RIOS </t>
  </si>
  <si>
    <t>ARMANDO COLIN MORENO</t>
  </si>
  <si>
    <t>CHEVORLET</t>
  </si>
  <si>
    <t>ABNER OSORIO BARTOLO</t>
  </si>
  <si>
    <t>MINA ZUMPAHUACAN</t>
  </si>
  <si>
    <t>NYZ828C</t>
  </si>
  <si>
    <t>ISAAC GONZALEZ GONZALEZ</t>
  </si>
  <si>
    <t>NYZ839C</t>
  </si>
  <si>
    <t>JESUS MARIN GARCIA</t>
  </si>
  <si>
    <t>MINA CUAJOMAC</t>
  </si>
  <si>
    <t>PCU8771</t>
  </si>
  <si>
    <t xml:space="preserve">TRITURADORA ROCA DURA SAN MIGUEL </t>
  </si>
  <si>
    <t xml:space="preserve">IMPORTE SEMANAL AUTORIZADO </t>
  </si>
  <si>
    <t>CONSUMO SEMANAL</t>
  </si>
  <si>
    <t xml:space="preserve">J.D.J. EQUIPO Y CONSTRUCCIONES S.A. DE C.V. </t>
  </si>
  <si>
    <t>REMANENTE</t>
  </si>
  <si>
    <t>LEVET</t>
  </si>
  <si>
    <t>MOBILE</t>
  </si>
  <si>
    <t>NXP9814</t>
  </si>
  <si>
    <t>SI VALE</t>
  </si>
  <si>
    <t>GASOLINERA</t>
  </si>
  <si>
    <t>LITROS</t>
  </si>
  <si>
    <t xml:space="preserve">COSTO UNITARIO </t>
  </si>
  <si>
    <t xml:space="preserve">TOTAL </t>
  </si>
  <si>
    <t xml:space="preserve">SI VALE </t>
  </si>
  <si>
    <t>CONCILIACIÓN J.D.J.GASOLINA DEL 22 AL 26 DE JUNIO 2026</t>
  </si>
  <si>
    <t>TOTALES</t>
  </si>
  <si>
    <t>HG6103D</t>
  </si>
  <si>
    <t>MY7968B</t>
  </si>
  <si>
    <t>LD57526</t>
  </si>
  <si>
    <t>NB1258D</t>
  </si>
  <si>
    <t>NR0950C</t>
  </si>
  <si>
    <t>LH16062</t>
  </si>
  <si>
    <t>ENRIQUE COLIN</t>
  </si>
  <si>
    <t>JORGE GARCIA</t>
  </si>
  <si>
    <t>ARTURO HDZ</t>
  </si>
  <si>
    <t>SANTOS SOTERO</t>
  </si>
  <si>
    <t>ALEJANDRO FLORES</t>
  </si>
  <si>
    <t>JULIO CESAR</t>
  </si>
  <si>
    <t xml:space="preserve">SINDICATO COSUM TOLUCA </t>
  </si>
  <si>
    <t>CONCILIACIÓN J.D.J.DIESEL DEL 22 AL 26 DE JUNIO 2026</t>
  </si>
  <si>
    <t>J.D.J. EQUIPO Y CONSTRUCCIONES S.A. DE C.V.  (OTROS / DIESEL) SUMINISTRO : LEVET</t>
  </si>
  <si>
    <t>MOBIL</t>
  </si>
  <si>
    <t>OPERADOR</t>
  </si>
  <si>
    <r>
      <rPr>
        <b/>
        <sz val="11"/>
        <color theme="1"/>
        <rFont val="Aptos Narrow"/>
        <family val="2"/>
        <scheme val="minor"/>
      </rPr>
      <t>OBSERVACIONES</t>
    </r>
    <r>
      <rPr>
        <sz val="11"/>
        <color theme="1"/>
        <rFont val="Aptos Narrow"/>
        <family val="2"/>
        <scheme val="minor"/>
      </rPr>
      <t xml:space="preserve">:  </t>
    </r>
  </si>
  <si>
    <t>FRANCISCO JAVIER</t>
  </si>
  <si>
    <t xml:space="preserve">MÉXICO TOLUCA </t>
  </si>
  <si>
    <t>PAVIMENTADORA VOGELE 1800-3 I</t>
  </si>
  <si>
    <t>NEUMATICO VOLVO PT-240R</t>
  </si>
  <si>
    <t>DOBLE RODILLO/VIBROCOMPACTADOR DE RODILLOS HAMM 120HD VV</t>
  </si>
  <si>
    <t>RETROEXCAVADORA JHONDEREE 310 K</t>
  </si>
  <si>
    <t>PERFILADORA RODATEC RX600-4-4008</t>
  </si>
  <si>
    <t>PERFILADORA RODATEC RX600E</t>
  </si>
  <si>
    <t>BARREDORA BROCE RJ350</t>
  </si>
  <si>
    <t>TANDEM DOBLE RODILLO / VIBROCOMPACTOR RODILLO CAT CB54</t>
  </si>
  <si>
    <t>PETROLIZADORA    INTERNATIONAL</t>
  </si>
  <si>
    <t>NEUMATICO / COMPACTADOR DE NEUMATICOS DINAPAC CP271</t>
  </si>
  <si>
    <t xml:space="preserve">PRECIO UNITARIO </t>
  </si>
  <si>
    <t xml:space="preserve">LITROS TOTAL </t>
  </si>
  <si>
    <t>TOTAL</t>
  </si>
  <si>
    <t xml:space="preserve">GASOLINA - J.D.J. EQUIPO Y CONSTRUCCIONES S.A. DE C.V. </t>
  </si>
  <si>
    <t xml:space="preserve"> GASOLINA - TRITURADORA ROCA DURA SAN MIGUEL </t>
  </si>
  <si>
    <t xml:space="preserve">DISEL - LEVET J.D.J. EQUIPO Y CONSTRUCCIONES S.A. DE C.V.  </t>
  </si>
  <si>
    <t xml:space="preserve">DISEL - MOBILE HUIXQUILUCAN  J.D.J. EQUIPO Y CONSTRUCCIONES S.A. DE C.V.  </t>
  </si>
  <si>
    <t>CONCILIACIÓN J.D.J.DIESEL DEL 29 DE JUNIO  AL 04  DE JULIO 2026</t>
  </si>
  <si>
    <t xml:space="preserve">#FACTURA </t>
  </si>
  <si>
    <t xml:space="preserve">CENTRO DE TRABAJO / FRENTE </t>
  </si>
  <si>
    <t xml:space="preserve">FRANCISCO JAVIER </t>
  </si>
  <si>
    <t>NXP4918</t>
  </si>
  <si>
    <t>PLANTA DE ASFALTO HUIXQUILUCAN</t>
  </si>
  <si>
    <t>MÉXICO- TOLUCA</t>
  </si>
  <si>
    <t>LUIS</t>
  </si>
  <si>
    <t>DAYAN</t>
  </si>
  <si>
    <t xml:space="preserve">TANQUE MAQUINARIA </t>
  </si>
  <si>
    <t>A-10148</t>
  </si>
  <si>
    <t>A-10198</t>
  </si>
  <si>
    <t>A-10211</t>
  </si>
  <si>
    <t>PRECIO</t>
  </si>
  <si>
    <t xml:space="preserve">LIRTROS TOTAL </t>
  </si>
  <si>
    <t>LHB176D</t>
  </si>
  <si>
    <t>LHB182D</t>
  </si>
  <si>
    <t>VICTOR HUGO MARTINEZ VELAZQUEZ</t>
  </si>
  <si>
    <t xml:space="preserve">JALSICO </t>
  </si>
  <si>
    <t>CONCILIACIÓN TRD GASOLINA DEL 22 AL 26 DE JUNIO 2026</t>
  </si>
  <si>
    <t xml:space="preserve">PAGO SEMANA 26 LEVET </t>
  </si>
  <si>
    <t>JDJ</t>
  </si>
  <si>
    <t>JDJ SINDICATOS</t>
  </si>
  <si>
    <t>TRD</t>
  </si>
  <si>
    <t xml:space="preserve">CONSUMO </t>
  </si>
  <si>
    <t>(-) COSTO DISEL SINDICATO</t>
  </si>
  <si>
    <t xml:space="preserve">FACTURADO </t>
  </si>
  <si>
    <r>
      <t xml:space="preserve">CONSUMO </t>
    </r>
    <r>
      <rPr>
        <b/>
        <sz val="12"/>
        <color theme="1"/>
        <rFont val="Arial"/>
        <family val="2"/>
      </rPr>
      <t>TOTAL</t>
    </r>
    <r>
      <rPr>
        <sz val="12"/>
        <color theme="1"/>
        <rFont val="Arial"/>
        <family val="2"/>
      </rPr>
      <t xml:space="preserve"> GASOLINA SEMANA </t>
    </r>
    <r>
      <rPr>
        <b/>
        <sz val="12"/>
        <color theme="1"/>
        <rFont val="Arial"/>
        <family val="2"/>
      </rPr>
      <t>26</t>
    </r>
  </si>
  <si>
    <r>
      <t xml:space="preserve">CONSUMO GASOLINA SEMANA </t>
    </r>
    <r>
      <rPr>
        <b/>
        <sz val="12"/>
        <color theme="1"/>
        <rFont val="Arial"/>
        <family val="2"/>
      </rPr>
      <t>26</t>
    </r>
  </si>
  <si>
    <r>
      <t xml:space="preserve">CONSUMO AL 30 DE JUNIO (SEMANA </t>
    </r>
    <r>
      <rPr>
        <b/>
        <sz val="12"/>
        <color theme="1"/>
        <rFont val="Arial"/>
        <family val="2"/>
      </rPr>
      <t>27</t>
    </r>
    <r>
      <rPr>
        <sz val="12"/>
        <color theme="1"/>
        <rFont val="Arial"/>
        <family val="2"/>
      </rPr>
      <t>)</t>
    </r>
  </si>
  <si>
    <t>SIN SI VALE</t>
  </si>
  <si>
    <r>
      <t xml:space="preserve">CONSUMO TOTAL DISEL SEMANA </t>
    </r>
    <r>
      <rPr>
        <b/>
        <sz val="12"/>
        <color theme="1"/>
        <rFont val="Arial"/>
        <family val="2"/>
      </rPr>
      <t>26</t>
    </r>
  </si>
  <si>
    <t>A-10 226</t>
  </si>
  <si>
    <t>A10 270</t>
  </si>
  <si>
    <t>A10 216</t>
  </si>
  <si>
    <t>A10 271</t>
  </si>
  <si>
    <t>A10 246</t>
  </si>
  <si>
    <t xml:space="preserve">A PAGAR </t>
  </si>
  <si>
    <t>PAGO MOBILE SEMANA 26</t>
  </si>
  <si>
    <t>PAGO LEVET (JUNIO 26-1/2 (27))</t>
  </si>
  <si>
    <t xml:space="preserve">PLANTA DE ASFALTO </t>
  </si>
  <si>
    <t xml:space="preserve"> </t>
  </si>
  <si>
    <t>VICTOR</t>
  </si>
  <si>
    <t xml:space="preserve">FACTURAS RELACIONADAS </t>
  </si>
  <si>
    <t>A-10148 , A-10 226, A-10198, A-10211, A10 216, A10 246, A10 271, A10 270</t>
  </si>
  <si>
    <t xml:space="preserve">CONCEPTO </t>
  </si>
  <si>
    <t>MONTO</t>
  </si>
  <si>
    <t>CONCEPTO</t>
  </si>
  <si>
    <t>FACTURA RELACIONADA</t>
  </si>
  <si>
    <t>4025/4LV</t>
  </si>
  <si>
    <t xml:space="preserve">12 FACTURAS </t>
  </si>
  <si>
    <t xml:space="preserve">8 FACTURAS </t>
  </si>
  <si>
    <t xml:space="preserve">1 FACTURA </t>
  </si>
  <si>
    <t>MÉXICO TOLUCA</t>
  </si>
  <si>
    <t>PROVIDENCIA</t>
  </si>
  <si>
    <t>LITROS TOTAL</t>
  </si>
  <si>
    <t>PAGO LEVET SEMANA 27</t>
  </si>
  <si>
    <t>PAGO MOBILE SEMANA 27</t>
  </si>
  <si>
    <t>MT</t>
  </si>
  <si>
    <t>BACHEO</t>
  </si>
  <si>
    <t>VICENTE</t>
  </si>
  <si>
    <t>PAOLA JARAMILLO</t>
  </si>
  <si>
    <t>CORPORATIVO</t>
  </si>
  <si>
    <t>JOSÉ CABELLO /JACK</t>
  </si>
  <si>
    <t>ESTIMACIONES /PLANTA PEGASO</t>
  </si>
  <si>
    <t>SEMANA 27 LEVET</t>
  </si>
  <si>
    <t>1ER PAGO</t>
  </si>
  <si>
    <t>1 AL 4 DE JULIO</t>
  </si>
  <si>
    <t>JUAN CARLOS NAZAR CHAVEZ</t>
  </si>
  <si>
    <t>A PAGAR REAL</t>
  </si>
  <si>
    <t>($15,193.26 - $1995.39 TICKET NO RECONOCIDO)</t>
  </si>
  <si>
    <t>CONSUMO DE SINDICATO</t>
  </si>
  <si>
    <t>CONSUMO DEL 1 AL 4 DE JULIO</t>
  </si>
  <si>
    <r>
      <t xml:space="preserve">CONSUMO </t>
    </r>
    <r>
      <rPr>
        <b/>
        <sz val="12"/>
        <color theme="1"/>
        <rFont val="Arial"/>
        <family val="2"/>
      </rPr>
      <t>TOTAL</t>
    </r>
    <r>
      <rPr>
        <sz val="12"/>
        <color theme="1"/>
        <rFont val="Arial"/>
        <family val="2"/>
      </rPr>
      <t xml:space="preserve"> GASOLINA SEMANA </t>
    </r>
    <r>
      <rPr>
        <b/>
        <sz val="12"/>
        <color theme="1"/>
        <rFont val="Arial"/>
        <family val="2"/>
      </rPr>
      <t xml:space="preserve">27 </t>
    </r>
  </si>
  <si>
    <t>CONSUMO DEL 29 Y 30 DE JUNIO (YA SE PAGO)</t>
  </si>
  <si>
    <t xml:space="preserve">EFECTIVO </t>
  </si>
  <si>
    <t xml:space="preserve">TRANSFERENCIA </t>
  </si>
  <si>
    <r>
      <t xml:space="preserve">CONSUMO </t>
    </r>
    <r>
      <rPr>
        <b/>
        <sz val="12"/>
        <color theme="1"/>
        <rFont val="Arial"/>
        <family val="2"/>
      </rPr>
      <t>TOTAL</t>
    </r>
    <r>
      <rPr>
        <sz val="12"/>
        <color theme="1"/>
        <rFont val="Arial"/>
        <family val="2"/>
      </rPr>
      <t xml:space="preserve"> GASOLINA SEMANA 27</t>
    </r>
  </si>
  <si>
    <t>LERMA</t>
  </si>
  <si>
    <t>PLANTA PEGASO</t>
  </si>
  <si>
    <t xml:space="preserve">PLANTA HUIXQUI </t>
  </si>
  <si>
    <t>DIESEL DAYAN SEMANA 27</t>
  </si>
  <si>
    <t>LUNES 29</t>
  </si>
  <si>
    <t>MARTES 30</t>
  </si>
  <si>
    <t>MIERCOLES 1</t>
  </si>
  <si>
    <t>JUEVES 2</t>
  </si>
  <si>
    <t>VIERNES 3</t>
  </si>
  <si>
    <t>SÁBADO 4</t>
  </si>
  <si>
    <t>CONSUMO TOTAL DISEL SEMANA 27</t>
  </si>
  <si>
    <t>SEMANA 27 GASOLINERAS</t>
  </si>
  <si>
    <t>MOBILE HUIXQUI</t>
  </si>
  <si>
    <t>GASOLINA</t>
  </si>
  <si>
    <t>DIESEL</t>
  </si>
  <si>
    <t>TOTAL  CONSUMO SEMANA 27</t>
  </si>
  <si>
    <t xml:space="preserve">  SEMANA 27</t>
  </si>
  <si>
    <t>MEXICO TOLUCA</t>
  </si>
  <si>
    <t>A10253</t>
  </si>
  <si>
    <t>A10254</t>
  </si>
  <si>
    <t>A10255</t>
  </si>
  <si>
    <t>A10267</t>
  </si>
  <si>
    <t>A10268</t>
  </si>
  <si>
    <t>A10278</t>
  </si>
  <si>
    <t>LITROS DIARIO</t>
  </si>
  <si>
    <t>A10286</t>
  </si>
  <si>
    <t>A10298</t>
  </si>
  <si>
    <t>A10319</t>
  </si>
  <si>
    <t>A10320</t>
  </si>
  <si>
    <t>A2378095</t>
  </si>
  <si>
    <t>A10321</t>
  </si>
  <si>
    <t>MAQUINARIA</t>
  </si>
  <si>
    <t>Bacheo</t>
  </si>
  <si>
    <t>México Toluca</t>
  </si>
  <si>
    <t>Lerma Tenango</t>
  </si>
  <si>
    <t>P. A. HUIXQUI</t>
  </si>
  <si>
    <t>GASOLINA POR FRENTE  SEMANA 27</t>
  </si>
  <si>
    <t>Transportes</t>
  </si>
  <si>
    <t>LKV206D</t>
  </si>
  <si>
    <t>LKC794D</t>
  </si>
  <si>
    <t>LKC789D</t>
  </si>
  <si>
    <t>A10399</t>
  </si>
  <si>
    <t>A10394</t>
  </si>
  <si>
    <t>CONCILIACIÓN J.D.J.GASOLINA SEMANA 28 (6 AL 12 JULIO 2026)</t>
  </si>
  <si>
    <t>PAGO GASOLINA</t>
  </si>
  <si>
    <t>CRISTOBAL SILVA</t>
  </si>
  <si>
    <r>
      <t xml:space="preserve">CONSUMO </t>
    </r>
    <r>
      <rPr>
        <b/>
        <sz val="12"/>
        <color theme="1"/>
        <rFont val="Arial"/>
        <family val="2"/>
      </rPr>
      <t>TOTAL</t>
    </r>
    <r>
      <rPr>
        <sz val="12"/>
        <color theme="1"/>
        <rFont val="Arial"/>
        <family val="2"/>
      </rPr>
      <t xml:space="preserve"> GASOLINA SEMANA </t>
    </r>
    <r>
      <rPr>
        <b/>
        <sz val="12"/>
        <color theme="1"/>
        <rFont val="Arial"/>
        <family val="2"/>
      </rPr>
      <t>28</t>
    </r>
  </si>
  <si>
    <t>AJUSTE</t>
  </si>
  <si>
    <t xml:space="preserve">DISEL SINDICATOS- LEVET J.D.J. EQUIPO Y CONSTRUCCIONES S.A. DE C.V.  </t>
  </si>
  <si>
    <t>SE RECONOCE CARGA CARLOS  $1995.39 Y ARMANDO $600</t>
  </si>
  <si>
    <t>PAGO LEVET SEMANA 28 (DEL 6 AL 12 DE JULIO 2026)</t>
  </si>
  <si>
    <t>Desasolve</t>
  </si>
  <si>
    <t>Maquinaria pegaso</t>
  </si>
  <si>
    <t>Alfredo del mazo</t>
  </si>
  <si>
    <t>A10361</t>
  </si>
  <si>
    <t>A10362</t>
  </si>
  <si>
    <t>A10366</t>
  </si>
  <si>
    <t>A10367</t>
  </si>
  <si>
    <t>A10368</t>
  </si>
  <si>
    <t>A10380</t>
  </si>
  <si>
    <t>A10387</t>
  </si>
  <si>
    <t>A10398</t>
  </si>
  <si>
    <t>A10405 + A10406</t>
  </si>
  <si>
    <t>A10408</t>
  </si>
  <si>
    <t>A10884</t>
  </si>
  <si>
    <t>A10886</t>
  </si>
  <si>
    <t>A10887</t>
  </si>
  <si>
    <t>A10894</t>
  </si>
  <si>
    <t>A10899</t>
  </si>
  <si>
    <t>A10900</t>
  </si>
  <si>
    <t>A10904</t>
  </si>
  <si>
    <t>A10912</t>
  </si>
  <si>
    <t>TOTAL  CONSUMO SEMANA 28</t>
  </si>
  <si>
    <t>SEMANA 28 CONSUMO GASOLINA</t>
  </si>
  <si>
    <t xml:space="preserve">AUTORIZADO </t>
  </si>
  <si>
    <t>RESPONSABLE</t>
  </si>
  <si>
    <t>UNIDAD</t>
  </si>
  <si>
    <t>PLACA</t>
  </si>
  <si>
    <t>CONSUMO EXTRA</t>
  </si>
  <si>
    <t>CONSUMO EXCEDIDO DE GASOLINA SEMANA 28</t>
  </si>
  <si>
    <t>A10329</t>
  </si>
  <si>
    <t>A10337</t>
  </si>
  <si>
    <t>A10343</t>
  </si>
  <si>
    <t>A10344</t>
  </si>
  <si>
    <t>A10345</t>
  </si>
  <si>
    <t>A10356</t>
  </si>
  <si>
    <t>A10322</t>
  </si>
  <si>
    <t>3 1/2 DIESEL</t>
  </si>
  <si>
    <t>APOLINAR</t>
  </si>
  <si>
    <t>CAM 3 1/2 CARMELO</t>
  </si>
  <si>
    <t>CARLOS NAZAR</t>
  </si>
  <si>
    <t>JAVIER PEREZ</t>
  </si>
  <si>
    <t>LEONCIO</t>
  </si>
  <si>
    <t>PETROLIZADORA</t>
  </si>
  <si>
    <t>PIPA ROJA</t>
  </si>
  <si>
    <t>TOYOTA HIACE</t>
  </si>
  <si>
    <t>URBAN PERSONAL</t>
  </si>
  <si>
    <t>UT 10 COMPRAS</t>
  </si>
  <si>
    <t>IBAÑEZ</t>
  </si>
  <si>
    <t>CARLOS REYES</t>
  </si>
  <si>
    <t>CRISTIAN GOMORA</t>
  </si>
  <si>
    <t>CRISTOBAL</t>
  </si>
  <si>
    <t>EDGAR VELAZQUEZ</t>
  </si>
  <si>
    <t>FLOR ARANDA</t>
  </si>
  <si>
    <t>IMPACTO</t>
  </si>
  <si>
    <t>JESUS MARIN</t>
  </si>
  <si>
    <t>PIPA AGUA</t>
  </si>
  <si>
    <t>RAYMUNDO</t>
  </si>
  <si>
    <t>CONSUMO</t>
  </si>
  <si>
    <t xml:space="preserve">RESPONSABLE </t>
  </si>
  <si>
    <t>CONSUMO TAG SEMANA 28</t>
  </si>
  <si>
    <t>EXCEDENTE</t>
  </si>
  <si>
    <t>FACTURAS</t>
  </si>
  <si>
    <t>A10323</t>
  </si>
  <si>
    <t>A10331</t>
  </si>
  <si>
    <t>A10332</t>
  </si>
  <si>
    <t>A10333</t>
  </si>
  <si>
    <t>A10336</t>
  </si>
  <si>
    <t>A10338</t>
  </si>
  <si>
    <t>A10339</t>
  </si>
  <si>
    <t>A10349</t>
  </si>
  <si>
    <t>A10350</t>
  </si>
  <si>
    <t>A10351</t>
  </si>
  <si>
    <t>A10352</t>
  </si>
  <si>
    <t>A10335</t>
  </si>
  <si>
    <t>19 FACTURAS</t>
  </si>
  <si>
    <t xml:space="preserve">A FAVOR </t>
  </si>
  <si>
    <t>SE PAGO</t>
  </si>
  <si>
    <t>OBRA</t>
  </si>
  <si>
    <t>CONSUMIDO</t>
  </si>
  <si>
    <t xml:space="preserve">EXCEDIDO </t>
  </si>
  <si>
    <t>LERMA 3 MARIAS</t>
  </si>
  <si>
    <t xml:space="preserve">COLEGIO MILITAR </t>
  </si>
  <si>
    <t>ALFREDO DEL MAZO</t>
  </si>
  <si>
    <t xml:space="preserve">TOLUCA MÉXICO </t>
  </si>
  <si>
    <t>DESASOLVE</t>
  </si>
  <si>
    <t>VECENTE L</t>
  </si>
  <si>
    <t>PLANTA HUIXQUILUCAN</t>
  </si>
  <si>
    <t>JACK</t>
  </si>
  <si>
    <t xml:space="preserve">PLANTA PEGASO </t>
  </si>
  <si>
    <t>SAMUEL</t>
  </si>
  <si>
    <t>DRAGONES</t>
  </si>
  <si>
    <t>CONSUMO SEMANA 28</t>
  </si>
  <si>
    <t>SEMANAL (7 DÍAS)</t>
  </si>
  <si>
    <t>TOTALES:</t>
  </si>
  <si>
    <t>AUTORIZADO DIARIO</t>
  </si>
  <si>
    <t>FACTURADO</t>
  </si>
  <si>
    <t>CONSUMO POR OBRA</t>
  </si>
  <si>
    <t>CONSUMO  POR INGENIERO</t>
  </si>
  <si>
    <t>REMANENTE POR INGENIERO</t>
  </si>
  <si>
    <t xml:space="preserve">OBRA </t>
  </si>
  <si>
    <t>M-T</t>
  </si>
  <si>
    <t>ALFRE</t>
  </si>
  <si>
    <t xml:space="preserve">AUTORIZACIÓN GASOLINA J.D.J. EQUIPO Y CONSTRUCCIONES </t>
  </si>
  <si>
    <t>AUTORIZACIÓN GASOLINA TRD</t>
  </si>
  <si>
    <t>ACTUALIZACIÓN AUTORIZACIÓN GASOLINA</t>
  </si>
  <si>
    <t>A10369</t>
  </si>
  <si>
    <t>A10386</t>
  </si>
  <si>
    <t>A10395</t>
  </si>
  <si>
    <t>A10407</t>
  </si>
  <si>
    <t>A10892</t>
  </si>
  <si>
    <t>A10903</t>
  </si>
  <si>
    <t>A10905</t>
  </si>
  <si>
    <t>A10906</t>
  </si>
  <si>
    <t>A10910</t>
  </si>
  <si>
    <t>A10372</t>
  </si>
  <si>
    <t>PRE PAGADO (SEMANA 27)</t>
  </si>
  <si>
    <t>RESTA</t>
  </si>
  <si>
    <t>A10372, A10369, A10386, A10399, A10395, A10407, A10394, A10892, A10903</t>
  </si>
  <si>
    <t>GASOLINA SEMANA 28</t>
  </si>
  <si>
    <t>SALDO A FAVOR</t>
  </si>
  <si>
    <r>
      <t>A-10167, A10168, A-10166, A-10213, A-10214,</t>
    </r>
    <r>
      <rPr>
        <sz val="11"/>
        <color rgb="FFFF0000"/>
        <rFont val="Aptos Narrow"/>
        <family val="2"/>
        <scheme val="minor"/>
      </rPr>
      <t xml:space="preserve"> A-10255</t>
    </r>
    <r>
      <rPr>
        <sz val="11"/>
        <color theme="1"/>
        <rFont val="Aptos Narrow"/>
        <family val="2"/>
        <scheme val="minor"/>
      </rPr>
      <t>, A-10217, A-10265, A-10266, A-10272, A-10274, A-10273</t>
    </r>
  </si>
  <si>
    <t>LA A10336 SE COMPARTE CON DIESEL</t>
  </si>
  <si>
    <r>
      <t xml:space="preserve">CONSUMO </t>
    </r>
    <r>
      <rPr>
        <b/>
        <sz val="12"/>
        <color theme="1"/>
        <rFont val="Arial"/>
        <family val="2"/>
      </rPr>
      <t>TOTAL</t>
    </r>
    <r>
      <rPr>
        <sz val="12"/>
        <color theme="1"/>
        <rFont val="Arial"/>
        <family val="2"/>
      </rPr>
      <t xml:space="preserve"> GASOLINA SEMANA 28</t>
    </r>
  </si>
  <si>
    <t>CONSUMO TOTAL DISEL SEMANA 28</t>
  </si>
  <si>
    <t xml:space="preserve">DISEL SEMANA 28 - MOBILE HUIXQUILUCAN  J.D.J. EQUIPO Y CONSTRUCCIONES S.A. DE C.V.  </t>
  </si>
  <si>
    <t>A10381 Y A10388</t>
  </si>
  <si>
    <t>A10389</t>
  </si>
  <si>
    <t>A10409</t>
  </si>
  <si>
    <t>A10888</t>
  </si>
  <si>
    <t>A10893</t>
  </si>
  <si>
    <t xml:space="preserve">PAGO SEGÚN FACTURA </t>
  </si>
  <si>
    <t>A10889 (NO EN CORREO)</t>
  </si>
  <si>
    <t>A10911</t>
  </si>
  <si>
    <t>FACTURA</t>
  </si>
  <si>
    <t xml:space="preserve">GASOLINA SEMANA 28 MOBILE HUIXQUILUCAN </t>
  </si>
  <si>
    <t>A10324 Y A23783095</t>
  </si>
  <si>
    <t>A10307</t>
  </si>
  <si>
    <r>
      <t xml:space="preserve">CONSUMO </t>
    </r>
    <r>
      <rPr>
        <b/>
        <sz val="12"/>
        <color theme="1"/>
        <rFont val="Arial"/>
        <family val="2"/>
      </rPr>
      <t>TOTAL</t>
    </r>
    <r>
      <rPr>
        <sz val="12"/>
        <color theme="1"/>
        <rFont val="Arial"/>
        <family val="2"/>
      </rPr>
      <t xml:space="preserve"> GASOLINA SEMANA </t>
    </r>
    <r>
      <rPr>
        <b/>
        <sz val="12"/>
        <color theme="1"/>
        <rFont val="Arial"/>
        <family val="2"/>
      </rPr>
      <t>29</t>
    </r>
  </si>
  <si>
    <t>PAGO MOBILE SEMANA 29</t>
  </si>
  <si>
    <r>
      <t xml:space="preserve">CONSUMO </t>
    </r>
    <r>
      <rPr>
        <b/>
        <sz val="12"/>
        <color theme="1"/>
        <rFont val="Arial"/>
        <family val="2"/>
      </rPr>
      <t>TOTAL</t>
    </r>
    <r>
      <rPr>
        <sz val="12"/>
        <color theme="1"/>
        <rFont val="Arial"/>
        <family val="2"/>
      </rPr>
      <t xml:space="preserve"> GASOLINA SEMANA 29</t>
    </r>
  </si>
  <si>
    <t>CONSUMO TOTAL DISEL SEMANA 29</t>
  </si>
  <si>
    <t xml:space="preserve">DISEL SEMANA 29 - MOBILE HUIXQUILUCAN  J.D.J. EQUIPO Y CONSTRUCCIONES S.A. DE C.V.  </t>
  </si>
  <si>
    <t xml:space="preserve">RELACIÓN DE FACTURAS GASOLINA SEMANA 29 MOBILE HUIXQUILUCAN </t>
  </si>
  <si>
    <t>PAGO LEVET SEMANA 29 (DEL 13 AL 19 DE JULIO 2026)</t>
  </si>
  <si>
    <t>CONSUMO EXCEDIDO DE GASOLINA SEMANA 29</t>
  </si>
  <si>
    <t>CONSUMO REAL DIESEL SEMANA  29</t>
  </si>
  <si>
    <t>A10424</t>
  </si>
  <si>
    <t>SINDICATO</t>
  </si>
  <si>
    <t>Colegio Militar</t>
  </si>
  <si>
    <t>LLY085A</t>
  </si>
  <si>
    <t>MITSUBISHI</t>
  </si>
  <si>
    <t>MHL755A</t>
  </si>
  <si>
    <t xml:space="preserve">LICITACIONES </t>
  </si>
  <si>
    <t>NO</t>
  </si>
  <si>
    <t xml:space="preserve">HENRY PINEDA VALLE </t>
  </si>
  <si>
    <t>ACTUALIZACIÓN AUTORIZACIÓN GASOLINA (FE DE ERRTAS)</t>
  </si>
  <si>
    <t>A10361 y A10365</t>
  </si>
  <si>
    <t>A10900 (SE REPITE)</t>
  </si>
  <si>
    <t>A10367, A10361 , A10365, A10366, A10362, A10368, A10389, A10381,  A10388, A10380, A10387, A10884, A10398, A10405 , A10406, A10408, A10409, A10888, A10887, A10886, A10894, A10899, A10900, A10893, A10904, A10912</t>
  </si>
  <si>
    <t>26 FACTURAS</t>
  </si>
  <si>
    <t>A10372, A10369, A10386, A10399, A10395, A10407, A10394, A10889, A10892, A10903, A10911, A10910, A10906, A10905</t>
  </si>
  <si>
    <t>14 FACTURAS</t>
  </si>
  <si>
    <t>PAGO MOBILE SEMANA 28 (DEL 6 AL 12 DE JULIO 2026)</t>
  </si>
  <si>
    <r>
      <t xml:space="preserve">A10278, A10267,, A10268, A,10329, A10322, A10321, A10344, A10343, A10337, A10345, A10356, , A10052, </t>
    </r>
    <r>
      <rPr>
        <sz val="11"/>
        <color theme="9" tint="-0.249977111117893"/>
        <rFont val="Aptos Narrow"/>
        <family val="2"/>
        <scheme val="minor"/>
      </rPr>
      <t>A10336</t>
    </r>
  </si>
  <si>
    <r>
      <t xml:space="preserve">A10253, A10254, A10298, A10286, A23783095, A10319, A10320, A10323, A10335, A10331, A10332, A10333, A10339, A10338, A10350, </t>
    </r>
    <r>
      <rPr>
        <sz val="11"/>
        <color theme="9" tint="-0.249977111117893"/>
        <rFont val="Aptos Narrow"/>
        <family val="2"/>
        <scheme val="minor"/>
      </rPr>
      <t>A10336</t>
    </r>
    <r>
      <rPr>
        <sz val="11"/>
        <color theme="1"/>
        <rFont val="Aptos Narrow"/>
        <family val="2"/>
        <scheme val="minor"/>
      </rPr>
      <t>, A10351, A10352, A10349</t>
    </r>
  </si>
  <si>
    <t>SEMANA 28 PAGO</t>
  </si>
  <si>
    <t>A10509</t>
  </si>
  <si>
    <t>A10459</t>
  </si>
  <si>
    <t>A10513</t>
  </si>
  <si>
    <t>A10447</t>
  </si>
  <si>
    <t>A10426</t>
  </si>
  <si>
    <t>A10457</t>
  </si>
  <si>
    <t>A10423</t>
  </si>
  <si>
    <t>A10500</t>
  </si>
  <si>
    <t>A10453</t>
  </si>
  <si>
    <t>A10422</t>
  </si>
  <si>
    <t>A10499</t>
  </si>
  <si>
    <t>A10495</t>
  </si>
  <si>
    <t>A10438</t>
  </si>
  <si>
    <t>A10514</t>
  </si>
  <si>
    <t>A10449</t>
  </si>
  <si>
    <t>A10458</t>
  </si>
  <si>
    <t>A23783100</t>
  </si>
  <si>
    <t>A10425</t>
  </si>
  <si>
    <t>A10512</t>
  </si>
  <si>
    <t>A10446</t>
  </si>
  <si>
    <t>A10496</t>
  </si>
  <si>
    <t>A10474</t>
  </si>
  <si>
    <t>A10427</t>
  </si>
  <si>
    <t>A23783097</t>
  </si>
  <si>
    <t>A10434</t>
  </si>
  <si>
    <t>A10515</t>
  </si>
  <si>
    <t>A10451</t>
  </si>
  <si>
    <t>A23783099</t>
  </si>
  <si>
    <t>A10454</t>
  </si>
  <si>
    <t>A10450</t>
  </si>
  <si>
    <t>A10460</t>
  </si>
  <si>
    <t>A10470</t>
  </si>
  <si>
    <t>A10426, A10422, A10423, A10425, A10495, A10499, A10500, A10496, A10509, A10438, A10513, A10514, A10512, A10449, A10447, A10453, A10446, A10459, A10457, A23783100, A10458, A10474</t>
  </si>
  <si>
    <t>SEMANA 29 PAGO GASOLINERAS</t>
  </si>
  <si>
    <t>A10424, A10427, A23783097, A10434, A10515, A10451, A10450, A10454, A23783099, A10470, A10460</t>
  </si>
  <si>
    <r>
      <t xml:space="preserve">CONSUMO </t>
    </r>
    <r>
      <rPr>
        <b/>
        <sz val="12"/>
        <color theme="1"/>
        <rFont val="Arial"/>
        <family val="2"/>
      </rPr>
      <t>TOTAL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GASOLINA</t>
    </r>
    <r>
      <rPr>
        <sz val="12"/>
        <color theme="1"/>
        <rFont val="Arial"/>
        <family val="2"/>
      </rPr>
      <t xml:space="preserve"> SEMANA 29</t>
    </r>
  </si>
  <si>
    <r>
      <t xml:space="preserve">CONSUMO TOTAL </t>
    </r>
    <r>
      <rPr>
        <b/>
        <sz val="12"/>
        <color theme="1"/>
        <rFont val="Arial"/>
        <family val="2"/>
      </rPr>
      <t>DIESEL</t>
    </r>
    <r>
      <rPr>
        <sz val="12"/>
        <color theme="1"/>
        <rFont val="Arial"/>
        <family val="2"/>
      </rPr>
      <t xml:space="preserve"> SEMANA 29</t>
    </r>
  </si>
  <si>
    <t>SEMANAL (6 DÍAS)</t>
  </si>
  <si>
    <t>CONSUMO POR INGENIERO</t>
  </si>
  <si>
    <t>Lerma - Tres Marías</t>
  </si>
  <si>
    <t>DAYANNE</t>
  </si>
  <si>
    <t>Maquinaria Pegaso</t>
  </si>
  <si>
    <t>Bacheo Toluca</t>
  </si>
  <si>
    <t>Vicente Lombardo</t>
  </si>
  <si>
    <t>EDGAR</t>
  </si>
  <si>
    <t>SIN CONSUMOS</t>
  </si>
  <si>
    <t>Alfredo del Mazo</t>
  </si>
  <si>
    <t>México - Toluca</t>
  </si>
  <si>
    <t>Planta Pegaso</t>
  </si>
  <si>
    <t>Planta Huixquilucan</t>
  </si>
  <si>
    <t>Providencia</t>
  </si>
  <si>
    <t>CONSUMO SEMANA 29</t>
  </si>
  <si>
    <t>HENRY</t>
  </si>
  <si>
    <t>mobile</t>
  </si>
  <si>
    <t>A10480</t>
  </si>
  <si>
    <t>A10491</t>
  </si>
  <si>
    <t>A10486</t>
  </si>
  <si>
    <t>A10482</t>
  </si>
  <si>
    <t>A10518</t>
  </si>
  <si>
    <t>A10545</t>
  </si>
  <si>
    <t>A10552</t>
  </si>
  <si>
    <t>A10567</t>
  </si>
  <si>
    <t>A10571</t>
  </si>
  <si>
    <t>A10580</t>
  </si>
  <si>
    <t>A10585</t>
  </si>
  <si>
    <r>
      <t xml:space="preserve">CONSUMO </t>
    </r>
    <r>
      <rPr>
        <b/>
        <sz val="12"/>
        <color theme="1"/>
        <rFont val="Arial"/>
        <family val="2"/>
      </rPr>
      <t>TOTAL</t>
    </r>
    <r>
      <rPr>
        <sz val="12"/>
        <color theme="1"/>
        <rFont val="Arial"/>
        <family val="2"/>
      </rPr>
      <t xml:space="preserve"> GASOLINA SEMANA 30</t>
    </r>
  </si>
  <si>
    <t>PAGO MOBILE SEMANA 30</t>
  </si>
  <si>
    <t xml:space="preserve">DISEL SEMANA 30 - MOBILE HUIXQUILUCAN  J.D.J. EQUIPO Y CONSTRUCCIONES S.A. DE C.V.  </t>
  </si>
  <si>
    <t>A10479</t>
  </si>
  <si>
    <t>A10483</t>
  </si>
  <si>
    <t>A10484</t>
  </si>
  <si>
    <t>A10485</t>
  </si>
  <si>
    <t>A10492</t>
  </si>
  <si>
    <t>A10522</t>
  </si>
  <si>
    <t>A10521</t>
  </si>
  <si>
    <t>A10520</t>
  </si>
  <si>
    <t>A10532</t>
  </si>
  <si>
    <t>A10544</t>
  </si>
  <si>
    <t>A10543</t>
  </si>
  <si>
    <t>A10535</t>
  </si>
  <si>
    <t>A10565</t>
  </si>
  <si>
    <t>A10564</t>
  </si>
  <si>
    <t>A10563</t>
  </si>
  <si>
    <t>A10556</t>
  </si>
  <si>
    <t>A10572</t>
  </si>
  <si>
    <t>A10577, A10588,A10583</t>
  </si>
  <si>
    <t>A105887</t>
  </si>
  <si>
    <t>A105886</t>
  </si>
  <si>
    <t>A10579,A10581</t>
  </si>
  <si>
    <t>A10589</t>
  </si>
  <si>
    <t>CONSUMO EXCEDIDO DE GASOLINA SEMANA 30</t>
  </si>
  <si>
    <t>A 10486, A 10482, A 10518, A 10545, A 10552, A 10567, A 10571, A 10580, A 10585</t>
  </si>
  <si>
    <t>CONSUMO TOTAL DISEL SEMANA 30</t>
  </si>
  <si>
    <t>A 10480, A 10491, A 10484, A 10479, A 10485, A 10483, A 10492, A 10522, A 10520, A 10521, A 10532, A 10535, A 10544, A 10543, A 10563, A 10565, A 10556, A 10564, A 10572, A 10587, A 10579 Y A 10581, A 10586, A 10577, A 10588, A 10583, A 10589</t>
  </si>
  <si>
    <t xml:space="preserve">RELACIÓN DE FACTURAS GASOLINA SEMANA 30 MOBILE HUIXQUILUCAN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</si>
</sst>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20"/>
      <color theme="1"/>
      <name val="Arial"/>
      <family val="2"/>
    </font>
    <font>
      <b/>
      <sz val="11"/>
      <color theme="1"/>
      <name val="Arial"/>
      <family val="2"/>
    </font>
    <font>
      <b/>
      <sz val="20"/>
      <color theme="1"/>
      <name val="Arial"/>
      <family val="2"/>
    </font>
    <font>
      <sz val="11"/>
      <name val="Aptos Narrow"/>
      <family val="2"/>
      <scheme val="minor"/>
    </font>
    <font>
      <sz val="11"/>
      <name val="Carlito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65F46"/>
      <name val="Calibri"/>
      <family val="2"/>
    </font>
    <font>
      <b/>
      <sz val="9"/>
      <color rgb="FF991B1B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E293B"/>
      </patternFill>
    </fill>
    <fill>
      <patternFill patternType="solid">
        <fgColor rgb="FF312E81"/>
      </patternFill>
    </fill>
    <fill>
      <patternFill patternType="solid">
        <fgColor rgb="FFF8FAFC"/>
      </patternFill>
    </fill>
    <fill>
      <patternFill patternType="solid">
        <fgColor rgb="FFD1FAE5"/>
      </patternFill>
    </fill>
    <fill>
      <patternFill patternType="solid">
        <fgColor rgb="FFEFF6FF"/>
      </patternFill>
    </fill>
    <fill>
      <patternFill patternType="solid">
        <fgColor rgb="FFFEE2E2"/>
      </patternFill>
    </fill>
    <fill>
      <patternFill patternType="solid">
        <fgColor rgb="FF1E3A5F"/>
      </patternFill>
    </fill>
    <fill>
      <patternFill patternType="solid">
        <fgColor theme="8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/>
  </cellStyleXfs>
  <cellXfs count="463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4" borderId="0" xfId="0" applyFill="1"/>
    <xf numFmtId="0" fontId="0" fillId="3" borderId="1" xfId="0" applyFill="1" applyBorder="1" applyAlignment="1">
      <alignment horizontal="center" vertical="center" wrapText="1"/>
    </xf>
    <xf numFmtId="44" fontId="0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44" fontId="0" fillId="4" borderId="1" xfId="1" applyFont="1" applyFill="1" applyBorder="1" applyAlignment="1">
      <alignment horizontal="center" vertical="center" wrapText="1"/>
    </xf>
    <xf numFmtId="0" fontId="0" fillId="4" borderId="1" xfId="0" applyFill="1" applyBorder="1"/>
    <xf numFmtId="44" fontId="0" fillId="4" borderId="1" xfId="1" applyFont="1" applyFill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4" fontId="2" fillId="3" borderId="1" xfId="1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/>
    </xf>
    <xf numFmtId="44" fontId="0" fillId="4" borderId="1" xfId="0" applyNumberFormat="1" applyFill="1" applyBorder="1"/>
    <xf numFmtId="44" fontId="0" fillId="4" borderId="1" xfId="1" applyFont="1" applyFill="1" applyBorder="1"/>
    <xf numFmtId="44" fontId="0" fillId="0" borderId="1" xfId="1" applyFont="1" applyBorder="1"/>
    <xf numFmtId="4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0" applyNumberFormat="1" applyBorder="1"/>
    <xf numFmtId="0" fontId="2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44" fontId="2" fillId="8" borderId="1" xfId="1" applyFont="1" applyFill="1" applyBorder="1" applyAlignment="1">
      <alignment horizontal="center" vertical="center"/>
    </xf>
    <xf numFmtId="44" fontId="0" fillId="8" borderId="1" xfId="1" applyFont="1" applyFill="1" applyBorder="1"/>
    <xf numFmtId="44" fontId="0" fillId="9" borderId="1" xfId="1" applyFont="1" applyFill="1" applyBorder="1"/>
    <xf numFmtId="14" fontId="2" fillId="5" borderId="1" xfId="0" applyNumberFormat="1" applyFont="1" applyFill="1" applyBorder="1" applyAlignment="1">
      <alignment vertical="center"/>
    </xf>
    <xf numFmtId="0" fontId="7" fillId="0" borderId="1" xfId="0" applyFont="1" applyBorder="1" applyAlignment="1">
      <alignment horizontal="justify" vertical="center" wrapText="1"/>
    </xf>
    <xf numFmtId="0" fontId="7" fillId="0" borderId="8" xfId="0" applyFont="1" applyBorder="1" applyAlignment="1">
      <alignment horizontal="justify" vertical="center" wrapText="1"/>
    </xf>
    <xf numFmtId="44" fontId="7" fillId="0" borderId="1" xfId="1" applyFont="1" applyFill="1" applyBorder="1" applyAlignment="1">
      <alignment horizontal="justify" vertical="center" wrapText="1"/>
    </xf>
    <xf numFmtId="44" fontId="0" fillId="0" borderId="1" xfId="0" applyNumberForma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4" fontId="0" fillId="0" borderId="1" xfId="1" applyFont="1" applyBorder="1" applyAlignment="1">
      <alignment vertical="center"/>
    </xf>
    <xf numFmtId="44" fontId="2" fillId="8" borderId="1" xfId="0" applyNumberFormat="1" applyFont="1" applyFill="1" applyBorder="1"/>
    <xf numFmtId="44" fontId="2" fillId="8" borderId="1" xfId="1" applyFont="1" applyFill="1" applyBorder="1"/>
    <xf numFmtId="43" fontId="0" fillId="0" borderId="0" xfId="0" applyNumberFormat="1"/>
    <xf numFmtId="2" fontId="0" fillId="0" borderId="1" xfId="0" applyNumberFormat="1" applyBorder="1" applyAlignment="1">
      <alignment horizontal="center"/>
    </xf>
    <xf numFmtId="44" fontId="2" fillId="0" borderId="1" xfId="0" applyNumberFormat="1" applyFont="1" applyBorder="1" applyAlignment="1">
      <alignment horizontal="center"/>
    </xf>
    <xf numFmtId="44" fontId="0" fillId="0" borderId="0" xfId="1" applyFont="1"/>
    <xf numFmtId="44" fontId="0" fillId="0" borderId="1" xfId="1" applyFont="1" applyFill="1" applyBorder="1" applyAlignment="1">
      <alignment horizontal="center" vertical="center"/>
    </xf>
    <xf numFmtId="4" fontId="8" fillId="0" borderId="1" xfId="2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1" xfId="2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44" fontId="0" fillId="11" borderId="0" xfId="0" applyNumberFormat="1" applyFill="1"/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6" fontId="0" fillId="0" borderId="0" xfId="0" applyNumberFormat="1"/>
    <xf numFmtId="6" fontId="0" fillId="0" borderId="1" xfId="0" applyNumberFormat="1" applyBorder="1"/>
    <xf numFmtId="6" fontId="0" fillId="2" borderId="1" xfId="0" applyNumberFormat="1" applyFill="1" applyBorder="1"/>
    <xf numFmtId="0" fontId="2" fillId="12" borderId="1" xfId="0" applyFont="1" applyFill="1" applyBorder="1"/>
    <xf numFmtId="0" fontId="0" fillId="12" borderId="1" xfId="0" applyFill="1" applyBorder="1"/>
    <xf numFmtId="44" fontId="0" fillId="13" borderId="1" xfId="1" applyFont="1" applyFill="1" applyBorder="1"/>
    <xf numFmtId="44" fontId="0" fillId="14" borderId="1" xfId="1" applyFont="1" applyFill="1" applyBorder="1"/>
    <xf numFmtId="0" fontId="3" fillId="0" borderId="0" xfId="0" applyFont="1"/>
    <xf numFmtId="44" fontId="0" fillId="0" borderId="1" xfId="1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44" fontId="9" fillId="0" borderId="1" xfId="1" applyFont="1" applyBorder="1" applyAlignment="1">
      <alignment horizontal="center" vertical="center" wrapText="1"/>
    </xf>
    <xf numFmtId="44" fontId="0" fillId="0" borderId="0" xfId="0" applyNumberFormat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4" fontId="10" fillId="0" borderId="1" xfId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4" fontId="0" fillId="5" borderId="0" xfId="0" applyNumberFormat="1" applyFill="1"/>
    <xf numFmtId="0" fontId="2" fillId="0" borderId="0" xfId="0" applyFont="1"/>
    <xf numFmtId="0" fontId="9" fillId="0" borderId="0" xfId="0" applyFont="1" applyAlignment="1">
      <alignment horizontal="center" vertical="center" wrapText="1"/>
    </xf>
    <xf numFmtId="44" fontId="9" fillId="0" borderId="0" xfId="1" applyFont="1" applyBorder="1" applyAlignment="1">
      <alignment horizontal="center" vertical="center" wrapText="1"/>
    </xf>
    <xf numFmtId="44" fontId="10" fillId="0" borderId="0" xfId="1" applyFont="1" applyBorder="1" applyAlignment="1">
      <alignment horizontal="center" vertical="center" wrapText="1"/>
    </xf>
    <xf numFmtId="44" fontId="0" fillId="3" borderId="1" xfId="1" applyFont="1" applyFill="1" applyBorder="1"/>
    <xf numFmtId="0" fontId="0" fillId="14" borderId="1" xfId="0" applyFill="1" applyBorder="1"/>
    <xf numFmtId="0" fontId="0" fillId="9" borderId="1" xfId="0" applyFill="1" applyBorder="1"/>
    <xf numFmtId="44" fontId="9" fillId="0" borderId="1" xfId="1" applyFont="1" applyBorder="1" applyAlignment="1">
      <alignment vertical="center" wrapText="1"/>
    </xf>
    <xf numFmtId="44" fontId="10" fillId="0" borderId="1" xfId="1" applyFont="1" applyBorder="1" applyAlignment="1">
      <alignment vertical="center" wrapText="1"/>
    </xf>
    <xf numFmtId="44" fontId="10" fillId="5" borderId="1" xfId="1" applyFont="1" applyFill="1" applyBorder="1" applyAlignment="1">
      <alignment horizontal="center" vertical="center"/>
    </xf>
    <xf numFmtId="2" fontId="0" fillId="14" borderId="1" xfId="0" applyNumberFormat="1" applyFill="1" applyBorder="1" applyAlignment="1">
      <alignment horizontal="center"/>
    </xf>
    <xf numFmtId="44" fontId="2" fillId="14" borderId="1" xfId="0" applyNumberFormat="1" applyFont="1" applyFill="1" applyBorder="1" applyAlignment="1">
      <alignment horizontal="center"/>
    </xf>
    <xf numFmtId="0" fontId="0" fillId="0" borderId="1" xfId="1" applyNumberFormat="1" applyFont="1" applyBorder="1" applyAlignment="1">
      <alignment horizontal="center" vertical="center"/>
    </xf>
    <xf numFmtId="44" fontId="0" fillId="11" borderId="1" xfId="1" applyFont="1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/>
    </xf>
    <xf numFmtId="44" fontId="0" fillId="0" borderId="0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4" fontId="0" fillId="0" borderId="5" xfId="1" applyFont="1" applyBorder="1" applyAlignment="1">
      <alignment horizontal="center" vertical="center"/>
    </xf>
    <xf numFmtId="44" fontId="0" fillId="0" borderId="0" xfId="1" applyFont="1" applyFill="1" applyBorder="1"/>
    <xf numFmtId="0" fontId="2" fillId="0" borderId="1" xfId="0" applyFont="1" applyBorder="1" applyAlignment="1">
      <alignment horizontal="center" wrapText="1"/>
    </xf>
    <xf numFmtId="44" fontId="0" fillId="0" borderId="1" xfId="0" applyNumberFormat="1" applyBorder="1" applyAlignment="1">
      <alignment wrapText="1"/>
    </xf>
    <xf numFmtId="44" fontId="0" fillId="14" borderId="1" xfId="0" applyNumberFormat="1" applyFill="1" applyBorder="1" applyAlignment="1">
      <alignment wrapText="1"/>
    </xf>
    <xf numFmtId="44" fontId="0" fillId="0" borderId="1" xfId="0" applyNumberFormat="1" applyBorder="1" applyAlignment="1">
      <alignment horizontal="center" vertical="center" wrapText="1"/>
    </xf>
    <xf numFmtId="44" fontId="0" fillId="2" borderId="1" xfId="1" applyFont="1" applyFill="1" applyBorder="1"/>
    <xf numFmtId="44" fontId="0" fillId="0" borderId="1" xfId="1" applyFont="1" applyFill="1" applyBorder="1"/>
    <xf numFmtId="44" fontId="9" fillId="2" borderId="1" xfId="1" applyFont="1" applyFill="1" applyBorder="1" applyAlignment="1">
      <alignment horizontal="center" vertical="center" wrapText="1"/>
    </xf>
    <xf numFmtId="44" fontId="0" fillId="2" borderId="0" xfId="0" applyNumberFormat="1" applyFill="1"/>
    <xf numFmtId="44" fontId="0" fillId="0" borderId="1" xfId="1" applyFont="1" applyBorder="1" applyAlignment="1">
      <alignment wrapText="1"/>
    </xf>
    <xf numFmtId="0" fontId="0" fillId="15" borderId="0" xfId="0" applyFill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44" fontId="0" fillId="0" borderId="1" xfId="0" applyNumberFormat="1" applyBorder="1" applyAlignment="1">
      <alignment vertical="center"/>
    </xf>
    <xf numFmtId="44" fontId="0" fillId="16" borderId="1" xfId="0" applyNumberFormat="1" applyFill="1" applyBorder="1" applyAlignment="1">
      <alignment vertical="center"/>
    </xf>
    <xf numFmtId="0" fontId="9" fillId="17" borderId="1" xfId="0" applyFont="1" applyFill="1" applyBorder="1" applyAlignment="1">
      <alignment horizontal="center" vertical="center" wrapText="1"/>
    </xf>
    <xf numFmtId="44" fontId="9" fillId="17" borderId="1" xfId="1" applyFont="1" applyFill="1" applyBorder="1" applyAlignment="1">
      <alignment horizontal="center" vertical="center" wrapText="1"/>
    </xf>
    <xf numFmtId="0" fontId="0" fillId="17" borderId="1" xfId="0" applyFill="1" applyBorder="1" applyAlignment="1">
      <alignment vertical="center"/>
    </xf>
    <xf numFmtId="44" fontId="0" fillId="17" borderId="1" xfId="0" applyNumberFormat="1" applyFill="1" applyBorder="1" applyAlignment="1">
      <alignment vertical="center"/>
    </xf>
    <xf numFmtId="44" fontId="0" fillId="2" borderId="1" xfId="1" applyFont="1" applyFill="1" applyBorder="1" applyAlignment="1">
      <alignment horizontal="center" vertical="center"/>
    </xf>
    <xf numFmtId="8" fontId="0" fillId="0" borderId="1" xfId="0" applyNumberFormat="1" applyBorder="1"/>
    <xf numFmtId="0" fontId="0" fillId="2" borderId="1" xfId="0" applyFill="1" applyBorder="1"/>
    <xf numFmtId="8" fontId="0" fillId="2" borderId="1" xfId="0" applyNumberFormat="1" applyFill="1" applyBorder="1"/>
    <xf numFmtId="0" fontId="2" fillId="0" borderId="1" xfId="0" applyFont="1" applyBorder="1"/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11" borderId="1" xfId="0" applyFont="1" applyFill="1" applyBorder="1"/>
    <xf numFmtId="0" fontId="0" fillId="7" borderId="1" xfId="0" applyFill="1" applyBorder="1" applyAlignment="1">
      <alignment horizontal="center" vertical="center"/>
    </xf>
    <xf numFmtId="0" fontId="0" fillId="7" borderId="1" xfId="0" applyFill="1" applyBorder="1"/>
    <xf numFmtId="0" fontId="0" fillId="7" borderId="1" xfId="1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vertical="center"/>
    </xf>
    <xf numFmtId="0" fontId="0" fillId="0" borderId="5" xfId="0" applyBorder="1"/>
    <xf numFmtId="0" fontId="0" fillId="0" borderId="7" xfId="0" applyBorder="1"/>
    <xf numFmtId="8" fontId="0" fillId="0" borderId="1" xfId="1" applyNumberFormat="1" applyFont="1" applyBorder="1" applyAlignment="1">
      <alignment horizontal="center" vertical="center"/>
    </xf>
    <xf numFmtId="44" fontId="9" fillId="0" borderId="1" xfId="1" applyFont="1" applyBorder="1" applyAlignment="1">
      <alignment horizontal="center" wrapText="1"/>
    </xf>
    <xf numFmtId="44" fontId="10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44" fontId="3" fillId="0" borderId="1" xfId="0" applyNumberFormat="1" applyFont="1" applyBorder="1" applyAlignment="1">
      <alignment horizontal="center"/>
    </xf>
    <xf numFmtId="44" fontId="0" fillId="0" borderId="1" xfId="1" applyFont="1" applyFill="1" applyBorder="1" applyAlignment="1">
      <alignment vertical="center"/>
    </xf>
    <xf numFmtId="8" fontId="0" fillId="0" borderId="1" xfId="1" applyNumberFormat="1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6" fontId="0" fillId="0" borderId="1" xfId="0" applyNumberForma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8" fontId="0" fillId="2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44" fontId="0" fillId="5" borderId="1" xfId="1" applyFont="1" applyFill="1" applyBorder="1"/>
    <xf numFmtId="0" fontId="0" fillId="0" borderId="0" xfId="0" applyAlignment="1">
      <alignment wrapText="1"/>
    </xf>
    <xf numFmtId="44" fontId="0" fillId="0" borderId="0" xfId="0" applyNumberFormat="1" applyAlignment="1">
      <alignment wrapText="1"/>
    </xf>
    <xf numFmtId="44" fontId="0" fillId="0" borderId="0" xfId="1" applyFont="1" applyBorder="1" applyAlignment="1">
      <alignment wrapText="1"/>
    </xf>
    <xf numFmtId="44" fontId="0" fillId="6" borderId="1" xfId="1" applyFont="1" applyFill="1" applyBorder="1"/>
    <xf numFmtId="0" fontId="0" fillId="6" borderId="1" xfId="0" applyFill="1" applyBorder="1"/>
    <xf numFmtId="44" fontId="0" fillId="0" borderId="1" xfId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4" fontId="2" fillId="0" borderId="1" xfId="1" applyFont="1" applyBorder="1" applyAlignment="1">
      <alignment horizontal="center" vertical="center" wrapText="1"/>
    </xf>
    <xf numFmtId="44" fontId="0" fillId="0" borderId="1" xfId="1" applyFont="1" applyFill="1" applyBorder="1" applyAlignment="1">
      <alignment horizontal="center" vertical="center" wrapText="1"/>
    </xf>
    <xf numFmtId="44" fontId="12" fillId="0" borderId="1" xfId="0" applyNumberFormat="1" applyFont="1" applyBorder="1" applyAlignment="1">
      <alignment horizontal="center" wrapText="1"/>
    </xf>
    <xf numFmtId="0" fontId="2" fillId="19" borderId="1" xfId="0" applyFont="1" applyFill="1" applyBorder="1" applyAlignment="1">
      <alignment horizontal="center" vertical="center" wrapText="1"/>
    </xf>
    <xf numFmtId="44" fontId="2" fillId="19" borderId="1" xfId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44" fontId="2" fillId="2" borderId="1" xfId="0" applyNumberFormat="1" applyFont="1" applyFill="1" applyBorder="1" applyAlignment="1">
      <alignment horizontal="center" wrapText="1"/>
    </xf>
    <xf numFmtId="0" fontId="0" fillId="9" borderId="0" xfId="0" applyFill="1"/>
    <xf numFmtId="44" fontId="0" fillId="0" borderId="1" xfId="1" applyFont="1" applyBorder="1" applyAlignment="1">
      <alignment horizontal="center" wrapText="1"/>
    </xf>
    <xf numFmtId="44" fontId="0" fillId="9" borderId="1" xfId="1" applyFont="1" applyFill="1" applyBorder="1" applyAlignment="1">
      <alignment horizontal="center"/>
    </xf>
    <xf numFmtId="44" fontId="0" fillId="0" borderId="0" xfId="1" applyFont="1" applyFill="1" applyBorder="1" applyAlignment="1">
      <alignment horizontal="center" vertical="center"/>
    </xf>
    <xf numFmtId="44" fontId="10" fillId="5" borderId="1" xfId="1" applyFont="1" applyFill="1" applyBorder="1" applyAlignment="1">
      <alignment vertical="center"/>
    </xf>
    <xf numFmtId="0" fontId="0" fillId="5" borderId="0" xfId="0" applyFill="1"/>
    <xf numFmtId="0" fontId="11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18" borderId="1" xfId="1" applyNumberFormat="1" applyFont="1" applyFill="1" applyBorder="1" applyAlignment="1">
      <alignment horizontal="center" vertical="center"/>
    </xf>
    <xf numFmtId="0" fontId="0" fillId="0" borderId="6" xfId="0" applyBorder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44" fontId="0" fillId="11" borderId="1" xfId="0" applyNumberFormat="1" applyFill="1" applyBorder="1"/>
    <xf numFmtId="0" fontId="0" fillId="0" borderId="1" xfId="1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18" borderId="1" xfId="1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0" fontId="0" fillId="14" borderId="1" xfId="0" applyFill="1" applyBorder="1" applyAlignment="1">
      <alignment wrapText="1"/>
    </xf>
    <xf numFmtId="44" fontId="0" fillId="0" borderId="1" xfId="1" applyFont="1" applyBorder="1" applyAlignment="1">
      <alignment vertical="center" wrapText="1"/>
    </xf>
    <xf numFmtId="44" fontId="2" fillId="11" borderId="1" xfId="1" applyFont="1" applyFill="1" applyBorder="1" applyAlignment="1">
      <alignment horizontal="center" vertical="center" wrapText="1"/>
    </xf>
    <xf numFmtId="44" fontId="2" fillId="11" borderId="1" xfId="0" applyNumberFormat="1" applyFont="1" applyFill="1" applyBorder="1"/>
    <xf numFmtId="8" fontId="0" fillId="0" borderId="1" xfId="0" applyNumberFormat="1" applyBorder="1" applyAlignment="1">
      <alignment vertical="center" wrapText="1"/>
    </xf>
    <xf numFmtId="44" fontId="0" fillId="0" borderId="1" xfId="0" applyNumberFormat="1" applyBorder="1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0" fontId="0" fillId="7" borderId="9" xfId="0" applyFill="1" applyBorder="1"/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1" applyNumberFormat="1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44" fontId="0" fillId="2" borderId="1" xfId="1" applyFont="1" applyFill="1" applyBorder="1" applyAlignment="1">
      <alignment horizontal="center"/>
    </xf>
    <xf numFmtId="44" fontId="0" fillId="9" borderId="1" xfId="0" applyNumberFormat="1" applyFill="1" applyBorder="1"/>
    <xf numFmtId="44" fontId="0" fillId="2" borderId="1" xfId="1" applyFont="1" applyFill="1" applyBorder="1" applyAlignment="1">
      <alignment wrapText="1"/>
    </xf>
    <xf numFmtId="0" fontId="0" fillId="22" borderId="1" xfId="0" applyFill="1" applyBorder="1"/>
    <xf numFmtId="44" fontId="2" fillId="22" borderId="1" xfId="0" applyNumberFormat="1" applyFont="1" applyFill="1" applyBorder="1"/>
    <xf numFmtId="0" fontId="2" fillId="22" borderId="1" xfId="0" applyFont="1" applyFill="1" applyBorder="1"/>
    <xf numFmtId="44" fontId="0" fillId="0" borderId="1" xfId="1" applyFont="1" applyFill="1" applyBorder="1" applyAlignment="1">
      <alignment wrapText="1"/>
    </xf>
    <xf numFmtId="0" fontId="2" fillId="14" borderId="1" xfId="0" applyFont="1" applyFill="1" applyBorder="1" applyAlignment="1">
      <alignment horizontal="center" wrapText="1"/>
    </xf>
    <xf numFmtId="44" fontId="0" fillId="0" borderId="5" xfId="1" applyFont="1" applyFill="1" applyBorder="1" applyAlignment="1">
      <alignment vertical="center"/>
    </xf>
    <xf numFmtId="44" fontId="0" fillId="0" borderId="7" xfId="1" applyFont="1" applyFill="1" applyBorder="1" applyAlignment="1">
      <alignment vertical="center"/>
    </xf>
    <xf numFmtId="0" fontId="15" fillId="0" borderId="1" xfId="0" applyFont="1" applyBorder="1" applyAlignment="1">
      <alignment horizontal="center" wrapText="1"/>
    </xf>
    <xf numFmtId="0" fontId="2" fillId="17" borderId="1" xfId="0" applyFont="1" applyFill="1" applyBorder="1" applyAlignment="1">
      <alignment horizontal="center" vertical="center"/>
    </xf>
    <xf numFmtId="44" fontId="12" fillId="0" borderId="1" xfId="0" applyNumberFormat="1" applyFont="1" applyBorder="1" applyAlignment="1">
      <alignment horizontal="center"/>
    </xf>
    <xf numFmtId="44" fontId="0" fillId="4" borderId="8" xfId="1" applyFont="1" applyFill="1" applyBorder="1" applyAlignment="1">
      <alignment horizontal="center" vertical="center" wrapText="1"/>
    </xf>
    <xf numFmtId="44" fontId="0" fillId="0" borderId="8" xfId="1" applyFont="1" applyBorder="1" applyAlignment="1">
      <alignment horizontal="center" vertical="center" wrapText="1"/>
    </xf>
    <xf numFmtId="44" fontId="0" fillId="6" borderId="0" xfId="1" applyFont="1" applyFill="1"/>
    <xf numFmtId="0" fontId="11" fillId="4" borderId="1" xfId="0" applyFont="1" applyFill="1" applyBorder="1" applyAlignment="1">
      <alignment horizontal="center" vertical="center" wrapText="1"/>
    </xf>
    <xf numFmtId="44" fontId="11" fillId="4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4" fontId="12" fillId="0" borderId="1" xfId="1" applyFont="1" applyBorder="1" applyAlignment="1">
      <alignment horizontal="center" vertical="center" wrapText="1"/>
    </xf>
    <xf numFmtId="0" fontId="0" fillId="2" borderId="6" xfId="0" applyFill="1" applyBorder="1"/>
    <xf numFmtId="0" fontId="0" fillId="9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4" fontId="9" fillId="0" borderId="1" xfId="1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44" fontId="3" fillId="0" borderId="1" xfId="0" applyNumberFormat="1" applyFont="1" applyBorder="1" applyAlignment="1">
      <alignment horizontal="center" wrapText="1"/>
    </xf>
    <xf numFmtId="44" fontId="0" fillId="6" borderId="1" xfId="0" applyNumberFormat="1" applyFill="1" applyBorder="1"/>
    <xf numFmtId="44" fontId="9" fillId="9" borderId="1" xfId="1" applyFont="1" applyFill="1" applyBorder="1" applyAlignment="1">
      <alignment horizontal="center" vertical="center" wrapText="1"/>
    </xf>
    <xf numFmtId="44" fontId="10" fillId="11" borderId="1" xfId="1" applyFont="1" applyFill="1" applyBorder="1" applyAlignment="1">
      <alignment horizontal="center" vertical="center" wrapText="1"/>
    </xf>
    <xf numFmtId="44" fontId="2" fillId="11" borderId="0" xfId="0" applyNumberFormat="1" applyFont="1" applyFill="1" applyAlignment="1">
      <alignment horizontal="center" vertical="center"/>
    </xf>
    <xf numFmtId="44" fontId="2" fillId="7" borderId="1" xfId="1" applyFont="1" applyFill="1" applyBorder="1"/>
    <xf numFmtId="44" fontId="2" fillId="7" borderId="1" xfId="0" applyNumberFormat="1" applyFont="1" applyFill="1" applyBorder="1"/>
    <xf numFmtId="44" fontId="9" fillId="0" borderId="1" xfId="0" applyNumberFormat="1" applyFont="1" applyBorder="1" applyAlignment="1">
      <alignment horizontal="center" vertical="center"/>
    </xf>
    <xf numFmtId="44" fontId="0" fillId="9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1" xfId="1" applyNumberFormat="1" applyFont="1" applyFill="1" applyBorder="1" applyAlignment="1">
      <alignment horizontal="center" vertical="center"/>
    </xf>
    <xf numFmtId="0" fontId="18" fillId="23" borderId="16" xfId="0" applyFont="1" applyFill="1" applyBorder="1" applyAlignment="1">
      <alignment horizontal="center" vertical="center" wrapText="1"/>
    </xf>
    <xf numFmtId="0" fontId="18" fillId="24" borderId="16" xfId="0" applyFont="1" applyFill="1" applyBorder="1" applyAlignment="1">
      <alignment horizontal="left" vertical="center"/>
    </xf>
    <xf numFmtId="0" fontId="19" fillId="25" borderId="16" xfId="0" applyFont="1" applyFill="1" applyBorder="1" applyAlignment="1">
      <alignment horizontal="left" vertical="center"/>
    </xf>
    <xf numFmtId="0" fontId="19" fillId="25" borderId="16" xfId="0" applyFont="1" applyFill="1" applyBorder="1" applyAlignment="1">
      <alignment horizontal="right" vertical="center"/>
    </xf>
    <xf numFmtId="0" fontId="20" fillId="26" borderId="16" xfId="0" applyFont="1" applyFill="1" applyBorder="1" applyAlignment="1">
      <alignment horizontal="right" vertical="center"/>
    </xf>
    <xf numFmtId="0" fontId="19" fillId="27" borderId="16" xfId="0" applyFont="1" applyFill="1" applyBorder="1" applyAlignment="1">
      <alignment horizontal="left" vertical="center"/>
    </xf>
    <xf numFmtId="0" fontId="19" fillId="27" borderId="16" xfId="0" applyFont="1" applyFill="1" applyBorder="1" applyAlignment="1">
      <alignment horizontal="right" vertical="center"/>
    </xf>
    <xf numFmtId="0" fontId="21" fillId="28" borderId="16" xfId="0" applyFont="1" applyFill="1" applyBorder="1" applyAlignment="1">
      <alignment horizontal="right" vertical="center"/>
    </xf>
    <xf numFmtId="0" fontId="18" fillId="29" borderId="16" xfId="0" applyFont="1" applyFill="1" applyBorder="1" applyAlignment="1">
      <alignment horizontal="right" vertical="center"/>
    </xf>
    <xf numFmtId="0" fontId="0" fillId="29" borderId="16" xfId="0" applyFill="1" applyBorder="1"/>
    <xf numFmtId="44" fontId="0" fillId="0" borderId="0" xfId="0" applyNumberFormat="1" applyAlignment="1">
      <alignment horizontal="center"/>
    </xf>
    <xf numFmtId="44" fontId="0" fillId="30" borderId="1" xfId="1" applyFont="1" applyFill="1" applyBorder="1"/>
    <xf numFmtId="0" fontId="0" fillId="30" borderId="0" xfId="0" applyFill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4" fillId="20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44" fontId="2" fillId="3" borderId="1" xfId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20" borderId="4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44" fontId="2" fillId="3" borderId="11" xfId="1" applyFont="1" applyFill="1" applyBorder="1" applyAlignment="1">
      <alignment horizontal="center" vertical="center" wrapText="1"/>
    </xf>
    <xf numFmtId="44" fontId="2" fillId="3" borderId="3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4" fontId="10" fillId="5" borderId="1" xfId="1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3" fillId="18" borderId="3" xfId="0" applyFont="1" applyFill="1" applyBorder="1" applyAlignment="1">
      <alignment horizontal="center" vertical="center"/>
    </xf>
    <xf numFmtId="0" fontId="13" fillId="18" borderId="4" xfId="0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44" fontId="0" fillId="0" borderId="5" xfId="0" applyNumberFormat="1" applyBorder="1" applyAlignment="1">
      <alignment horizontal="center" vertical="center"/>
    </xf>
    <xf numFmtId="44" fontId="0" fillId="0" borderId="7" xfId="0" applyNumberFormat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44" fontId="2" fillId="0" borderId="5" xfId="1" applyFont="1" applyBorder="1" applyAlignment="1">
      <alignment horizontal="center" vertical="center"/>
    </xf>
    <xf numFmtId="44" fontId="2" fillId="0" borderId="7" xfId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44" fontId="5" fillId="0" borderId="1" xfId="1" applyFont="1" applyFill="1" applyBorder="1" applyAlignment="1">
      <alignment horizontal="center" vertical="center" wrapText="1"/>
    </xf>
    <xf numFmtId="14" fontId="2" fillId="0" borderId="11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4" fontId="0" fillId="0" borderId="1" xfId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4" fillId="11" borderId="8" xfId="0" applyFont="1" applyFill="1" applyBorder="1" applyAlignment="1">
      <alignment horizontal="center"/>
    </xf>
    <xf numFmtId="0" fontId="14" fillId="11" borderId="10" xfId="0" applyFont="1" applyFill="1" applyBorder="1" applyAlignment="1">
      <alignment horizontal="center"/>
    </xf>
    <xf numFmtId="0" fontId="14" fillId="11" borderId="9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44" fontId="2" fillId="3" borderId="5" xfId="1" applyFont="1" applyFill="1" applyBorder="1" applyAlignment="1">
      <alignment horizontal="center" vertical="center" wrapText="1"/>
    </xf>
    <xf numFmtId="44" fontId="2" fillId="3" borderId="7" xfId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4" fontId="2" fillId="5" borderId="5" xfId="0" applyNumberFormat="1" applyFont="1" applyFill="1" applyBorder="1" applyAlignment="1">
      <alignment horizontal="center" vertical="center"/>
    </xf>
    <xf numFmtId="14" fontId="2" fillId="5" borderId="7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4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1" xfId="1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/>
    </xf>
    <xf numFmtId="6" fontId="0" fillId="0" borderId="1" xfId="0" applyNumberFormat="1" applyBorder="1" applyAlignment="1">
      <alignment horizontal="center"/>
    </xf>
    <xf numFmtId="14" fontId="2" fillId="5" borderId="5" xfId="0" applyNumberFormat="1" applyFont="1" applyFill="1" applyBorder="1" applyAlignment="1">
      <alignment horizontal="center" vertical="center" wrapText="1"/>
    </xf>
    <xf numFmtId="14" fontId="2" fillId="5" borderId="7" xfId="0" applyNumberFormat="1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6" fontId="0" fillId="14" borderId="1" xfId="0" applyNumberForma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2" fontId="2" fillId="10" borderId="1" xfId="1" applyNumberFormat="1" applyFont="1" applyFill="1" applyBorder="1" applyAlignment="1">
      <alignment horizontal="center" vertical="center"/>
    </xf>
    <xf numFmtId="14" fontId="2" fillId="5" borderId="2" xfId="0" applyNumberFormat="1" applyFont="1" applyFill="1" applyBorder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top"/>
    </xf>
    <xf numFmtId="14" fontId="2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14" fontId="2" fillId="5" borderId="8" xfId="0" applyNumberFormat="1" applyFont="1" applyFill="1" applyBorder="1" applyAlignment="1">
      <alignment horizontal="center" vertical="center"/>
    </xf>
    <xf numFmtId="14" fontId="2" fillId="5" borderId="10" xfId="0" applyNumberFormat="1" applyFont="1" applyFill="1" applyBorder="1" applyAlignment="1">
      <alignment horizontal="center" vertical="center"/>
    </xf>
    <xf numFmtId="14" fontId="2" fillId="5" borderId="9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4" fontId="0" fillId="11" borderId="1" xfId="0" applyNumberForma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16" borderId="14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6" borderId="1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16" borderId="14" xfId="0" applyFill="1" applyBorder="1" applyAlignment="1">
      <alignment horizontal="center" vertical="center"/>
    </xf>
    <xf numFmtId="0" fontId="0" fillId="16" borderId="15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44" fontId="0" fillId="2" borderId="5" xfId="1" applyFont="1" applyFill="1" applyBorder="1" applyAlignment="1">
      <alignment horizontal="center" vertical="center"/>
    </xf>
    <xf numFmtId="44" fontId="0" fillId="2" borderId="7" xfId="1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2" fillId="16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 wrapText="1"/>
    </xf>
    <xf numFmtId="44" fontId="0" fillId="2" borderId="1" xfId="1" applyFont="1" applyFill="1" applyBorder="1" applyAlignment="1">
      <alignment horizontal="center" vertical="center"/>
    </xf>
    <xf numFmtId="44" fontId="10" fillId="5" borderId="8" xfId="1" applyFont="1" applyFill="1" applyBorder="1" applyAlignment="1">
      <alignment horizontal="center" vertical="center"/>
    </xf>
    <xf numFmtId="44" fontId="10" fillId="5" borderId="10" xfId="1" applyFont="1" applyFill="1" applyBorder="1" applyAlignment="1">
      <alignment horizontal="center" vertical="center"/>
    </xf>
    <xf numFmtId="44" fontId="10" fillId="5" borderId="9" xfId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4" fontId="10" fillId="6" borderId="8" xfId="0" applyNumberFormat="1" applyFont="1" applyFill="1" applyBorder="1" applyAlignment="1">
      <alignment horizontal="center" vertical="center"/>
    </xf>
    <xf numFmtId="44" fontId="10" fillId="6" borderId="10" xfId="0" applyNumberFormat="1" applyFont="1" applyFill="1" applyBorder="1" applyAlignment="1">
      <alignment horizontal="center" vertical="center"/>
    </xf>
    <xf numFmtId="44" fontId="10" fillId="6" borderId="9" xfId="0" applyNumberFormat="1" applyFont="1" applyFill="1" applyBorder="1" applyAlignment="1">
      <alignment horizontal="center" vertical="center"/>
    </xf>
    <xf numFmtId="0" fontId="17" fillId="23" borderId="16" xfId="0" applyFont="1" applyFill="1" applyBorder="1" applyAlignment="1">
      <alignment horizontal="center" vertical="center"/>
    </xf>
    <xf numFmtId="0" fontId="0" fillId="0" borderId="0" xfId="0"/>
    <xf numFmtId="0" fontId="18" fillId="24" borderId="16" xfId="0" applyFont="1" applyFill="1" applyBorder="1" applyAlignment="1">
      <alignment horizontal="left" vertical="center"/>
    </xf>
    <xf numFmtId="0" fontId="0" fillId="25" borderId="16" xfId="0" applyFill="1" applyBorder="1"/>
    <xf numFmtId="0" fontId="19" fillId="25" borderId="16" xfId="0" applyFont="1" applyFill="1" applyBorder="1" applyAlignment="1">
      <alignment horizontal="right" vertical="center"/>
    </xf>
    <xf numFmtId="0" fontId="20" fillId="26" borderId="16" xfId="0" applyFon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18" fillId="29" borderId="16" xfId="0" applyFont="1" applyFill="1" applyBorder="1" applyAlignment="1">
      <alignment horizontal="right" vertical="center"/>
    </xf>
    <xf numFmtId="0" fontId="0" fillId="29" borderId="16" xfId="0" applyFill="1" applyBorder="1"/>
    <xf numFmtId="0" fontId="21" fillId="28" borderId="16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4" borderId="6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8" fontId="0" fillId="0" borderId="8" xfId="0" applyNumberFormat="1" applyBorder="1" applyAlignment="1">
      <alignment horizontal="center" vertical="center" wrapText="1"/>
    </xf>
    <xf numFmtId="8" fontId="0" fillId="0" borderId="9" xfId="0" applyNumberFormat="1" applyBorder="1" applyAlignment="1">
      <alignment horizontal="center" vertical="center" wrapText="1"/>
    </xf>
    <xf numFmtId="44" fontId="10" fillId="14" borderId="8" xfId="1" applyFont="1" applyFill="1" applyBorder="1" applyAlignment="1">
      <alignment horizontal="center" vertical="center" wrapText="1"/>
    </xf>
    <xf numFmtId="44" fontId="10" fillId="14" borderId="10" xfId="1" applyFont="1" applyFill="1" applyBorder="1" applyAlignment="1">
      <alignment horizontal="center" vertical="center" wrapText="1"/>
    </xf>
    <xf numFmtId="44" fontId="10" fillId="14" borderId="9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4" fontId="0" fillId="4" borderId="5" xfId="0" applyNumberFormat="1" applyFill="1" applyBorder="1" applyAlignment="1">
      <alignment horizontal="center"/>
    </xf>
    <xf numFmtId="44" fontId="0" fillId="4" borderId="6" xfId="0" applyNumberFormat="1" applyFill="1" applyBorder="1" applyAlignment="1">
      <alignment horizontal="center"/>
    </xf>
    <xf numFmtId="44" fontId="0" fillId="4" borderId="7" xfId="0" applyNumberFormat="1" applyFill="1" applyBorder="1" applyAlignment="1">
      <alignment horizontal="center"/>
    </xf>
    <xf numFmtId="44" fontId="0" fillId="0" borderId="1" xfId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" fontId="2" fillId="10" borderId="11" xfId="1" applyNumberFormat="1" applyFont="1" applyFill="1" applyBorder="1" applyAlignment="1">
      <alignment horizontal="center" vertical="center"/>
    </xf>
    <xf numFmtId="2" fontId="2" fillId="10" borderId="2" xfId="1" applyNumberFormat="1" applyFont="1" applyFill="1" applyBorder="1" applyAlignment="1">
      <alignment horizontal="center" vertical="center"/>
    </xf>
    <xf numFmtId="2" fontId="2" fillId="10" borderId="12" xfId="1" applyNumberFormat="1" applyFont="1" applyFill="1" applyBorder="1" applyAlignment="1">
      <alignment horizontal="center" vertical="center"/>
    </xf>
    <xf numFmtId="2" fontId="2" fillId="10" borderId="3" xfId="1" applyNumberFormat="1" applyFont="1" applyFill="1" applyBorder="1" applyAlignment="1">
      <alignment horizontal="center" vertical="center"/>
    </xf>
    <xf numFmtId="2" fontId="2" fillId="10" borderId="4" xfId="1" applyNumberFormat="1" applyFont="1" applyFill="1" applyBorder="1" applyAlignment="1">
      <alignment horizontal="center" vertical="center"/>
    </xf>
    <xf numFmtId="2" fontId="2" fillId="10" borderId="13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1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0" fillId="4" borderId="1" xfId="1" applyNumberFormat="1" applyFont="1" applyFill="1" applyBorder="1"/>
    <xf numFmtId="0" fontId="0" fillId="0" borderId="1" xfId="1" applyNumberFormat="1" applyFont="1" applyFill="1" applyBorder="1"/>
    <xf numFmtId="0" fontId="0" fillId="0" borderId="5" xfId="1" applyNumberFormat="1" applyFont="1" applyFill="1" applyBorder="1"/>
    <xf numFmtId="0" fontId="0" fillId="0" borderId="5" xfId="1" applyNumberFormat="1" applyFont="1" applyFill="1" applyBorder="1" applyAlignment="1">
      <alignment vertical="center"/>
    </xf>
    <xf numFmtId="0" fontId="0" fillId="0" borderId="7" xfId="1" applyNumberFormat="1" applyFont="1" applyFill="1" applyBorder="1" applyAlignment="1">
      <alignment vertical="center"/>
    </xf>
    <xf numFmtId="0" fontId="0" fillId="0" borderId="1" xfId="1" applyNumberFormat="1" applyFont="1" applyFill="1" applyBorder="1" applyAlignment="1">
      <alignment wrapText="1"/>
    </xf>
    <xf numFmtId="0" fontId="2" fillId="17" borderId="1" xfId="0" applyFont="1" applyFill="1" applyBorder="1" applyAlignment="1">
      <alignment wrapText="1"/>
    </xf>
    <xf numFmtId="0" fontId="2" fillId="17" borderId="1" xfId="0" applyFont="1" applyFill="1" applyBorder="1" applyAlignment="1"/>
    <xf numFmtId="44" fontId="9" fillId="0" borderId="0" xfId="0" applyNumberFormat="1" applyFont="1" applyAlignment="1">
      <alignment horizontal="center" vertical="center"/>
    </xf>
  </cellXfs>
  <cellStyles count="3">
    <cellStyle name="Moneda" xfId="1" builtinId="4"/>
    <cellStyle name="Normal" xfId="0" builtinId="0"/>
    <cellStyle name="Normal 2" xfId="2" xr:uid="{E1521137-E2D3-4BF1-B60E-A63B26663DE7}"/>
  </cellStyles>
  <dxfs count="19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1731-6077-4810-BC75-B388BD13670C}">
  <sheetPr>
    <pageSetUpPr fitToPage="1"/>
  </sheetPr>
  <dimension ref="A1:BA135"/>
  <sheetViews>
    <sheetView topLeftCell="O1" zoomScale="57" zoomScaleNormal="70" workbookViewId="0">
      <selection activeCell="B16" sqref="B16:Y18"/>
    </sheetView>
  </sheetViews>
  <sheetFormatPr baseColWidth="10" defaultRowHeight="14.4"/>
  <cols>
    <col min="1" max="1" width="4.5546875" style="1" customWidth="1"/>
    <col min="2" max="2" width="34.77734375" style="1" customWidth="1"/>
    <col min="3" max="3" width="36.88671875" style="1" customWidth="1"/>
    <col min="4" max="4" width="32.33203125" style="1" customWidth="1"/>
    <col min="5" max="5" width="19.77734375" style="1" customWidth="1"/>
    <col min="6" max="6" width="21.5546875" style="2" customWidth="1"/>
    <col min="7" max="7" width="13.6640625" customWidth="1"/>
    <col min="8" max="8" width="17" customWidth="1"/>
    <col min="9" max="9" width="14.6640625" customWidth="1"/>
    <col min="10" max="10" width="14.21875" customWidth="1"/>
    <col min="12" max="12" width="14.77734375" customWidth="1"/>
    <col min="13" max="13" width="14.5546875" customWidth="1"/>
    <col min="14" max="14" width="14.33203125" customWidth="1"/>
    <col min="15" max="15" width="14.5546875" customWidth="1"/>
    <col min="16" max="16" width="14.21875" customWidth="1"/>
    <col min="17" max="17" width="15.6640625" customWidth="1"/>
    <col min="18" max="18" width="14.88671875" customWidth="1"/>
    <col min="19" max="19" width="16.21875" customWidth="1"/>
    <col min="20" max="20" width="18.88671875" customWidth="1"/>
    <col min="21" max="21" width="17.44140625" customWidth="1"/>
    <col min="22" max="22" width="16.77734375" customWidth="1"/>
    <col min="23" max="23" width="14.21875" customWidth="1"/>
    <col min="25" max="25" width="21.21875" customWidth="1"/>
    <col min="26" max="26" width="21" customWidth="1"/>
    <col min="27" max="27" width="18.33203125" customWidth="1"/>
    <col min="29" max="29" width="21.33203125" customWidth="1"/>
    <col min="31" max="31" width="21" customWidth="1"/>
    <col min="32" max="32" width="18.21875" customWidth="1"/>
    <col min="35" max="35" width="22.21875" customWidth="1"/>
    <col min="36" max="36" width="13.6640625" customWidth="1"/>
    <col min="37" max="37" width="17.77734375" customWidth="1"/>
    <col min="38" max="38" width="27.21875" customWidth="1"/>
  </cols>
  <sheetData>
    <row r="1" spans="1:47" ht="24.6">
      <c r="A1" s="325" t="s">
        <v>184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</row>
    <row r="2" spans="1:47" ht="28.8" customHeight="1">
      <c r="A2" s="269" t="s">
        <v>0</v>
      </c>
      <c r="B2" s="270"/>
      <c r="C2" s="273" t="s">
        <v>2</v>
      </c>
      <c r="D2" s="273" t="s">
        <v>8</v>
      </c>
      <c r="E2" s="273" t="s">
        <v>1</v>
      </c>
      <c r="F2" s="326" t="s">
        <v>91</v>
      </c>
      <c r="G2" s="317">
        <v>46195</v>
      </c>
      <c r="H2" s="317"/>
      <c r="I2" s="317"/>
      <c r="J2" s="317">
        <v>46196</v>
      </c>
      <c r="K2" s="317"/>
      <c r="L2" s="317"/>
      <c r="M2" s="317">
        <v>46197</v>
      </c>
      <c r="N2" s="317"/>
      <c r="O2" s="317"/>
      <c r="P2" s="317">
        <v>46198</v>
      </c>
      <c r="Q2" s="317"/>
      <c r="R2" s="317"/>
      <c r="S2" s="317">
        <v>46199</v>
      </c>
      <c r="T2" s="317"/>
      <c r="U2" s="317"/>
      <c r="V2" s="317">
        <v>46200</v>
      </c>
      <c r="W2" s="317"/>
      <c r="X2" s="317"/>
      <c r="Y2" s="317" t="s">
        <v>94</v>
      </c>
      <c r="Z2" s="262" t="s">
        <v>92</v>
      </c>
    </row>
    <row r="3" spans="1:47">
      <c r="A3" s="271"/>
      <c r="B3" s="272"/>
      <c r="C3" s="274"/>
      <c r="D3" s="274"/>
      <c r="E3" s="274"/>
      <c r="F3" s="327"/>
      <c r="G3" s="17" t="s">
        <v>95</v>
      </c>
      <c r="H3" s="17" t="s">
        <v>96</v>
      </c>
      <c r="I3" s="17" t="s">
        <v>103</v>
      </c>
      <c r="J3" s="17" t="s">
        <v>95</v>
      </c>
      <c r="K3" s="17" t="s">
        <v>96</v>
      </c>
      <c r="L3" s="17" t="s">
        <v>98</v>
      </c>
      <c r="M3" s="17" t="s">
        <v>95</v>
      </c>
      <c r="N3" s="17" t="s">
        <v>96</v>
      </c>
      <c r="O3" s="17" t="s">
        <v>98</v>
      </c>
      <c r="P3" s="17" t="s">
        <v>95</v>
      </c>
      <c r="Q3" s="17" t="s">
        <v>96</v>
      </c>
      <c r="R3" s="17" t="s">
        <v>98</v>
      </c>
      <c r="S3" s="17" t="s">
        <v>95</v>
      </c>
      <c r="T3" s="17" t="s">
        <v>96</v>
      </c>
      <c r="U3" s="17" t="s">
        <v>103</v>
      </c>
      <c r="V3" s="17" t="s">
        <v>95</v>
      </c>
      <c r="W3" s="17" t="s">
        <v>96</v>
      </c>
      <c r="X3" s="17" t="s">
        <v>103</v>
      </c>
      <c r="Y3" s="317"/>
      <c r="Z3" s="262"/>
    </row>
    <row r="4" spans="1:47" s="3" customFormat="1">
      <c r="A4" s="40">
        <v>1</v>
      </c>
      <c r="B4" s="263" t="s">
        <v>4</v>
      </c>
      <c r="C4" s="263" t="s">
        <v>7</v>
      </c>
      <c r="D4" s="9" t="s">
        <v>5</v>
      </c>
      <c r="E4" s="9" t="s">
        <v>6</v>
      </c>
      <c r="F4" s="10">
        <v>1200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8">
        <f>F4-(G4+H4+J4+K4+M4+N4+P4+Q4+S4+T4+V4+W4+U4+O4+I4+L4+R4+X4)</f>
        <v>1200</v>
      </c>
      <c r="Z4" s="18">
        <f>SUM(G4:X4)</f>
        <v>0</v>
      </c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</row>
    <row r="5" spans="1:47" s="3" customFormat="1">
      <c r="A5" s="40">
        <v>2</v>
      </c>
      <c r="B5" s="263"/>
      <c r="C5" s="263"/>
      <c r="D5" s="8" t="s">
        <v>35</v>
      </c>
      <c r="E5" s="8"/>
      <c r="F5" s="12">
        <v>500</v>
      </c>
      <c r="G5" s="102">
        <v>500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8">
        <f t="shared" ref="Y5:Y22" si="0">F5-(G5+H5+J5+K5+M5+N5+P5+Q5+S5+T5+V5+W5+U5+O5+I5+L5+R5+X5)</f>
        <v>0</v>
      </c>
      <c r="Z5" s="18">
        <f>SUM(G5:X5)</f>
        <v>500</v>
      </c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</row>
    <row r="6" spans="1:47">
      <c r="A6" s="37">
        <v>3</v>
      </c>
      <c r="B6" s="277" t="s">
        <v>9</v>
      </c>
      <c r="C6" s="277" t="s">
        <v>10</v>
      </c>
      <c r="D6" s="6" t="s">
        <v>11</v>
      </c>
      <c r="E6" s="6" t="s">
        <v>12</v>
      </c>
      <c r="F6" s="7">
        <v>2500</v>
      </c>
      <c r="G6" s="20"/>
      <c r="H6" s="20"/>
      <c r="I6" s="20"/>
      <c r="J6" s="102">
        <v>1850.22</v>
      </c>
      <c r="K6" s="20"/>
      <c r="L6" s="20"/>
      <c r="M6" s="20"/>
      <c r="N6" s="20"/>
      <c r="O6" s="20"/>
      <c r="P6" s="20"/>
      <c r="Q6" s="20"/>
      <c r="R6" s="20">
        <v>2000</v>
      </c>
      <c r="S6" s="20"/>
      <c r="T6" s="20"/>
      <c r="U6" s="20"/>
      <c r="V6" s="20"/>
      <c r="W6" s="20"/>
      <c r="X6" s="20"/>
      <c r="Y6" s="18">
        <f t="shared" si="0"/>
        <v>-1350.2200000000003</v>
      </c>
      <c r="Z6" s="18">
        <f t="shared" ref="Z6:Z35" si="1">SUM(G6:X6)</f>
        <v>3850.2200000000003</v>
      </c>
      <c r="AC6" s="328" t="s">
        <v>104</v>
      </c>
      <c r="AD6" s="329"/>
      <c r="AE6" s="329"/>
      <c r="AF6" s="329"/>
      <c r="AH6" s="44"/>
      <c r="AI6" s="328" t="s">
        <v>163</v>
      </c>
      <c r="AJ6" s="328"/>
      <c r="AK6" s="328"/>
      <c r="AL6" s="67"/>
    </row>
    <row r="7" spans="1:47">
      <c r="A7" s="37">
        <v>4</v>
      </c>
      <c r="B7" s="277"/>
      <c r="C7" s="277"/>
      <c r="D7" s="6" t="s">
        <v>35</v>
      </c>
      <c r="E7" s="6"/>
      <c r="F7" s="7">
        <v>500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102">
        <v>300</v>
      </c>
      <c r="T7" s="20"/>
      <c r="U7" s="20"/>
      <c r="V7" s="20"/>
      <c r="W7" s="20"/>
      <c r="X7" s="20"/>
      <c r="Y7" s="18">
        <f t="shared" si="0"/>
        <v>200</v>
      </c>
      <c r="Z7" s="18">
        <f t="shared" si="1"/>
        <v>300</v>
      </c>
      <c r="AC7" s="26" t="s">
        <v>99</v>
      </c>
      <c r="AD7" s="26" t="s">
        <v>100</v>
      </c>
      <c r="AE7" s="26" t="s">
        <v>101</v>
      </c>
      <c r="AF7" s="26" t="s">
        <v>102</v>
      </c>
      <c r="AH7" s="44"/>
      <c r="AI7" s="26" t="s">
        <v>99</v>
      </c>
      <c r="AJ7" s="26" t="s">
        <v>167</v>
      </c>
      <c r="AK7" s="26" t="s">
        <v>102</v>
      </c>
    </row>
    <row r="8" spans="1:47">
      <c r="A8" s="37">
        <v>5</v>
      </c>
      <c r="B8" s="6" t="s">
        <v>13</v>
      </c>
      <c r="C8" s="6" t="s">
        <v>10</v>
      </c>
      <c r="D8" s="6" t="s">
        <v>14</v>
      </c>
      <c r="E8" s="6" t="s">
        <v>147</v>
      </c>
      <c r="F8" s="7">
        <v>2500</v>
      </c>
      <c r="G8" s="20"/>
      <c r="H8" s="81">
        <v>1000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102">
        <v>800</v>
      </c>
      <c r="T8" s="20"/>
      <c r="U8" s="20"/>
      <c r="V8" s="20">
        <v>500</v>
      </c>
      <c r="W8" s="20"/>
      <c r="X8" s="20"/>
      <c r="Y8" s="18">
        <f t="shared" si="0"/>
        <v>200</v>
      </c>
      <c r="Z8" s="18">
        <f t="shared" si="1"/>
        <v>2300</v>
      </c>
      <c r="AC8" s="25" t="s">
        <v>95</v>
      </c>
      <c r="AD8" s="45">
        <f>AF8/AE8</f>
        <v>1231.9178680646569</v>
      </c>
      <c r="AE8" s="23">
        <v>22.89</v>
      </c>
      <c r="AF8" s="46">
        <f>G36+J36+M36+P36+S36+V36</f>
        <v>28198.6</v>
      </c>
      <c r="AI8" s="25" t="s">
        <v>164</v>
      </c>
      <c r="AJ8" s="24">
        <f>AF8</f>
        <v>28198.6</v>
      </c>
      <c r="AK8" s="347">
        <f>AJ8+AJ9+AJ10</f>
        <v>87754.609999999986</v>
      </c>
    </row>
    <row r="9" spans="1:47">
      <c r="A9" s="37">
        <v>6</v>
      </c>
      <c r="B9" s="6" t="s">
        <v>16</v>
      </c>
      <c r="C9" s="6" t="s">
        <v>10</v>
      </c>
      <c r="D9" s="6" t="s">
        <v>14</v>
      </c>
      <c r="E9" s="6" t="s">
        <v>15</v>
      </c>
      <c r="F9" s="7">
        <v>1500</v>
      </c>
      <c r="G9" s="102">
        <v>500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T9" s="20"/>
      <c r="U9" s="20"/>
      <c r="V9" s="20"/>
      <c r="W9" s="20"/>
      <c r="X9" s="20"/>
      <c r="Y9" s="18">
        <f>F9-(G9+H9+J9+K9+M9+N9+P9+Q9+S10+T9+V9+W9+U9+O9+I9+L9+R9+X9)</f>
        <v>-242.40000000000009</v>
      </c>
      <c r="Z9" s="18">
        <f t="shared" si="1"/>
        <v>500</v>
      </c>
      <c r="AC9" s="25" t="s">
        <v>96</v>
      </c>
      <c r="AD9" s="45">
        <f>AF9/AE9</f>
        <v>589.77719528178238</v>
      </c>
      <c r="AE9" s="23">
        <v>22.89</v>
      </c>
      <c r="AF9" s="46">
        <f>H36+K36+N36+Q36+T36+W36</f>
        <v>13500</v>
      </c>
      <c r="AI9" s="25" t="s">
        <v>165</v>
      </c>
      <c r="AJ9" s="24">
        <f>AF59</f>
        <v>55459.08</v>
      </c>
      <c r="AK9" s="347"/>
    </row>
    <row r="10" spans="1:47">
      <c r="A10" s="37">
        <v>7</v>
      </c>
      <c r="B10" s="6" t="s">
        <v>18</v>
      </c>
      <c r="C10" s="6" t="s">
        <v>10</v>
      </c>
      <c r="D10" s="6"/>
      <c r="E10" s="6" t="s">
        <v>17</v>
      </c>
      <c r="F10" s="7">
        <v>1500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102">
        <v>1242.4000000000001</v>
      </c>
      <c r="T10" s="20"/>
      <c r="U10" s="20"/>
      <c r="V10" s="20"/>
      <c r="W10" s="20"/>
      <c r="X10" s="20"/>
      <c r="Y10" s="18">
        <f>F10-(G10+H10+I10+J10+K10+L10+M10+N10+O10+P10+Q10+R10+S10+T10+U10+V10+W10+X10)</f>
        <v>257.59999999999991</v>
      </c>
      <c r="Z10" s="18">
        <f>SUM(G10:X10)</f>
        <v>1242.4000000000001</v>
      </c>
      <c r="AC10" s="25" t="s">
        <v>103</v>
      </c>
      <c r="AD10" s="23"/>
      <c r="AE10" s="23"/>
      <c r="AF10" s="46">
        <f>R36+U36+O36</f>
        <v>5690.82</v>
      </c>
      <c r="AI10" s="25" t="s">
        <v>166</v>
      </c>
      <c r="AJ10" s="24">
        <f>AF46</f>
        <v>4096.93</v>
      </c>
      <c r="AK10" s="347"/>
    </row>
    <row r="11" spans="1:47" s="3" customFormat="1">
      <c r="A11" s="40">
        <v>8</v>
      </c>
      <c r="B11" s="8" t="s">
        <v>19</v>
      </c>
      <c r="C11" s="8" t="s">
        <v>20</v>
      </c>
      <c r="D11" s="8" t="s">
        <v>21</v>
      </c>
      <c r="E11" s="8" t="s">
        <v>22</v>
      </c>
      <c r="F11" s="12">
        <v>700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8">
        <f t="shared" si="0"/>
        <v>700</v>
      </c>
      <c r="Z11" s="18">
        <f t="shared" si="1"/>
        <v>0</v>
      </c>
      <c r="AA11"/>
      <c r="AB11"/>
      <c r="AC11"/>
      <c r="AD11"/>
      <c r="AE11"/>
      <c r="AF11"/>
      <c r="AG11"/>
      <c r="AH11" s="21"/>
      <c r="AI11"/>
      <c r="AJ11"/>
      <c r="AK11"/>
      <c r="AL11"/>
      <c r="AM11"/>
      <c r="AN11"/>
      <c r="AO11"/>
      <c r="AP11"/>
      <c r="AQ11"/>
      <c r="AR11"/>
      <c r="AS11"/>
      <c r="AT11"/>
    </row>
    <row r="12" spans="1:47" s="3" customFormat="1">
      <c r="A12" s="40">
        <v>9</v>
      </c>
      <c r="B12" s="8" t="s">
        <v>23</v>
      </c>
      <c r="C12" s="8" t="s">
        <v>24</v>
      </c>
      <c r="D12" s="8" t="s">
        <v>25</v>
      </c>
      <c r="E12" s="8" t="s">
        <v>26</v>
      </c>
      <c r="F12" s="12">
        <v>1500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8">
        <f t="shared" si="0"/>
        <v>1500</v>
      </c>
      <c r="Z12" s="18">
        <f t="shared" si="1"/>
        <v>0</v>
      </c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 spans="1:47">
      <c r="A13" s="37">
        <v>10</v>
      </c>
      <c r="B13" s="277" t="s">
        <v>27</v>
      </c>
      <c r="C13" s="6" t="s">
        <v>28</v>
      </c>
      <c r="D13" s="6" t="s">
        <v>29</v>
      </c>
      <c r="E13" s="6" t="s">
        <v>30</v>
      </c>
      <c r="F13" s="7">
        <v>1500</v>
      </c>
      <c r="G13" s="20"/>
      <c r="H13" s="20"/>
      <c r="I13" s="20"/>
      <c r="J13" s="20"/>
      <c r="K13" s="20"/>
      <c r="L13" s="20"/>
      <c r="M13" s="102">
        <v>1532.1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18">
        <f t="shared" si="0"/>
        <v>-32.099999999999909</v>
      </c>
      <c r="Z13" s="18">
        <f t="shared" si="1"/>
        <v>1532.1</v>
      </c>
      <c r="AC13" s="363" t="s">
        <v>123</v>
      </c>
      <c r="AD13" s="363"/>
      <c r="AE13" s="363"/>
      <c r="AF13" s="363"/>
    </row>
    <row r="14" spans="1:47">
      <c r="A14" s="37">
        <v>11</v>
      </c>
      <c r="B14" s="277"/>
      <c r="C14" s="6" t="s">
        <v>34</v>
      </c>
      <c r="D14" s="6" t="s">
        <v>35</v>
      </c>
      <c r="E14" s="6"/>
      <c r="F14" s="7">
        <v>500</v>
      </c>
      <c r="G14" s="102">
        <v>500</v>
      </c>
      <c r="H14" s="20"/>
      <c r="I14" s="20"/>
      <c r="J14" s="20"/>
      <c r="K14" s="20"/>
      <c r="L14" s="20"/>
      <c r="M14" s="20"/>
      <c r="N14" s="20"/>
      <c r="O14" s="20"/>
      <c r="P14" s="102">
        <v>400</v>
      </c>
      <c r="Q14" s="20"/>
      <c r="R14" s="20"/>
      <c r="S14" s="20"/>
      <c r="T14" s="20"/>
      <c r="U14" s="20"/>
      <c r="V14" s="20"/>
      <c r="W14" s="20"/>
      <c r="X14" s="20"/>
      <c r="Y14" s="18">
        <f t="shared" si="0"/>
        <v>-400</v>
      </c>
      <c r="Z14" s="18">
        <f t="shared" si="1"/>
        <v>900</v>
      </c>
      <c r="AC14" s="363"/>
      <c r="AD14" s="363"/>
      <c r="AE14" s="363"/>
      <c r="AF14" s="363"/>
    </row>
    <row r="15" spans="1:47">
      <c r="A15" s="37">
        <v>12</v>
      </c>
      <c r="B15" s="6" t="s">
        <v>31</v>
      </c>
      <c r="C15" s="6" t="s">
        <v>28</v>
      </c>
      <c r="D15" s="6" t="s">
        <v>33</v>
      </c>
      <c r="E15" s="6" t="s">
        <v>32</v>
      </c>
      <c r="F15" s="7">
        <v>1500</v>
      </c>
      <c r="G15" s="102">
        <v>1500</v>
      </c>
      <c r="H15" s="20"/>
      <c r="I15" s="20"/>
      <c r="J15" s="20"/>
      <c r="K15" s="20"/>
      <c r="L15" s="20"/>
      <c r="M15" s="102">
        <v>1500</v>
      </c>
      <c r="N15" s="20"/>
      <c r="O15" s="20"/>
      <c r="P15" s="20"/>
      <c r="Q15" s="20"/>
      <c r="R15" s="20"/>
      <c r="S15" s="102">
        <v>1500</v>
      </c>
      <c r="T15" s="20"/>
      <c r="U15" s="20"/>
      <c r="V15" s="20"/>
      <c r="W15" s="20"/>
      <c r="X15" s="20"/>
      <c r="Y15" s="18">
        <f t="shared" si="0"/>
        <v>-3000</v>
      </c>
      <c r="Z15" s="18">
        <f t="shared" si="1"/>
        <v>4500</v>
      </c>
      <c r="AC15" s="363"/>
      <c r="AD15" s="363"/>
      <c r="AE15" s="363"/>
      <c r="AF15" s="363"/>
    </row>
    <row r="16" spans="1:47" s="3" customFormat="1">
      <c r="A16" s="40">
        <v>13</v>
      </c>
      <c r="B16" s="8" t="s">
        <v>36</v>
      </c>
      <c r="C16" s="8" t="s">
        <v>37</v>
      </c>
      <c r="D16" s="8" t="s">
        <v>39</v>
      </c>
      <c r="E16" s="8" t="s">
        <v>38</v>
      </c>
      <c r="F16" s="12">
        <v>2500</v>
      </c>
      <c r="G16" s="19"/>
      <c r="H16" s="81">
        <v>1500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81">
        <v>1000</v>
      </c>
      <c r="X16" s="19"/>
      <c r="Y16" s="18">
        <f t="shared" si="0"/>
        <v>0</v>
      </c>
      <c r="Z16" s="18">
        <f t="shared" si="1"/>
        <v>2500</v>
      </c>
      <c r="AA16"/>
      <c r="AB16"/>
      <c r="AC16" s="363"/>
      <c r="AD16" s="363"/>
      <c r="AE16" s="363"/>
      <c r="AF16" s="363"/>
      <c r="AG16"/>
      <c r="AH16"/>
      <c r="AI16"/>
      <c r="AJ16" s="21"/>
      <c r="AK16"/>
      <c r="AL16"/>
      <c r="AM16"/>
      <c r="AN16"/>
      <c r="AO16"/>
      <c r="AP16"/>
      <c r="AQ16"/>
      <c r="AR16"/>
      <c r="AS16"/>
    </row>
    <row r="17" spans="1:53" s="3" customFormat="1">
      <c r="A17" s="40">
        <v>14</v>
      </c>
      <c r="B17" s="8" t="s">
        <v>40</v>
      </c>
      <c r="C17" s="8" t="s">
        <v>37</v>
      </c>
      <c r="D17" s="8" t="s">
        <v>42</v>
      </c>
      <c r="E17" s="8" t="s">
        <v>41</v>
      </c>
      <c r="F17" s="12">
        <v>2500</v>
      </c>
      <c r="G17" s="19"/>
      <c r="H17" s="19"/>
      <c r="I17" s="19"/>
      <c r="J17" s="19"/>
      <c r="K17" s="19"/>
      <c r="L17" s="19"/>
      <c r="M17" s="19"/>
      <c r="N17" s="81">
        <v>1500</v>
      </c>
      <c r="O17" s="19"/>
      <c r="P17" s="19"/>
      <c r="Q17" s="19"/>
      <c r="R17" s="19"/>
      <c r="S17" s="19"/>
      <c r="T17" s="19"/>
      <c r="U17" s="19"/>
      <c r="V17" s="19"/>
      <c r="W17" s="81">
        <v>1000</v>
      </c>
      <c r="X17" s="19"/>
      <c r="Y17" s="18">
        <f t="shared" si="0"/>
        <v>0</v>
      </c>
      <c r="Z17" s="18">
        <f t="shared" si="1"/>
        <v>2500</v>
      </c>
      <c r="AA17"/>
      <c r="AB17"/>
      <c r="AC17" s="363"/>
      <c r="AD17" s="363"/>
      <c r="AE17" s="363"/>
      <c r="AF17" s="363"/>
      <c r="AG17"/>
      <c r="AH17"/>
      <c r="AI17"/>
      <c r="AJ17"/>
      <c r="AK17"/>
      <c r="AL17"/>
      <c r="AM17"/>
      <c r="AN17"/>
      <c r="AO17"/>
      <c r="AP17"/>
      <c r="AQ17"/>
      <c r="AR17"/>
      <c r="AS17"/>
    </row>
    <row r="18" spans="1:53" s="3" customFormat="1">
      <c r="A18" s="40">
        <v>15</v>
      </c>
      <c r="B18" s="8" t="s">
        <v>43</v>
      </c>
      <c r="C18" s="8" t="s">
        <v>37</v>
      </c>
      <c r="D18" s="8" t="s">
        <v>33</v>
      </c>
      <c r="E18" s="8" t="s">
        <v>44</v>
      </c>
      <c r="F18" s="12">
        <v>4000</v>
      </c>
      <c r="G18" s="19"/>
      <c r="H18" s="81">
        <v>1500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8">
        <f t="shared" si="0"/>
        <v>2500</v>
      </c>
      <c r="Z18" s="18">
        <f t="shared" si="1"/>
        <v>1500</v>
      </c>
      <c r="AA18"/>
      <c r="AB18"/>
      <c r="AC18" s="363"/>
      <c r="AD18" s="363"/>
      <c r="AE18" s="363"/>
      <c r="AF18" s="363"/>
      <c r="AG18"/>
      <c r="AH18"/>
      <c r="AI18"/>
      <c r="AJ18"/>
      <c r="AK18"/>
      <c r="AL18"/>
      <c r="AM18"/>
      <c r="AN18"/>
      <c r="AO18"/>
      <c r="AP18"/>
      <c r="AQ18"/>
      <c r="AR18"/>
      <c r="AS18"/>
    </row>
    <row r="19" spans="1:53">
      <c r="A19" s="37">
        <v>16</v>
      </c>
      <c r="B19" s="277" t="s">
        <v>45</v>
      </c>
      <c r="C19" s="277" t="s">
        <v>46</v>
      </c>
      <c r="D19" s="6" t="s">
        <v>39</v>
      </c>
      <c r="E19" s="6" t="s">
        <v>47</v>
      </c>
      <c r="F19" s="7">
        <v>2500</v>
      </c>
      <c r="G19" s="102">
        <v>1473.84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18">
        <f t="shared" si="0"/>
        <v>1026.1600000000001</v>
      </c>
      <c r="Z19" s="18">
        <f t="shared" si="1"/>
        <v>1473.84</v>
      </c>
      <c r="AC19" s="363"/>
      <c r="AD19" s="363"/>
      <c r="AE19" s="363"/>
      <c r="AF19" s="363"/>
    </row>
    <row r="20" spans="1:53">
      <c r="A20" s="37">
        <v>17</v>
      </c>
      <c r="B20" s="277"/>
      <c r="C20" s="277"/>
      <c r="D20" s="6" t="s">
        <v>54</v>
      </c>
      <c r="E20" s="6"/>
      <c r="F20" s="41">
        <v>1000</v>
      </c>
      <c r="G20" s="20"/>
      <c r="H20" s="20"/>
      <c r="I20" s="20"/>
      <c r="J20" s="102">
        <v>1000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18">
        <f t="shared" si="0"/>
        <v>0</v>
      </c>
      <c r="Z20" s="18">
        <f t="shared" si="1"/>
        <v>1000</v>
      </c>
      <c r="AC20" s="363"/>
      <c r="AD20" s="363"/>
      <c r="AE20" s="363"/>
      <c r="AF20" s="363"/>
    </row>
    <row r="21" spans="1:53">
      <c r="A21" s="37">
        <v>18</v>
      </c>
      <c r="B21" s="277"/>
      <c r="C21" s="277"/>
      <c r="D21" s="6" t="s">
        <v>55</v>
      </c>
      <c r="E21" s="6"/>
      <c r="F21" s="41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18">
        <f t="shared" si="0"/>
        <v>0</v>
      </c>
      <c r="Z21" s="18">
        <f t="shared" si="1"/>
        <v>0</v>
      </c>
      <c r="AC21" s="363"/>
      <c r="AD21" s="363"/>
      <c r="AE21" s="363"/>
      <c r="AF21" s="363"/>
    </row>
    <row r="22" spans="1:53">
      <c r="A22" s="37">
        <v>19</v>
      </c>
      <c r="B22" s="277"/>
      <c r="C22" s="277"/>
      <c r="D22" s="6" t="s">
        <v>56</v>
      </c>
      <c r="E22" s="6"/>
      <c r="F22" s="41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18">
        <f t="shared" si="0"/>
        <v>0</v>
      </c>
      <c r="Z22" s="18">
        <f t="shared" si="1"/>
        <v>0</v>
      </c>
      <c r="AC22" s="363"/>
      <c r="AD22" s="363"/>
      <c r="AE22" s="363"/>
      <c r="AF22" s="363"/>
    </row>
    <row r="23" spans="1:53">
      <c r="A23" s="37">
        <v>20</v>
      </c>
      <c r="B23" s="6" t="s">
        <v>48</v>
      </c>
      <c r="C23" s="6" t="s">
        <v>46</v>
      </c>
      <c r="D23" s="6" t="s">
        <v>39</v>
      </c>
      <c r="E23" s="6" t="s">
        <v>49</v>
      </c>
      <c r="F23" s="7">
        <v>1500</v>
      </c>
      <c r="G23" s="20"/>
      <c r="H23" s="20"/>
      <c r="I23" s="20"/>
      <c r="J23" s="20"/>
      <c r="K23" s="20"/>
      <c r="L23" s="20"/>
      <c r="M23" s="103"/>
      <c r="N23" s="20"/>
      <c r="O23" s="20"/>
      <c r="P23" s="102">
        <v>1500</v>
      </c>
      <c r="Q23" s="20"/>
      <c r="R23" s="20"/>
      <c r="S23" s="20"/>
      <c r="T23" s="20"/>
      <c r="U23" s="20"/>
      <c r="V23" s="20"/>
      <c r="W23" s="20"/>
      <c r="X23" s="20"/>
      <c r="Y23" s="18">
        <f>F23-(G23+H23+J23+K23+M23+N23+P23+Q23+S23+T23+V23+W23+O23+R23+U23+I23+L23+X23)</f>
        <v>0</v>
      </c>
      <c r="Z23" s="18">
        <f t="shared" si="1"/>
        <v>1500</v>
      </c>
      <c r="AC23" s="363"/>
      <c r="AD23" s="363"/>
      <c r="AE23" s="363"/>
      <c r="AF23" s="363"/>
    </row>
    <row r="24" spans="1:53">
      <c r="A24" s="37">
        <v>21</v>
      </c>
      <c r="B24" s="6" t="s">
        <v>50</v>
      </c>
      <c r="C24" s="6" t="s">
        <v>46</v>
      </c>
      <c r="D24" s="6" t="s">
        <v>33</v>
      </c>
      <c r="E24" s="6" t="s">
        <v>51</v>
      </c>
      <c r="F24" s="7">
        <v>3000</v>
      </c>
      <c r="G24" s="20"/>
      <c r="H24" s="20"/>
      <c r="I24" s="20"/>
      <c r="J24" s="102">
        <v>3000</v>
      </c>
      <c r="K24" s="20"/>
      <c r="L24" s="20"/>
      <c r="M24" s="20"/>
      <c r="N24" s="20"/>
      <c r="O24" s="20"/>
      <c r="P24" s="20"/>
      <c r="Q24" s="20"/>
      <c r="R24" s="20"/>
      <c r="S24" s="102">
        <v>1000</v>
      </c>
      <c r="T24" s="20"/>
      <c r="U24" s="20"/>
      <c r="V24" s="20"/>
      <c r="W24" s="20"/>
      <c r="X24" s="20"/>
      <c r="Y24" s="18">
        <f t="shared" ref="Y24:Y35" si="2">F24-(G24+H24+J24+K24+M24+N24+P24+Q24+S24+T24+V24+W24+O24+R24+U24+I24+L24+X24)</f>
        <v>-1000</v>
      </c>
      <c r="Z24" s="18">
        <f t="shared" si="1"/>
        <v>4000</v>
      </c>
      <c r="AC24" s="363"/>
      <c r="AD24" s="363"/>
      <c r="AE24" s="363"/>
      <c r="AF24" s="363"/>
    </row>
    <row r="25" spans="1:53">
      <c r="A25" s="37">
        <v>22</v>
      </c>
      <c r="B25" s="6" t="s">
        <v>52</v>
      </c>
      <c r="C25" s="6" t="s">
        <v>46</v>
      </c>
      <c r="D25" s="6" t="s">
        <v>42</v>
      </c>
      <c r="E25" s="6" t="s">
        <v>53</v>
      </c>
      <c r="F25" s="7">
        <v>2500</v>
      </c>
      <c r="G25" s="20"/>
      <c r="H25" s="20"/>
      <c r="I25" s="20"/>
      <c r="J25" s="102">
        <v>1290.54</v>
      </c>
      <c r="K25" s="20"/>
      <c r="L25" s="20"/>
      <c r="M25" s="20"/>
      <c r="N25" s="20"/>
      <c r="O25" s="20"/>
      <c r="P25" s="20"/>
      <c r="Q25" s="20"/>
      <c r="R25" s="20"/>
      <c r="S25" s="102">
        <v>1209.46</v>
      </c>
      <c r="T25" s="20"/>
      <c r="U25" s="20"/>
      <c r="V25" s="20"/>
      <c r="W25" s="20"/>
      <c r="X25" s="20"/>
      <c r="Y25" s="18">
        <f t="shared" si="2"/>
        <v>0</v>
      </c>
      <c r="Z25" s="18">
        <f t="shared" si="1"/>
        <v>2500</v>
      </c>
      <c r="AC25" s="363"/>
      <c r="AD25" s="363"/>
      <c r="AE25" s="363"/>
      <c r="AF25" s="363"/>
    </row>
    <row r="26" spans="1:53" s="3" customFormat="1">
      <c r="A26" s="40">
        <v>23</v>
      </c>
      <c r="B26" s="8" t="s">
        <v>66</v>
      </c>
      <c r="C26" s="339" t="s">
        <v>58</v>
      </c>
      <c r="D26" s="8" t="s">
        <v>59</v>
      </c>
      <c r="E26" s="8" t="s">
        <v>60</v>
      </c>
      <c r="F26" s="12">
        <v>2500</v>
      </c>
      <c r="G26" s="102">
        <v>1000</v>
      </c>
      <c r="H26" s="19"/>
      <c r="I26" s="19"/>
      <c r="J26" s="19"/>
      <c r="K26" s="19"/>
      <c r="L26" s="19"/>
      <c r="M26" s="19"/>
      <c r="N26" s="19"/>
      <c r="O26" s="19"/>
      <c r="P26" s="19"/>
      <c r="Q26" s="81">
        <v>1500</v>
      </c>
      <c r="R26" s="19"/>
      <c r="S26" s="19"/>
      <c r="T26" s="19"/>
      <c r="U26" s="19"/>
      <c r="V26" s="19"/>
      <c r="W26" s="81">
        <v>500</v>
      </c>
      <c r="X26" s="19"/>
      <c r="Y26" s="18">
        <f t="shared" si="2"/>
        <v>-500</v>
      </c>
      <c r="Z26" s="18">
        <f t="shared" si="1"/>
        <v>3000</v>
      </c>
      <c r="AA26"/>
      <c r="AB26"/>
      <c r="AC26" s="363"/>
      <c r="AD26" s="363"/>
      <c r="AE26" s="363"/>
      <c r="AF26" s="363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</row>
    <row r="27" spans="1:53" s="3" customFormat="1">
      <c r="A27" s="40">
        <v>24</v>
      </c>
      <c r="B27" s="8" t="s">
        <v>57</v>
      </c>
      <c r="C27" s="339"/>
      <c r="D27" s="8" t="s">
        <v>35</v>
      </c>
      <c r="E27" s="8"/>
      <c r="F27" s="12">
        <v>500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8">
        <f t="shared" si="2"/>
        <v>500</v>
      </c>
      <c r="Z27" s="18">
        <f t="shared" si="1"/>
        <v>0</v>
      </c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</row>
    <row r="28" spans="1:53">
      <c r="A28" s="37">
        <v>25</v>
      </c>
      <c r="B28" s="6" t="s">
        <v>61</v>
      </c>
      <c r="C28" s="6" t="s">
        <v>62</v>
      </c>
      <c r="D28" s="6" t="s">
        <v>11</v>
      </c>
      <c r="E28" s="6" t="s">
        <v>63</v>
      </c>
      <c r="F28" s="7">
        <v>2500</v>
      </c>
      <c r="H28" s="20"/>
      <c r="I28" s="65">
        <v>1000</v>
      </c>
      <c r="K28" s="20"/>
      <c r="L28" s="65">
        <v>1400</v>
      </c>
      <c r="M28" s="20"/>
      <c r="N28" s="20"/>
      <c r="O28" s="20">
        <v>1500</v>
      </c>
      <c r="Q28" s="20"/>
      <c r="R28" s="65">
        <v>1300</v>
      </c>
      <c r="S28" s="20"/>
      <c r="T28" s="81">
        <v>1000</v>
      </c>
      <c r="U28" s="20"/>
      <c r="V28" s="20"/>
      <c r="W28" s="20"/>
      <c r="X28" s="20"/>
      <c r="Y28" s="18" t="e">
        <f>F28-(I28+H28+#REF!+J28+K28+L28+M28+N28+O28+P28+Q28+R28+S28+T28+U28+V28+W28+X28)</f>
        <v>#REF!</v>
      </c>
      <c r="Z28" s="18">
        <f>SUM(H28:X28)</f>
        <v>6200</v>
      </c>
    </row>
    <row r="29" spans="1:53">
      <c r="A29" s="37">
        <v>26</v>
      </c>
      <c r="B29" s="277" t="s">
        <v>64</v>
      </c>
      <c r="C29" s="277" t="s">
        <v>62</v>
      </c>
      <c r="D29" s="6" t="s">
        <v>65</v>
      </c>
      <c r="E29" s="6" t="s">
        <v>67</v>
      </c>
      <c r="F29" s="7">
        <v>1000</v>
      </c>
      <c r="G29" s="102">
        <v>800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102">
        <v>700.04</v>
      </c>
      <c r="T29" s="20"/>
      <c r="U29" s="20"/>
      <c r="V29" s="20"/>
      <c r="W29" s="20"/>
      <c r="X29" s="20"/>
      <c r="Y29" s="18">
        <f t="shared" si="2"/>
        <v>-500.03999999999996</v>
      </c>
      <c r="Z29" s="18">
        <f t="shared" si="1"/>
        <v>1500.04</v>
      </c>
    </row>
    <row r="30" spans="1:53">
      <c r="A30" s="37">
        <v>27</v>
      </c>
      <c r="B30" s="277"/>
      <c r="C30" s="277"/>
      <c r="D30" s="6" t="s">
        <v>68</v>
      </c>
      <c r="E30" s="6"/>
      <c r="F30" s="7">
        <v>500</v>
      </c>
      <c r="G30" s="102">
        <v>500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18">
        <f t="shared" si="2"/>
        <v>0</v>
      </c>
      <c r="Z30" s="18">
        <f t="shared" si="1"/>
        <v>500</v>
      </c>
    </row>
    <row r="31" spans="1:53">
      <c r="A31" s="37">
        <v>28</v>
      </c>
      <c r="B31" s="277"/>
      <c r="C31" s="277"/>
      <c r="D31" s="6" t="s">
        <v>68</v>
      </c>
      <c r="E31" s="6"/>
      <c r="F31" s="7">
        <v>500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18">
        <f t="shared" si="2"/>
        <v>500</v>
      </c>
      <c r="Z31" s="18">
        <f t="shared" si="1"/>
        <v>0</v>
      </c>
      <c r="AC31" s="21"/>
    </row>
    <row r="32" spans="1:53">
      <c r="A32" s="37">
        <v>29</v>
      </c>
      <c r="B32" s="277" t="s">
        <v>69</v>
      </c>
      <c r="C32" s="6"/>
      <c r="D32" s="6"/>
      <c r="E32" s="6" t="s">
        <v>70</v>
      </c>
      <c r="F32" s="7">
        <v>800</v>
      </c>
      <c r="G32" s="102">
        <v>800</v>
      </c>
      <c r="H32" s="20"/>
      <c r="I32" s="20"/>
      <c r="J32" s="20"/>
      <c r="K32" s="20"/>
      <c r="L32" s="20"/>
      <c r="M32" s="20"/>
      <c r="N32" s="20"/>
      <c r="O32" s="20"/>
      <c r="P32" s="102">
        <v>1000</v>
      </c>
      <c r="Q32" s="20"/>
      <c r="R32" s="20"/>
      <c r="S32" s="20"/>
      <c r="T32" s="20"/>
      <c r="U32" s="20"/>
      <c r="V32" s="20"/>
      <c r="W32" s="20"/>
      <c r="X32" s="20"/>
      <c r="Y32" s="18">
        <f t="shared" si="2"/>
        <v>-1000</v>
      </c>
      <c r="Z32" s="18">
        <f t="shared" si="1"/>
        <v>1800</v>
      </c>
    </row>
    <row r="33" spans="1:32">
      <c r="A33" s="37">
        <v>30</v>
      </c>
      <c r="B33" s="277"/>
      <c r="C33" s="6"/>
      <c r="D33" s="6" t="s">
        <v>35</v>
      </c>
      <c r="E33" s="6"/>
      <c r="F33" s="7"/>
      <c r="G33" s="20"/>
      <c r="H33" s="20"/>
      <c r="I33" s="20"/>
      <c r="J33" s="20"/>
      <c r="K33" s="20"/>
      <c r="L33" s="20"/>
      <c r="M33" s="20"/>
      <c r="N33" s="20"/>
      <c r="O33" s="20"/>
      <c r="P33" s="102">
        <v>300</v>
      </c>
      <c r="Q33" s="20"/>
      <c r="R33" s="20"/>
      <c r="S33" s="20"/>
      <c r="T33" s="20"/>
      <c r="U33" s="20"/>
      <c r="V33" s="20"/>
      <c r="W33" s="20"/>
      <c r="X33" s="20"/>
      <c r="Y33" s="18">
        <f t="shared" si="2"/>
        <v>-300</v>
      </c>
      <c r="Z33" s="18">
        <f t="shared" si="1"/>
        <v>300</v>
      </c>
    </row>
    <row r="34" spans="1:32">
      <c r="A34" s="37"/>
      <c r="B34" s="6" t="s">
        <v>185</v>
      </c>
      <c r="C34" s="6"/>
      <c r="D34" s="6"/>
      <c r="E34" s="6"/>
      <c r="F34" s="7"/>
      <c r="G34" s="20"/>
      <c r="H34" s="20"/>
      <c r="I34" s="20"/>
      <c r="J34" s="20"/>
      <c r="K34" s="20"/>
      <c r="L34" s="20"/>
      <c r="M34" s="20"/>
      <c r="N34" s="20"/>
      <c r="O34" s="20"/>
      <c r="P34" s="66"/>
      <c r="Q34" s="20"/>
      <c r="R34" s="20"/>
      <c r="S34" s="20"/>
      <c r="T34" s="20"/>
      <c r="U34" s="20">
        <v>890.82</v>
      </c>
      <c r="V34" s="20"/>
      <c r="W34" s="20"/>
      <c r="Y34" s="18"/>
      <c r="Z34" s="18"/>
    </row>
    <row r="35" spans="1:32">
      <c r="A35" s="37">
        <v>31</v>
      </c>
      <c r="B35" s="6" t="s">
        <v>71</v>
      </c>
      <c r="C35" s="6"/>
      <c r="D35" s="6" t="s">
        <v>73</v>
      </c>
      <c r="E35" s="6" t="s">
        <v>72</v>
      </c>
      <c r="F35" s="7">
        <v>3000</v>
      </c>
      <c r="G35" s="20"/>
      <c r="H35" s="81">
        <v>1000</v>
      </c>
      <c r="I35" s="20"/>
      <c r="J35" s="20"/>
      <c r="K35" s="20"/>
      <c r="L35" s="20"/>
      <c r="M35" s="20"/>
      <c r="N35" s="81">
        <v>1000</v>
      </c>
      <c r="O35" s="20"/>
      <c r="P35" s="20"/>
      <c r="Q35" s="20"/>
      <c r="R35" s="20"/>
      <c r="S35" s="20"/>
      <c r="T35" s="81">
        <v>1000</v>
      </c>
      <c r="U35" s="20"/>
      <c r="V35" s="20"/>
      <c r="W35" s="20"/>
      <c r="X35" s="20"/>
      <c r="Y35" s="18">
        <f t="shared" si="2"/>
        <v>0</v>
      </c>
      <c r="Z35" s="18">
        <f t="shared" si="1"/>
        <v>3000</v>
      </c>
    </row>
    <row r="36" spans="1:32">
      <c r="A36" s="318" t="s">
        <v>105</v>
      </c>
      <c r="B36" s="324"/>
      <c r="C36" s="324"/>
      <c r="D36" s="324"/>
      <c r="E36" s="324"/>
      <c r="F36" s="28">
        <f>SUM(F4:F35)</f>
        <v>46700</v>
      </c>
      <c r="G36" s="42">
        <f>SUM(G4:G35)</f>
        <v>7573.84</v>
      </c>
      <c r="H36" s="42">
        <f>SUM(H4:H35)</f>
        <v>5000</v>
      </c>
      <c r="I36" s="42">
        <f t="shared" ref="I36:X36" si="3">SUM(I4:I35)</f>
        <v>1000</v>
      </c>
      <c r="J36" s="42">
        <f t="shared" si="3"/>
        <v>7140.76</v>
      </c>
      <c r="K36" s="42">
        <f t="shared" si="3"/>
        <v>0</v>
      </c>
      <c r="L36" s="42">
        <f t="shared" si="3"/>
        <v>1400</v>
      </c>
      <c r="M36" s="42">
        <f t="shared" si="3"/>
        <v>3032.1</v>
      </c>
      <c r="N36" s="42">
        <f t="shared" si="3"/>
        <v>2500</v>
      </c>
      <c r="O36" s="42">
        <f t="shared" si="3"/>
        <v>1500</v>
      </c>
      <c r="P36" s="42">
        <f t="shared" si="3"/>
        <v>3200</v>
      </c>
      <c r="Q36" s="42">
        <f t="shared" si="3"/>
        <v>1500</v>
      </c>
      <c r="R36" s="42">
        <f t="shared" si="3"/>
        <v>3300</v>
      </c>
      <c r="S36" s="42">
        <f t="shared" si="3"/>
        <v>6751.9</v>
      </c>
      <c r="T36" s="42">
        <f t="shared" si="3"/>
        <v>2000</v>
      </c>
      <c r="U36" s="42">
        <f t="shared" si="3"/>
        <v>890.82</v>
      </c>
      <c r="V36" s="42">
        <f t="shared" si="3"/>
        <v>500</v>
      </c>
      <c r="W36" s="42">
        <f t="shared" si="3"/>
        <v>2500</v>
      </c>
      <c r="X36" s="42">
        <f t="shared" si="3"/>
        <v>0</v>
      </c>
      <c r="Y36" s="42" t="e">
        <f>SUM(Y4:Y35)</f>
        <v>#REF!</v>
      </c>
      <c r="Z36" s="42">
        <f>SUM(Z4:Z35)</f>
        <v>48898.6</v>
      </c>
      <c r="AA36" s="71">
        <f>Z36-(X36+U36+R36+O36+L36+I36)</f>
        <v>40807.78</v>
      </c>
    </row>
    <row r="37" spans="1:32">
      <c r="X37" s="77" t="s">
        <v>173</v>
      </c>
      <c r="Y37" s="76">
        <f>F36-AA36</f>
        <v>5892.2200000000012</v>
      </c>
      <c r="Z37" s="21">
        <f>G36+H36+J36+K36+M36+N36+O36+P36+Q36+R36+S36+T36+U36+V36+W36</f>
        <v>47389.42</v>
      </c>
      <c r="AA37" s="75" t="s">
        <v>173</v>
      </c>
    </row>
    <row r="38" spans="1:32">
      <c r="Y38" s="21"/>
      <c r="Z38" s="21"/>
      <c r="AA38" s="75"/>
    </row>
    <row r="40" spans="1:32" ht="24.6">
      <c r="A40" s="334" t="s">
        <v>90</v>
      </c>
      <c r="B40" s="335"/>
      <c r="C40" s="335"/>
      <c r="D40" s="335"/>
      <c r="E40" s="335"/>
      <c r="F40" s="335"/>
      <c r="G40" s="335"/>
      <c r="H40" s="335"/>
      <c r="I40" s="335"/>
      <c r="J40" s="335"/>
      <c r="K40" s="335"/>
      <c r="L40" s="335"/>
      <c r="M40" s="335"/>
      <c r="N40" s="335"/>
      <c r="O40" s="335"/>
      <c r="P40" s="335"/>
      <c r="Q40" s="335"/>
      <c r="R40" s="335"/>
      <c r="S40" s="335"/>
      <c r="T40" s="335"/>
      <c r="U40" s="335"/>
      <c r="V40" s="335"/>
      <c r="W40" s="335"/>
      <c r="X40" s="335"/>
      <c r="Y40" s="335"/>
      <c r="Z40" s="335"/>
    </row>
    <row r="41" spans="1:32" ht="28.8" customHeight="1">
      <c r="A41" s="261" t="s">
        <v>0</v>
      </c>
      <c r="B41" s="261"/>
      <c r="C41" s="261" t="s">
        <v>2</v>
      </c>
      <c r="D41" s="261" t="s">
        <v>8</v>
      </c>
      <c r="E41" s="261" t="s">
        <v>1</v>
      </c>
      <c r="F41" s="262" t="s">
        <v>3</v>
      </c>
      <c r="G41" s="368">
        <v>46195</v>
      </c>
      <c r="H41" s="369"/>
      <c r="I41" s="370"/>
      <c r="J41" s="368">
        <v>46196</v>
      </c>
      <c r="K41" s="369"/>
      <c r="L41" s="370"/>
      <c r="M41" s="368">
        <v>46197</v>
      </c>
      <c r="N41" s="369"/>
      <c r="O41" s="370"/>
      <c r="P41" s="317">
        <v>46198</v>
      </c>
      <c r="Q41" s="317"/>
      <c r="R41" s="317"/>
      <c r="S41" s="368">
        <v>46199</v>
      </c>
      <c r="T41" s="369"/>
      <c r="U41" s="370"/>
      <c r="V41" s="368">
        <v>46200</v>
      </c>
      <c r="W41" s="369"/>
      <c r="X41" s="370"/>
      <c r="Y41" s="332" t="s">
        <v>94</v>
      </c>
      <c r="Z41" s="326" t="s">
        <v>92</v>
      </c>
    </row>
    <row r="42" spans="1:32">
      <c r="A42" s="261"/>
      <c r="B42" s="261"/>
      <c r="C42" s="261"/>
      <c r="D42" s="261"/>
      <c r="E42" s="261"/>
      <c r="F42" s="262"/>
      <c r="G42" s="17" t="s">
        <v>95</v>
      </c>
      <c r="H42" s="17" t="s">
        <v>96</v>
      </c>
      <c r="I42" s="17" t="s">
        <v>98</v>
      </c>
      <c r="J42" s="17" t="s">
        <v>95</v>
      </c>
      <c r="K42" s="17" t="s">
        <v>96</v>
      </c>
      <c r="L42" s="17" t="s">
        <v>98</v>
      </c>
      <c r="M42" s="17" t="s">
        <v>95</v>
      </c>
      <c r="N42" s="17" t="s">
        <v>96</v>
      </c>
      <c r="O42" s="17" t="s">
        <v>98</v>
      </c>
      <c r="P42" s="17" t="s">
        <v>95</v>
      </c>
      <c r="Q42" s="17" t="s">
        <v>96</v>
      </c>
      <c r="R42" s="17" t="s">
        <v>98</v>
      </c>
      <c r="S42" s="17" t="s">
        <v>95</v>
      </c>
      <c r="T42" s="17" t="s">
        <v>96</v>
      </c>
      <c r="U42" s="17" t="s">
        <v>98</v>
      </c>
      <c r="V42" s="17" t="s">
        <v>95</v>
      </c>
      <c r="W42" s="17" t="s">
        <v>96</v>
      </c>
      <c r="X42" s="17" t="s">
        <v>98</v>
      </c>
      <c r="Y42" s="333"/>
      <c r="Z42" s="327"/>
    </row>
    <row r="43" spans="1:32">
      <c r="A43" s="37">
        <v>1</v>
      </c>
      <c r="B43" s="6" t="s">
        <v>75</v>
      </c>
      <c r="C43" s="6" t="s">
        <v>77</v>
      </c>
      <c r="D43" s="6" t="s">
        <v>76</v>
      </c>
      <c r="E43" s="6" t="s">
        <v>78</v>
      </c>
      <c r="F43" s="7">
        <v>2500</v>
      </c>
      <c r="G43" s="20"/>
      <c r="H43" s="20"/>
      <c r="I43" s="20"/>
      <c r="J43" s="20"/>
      <c r="K43" s="20"/>
      <c r="L43" s="20"/>
      <c r="M43" s="102">
        <v>2010.26</v>
      </c>
      <c r="N43" s="20"/>
      <c r="O43" s="20"/>
      <c r="P43" s="102">
        <v>386.67</v>
      </c>
      <c r="Q43" s="20"/>
      <c r="R43" s="20"/>
      <c r="T43" s="20"/>
      <c r="U43" s="20"/>
      <c r="V43" s="20"/>
      <c r="W43" s="20"/>
      <c r="X43" s="20"/>
      <c r="Y43" s="20">
        <f>F43-(G43+H43+I43+J43+K43+L43+M43+N43+O43+P43+Q43+R43+S43+T43+U43+V43+W43+X43)</f>
        <v>103.07000000000016</v>
      </c>
      <c r="Z43" s="20">
        <f>SUM(G43:X43)</f>
        <v>2396.9299999999998</v>
      </c>
    </row>
    <row r="44" spans="1:32">
      <c r="A44" s="37">
        <v>2</v>
      </c>
      <c r="B44" s="6" t="s">
        <v>79</v>
      </c>
      <c r="C44" s="6" t="s">
        <v>77</v>
      </c>
      <c r="D44" s="6" t="s">
        <v>73</v>
      </c>
      <c r="E44" s="6" t="s">
        <v>74</v>
      </c>
      <c r="F44" s="7">
        <v>1500</v>
      </c>
      <c r="G44" s="20"/>
      <c r="H44" s="20"/>
      <c r="I44" s="20"/>
      <c r="J44" s="102">
        <v>1700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30">
        <f t="shared" ref="Y44:Y49" si="4">F44-(G44+H44+J44+K44+M44+N44+P44+Q44+R44+S44+T44+V44+W44)</f>
        <v>-200</v>
      </c>
      <c r="Z44" s="20">
        <f t="shared" ref="Z44:Z49" si="5">(G44+H44+J44+K44+M44+N44+P44+Q44+R44+S44+T44+V44+W44)</f>
        <v>1700</v>
      </c>
      <c r="AC44" s="328" t="s">
        <v>162</v>
      </c>
      <c r="AD44" s="329"/>
      <c r="AE44" s="329"/>
      <c r="AF44" s="329"/>
    </row>
    <row r="45" spans="1:32">
      <c r="A45" s="330">
        <v>3</v>
      </c>
      <c r="B45" s="277" t="s">
        <v>80</v>
      </c>
      <c r="C45" s="277" t="s">
        <v>77</v>
      </c>
      <c r="D45" s="6" t="s">
        <v>81</v>
      </c>
      <c r="E45" s="6" t="s">
        <v>6</v>
      </c>
      <c r="F45" s="7">
        <v>2000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>
        <f t="shared" si="4"/>
        <v>2000</v>
      </c>
      <c r="Z45" s="20">
        <f t="shared" si="5"/>
        <v>0</v>
      </c>
      <c r="AC45" s="26" t="s">
        <v>99</v>
      </c>
      <c r="AD45" s="26" t="s">
        <v>100</v>
      </c>
      <c r="AE45" s="26" t="s">
        <v>101</v>
      </c>
      <c r="AF45" s="26" t="s">
        <v>102</v>
      </c>
    </row>
    <row r="46" spans="1:32">
      <c r="A46" s="331"/>
      <c r="B46" s="277"/>
      <c r="C46" s="277"/>
      <c r="D46" s="6" t="s">
        <v>35</v>
      </c>
      <c r="E46" s="6"/>
      <c r="F46" s="7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30">
        <f t="shared" si="4"/>
        <v>0</v>
      </c>
      <c r="Z46" s="20">
        <f t="shared" si="5"/>
        <v>0</v>
      </c>
      <c r="AC46" s="25" t="s">
        <v>95</v>
      </c>
      <c r="AD46" s="13"/>
      <c r="AE46" s="13"/>
      <c r="AF46" s="24">
        <f>(G50+J50+M50+P50+S50+V50)</f>
        <v>4096.93</v>
      </c>
    </row>
    <row r="47" spans="1:32">
      <c r="A47" s="37">
        <v>4</v>
      </c>
      <c r="B47" s="6" t="s">
        <v>82</v>
      </c>
      <c r="C47" s="6" t="s">
        <v>83</v>
      </c>
      <c r="D47" s="6" t="s">
        <v>73</v>
      </c>
      <c r="E47" s="6" t="s">
        <v>84</v>
      </c>
      <c r="F47" s="7">
        <v>1500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>
        <f t="shared" si="4"/>
        <v>1500</v>
      </c>
      <c r="Z47" s="20">
        <f t="shared" si="5"/>
        <v>0</v>
      </c>
      <c r="AC47" s="25" t="s">
        <v>96</v>
      </c>
      <c r="AD47" s="13"/>
      <c r="AE47" s="13"/>
      <c r="AF47" s="24">
        <f>H50+K50+N50+Q50+T50+W50</f>
        <v>0</v>
      </c>
    </row>
    <row r="48" spans="1:32">
      <c r="A48" s="37">
        <v>5</v>
      </c>
      <c r="B48" s="6" t="s">
        <v>85</v>
      </c>
      <c r="C48" s="6" t="s">
        <v>83</v>
      </c>
      <c r="D48" s="6" t="s">
        <v>73</v>
      </c>
      <c r="E48" s="6" t="s">
        <v>86</v>
      </c>
      <c r="F48" s="7">
        <v>1500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>
        <f t="shared" si="4"/>
        <v>1500</v>
      </c>
      <c r="Z48" s="20">
        <f t="shared" si="5"/>
        <v>0</v>
      </c>
      <c r="AC48" s="25" t="s">
        <v>98</v>
      </c>
      <c r="AD48" s="13"/>
      <c r="AE48" s="13"/>
      <c r="AF48" s="13"/>
    </row>
    <row r="49" spans="1:32">
      <c r="A49" s="37">
        <v>6</v>
      </c>
      <c r="B49" s="6" t="s">
        <v>87</v>
      </c>
      <c r="C49" s="6" t="s">
        <v>88</v>
      </c>
      <c r="D49" s="6" t="s">
        <v>81</v>
      </c>
      <c r="E49" s="6" t="s">
        <v>89</v>
      </c>
      <c r="F49" s="7">
        <v>2000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>
        <f t="shared" si="4"/>
        <v>2000</v>
      </c>
      <c r="Z49" s="20">
        <f t="shared" si="5"/>
        <v>0</v>
      </c>
    </row>
    <row r="50" spans="1:32">
      <c r="A50" s="318" t="s">
        <v>105</v>
      </c>
      <c r="B50" s="324"/>
      <c r="C50" s="324"/>
      <c r="D50" s="324"/>
      <c r="E50" s="324"/>
      <c r="F50" s="28">
        <f>SUM(F43:F49)</f>
        <v>11000</v>
      </c>
      <c r="G50" s="29">
        <f>SUM(G43:G49)</f>
        <v>0</v>
      </c>
      <c r="H50" s="29">
        <f>SUM(H43:H49)</f>
        <v>0</v>
      </c>
      <c r="I50" s="29"/>
      <c r="J50" s="29">
        <f t="shared" ref="J50:Z50" si="6">SUM(J43:J49)</f>
        <v>1700</v>
      </c>
      <c r="K50" s="29">
        <f t="shared" si="6"/>
        <v>0</v>
      </c>
      <c r="L50" s="29"/>
      <c r="M50" s="29">
        <f t="shared" si="6"/>
        <v>2010.26</v>
      </c>
      <c r="N50" s="29">
        <f t="shared" si="6"/>
        <v>0</v>
      </c>
      <c r="O50" s="29"/>
      <c r="P50" s="29">
        <f>SUM(P43:P49)</f>
        <v>386.67</v>
      </c>
      <c r="Q50" s="29">
        <f t="shared" si="6"/>
        <v>0</v>
      </c>
      <c r="R50" s="29">
        <f t="shared" si="6"/>
        <v>0</v>
      </c>
      <c r="S50" s="29">
        <f t="shared" si="6"/>
        <v>0</v>
      </c>
      <c r="T50" s="29">
        <f t="shared" si="6"/>
        <v>0</v>
      </c>
      <c r="U50" s="29"/>
      <c r="V50" s="29">
        <f t="shared" si="6"/>
        <v>0</v>
      </c>
      <c r="W50" s="29">
        <f t="shared" si="6"/>
        <v>0</v>
      </c>
      <c r="X50" s="29"/>
      <c r="Y50" s="43">
        <f t="shared" si="6"/>
        <v>6903.07</v>
      </c>
      <c r="Z50" s="43">
        <f t="shared" si="6"/>
        <v>4096.93</v>
      </c>
    </row>
    <row r="54" spans="1:32" ht="24.6">
      <c r="A54" s="334" t="s">
        <v>120</v>
      </c>
      <c r="B54" s="335"/>
      <c r="C54" s="335"/>
      <c r="D54" s="335"/>
      <c r="E54" s="335"/>
      <c r="F54" s="335"/>
      <c r="G54" s="335"/>
      <c r="H54" s="335"/>
      <c r="I54" s="335"/>
      <c r="J54" s="335"/>
      <c r="K54" s="335"/>
      <c r="L54" s="335"/>
      <c r="M54" s="335"/>
      <c r="N54" s="335"/>
      <c r="O54" s="335"/>
      <c r="P54" s="335"/>
      <c r="Q54" s="335"/>
      <c r="R54" s="335"/>
      <c r="S54" s="335"/>
      <c r="T54" s="335"/>
      <c r="U54" s="335"/>
      <c r="V54" s="335"/>
      <c r="W54" s="335"/>
      <c r="X54" s="335"/>
      <c r="Y54" s="335"/>
      <c r="Z54" s="335"/>
    </row>
    <row r="55" spans="1:32" ht="28.8" customHeight="1">
      <c r="A55" s="261" t="s">
        <v>0</v>
      </c>
      <c r="B55" s="261"/>
      <c r="C55" s="261" t="s">
        <v>2</v>
      </c>
      <c r="D55" s="261" t="s">
        <v>8</v>
      </c>
      <c r="E55" s="367" t="s">
        <v>1</v>
      </c>
      <c r="F55" s="262" t="s">
        <v>3</v>
      </c>
      <c r="G55" s="317">
        <v>46195</v>
      </c>
      <c r="H55" s="317"/>
      <c r="I55" s="317"/>
      <c r="J55" s="317">
        <v>46196</v>
      </c>
      <c r="K55" s="317"/>
      <c r="L55" s="317"/>
      <c r="M55" s="317">
        <v>46197</v>
      </c>
      <c r="N55" s="317"/>
      <c r="O55" s="317"/>
      <c r="P55" s="317">
        <v>46198</v>
      </c>
      <c r="Q55" s="317"/>
      <c r="R55" s="317"/>
      <c r="S55" s="317">
        <v>46199</v>
      </c>
      <c r="T55" s="317"/>
      <c r="U55" s="317"/>
      <c r="V55" s="317">
        <v>46200</v>
      </c>
      <c r="W55" s="317"/>
      <c r="X55" s="317"/>
      <c r="Y55" s="332" t="s">
        <v>94</v>
      </c>
      <c r="Z55" s="326" t="s">
        <v>92</v>
      </c>
    </row>
    <row r="56" spans="1:32">
      <c r="A56" s="261"/>
      <c r="B56" s="261"/>
      <c r="C56" s="261"/>
      <c r="D56" s="261"/>
      <c r="E56" s="367"/>
      <c r="F56" s="262"/>
      <c r="G56" s="17" t="s">
        <v>95</v>
      </c>
      <c r="H56" s="17" t="s">
        <v>96</v>
      </c>
      <c r="I56" s="17" t="s">
        <v>98</v>
      </c>
      <c r="J56" s="17" t="s">
        <v>95</v>
      </c>
      <c r="K56" s="17" t="s">
        <v>96</v>
      </c>
      <c r="L56" s="17" t="s">
        <v>98</v>
      </c>
      <c r="M56" s="17" t="s">
        <v>95</v>
      </c>
      <c r="N56" s="17" t="s">
        <v>96</v>
      </c>
      <c r="O56" s="17" t="s">
        <v>98</v>
      </c>
      <c r="P56" s="17" t="s">
        <v>95</v>
      </c>
      <c r="Q56" s="17" t="s">
        <v>96</v>
      </c>
      <c r="R56" s="17" t="s">
        <v>98</v>
      </c>
      <c r="S56" s="17" t="s">
        <v>95</v>
      </c>
      <c r="T56" s="17" t="s">
        <v>96</v>
      </c>
      <c r="U56" s="17" t="s">
        <v>98</v>
      </c>
      <c r="V56" s="17" t="s">
        <v>95</v>
      </c>
      <c r="W56" s="17" t="s">
        <v>96</v>
      </c>
      <c r="X56" s="17" t="s">
        <v>98</v>
      </c>
      <c r="Y56" s="333"/>
      <c r="Z56" s="327"/>
    </row>
    <row r="57" spans="1:32">
      <c r="A57" s="37">
        <v>1</v>
      </c>
      <c r="B57" s="32" t="s">
        <v>112</v>
      </c>
      <c r="C57" s="315" t="s">
        <v>118</v>
      </c>
      <c r="D57" s="6"/>
      <c r="E57" s="33" t="s">
        <v>106</v>
      </c>
      <c r="F57" s="7"/>
      <c r="G57" s="13"/>
      <c r="H57" s="13"/>
      <c r="I57" s="13"/>
      <c r="J57" s="13"/>
      <c r="K57" s="13"/>
      <c r="L57" s="13"/>
      <c r="M57" s="34">
        <v>8910.9699999999993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20">
        <f>SUM(G57:Y57)</f>
        <v>8910.9699999999993</v>
      </c>
      <c r="AC57" s="365" t="s">
        <v>119</v>
      </c>
      <c r="AD57" s="366"/>
      <c r="AE57" s="366"/>
      <c r="AF57" s="366"/>
    </row>
    <row r="58" spans="1:32">
      <c r="A58" s="37">
        <v>2</v>
      </c>
      <c r="B58" s="32" t="s">
        <v>113</v>
      </c>
      <c r="C58" s="315"/>
      <c r="D58" s="6"/>
      <c r="E58" s="33" t="s">
        <v>107</v>
      </c>
      <c r="F58" s="7"/>
      <c r="G58" s="13"/>
      <c r="H58" s="13"/>
      <c r="I58" s="13"/>
      <c r="J58" s="13"/>
      <c r="K58" s="13"/>
      <c r="L58" s="13"/>
      <c r="M58" s="34">
        <v>9990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20">
        <f t="shared" ref="Z58:Z63" si="7">SUM(G58:Y58)</f>
        <v>9990</v>
      </c>
      <c r="AC58" s="26" t="s">
        <v>99</v>
      </c>
      <c r="AD58" s="26" t="s">
        <v>100</v>
      </c>
      <c r="AE58" s="26" t="s">
        <v>101</v>
      </c>
      <c r="AF58" s="26" t="s">
        <v>102</v>
      </c>
    </row>
    <row r="59" spans="1:32">
      <c r="A59" s="37">
        <v>3</v>
      </c>
      <c r="B59" s="32" t="s">
        <v>114</v>
      </c>
      <c r="C59" s="315"/>
      <c r="D59" s="6"/>
      <c r="E59" s="33" t="s">
        <v>108</v>
      </c>
      <c r="F59" s="7"/>
      <c r="G59" s="13"/>
      <c r="H59" s="13"/>
      <c r="I59" s="13"/>
      <c r="J59" s="13"/>
      <c r="K59" s="13"/>
      <c r="L59" s="13"/>
      <c r="M59" s="34">
        <v>3510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20">
        <f t="shared" si="7"/>
        <v>3510</v>
      </c>
      <c r="AC59" s="6" t="s">
        <v>95</v>
      </c>
      <c r="AD59" s="6"/>
      <c r="AE59" s="6"/>
      <c r="AF59" s="35">
        <f>(G64+J64+M64+P64+S64+V64)</f>
        <v>55459.08</v>
      </c>
    </row>
    <row r="60" spans="1:32">
      <c r="A60" s="37">
        <v>4</v>
      </c>
      <c r="B60" s="32" t="s">
        <v>114</v>
      </c>
      <c r="C60" s="315"/>
      <c r="D60" s="6"/>
      <c r="E60" s="33" t="s">
        <v>108</v>
      </c>
      <c r="F60" s="7"/>
      <c r="G60" s="13"/>
      <c r="H60" s="13"/>
      <c r="I60" s="13"/>
      <c r="J60" s="13"/>
      <c r="K60" s="13"/>
      <c r="L60" s="13"/>
      <c r="M60" s="34">
        <v>9990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20">
        <f t="shared" si="7"/>
        <v>9990</v>
      </c>
      <c r="AC60" s="6" t="s">
        <v>96</v>
      </c>
      <c r="AD60" s="6"/>
      <c r="AE60" s="6"/>
      <c r="AF60" s="6">
        <f>(H64+K64+N64+Q64+T64+W64)</f>
        <v>0</v>
      </c>
    </row>
    <row r="61" spans="1:32">
      <c r="A61" s="37">
        <v>5</v>
      </c>
      <c r="B61" s="32" t="s">
        <v>115</v>
      </c>
      <c r="C61" s="315"/>
      <c r="D61" s="6"/>
      <c r="E61" s="33" t="s">
        <v>109</v>
      </c>
      <c r="F61" s="7"/>
      <c r="G61" s="13"/>
      <c r="H61" s="13"/>
      <c r="I61" s="13"/>
      <c r="J61" s="13"/>
      <c r="K61" s="13"/>
      <c r="L61" s="13"/>
      <c r="M61" s="34">
        <v>8100.11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20">
        <f t="shared" si="7"/>
        <v>8100.11</v>
      </c>
      <c r="AC61" s="6" t="s">
        <v>103</v>
      </c>
      <c r="AD61" s="6"/>
      <c r="AE61" s="6"/>
      <c r="AF61" s="6">
        <f>(I64+L64+O64+R64+U64+X64)</f>
        <v>0</v>
      </c>
    </row>
    <row r="62" spans="1:32">
      <c r="A62" s="37">
        <v>6</v>
      </c>
      <c r="B62" s="32" t="s">
        <v>116</v>
      </c>
      <c r="C62" s="315"/>
      <c r="D62" s="6"/>
      <c r="E62" s="33" t="s">
        <v>110</v>
      </c>
      <c r="F62" s="7"/>
      <c r="G62" s="13"/>
      <c r="H62" s="13"/>
      <c r="I62" s="13"/>
      <c r="J62" s="13"/>
      <c r="K62" s="13"/>
      <c r="L62" s="13"/>
      <c r="M62" s="34">
        <v>6858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20">
        <f t="shared" si="7"/>
        <v>6858</v>
      </c>
    </row>
    <row r="63" spans="1:32">
      <c r="A63" s="37">
        <v>7</v>
      </c>
      <c r="B63" s="32" t="s">
        <v>117</v>
      </c>
      <c r="C63" s="315"/>
      <c r="D63" s="6"/>
      <c r="E63" s="33" t="s">
        <v>111</v>
      </c>
      <c r="F63" s="7"/>
      <c r="G63" s="13"/>
      <c r="H63" s="13"/>
      <c r="I63" s="13"/>
      <c r="J63" s="13"/>
      <c r="K63" s="13"/>
      <c r="L63" s="13"/>
      <c r="M63" s="34">
        <v>8100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20">
        <f t="shared" si="7"/>
        <v>8100</v>
      </c>
    </row>
    <row r="64" spans="1:32">
      <c r="A64" s="318" t="s">
        <v>105</v>
      </c>
      <c r="B64" s="324"/>
      <c r="C64" s="324"/>
      <c r="D64" s="324"/>
      <c r="E64" s="324"/>
      <c r="F64" s="36"/>
      <c r="G64" s="13">
        <f>SUM(G57:G63)</f>
        <v>0</v>
      </c>
      <c r="H64" s="13">
        <f>SUM(H57:H63)</f>
        <v>0</v>
      </c>
      <c r="I64" s="13">
        <f>SUM(I57:I63)</f>
        <v>0</v>
      </c>
      <c r="J64" s="13">
        <f t="shared" ref="J64:Z64" si="8">SUM(J57:J63)</f>
        <v>0</v>
      </c>
      <c r="K64" s="13">
        <f t="shared" si="8"/>
        <v>0</v>
      </c>
      <c r="L64" s="13">
        <f t="shared" si="8"/>
        <v>0</v>
      </c>
      <c r="M64" s="20">
        <f t="shared" si="8"/>
        <v>55459.08</v>
      </c>
      <c r="N64" s="13">
        <f t="shared" si="8"/>
        <v>0</v>
      </c>
      <c r="O64" s="13">
        <f t="shared" si="8"/>
        <v>0</v>
      </c>
      <c r="P64" s="13">
        <f t="shared" si="8"/>
        <v>0</v>
      </c>
      <c r="Q64" s="13">
        <f t="shared" si="8"/>
        <v>0</v>
      </c>
      <c r="R64" s="13">
        <f t="shared" si="8"/>
        <v>0</v>
      </c>
      <c r="S64" s="13">
        <f t="shared" si="8"/>
        <v>0</v>
      </c>
      <c r="T64" s="13">
        <f t="shared" si="8"/>
        <v>0</v>
      </c>
      <c r="U64" s="13">
        <f t="shared" si="8"/>
        <v>0</v>
      </c>
      <c r="V64" s="13">
        <f t="shared" si="8"/>
        <v>0</v>
      </c>
      <c r="W64" s="13">
        <f t="shared" si="8"/>
        <v>0</v>
      </c>
      <c r="X64" s="13">
        <f t="shared" si="8"/>
        <v>0</v>
      </c>
      <c r="Y64" s="13">
        <f t="shared" si="8"/>
        <v>0</v>
      </c>
      <c r="Z64" s="20">
        <f t="shared" si="8"/>
        <v>55459.08</v>
      </c>
    </row>
    <row r="67" spans="1:25" ht="24.6">
      <c r="A67" s="354" t="s">
        <v>142</v>
      </c>
      <c r="B67" s="355"/>
      <c r="C67" s="355"/>
      <c r="D67" s="355"/>
      <c r="E67" s="355"/>
      <c r="F67" s="355"/>
      <c r="G67" s="355"/>
      <c r="H67" s="355"/>
      <c r="I67" s="355"/>
      <c r="J67" s="355"/>
      <c r="K67" s="355"/>
      <c r="L67" s="355"/>
      <c r="M67" s="355"/>
      <c r="N67" s="355"/>
      <c r="O67" s="355"/>
      <c r="P67" s="355"/>
      <c r="Q67" s="355"/>
      <c r="R67" s="355"/>
      <c r="S67" s="355"/>
      <c r="T67" s="355"/>
      <c r="U67" s="355"/>
      <c r="V67" s="355"/>
      <c r="W67" s="355"/>
    </row>
    <row r="68" spans="1:25" ht="14.4" customHeight="1">
      <c r="A68" s="261" t="s">
        <v>0</v>
      </c>
      <c r="B68" s="261"/>
      <c r="C68" s="261" t="s">
        <v>145</v>
      </c>
      <c r="D68" s="261" t="s">
        <v>8</v>
      </c>
      <c r="E68" s="261" t="s">
        <v>1</v>
      </c>
      <c r="F68" s="262" t="s">
        <v>3</v>
      </c>
      <c r="G68" s="317">
        <v>46195</v>
      </c>
      <c r="H68" s="317"/>
      <c r="I68" s="317">
        <v>46196</v>
      </c>
      <c r="J68" s="317"/>
      <c r="K68" s="317">
        <v>46197</v>
      </c>
      <c r="L68" s="317"/>
      <c r="M68" s="317">
        <v>46198</v>
      </c>
      <c r="N68" s="317"/>
      <c r="O68" s="317">
        <v>46199</v>
      </c>
      <c r="P68" s="317"/>
      <c r="Q68" s="317">
        <v>46200</v>
      </c>
      <c r="R68" s="317"/>
      <c r="S68" s="317">
        <v>46201</v>
      </c>
      <c r="T68" s="317"/>
      <c r="U68" s="17" t="s">
        <v>156</v>
      </c>
      <c r="V68" s="352" t="s">
        <v>157</v>
      </c>
      <c r="W68" s="352"/>
    </row>
    <row r="69" spans="1:25">
      <c r="A69" s="261"/>
      <c r="B69" s="261"/>
      <c r="C69" s="261"/>
      <c r="D69" s="261"/>
      <c r="E69" s="261"/>
      <c r="F69" s="262"/>
      <c r="G69" s="17" t="s">
        <v>100</v>
      </c>
      <c r="H69" s="17" t="s">
        <v>144</v>
      </c>
      <c r="I69" s="17" t="s">
        <v>100</v>
      </c>
      <c r="J69" s="17" t="s">
        <v>144</v>
      </c>
      <c r="K69" s="17" t="s">
        <v>100</v>
      </c>
      <c r="L69" s="17" t="s">
        <v>144</v>
      </c>
      <c r="M69" s="17" t="s">
        <v>100</v>
      </c>
      <c r="N69" s="17" t="s">
        <v>144</v>
      </c>
      <c r="O69" s="17" t="s">
        <v>100</v>
      </c>
      <c r="P69" s="17" t="s">
        <v>144</v>
      </c>
      <c r="Q69" s="17" t="s">
        <v>100</v>
      </c>
      <c r="R69" s="17" t="s">
        <v>144</v>
      </c>
      <c r="S69" s="17" t="s">
        <v>100</v>
      </c>
      <c r="T69" s="17" t="s">
        <v>144</v>
      </c>
      <c r="U69" s="62">
        <v>27</v>
      </c>
      <c r="V69" s="353"/>
      <c r="W69" s="353"/>
    </row>
    <row r="70" spans="1:25">
      <c r="A70" s="37">
        <v>1</v>
      </c>
      <c r="B70" s="32" t="s">
        <v>146</v>
      </c>
      <c r="C70" s="56" t="s">
        <v>149</v>
      </c>
      <c r="D70" s="6"/>
      <c r="E70" s="32"/>
      <c r="F70" s="7"/>
      <c r="G70" s="82">
        <v>660</v>
      </c>
      <c r="H70" s="23" t="s">
        <v>153</v>
      </c>
      <c r="I70" s="13"/>
      <c r="J70" s="13"/>
      <c r="K70" s="82">
        <v>550</v>
      </c>
      <c r="L70" s="13" t="s">
        <v>154</v>
      </c>
      <c r="M70" s="82">
        <v>550</v>
      </c>
      <c r="N70" s="13" t="s">
        <v>155</v>
      </c>
      <c r="O70" s="82">
        <v>480</v>
      </c>
      <c r="P70" s="13" t="s">
        <v>175</v>
      </c>
      <c r="Q70" s="82">
        <v>290</v>
      </c>
      <c r="R70" s="13" t="s">
        <v>176</v>
      </c>
      <c r="S70" s="83">
        <v>200</v>
      </c>
      <c r="T70" s="13"/>
      <c r="U70" s="61">
        <f>V70*U69</f>
        <v>73710</v>
      </c>
      <c r="V70" s="13">
        <f>G70+I70+K70+M70+O70+Q70+S70</f>
        <v>2730</v>
      </c>
      <c r="X70" t="s">
        <v>100</v>
      </c>
      <c r="Y70">
        <f>G70+K70+M70+M71+O70+Q70+Q71+S71</f>
        <v>3730</v>
      </c>
    </row>
    <row r="71" spans="1:25">
      <c r="A71" s="37">
        <v>2</v>
      </c>
      <c r="B71" s="32" t="s">
        <v>150</v>
      </c>
      <c r="C71" s="56" t="s">
        <v>148</v>
      </c>
      <c r="D71" s="6"/>
      <c r="E71" s="32"/>
      <c r="F71" s="7"/>
      <c r="G71" s="13"/>
      <c r="H71" s="13"/>
      <c r="I71" s="13"/>
      <c r="J71" s="13"/>
      <c r="K71" s="13"/>
      <c r="L71" s="13"/>
      <c r="M71" s="82">
        <v>400</v>
      </c>
      <c r="N71" s="13" t="s">
        <v>177</v>
      </c>
      <c r="O71" s="13"/>
      <c r="P71" s="13"/>
      <c r="Q71" s="82">
        <v>600</v>
      </c>
      <c r="R71" s="13" t="s">
        <v>178</v>
      </c>
      <c r="S71" s="82">
        <v>200</v>
      </c>
      <c r="T71" s="13" t="s">
        <v>179</v>
      </c>
      <c r="U71" s="61">
        <f>V71*U70</f>
        <v>88452000</v>
      </c>
      <c r="V71" s="13">
        <f t="shared" ref="V71:V74" si="9">G71+I71+K71+M71+O71+Q71+S71</f>
        <v>1200</v>
      </c>
      <c r="X71" t="s">
        <v>138</v>
      </c>
      <c r="Y71" s="60">
        <f>Y70*U69</f>
        <v>100710</v>
      </c>
    </row>
    <row r="72" spans="1:25">
      <c r="A72" s="37">
        <v>3</v>
      </c>
      <c r="B72" s="32" t="s">
        <v>151</v>
      </c>
      <c r="C72" s="56" t="s">
        <v>152</v>
      </c>
      <c r="D72" s="6"/>
      <c r="E72" s="32"/>
      <c r="F72" s="7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61">
        <f t="shared" ref="U72:U74" si="10">V72*U71</f>
        <v>0</v>
      </c>
      <c r="V72" s="13">
        <f t="shared" si="9"/>
        <v>0</v>
      </c>
    </row>
    <row r="73" spans="1:25">
      <c r="A73" s="37">
        <v>4</v>
      </c>
      <c r="B73" s="32"/>
      <c r="C73" s="56"/>
      <c r="D73" s="6"/>
      <c r="E73" s="32"/>
      <c r="F73" s="7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61">
        <f t="shared" si="10"/>
        <v>0</v>
      </c>
      <c r="V73" s="13">
        <f t="shared" si="9"/>
        <v>0</v>
      </c>
    </row>
    <row r="74" spans="1:25">
      <c r="A74" s="318" t="s">
        <v>105</v>
      </c>
      <c r="B74" s="324"/>
      <c r="C74" s="324"/>
      <c r="D74" s="324"/>
      <c r="E74" s="324"/>
      <c r="F74" s="36"/>
      <c r="G74" s="63">
        <f>SUM(G70:G73)</f>
        <v>660</v>
      </c>
      <c r="H74" s="63"/>
      <c r="I74" s="63">
        <f>SUM(I70:I73)</f>
        <v>0</v>
      </c>
      <c r="J74" s="63"/>
      <c r="K74" s="63">
        <f>SUM(K70:K73)</f>
        <v>550</v>
      </c>
      <c r="L74" s="63"/>
      <c r="M74" s="63">
        <f>SUM(M70:M73)</f>
        <v>950</v>
      </c>
      <c r="N74" s="63"/>
      <c r="O74" s="63">
        <f>SUM(O70:O73)</f>
        <v>480</v>
      </c>
      <c r="P74" s="63"/>
      <c r="Q74" s="63">
        <f>SUM(Q70:Q73)</f>
        <v>890</v>
      </c>
      <c r="R74" s="63"/>
      <c r="S74" s="63">
        <f>SUM(S70:S73)</f>
        <v>400</v>
      </c>
      <c r="T74" s="63"/>
      <c r="U74" s="61">
        <f t="shared" si="10"/>
        <v>0</v>
      </c>
      <c r="V74" s="13">
        <f t="shared" si="9"/>
        <v>3930</v>
      </c>
    </row>
    <row r="75" spans="1:25">
      <c r="A75" s="6"/>
      <c r="B75" s="6"/>
      <c r="C75" s="6"/>
      <c r="D75" s="6"/>
      <c r="E75" s="6"/>
      <c r="F75" s="7"/>
      <c r="G75" s="356">
        <f>G74*U69</f>
        <v>17820</v>
      </c>
      <c r="H75" s="357"/>
      <c r="I75" s="351">
        <f>I74*U69</f>
        <v>0</v>
      </c>
      <c r="J75" s="284"/>
      <c r="K75" s="356">
        <f>K74*U69</f>
        <v>14850</v>
      </c>
      <c r="L75" s="357"/>
      <c r="M75" s="351">
        <f>M74*U69</f>
        <v>25650</v>
      </c>
      <c r="N75" s="284"/>
      <c r="O75" s="351">
        <f>O74*U69</f>
        <v>12960</v>
      </c>
      <c r="P75" s="284"/>
      <c r="Q75" s="351">
        <f>Q74*U69</f>
        <v>24030</v>
      </c>
      <c r="R75" s="284"/>
      <c r="S75" s="351">
        <f>S74*U69</f>
        <v>10800</v>
      </c>
      <c r="T75" s="284"/>
      <c r="U75" s="60">
        <f>SUM(U70:U74)</f>
        <v>88525710</v>
      </c>
      <c r="V75" s="64">
        <f>SUM(V70:V74)</f>
        <v>7860</v>
      </c>
    </row>
    <row r="83" spans="1:26" ht="24.6">
      <c r="A83" s="325" t="s">
        <v>93</v>
      </c>
      <c r="B83" s="343"/>
      <c r="C83" s="343"/>
      <c r="D83" s="343"/>
      <c r="E83" s="343"/>
      <c r="F83" s="343"/>
      <c r="G83" s="343"/>
      <c r="H83" s="343"/>
      <c r="I83" s="343"/>
      <c r="J83" s="343"/>
      <c r="K83" s="343"/>
      <c r="L83" s="343"/>
      <c r="M83" s="343"/>
      <c r="N83" s="343"/>
      <c r="O83" s="343"/>
      <c r="P83" s="343"/>
      <c r="Q83" s="343"/>
      <c r="R83" s="343"/>
      <c r="S83" s="343"/>
      <c r="T83" s="343"/>
      <c r="U83" s="343"/>
      <c r="V83" s="343"/>
      <c r="W83" s="343"/>
      <c r="X83" s="343"/>
      <c r="Y83" s="343"/>
      <c r="Z83" s="343"/>
    </row>
    <row r="84" spans="1:26" ht="14.4" customHeight="1">
      <c r="A84" s="269" t="s">
        <v>0</v>
      </c>
      <c r="B84" s="348"/>
      <c r="C84" s="261" t="s">
        <v>2</v>
      </c>
      <c r="D84" s="261" t="s">
        <v>8</v>
      </c>
      <c r="E84" s="261" t="s">
        <v>122</v>
      </c>
      <c r="F84" s="262" t="s">
        <v>91</v>
      </c>
      <c r="G84" s="317">
        <v>46195</v>
      </c>
      <c r="H84" s="317"/>
      <c r="I84" s="317">
        <v>46196</v>
      </c>
      <c r="J84" s="317"/>
      <c r="K84" s="317">
        <v>46197</v>
      </c>
      <c r="L84" s="317"/>
      <c r="M84" s="317">
        <v>46198</v>
      </c>
      <c r="N84" s="317"/>
      <c r="O84" s="317">
        <v>46199</v>
      </c>
      <c r="P84" s="317"/>
      <c r="Q84" s="317">
        <v>46200</v>
      </c>
      <c r="R84" s="317"/>
      <c r="S84" s="317">
        <v>46201</v>
      </c>
      <c r="T84" s="317"/>
      <c r="U84" s="364" t="s">
        <v>137</v>
      </c>
      <c r="V84" s="360" t="s">
        <v>136</v>
      </c>
      <c r="W84" s="360" t="s">
        <v>102</v>
      </c>
    </row>
    <row r="85" spans="1:26">
      <c r="A85" s="271"/>
      <c r="B85" s="349"/>
      <c r="C85" s="261"/>
      <c r="D85" s="261"/>
      <c r="E85" s="261"/>
      <c r="F85" s="262"/>
      <c r="G85" s="17" t="s">
        <v>95</v>
      </c>
      <c r="H85" s="17" t="s">
        <v>96</v>
      </c>
      <c r="I85" s="17" t="s">
        <v>95</v>
      </c>
      <c r="J85" s="17" t="s">
        <v>121</v>
      </c>
      <c r="K85" s="17" t="s">
        <v>95</v>
      </c>
      <c r="L85" s="17" t="s">
        <v>96</v>
      </c>
      <c r="M85" s="17" t="s">
        <v>95</v>
      </c>
      <c r="N85" s="17" t="s">
        <v>96</v>
      </c>
      <c r="O85" s="17" t="s">
        <v>95</v>
      </c>
      <c r="P85" s="17" t="s">
        <v>96</v>
      </c>
      <c r="Q85" s="17" t="s">
        <v>95</v>
      </c>
      <c r="R85" s="17" t="s">
        <v>96</v>
      </c>
      <c r="S85" s="17" t="s">
        <v>95</v>
      </c>
      <c r="T85" s="17" t="s">
        <v>96</v>
      </c>
      <c r="U85" s="364"/>
      <c r="V85" s="361"/>
      <c r="W85" s="361"/>
    </row>
    <row r="86" spans="1:26" ht="27.6">
      <c r="A86" s="277">
        <v>1</v>
      </c>
      <c r="B86" s="362" t="s">
        <v>124</v>
      </c>
      <c r="C86" s="277" t="s">
        <v>125</v>
      </c>
      <c r="D86" s="51" t="s">
        <v>126</v>
      </c>
      <c r="E86" s="6"/>
      <c r="F86" s="48"/>
      <c r="G86" s="6"/>
      <c r="H86" s="49">
        <v>106</v>
      </c>
      <c r="I86" s="6"/>
      <c r="J86" s="6">
        <v>21</v>
      </c>
      <c r="K86" s="6"/>
      <c r="L86" s="6">
        <v>76</v>
      </c>
      <c r="M86" s="6"/>
      <c r="N86" s="6"/>
      <c r="O86" s="6"/>
      <c r="P86" s="6">
        <v>120</v>
      </c>
      <c r="Q86" s="6"/>
      <c r="R86" s="6"/>
      <c r="S86" s="6"/>
      <c r="T86" s="6"/>
      <c r="U86" s="6">
        <f>SUM(G86:T86)</f>
        <v>323</v>
      </c>
      <c r="V86" s="47">
        <v>27</v>
      </c>
      <c r="W86" s="21">
        <f>U86*V86</f>
        <v>8721</v>
      </c>
    </row>
    <row r="87" spans="1:26">
      <c r="A87" s="277"/>
      <c r="B87" s="362"/>
      <c r="C87" s="277"/>
      <c r="D87" s="51" t="s">
        <v>127</v>
      </c>
      <c r="E87" s="6"/>
      <c r="F87" s="48"/>
      <c r="G87" s="6"/>
      <c r="H87" s="49">
        <v>50</v>
      </c>
      <c r="I87" s="6"/>
      <c r="J87" s="6"/>
      <c r="K87" s="6"/>
      <c r="L87" s="6">
        <v>50</v>
      </c>
      <c r="M87" s="6"/>
      <c r="N87" s="6">
        <v>30</v>
      </c>
      <c r="O87" s="6"/>
      <c r="P87" s="6">
        <v>30</v>
      </c>
      <c r="Q87" s="6"/>
      <c r="R87" s="6"/>
      <c r="S87" s="6"/>
      <c r="T87" s="6"/>
      <c r="U87" s="6">
        <f>SUM(G87:T87)</f>
        <v>160</v>
      </c>
      <c r="V87" s="47">
        <v>27</v>
      </c>
      <c r="W87" s="21">
        <f t="shared" ref="W87:W96" si="11">U87*V87</f>
        <v>4320</v>
      </c>
    </row>
    <row r="88" spans="1:26" ht="56.4" customHeight="1">
      <c r="A88" s="277"/>
      <c r="B88" s="362"/>
      <c r="C88" s="277"/>
      <c r="D88" s="51" t="s">
        <v>128</v>
      </c>
      <c r="E88" s="6"/>
      <c r="F88" s="48"/>
      <c r="G88" s="6"/>
      <c r="H88" s="49">
        <v>50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>
        <f t="shared" ref="U88:U96" si="12">SUM(G88:T88)</f>
        <v>50</v>
      </c>
      <c r="V88" s="47">
        <v>27</v>
      </c>
      <c r="W88" s="21">
        <f t="shared" si="11"/>
        <v>1350</v>
      </c>
    </row>
    <row r="89" spans="1:26" ht="27.6">
      <c r="A89" s="277"/>
      <c r="B89" s="362"/>
      <c r="C89" s="277"/>
      <c r="D89" s="51" t="s">
        <v>129</v>
      </c>
      <c r="E89" s="6"/>
      <c r="F89" s="48"/>
      <c r="G89" s="6"/>
      <c r="H89" s="49">
        <v>60</v>
      </c>
      <c r="I89" s="6"/>
      <c r="J89" s="6">
        <v>50</v>
      </c>
      <c r="K89" s="6"/>
      <c r="L89" s="6">
        <v>40</v>
      </c>
      <c r="M89" s="6"/>
      <c r="N89" s="6"/>
      <c r="O89" s="6"/>
      <c r="P89" s="6">
        <v>40</v>
      </c>
      <c r="Q89" s="6"/>
      <c r="R89" s="6"/>
      <c r="S89" s="6"/>
      <c r="T89" s="6"/>
      <c r="U89" s="6">
        <f t="shared" si="12"/>
        <v>190</v>
      </c>
      <c r="V89" s="47">
        <v>27</v>
      </c>
      <c r="W89" s="21">
        <f t="shared" si="11"/>
        <v>5130</v>
      </c>
    </row>
    <row r="90" spans="1:26" ht="51.6" customHeight="1">
      <c r="A90" s="277"/>
      <c r="B90" s="362"/>
      <c r="C90" s="277"/>
      <c r="D90" s="51" t="s">
        <v>130</v>
      </c>
      <c r="E90" s="6"/>
      <c r="F90" s="48"/>
      <c r="G90" s="6"/>
      <c r="H90" s="49">
        <v>250</v>
      </c>
      <c r="I90" s="6"/>
      <c r="J90" s="6"/>
      <c r="K90" s="6"/>
      <c r="L90" s="6">
        <v>200</v>
      </c>
      <c r="M90" s="6"/>
      <c r="N90" s="6"/>
      <c r="O90" s="6"/>
      <c r="P90" s="6">
        <v>200</v>
      </c>
      <c r="Q90" s="6"/>
      <c r="R90" s="6"/>
      <c r="S90" s="6"/>
      <c r="T90" s="6"/>
      <c r="U90" s="6">
        <f t="shared" si="12"/>
        <v>650</v>
      </c>
      <c r="V90" s="47">
        <v>27</v>
      </c>
      <c r="W90" s="21">
        <f t="shared" si="11"/>
        <v>17550</v>
      </c>
    </row>
    <row r="91" spans="1:26" ht="50.4" customHeight="1">
      <c r="A91" s="277"/>
      <c r="B91" s="362"/>
      <c r="C91" s="277"/>
      <c r="D91" s="51" t="s">
        <v>131</v>
      </c>
      <c r="E91" s="6"/>
      <c r="F91" s="48"/>
      <c r="G91" s="6"/>
      <c r="H91" s="49">
        <v>250</v>
      </c>
      <c r="I91" s="6"/>
      <c r="J91" s="6"/>
      <c r="K91" s="6"/>
      <c r="L91" s="6"/>
      <c r="M91" s="6"/>
      <c r="N91" s="6"/>
      <c r="O91" s="6"/>
      <c r="P91" s="6">
        <v>329</v>
      </c>
      <c r="Q91" s="6"/>
      <c r="R91" s="6"/>
      <c r="S91" s="6"/>
      <c r="T91" s="6"/>
      <c r="U91" s="6">
        <f t="shared" si="12"/>
        <v>579</v>
      </c>
      <c r="V91" s="47">
        <v>27</v>
      </c>
      <c r="W91" s="21">
        <f t="shared" si="11"/>
        <v>15633</v>
      </c>
    </row>
    <row r="92" spans="1:26">
      <c r="A92" s="277"/>
      <c r="B92" s="362"/>
      <c r="C92" s="277"/>
      <c r="D92" s="51" t="s">
        <v>132</v>
      </c>
      <c r="E92" s="6"/>
      <c r="F92" s="48"/>
      <c r="G92" s="6"/>
      <c r="H92" s="6"/>
      <c r="I92" s="6"/>
      <c r="J92" s="6">
        <v>31</v>
      </c>
      <c r="K92" s="6"/>
      <c r="L92" s="6"/>
      <c r="M92" s="6"/>
      <c r="N92" s="6">
        <v>26</v>
      </c>
      <c r="O92" s="6"/>
      <c r="P92" s="6"/>
      <c r="Q92" s="6"/>
      <c r="R92" s="6"/>
      <c r="S92" s="6"/>
      <c r="T92" s="6"/>
      <c r="U92" s="6">
        <f t="shared" si="12"/>
        <v>57</v>
      </c>
      <c r="V92" s="47">
        <v>27</v>
      </c>
      <c r="W92" s="21">
        <f t="shared" si="11"/>
        <v>1539</v>
      </c>
    </row>
    <row r="93" spans="1:26" ht="43.2">
      <c r="A93" s="277"/>
      <c r="B93" s="362"/>
      <c r="C93" s="277"/>
      <c r="D93" s="50" t="s">
        <v>133</v>
      </c>
      <c r="E93" s="6"/>
      <c r="F93" s="48"/>
      <c r="G93" s="6"/>
      <c r="H93" s="6"/>
      <c r="I93" s="6"/>
      <c r="J93" s="6"/>
      <c r="K93" s="6"/>
      <c r="L93" s="6">
        <v>35</v>
      </c>
      <c r="M93" s="6"/>
      <c r="N93" s="6">
        <v>30</v>
      </c>
      <c r="O93" s="6"/>
      <c r="P93" s="6">
        <v>40</v>
      </c>
      <c r="Q93" s="6"/>
      <c r="R93" s="6"/>
      <c r="S93" s="6"/>
      <c r="T93" s="6"/>
      <c r="U93" s="6">
        <f t="shared" si="12"/>
        <v>105</v>
      </c>
      <c r="V93" s="47">
        <v>27</v>
      </c>
      <c r="W93" s="21">
        <f t="shared" si="11"/>
        <v>2835</v>
      </c>
    </row>
    <row r="94" spans="1:26" ht="43.2">
      <c r="A94" s="277"/>
      <c r="B94" s="362"/>
      <c r="C94" s="277"/>
      <c r="D94" s="50" t="s">
        <v>133</v>
      </c>
      <c r="E94" s="6"/>
      <c r="F94" s="48"/>
      <c r="G94" s="6"/>
      <c r="H94" s="6"/>
      <c r="I94" s="6"/>
      <c r="J94" s="6"/>
      <c r="K94" s="6"/>
      <c r="L94" s="6">
        <v>40</v>
      </c>
      <c r="M94" s="6"/>
      <c r="N94" s="6"/>
      <c r="O94" s="6"/>
      <c r="P94" s="6">
        <v>32</v>
      </c>
      <c r="Q94" s="6"/>
      <c r="R94" s="6"/>
      <c r="S94" s="6"/>
      <c r="T94" s="6"/>
      <c r="U94" s="6">
        <f t="shared" si="12"/>
        <v>72</v>
      </c>
      <c r="V94" s="47">
        <v>27</v>
      </c>
      <c r="W94" s="21">
        <f t="shared" si="11"/>
        <v>1944</v>
      </c>
    </row>
    <row r="95" spans="1:26">
      <c r="A95" s="277"/>
      <c r="B95" s="362"/>
      <c r="C95" s="277"/>
      <c r="D95" s="50" t="s">
        <v>134</v>
      </c>
      <c r="E95" s="6"/>
      <c r="F95" s="48"/>
      <c r="G95" s="6"/>
      <c r="H95" s="6"/>
      <c r="I95" s="6"/>
      <c r="J95" s="6"/>
      <c r="K95" s="6"/>
      <c r="L95" s="6"/>
      <c r="M95" s="6"/>
      <c r="N95" s="6">
        <v>50</v>
      </c>
      <c r="O95" s="6"/>
      <c r="P95" s="6"/>
      <c r="Q95" s="6"/>
      <c r="R95" s="6"/>
      <c r="S95" s="6"/>
      <c r="T95" s="6"/>
      <c r="U95" s="6">
        <f t="shared" si="12"/>
        <v>50</v>
      </c>
      <c r="V95" s="47">
        <v>27</v>
      </c>
      <c r="W95" s="21">
        <f t="shared" si="11"/>
        <v>1350</v>
      </c>
    </row>
    <row r="96" spans="1:26" ht="28.8">
      <c r="A96" s="277"/>
      <c r="B96" s="362"/>
      <c r="C96" s="277"/>
      <c r="D96" s="50" t="s">
        <v>135</v>
      </c>
      <c r="E96" s="6"/>
      <c r="F96" s="48"/>
      <c r="G96" s="6"/>
      <c r="H96" s="6"/>
      <c r="I96" s="6"/>
      <c r="J96" s="6"/>
      <c r="K96" s="6"/>
      <c r="L96" s="6"/>
      <c r="M96" s="6"/>
      <c r="N96" s="6">
        <v>14</v>
      </c>
      <c r="O96" s="6"/>
      <c r="P96" s="6">
        <v>16</v>
      </c>
      <c r="Q96" s="6"/>
      <c r="R96" s="6"/>
      <c r="S96" s="6"/>
      <c r="T96" s="6"/>
      <c r="U96" s="6">
        <f t="shared" si="12"/>
        <v>30</v>
      </c>
      <c r="V96" s="47">
        <v>27</v>
      </c>
      <c r="W96" s="21">
        <f t="shared" si="11"/>
        <v>810</v>
      </c>
    </row>
    <row r="97" spans="1:23">
      <c r="C97" s="359" t="s">
        <v>138</v>
      </c>
      <c r="D97" s="359"/>
      <c r="E97" s="359"/>
      <c r="F97" s="359"/>
      <c r="G97" s="6">
        <f>SUM(G86:G96)</f>
        <v>0</v>
      </c>
      <c r="H97" s="53">
        <f>SUM(H86:H96)</f>
        <v>766</v>
      </c>
      <c r="I97" s="6">
        <f t="shared" ref="I97:T97" si="13">SUM(I86:I96)</f>
        <v>0</v>
      </c>
      <c r="J97" s="53">
        <f t="shared" si="13"/>
        <v>102</v>
      </c>
      <c r="K97" s="6">
        <f t="shared" si="13"/>
        <v>0</v>
      </c>
      <c r="L97" s="53">
        <f t="shared" si="13"/>
        <v>441</v>
      </c>
      <c r="M97" s="6">
        <f t="shared" si="13"/>
        <v>0</v>
      </c>
      <c r="N97" s="53">
        <f t="shared" si="13"/>
        <v>150</v>
      </c>
      <c r="O97" s="6">
        <f t="shared" si="13"/>
        <v>0</v>
      </c>
      <c r="P97" s="53">
        <f t="shared" si="13"/>
        <v>807</v>
      </c>
      <c r="Q97" s="6">
        <f t="shared" si="13"/>
        <v>0</v>
      </c>
      <c r="R97" s="53">
        <f t="shared" si="13"/>
        <v>0</v>
      </c>
      <c r="S97" s="6">
        <f t="shared" si="13"/>
        <v>0</v>
      </c>
      <c r="T97" s="53">
        <f t="shared" si="13"/>
        <v>0</v>
      </c>
      <c r="U97" s="87">
        <f>SUM(U86:U96)</f>
        <v>2266</v>
      </c>
      <c r="W97" s="55">
        <f>SUM(W86:W96)</f>
        <v>61182</v>
      </c>
    </row>
    <row r="98" spans="1:23">
      <c r="C98" s="359"/>
      <c r="D98" s="359"/>
      <c r="E98" s="359"/>
      <c r="F98" s="359"/>
      <c r="G98" s="358">
        <f>G97+H97</f>
        <v>766</v>
      </c>
      <c r="H98" s="284"/>
      <c r="I98" s="358">
        <f>I97+J97</f>
        <v>102</v>
      </c>
      <c r="J98" s="284"/>
      <c r="K98" s="358">
        <f>K97+L97</f>
        <v>441</v>
      </c>
      <c r="L98" s="284"/>
      <c r="M98" s="358">
        <f>M97+N97</f>
        <v>150</v>
      </c>
      <c r="N98" s="284"/>
      <c r="O98" s="358">
        <f>O97+P97</f>
        <v>807</v>
      </c>
      <c r="P98" s="284"/>
      <c r="Q98" s="358">
        <f>Q97+R97</f>
        <v>0</v>
      </c>
      <c r="R98" s="284"/>
      <c r="S98" s="358">
        <f>S97+T97</f>
        <v>0</v>
      </c>
      <c r="T98" s="284"/>
      <c r="U98" s="54">
        <f>SUM(G98:S98)</f>
        <v>2266</v>
      </c>
      <c r="W98" s="55">
        <f>U98*V96</f>
        <v>61182</v>
      </c>
    </row>
    <row r="103" spans="1:23">
      <c r="A103" s="269" t="s">
        <v>0</v>
      </c>
      <c r="B103" s="348"/>
      <c r="C103" s="261" t="s">
        <v>2</v>
      </c>
      <c r="D103" s="261" t="s">
        <v>8</v>
      </c>
      <c r="E103" s="350">
        <v>46195</v>
      </c>
      <c r="F103" s="345">
        <v>46196</v>
      </c>
      <c r="G103" s="346">
        <v>46197</v>
      </c>
      <c r="H103" s="346">
        <v>46198</v>
      </c>
      <c r="I103" s="346">
        <v>46199</v>
      </c>
      <c r="J103" s="346">
        <v>46200</v>
      </c>
      <c r="K103" s="346">
        <v>46201</v>
      </c>
      <c r="L103" s="344" t="s">
        <v>100</v>
      </c>
    </row>
    <row r="104" spans="1:23">
      <c r="A104" s="271"/>
      <c r="B104" s="349"/>
      <c r="C104" s="261"/>
      <c r="D104" s="261"/>
      <c r="E104" s="350"/>
      <c r="F104" s="345"/>
      <c r="G104" s="346"/>
      <c r="H104" s="346"/>
      <c r="I104" s="346"/>
      <c r="J104" s="346"/>
      <c r="K104" s="346"/>
      <c r="L104" s="344"/>
    </row>
    <row r="105" spans="1:23">
      <c r="B105" s="1" t="s">
        <v>57</v>
      </c>
      <c r="C105" s="1" t="s">
        <v>183</v>
      </c>
    </row>
    <row r="121" spans="2:8" ht="15.6">
      <c r="B121" s="290" t="s">
        <v>182</v>
      </c>
      <c r="C121" s="290"/>
      <c r="D121" s="290"/>
      <c r="E121" s="290"/>
    </row>
    <row r="122" spans="2:8" ht="15.6">
      <c r="B122" s="72" t="s">
        <v>190</v>
      </c>
      <c r="C122" s="72" t="s">
        <v>189</v>
      </c>
      <c r="D122" s="290" t="s">
        <v>191</v>
      </c>
      <c r="E122" s="290"/>
    </row>
    <row r="123" spans="2:8" ht="31.2">
      <c r="B123" s="69" t="s">
        <v>170</v>
      </c>
      <c r="C123" s="70">
        <v>87754.61</v>
      </c>
      <c r="D123" s="277" t="s">
        <v>192</v>
      </c>
      <c r="E123" s="277" t="s">
        <v>195</v>
      </c>
      <c r="H123" s="21"/>
    </row>
    <row r="124" spans="2:8" ht="15">
      <c r="B124" s="69" t="s">
        <v>168</v>
      </c>
      <c r="C124" s="104">
        <v>55459.08</v>
      </c>
      <c r="D124" s="277"/>
      <c r="E124" s="277"/>
    </row>
    <row r="125" spans="2:8" ht="30.6">
      <c r="B125" s="69" t="s">
        <v>171</v>
      </c>
      <c r="C125" s="104">
        <f>C123-C124</f>
        <v>32295.53</v>
      </c>
      <c r="D125" s="277"/>
      <c r="E125" s="277"/>
    </row>
    <row r="126" spans="2:8" ht="30.6">
      <c r="B126" s="69" t="s">
        <v>172</v>
      </c>
      <c r="C126" s="70">
        <v>21393.52</v>
      </c>
      <c r="D126" s="277"/>
      <c r="E126" s="277"/>
    </row>
    <row r="127" spans="2:8" ht="15.6">
      <c r="B127" s="73" t="s">
        <v>169</v>
      </c>
      <c r="C127" s="74">
        <f>C124+C125+C126</f>
        <v>109148.13</v>
      </c>
      <c r="D127" s="6"/>
      <c r="E127" s="6"/>
    </row>
    <row r="129" spans="2:6" ht="15.6">
      <c r="B129" s="281" t="s">
        <v>181</v>
      </c>
      <c r="C129" s="281"/>
      <c r="D129" s="281"/>
      <c r="E129" s="281"/>
      <c r="F129" s="281"/>
    </row>
    <row r="130" spans="2:6" ht="15.6">
      <c r="B130" s="86" t="s">
        <v>188</v>
      </c>
      <c r="C130" s="86" t="s">
        <v>189</v>
      </c>
      <c r="D130" s="281" t="s">
        <v>186</v>
      </c>
      <c r="E130" s="281"/>
      <c r="F130" s="281"/>
    </row>
    <row r="131" spans="2:6" ht="30">
      <c r="B131" s="84" t="s">
        <v>170</v>
      </c>
      <c r="C131" s="70">
        <v>13500</v>
      </c>
      <c r="D131" s="257" t="s">
        <v>392</v>
      </c>
      <c r="E131" s="257"/>
      <c r="F131" s="7" t="s">
        <v>193</v>
      </c>
    </row>
    <row r="132" spans="2:6" ht="43.2" customHeight="1">
      <c r="B132" s="84" t="s">
        <v>174</v>
      </c>
      <c r="C132" s="7">
        <f>Y71</f>
        <v>100710</v>
      </c>
      <c r="D132" s="257" t="s">
        <v>187</v>
      </c>
      <c r="E132" s="257"/>
      <c r="F132" s="7" t="s">
        <v>194</v>
      </c>
    </row>
    <row r="133" spans="2:6" ht="15.6">
      <c r="B133" s="85" t="s">
        <v>180</v>
      </c>
      <c r="C133" s="74">
        <f>C131+C132</f>
        <v>114210</v>
      </c>
      <c r="D133" s="284"/>
      <c r="E133" s="284"/>
      <c r="F133" s="7"/>
    </row>
    <row r="134" spans="2:6" ht="15">
      <c r="B134" s="78"/>
      <c r="C134" s="79"/>
      <c r="D134"/>
      <c r="E134"/>
    </row>
    <row r="135" spans="2:6" ht="15.6">
      <c r="C135" s="80"/>
      <c r="D135"/>
      <c r="E135"/>
    </row>
  </sheetData>
  <mergeCells count="136">
    <mergeCell ref="A1:Z1"/>
    <mergeCell ref="D2:D3"/>
    <mergeCell ref="E2:E3"/>
    <mergeCell ref="AC6:AF6"/>
    <mergeCell ref="AC44:AF44"/>
    <mergeCell ref="S2:U2"/>
    <mergeCell ref="M2:O2"/>
    <mergeCell ref="M41:O41"/>
    <mergeCell ref="S41:U41"/>
    <mergeCell ref="C2:C3"/>
    <mergeCell ref="A41:B42"/>
    <mergeCell ref="C41:C42"/>
    <mergeCell ref="D41:D42"/>
    <mergeCell ref="E41:E42"/>
    <mergeCell ref="F41:F42"/>
    <mergeCell ref="P2:R2"/>
    <mergeCell ref="P41:R41"/>
    <mergeCell ref="C26:C27"/>
    <mergeCell ref="B29:B31"/>
    <mergeCell ref="C29:C31"/>
    <mergeCell ref="B32:B33"/>
    <mergeCell ref="B4:B5"/>
    <mergeCell ref="C4:C5"/>
    <mergeCell ref="B6:B7"/>
    <mergeCell ref="C6:C7"/>
    <mergeCell ref="B13:B14"/>
    <mergeCell ref="B19:B22"/>
    <mergeCell ref="A54:Z54"/>
    <mergeCell ref="G2:I2"/>
    <mergeCell ref="J2:L2"/>
    <mergeCell ref="V2:X2"/>
    <mergeCell ref="G41:I41"/>
    <mergeCell ref="J41:L41"/>
    <mergeCell ref="V41:X41"/>
    <mergeCell ref="Y2:Y3"/>
    <mergeCell ref="Z2:Z3"/>
    <mergeCell ref="A2:B3"/>
    <mergeCell ref="A40:Z40"/>
    <mergeCell ref="A50:E50"/>
    <mergeCell ref="B45:B46"/>
    <mergeCell ref="C45:C46"/>
    <mergeCell ref="C19:C22"/>
    <mergeCell ref="P55:R55"/>
    <mergeCell ref="S55:U55"/>
    <mergeCell ref="V55:X55"/>
    <mergeCell ref="C57:C63"/>
    <mergeCell ref="A55:B56"/>
    <mergeCell ref="C55:C56"/>
    <mergeCell ref="D55:D56"/>
    <mergeCell ref="E55:E56"/>
    <mergeCell ref="F55:F56"/>
    <mergeCell ref="AC13:AF26"/>
    <mergeCell ref="V84:V85"/>
    <mergeCell ref="U84:U85"/>
    <mergeCell ref="F2:F3"/>
    <mergeCell ref="A83:Z83"/>
    <mergeCell ref="A84:B85"/>
    <mergeCell ref="C84:C85"/>
    <mergeCell ref="D84:D85"/>
    <mergeCell ref="E84:E85"/>
    <mergeCell ref="F84:F85"/>
    <mergeCell ref="G84:H84"/>
    <mergeCell ref="I84:J84"/>
    <mergeCell ref="K84:L84"/>
    <mergeCell ref="AC57:AF57"/>
    <mergeCell ref="A64:E64"/>
    <mergeCell ref="A36:E36"/>
    <mergeCell ref="A45:A46"/>
    <mergeCell ref="Y55:Y56"/>
    <mergeCell ref="Z55:Z56"/>
    <mergeCell ref="Y41:Y42"/>
    <mergeCell ref="Z41:Z42"/>
    <mergeCell ref="G55:I55"/>
    <mergeCell ref="J55:L55"/>
    <mergeCell ref="M55:O55"/>
    <mergeCell ref="W84:W85"/>
    <mergeCell ref="B86:B96"/>
    <mergeCell ref="C86:C96"/>
    <mergeCell ref="A86:A96"/>
    <mergeCell ref="G98:H98"/>
    <mergeCell ref="I98:J98"/>
    <mergeCell ref="K98:L98"/>
    <mergeCell ref="M84:N84"/>
    <mergeCell ref="O84:P84"/>
    <mergeCell ref="Q84:R84"/>
    <mergeCell ref="S84:T84"/>
    <mergeCell ref="F68:F69"/>
    <mergeCell ref="G68:H68"/>
    <mergeCell ref="I68:J68"/>
    <mergeCell ref="K68:L68"/>
    <mergeCell ref="M68:N68"/>
    <mergeCell ref="M98:N98"/>
    <mergeCell ref="O98:P98"/>
    <mergeCell ref="Q98:R98"/>
    <mergeCell ref="S98:T98"/>
    <mergeCell ref="C97:F98"/>
    <mergeCell ref="AK8:AK10"/>
    <mergeCell ref="AI6:AK6"/>
    <mergeCell ref="A103:B104"/>
    <mergeCell ref="C103:C104"/>
    <mergeCell ref="D103:D104"/>
    <mergeCell ref="E103:E104"/>
    <mergeCell ref="S75:T75"/>
    <mergeCell ref="V68:V69"/>
    <mergeCell ref="W68:W69"/>
    <mergeCell ref="A67:W67"/>
    <mergeCell ref="O68:P68"/>
    <mergeCell ref="Q68:R68"/>
    <mergeCell ref="S68:T68"/>
    <mergeCell ref="A74:E74"/>
    <mergeCell ref="G75:H75"/>
    <mergeCell ref="I75:J75"/>
    <mergeCell ref="K75:L75"/>
    <mergeCell ref="M75:N75"/>
    <mergeCell ref="O75:P75"/>
    <mergeCell ref="Q75:R75"/>
    <mergeCell ref="A68:B69"/>
    <mergeCell ref="C68:C69"/>
    <mergeCell ref="D68:D69"/>
    <mergeCell ref="E68:E69"/>
    <mergeCell ref="D123:D126"/>
    <mergeCell ref="D130:F130"/>
    <mergeCell ref="B129:F129"/>
    <mergeCell ref="E123:E126"/>
    <mergeCell ref="D122:E122"/>
    <mergeCell ref="B121:E121"/>
    <mergeCell ref="L103:L104"/>
    <mergeCell ref="D132:E132"/>
    <mergeCell ref="D133:E133"/>
    <mergeCell ref="D131:E131"/>
    <mergeCell ref="F103:F104"/>
    <mergeCell ref="G103:G104"/>
    <mergeCell ref="H103:H104"/>
    <mergeCell ref="I103:I104"/>
    <mergeCell ref="J103:J104"/>
    <mergeCell ref="K103:K104"/>
  </mergeCells>
  <conditionalFormatting sqref="Y4:Y35">
    <cfRule type="cellIs" dxfId="193" priority="41" operator="lessThan">
      <formula>-1</formula>
    </cfRule>
  </conditionalFormatting>
  <conditionalFormatting sqref="Y36">
    <cfRule type="cellIs" dxfId="192" priority="1" operator="greaterThan">
      <formula>0</formula>
    </cfRule>
  </conditionalFormatting>
  <conditionalFormatting sqref="Y43:Y49">
    <cfRule type="cellIs" dxfId="191" priority="2" operator="lessThan">
      <formula>0</formula>
    </cfRule>
  </conditionalFormatting>
  <conditionalFormatting sqref="Z4">
    <cfRule type="cellIs" dxfId="190" priority="38" operator="greaterThan">
      <formula>$F$4</formula>
    </cfRule>
  </conditionalFormatting>
  <conditionalFormatting sqref="Z5">
    <cfRule type="cellIs" dxfId="189" priority="37" operator="greaterThan">
      <formula>$F$5</formula>
    </cfRule>
  </conditionalFormatting>
  <conditionalFormatting sqref="Z6">
    <cfRule type="cellIs" dxfId="188" priority="9" operator="greaterThan">
      <formula>$F$6</formula>
    </cfRule>
  </conditionalFormatting>
  <conditionalFormatting sqref="Z7">
    <cfRule type="cellIs" dxfId="187" priority="36" operator="greaterThan">
      <formula>$F$7</formula>
    </cfRule>
  </conditionalFormatting>
  <conditionalFormatting sqref="Z8">
    <cfRule type="cellIs" dxfId="186" priority="35" operator="greaterThan">
      <formula>$F$8</formula>
    </cfRule>
  </conditionalFormatting>
  <conditionalFormatting sqref="Z9">
    <cfRule type="cellIs" dxfId="185" priority="34" operator="greaterThan">
      <formula>$F$9</formula>
    </cfRule>
  </conditionalFormatting>
  <conditionalFormatting sqref="Z10">
    <cfRule type="cellIs" dxfId="184" priority="33" operator="greaterThan">
      <formula>$F$10</formula>
    </cfRule>
  </conditionalFormatting>
  <conditionalFormatting sqref="Z11">
    <cfRule type="cellIs" dxfId="183" priority="32" operator="greaterThan">
      <formula>$F$11</formula>
    </cfRule>
  </conditionalFormatting>
  <conditionalFormatting sqref="Z12">
    <cfRule type="cellIs" dxfId="182" priority="30" operator="greaterThan">
      <formula>$F$12</formula>
    </cfRule>
  </conditionalFormatting>
  <conditionalFormatting sqref="Z13">
    <cfRule type="cellIs" dxfId="181" priority="29" operator="greaterThan">
      <formula>$F$13</formula>
    </cfRule>
  </conditionalFormatting>
  <conditionalFormatting sqref="Z14">
    <cfRule type="cellIs" dxfId="180" priority="28" operator="greaterThan">
      <formula>$F$14</formula>
    </cfRule>
  </conditionalFormatting>
  <conditionalFormatting sqref="Z15">
    <cfRule type="cellIs" dxfId="179" priority="27" operator="greaterThan">
      <formula>$F$15</formula>
    </cfRule>
  </conditionalFormatting>
  <conditionalFormatting sqref="Z16">
    <cfRule type="cellIs" dxfId="178" priority="26" operator="greaterThan">
      <formula>$F$16</formula>
    </cfRule>
  </conditionalFormatting>
  <conditionalFormatting sqref="Z17">
    <cfRule type="cellIs" dxfId="177" priority="25" operator="greaterThan">
      <formula>$F$17</formula>
    </cfRule>
  </conditionalFormatting>
  <conditionalFormatting sqref="Z18">
    <cfRule type="cellIs" dxfId="176" priority="24" operator="greaterThan">
      <formula>$F$18</formula>
    </cfRule>
  </conditionalFormatting>
  <conditionalFormatting sqref="Z19">
    <cfRule type="cellIs" dxfId="175" priority="23" operator="greaterThan">
      <formula>$F$19</formula>
    </cfRule>
  </conditionalFormatting>
  <conditionalFormatting sqref="Z20">
    <cfRule type="cellIs" dxfId="174" priority="22" operator="greaterThan">
      <formula>$F$20</formula>
    </cfRule>
  </conditionalFormatting>
  <conditionalFormatting sqref="Z23">
    <cfRule type="cellIs" dxfId="173" priority="21" operator="greaterThan">
      <formula>$F$23</formula>
    </cfRule>
  </conditionalFormatting>
  <conditionalFormatting sqref="Z24">
    <cfRule type="cellIs" dxfId="172" priority="20" operator="greaterThan">
      <formula>$F$24</formula>
    </cfRule>
  </conditionalFormatting>
  <conditionalFormatting sqref="Z25">
    <cfRule type="cellIs" dxfId="171" priority="19" operator="greaterThan">
      <formula>$F$25</formula>
    </cfRule>
  </conditionalFormatting>
  <conditionalFormatting sqref="Z26">
    <cfRule type="cellIs" dxfId="170" priority="18" operator="greaterThan">
      <formula>$F$26</formula>
    </cfRule>
  </conditionalFormatting>
  <conditionalFormatting sqref="Z27">
    <cfRule type="cellIs" dxfId="169" priority="17" operator="greaterThan">
      <formula>$F$27</formula>
    </cfRule>
  </conditionalFormatting>
  <conditionalFormatting sqref="Z28">
    <cfRule type="cellIs" dxfId="168" priority="16" operator="greaterThan">
      <formula>$F$28</formula>
    </cfRule>
  </conditionalFormatting>
  <conditionalFormatting sqref="Z29">
    <cfRule type="cellIs" dxfId="167" priority="15" operator="greaterThan">
      <formula>$F$29</formula>
    </cfRule>
  </conditionalFormatting>
  <conditionalFormatting sqref="Z30">
    <cfRule type="cellIs" dxfId="166" priority="14" operator="greaterThan">
      <formula>$F$30</formula>
    </cfRule>
  </conditionalFormatting>
  <conditionalFormatting sqref="Z31">
    <cfRule type="cellIs" dxfId="165" priority="13" operator="greaterThan">
      <formula>$F$31</formula>
    </cfRule>
  </conditionalFormatting>
  <conditionalFormatting sqref="Z32">
    <cfRule type="cellIs" dxfId="164" priority="12" operator="greaterThan">
      <formula>$F$32</formula>
    </cfRule>
  </conditionalFormatting>
  <conditionalFormatting sqref="Z33:Z34">
    <cfRule type="cellIs" dxfId="163" priority="11" operator="greaterThan">
      <formula>$F$33</formula>
    </cfRule>
  </conditionalFormatting>
  <conditionalFormatting sqref="Z35">
    <cfRule type="cellIs" dxfId="162" priority="10" operator="greaterThan">
      <formula>$F$35</formula>
    </cfRule>
  </conditionalFormatting>
  <conditionalFormatting sqref="Z36">
    <cfRule type="cellIs" dxfId="161" priority="40" operator="lessThan">
      <formula>46700</formula>
    </cfRule>
  </conditionalFormatting>
  <pageMargins left="0.25" right="0.25" top="0.75" bottom="0.75" header="0.3" footer="0.3"/>
  <pageSetup paperSize="305" scale="1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5D91C-EF21-4BDF-AC68-699D58BB9796}">
  <sheetPr>
    <pageSetUpPr fitToPage="1"/>
  </sheetPr>
  <dimension ref="A1:BA153"/>
  <sheetViews>
    <sheetView topLeftCell="A80" zoomScale="69" zoomScaleNormal="85" workbookViewId="0">
      <selection activeCell="I99" sqref="I99"/>
    </sheetView>
  </sheetViews>
  <sheetFormatPr baseColWidth="10" defaultRowHeight="14.4"/>
  <cols>
    <col min="1" max="1" width="3.6640625" style="1" customWidth="1"/>
    <col min="2" max="2" width="34.77734375" style="1" customWidth="1"/>
    <col min="3" max="3" width="36.88671875" style="1" customWidth="1"/>
    <col min="4" max="4" width="32.33203125" style="1" customWidth="1"/>
    <col min="5" max="5" width="24.77734375" style="1" customWidth="1"/>
    <col min="6" max="6" width="21.5546875" style="2" customWidth="1"/>
    <col min="7" max="7" width="15.77734375" customWidth="1"/>
    <col min="8" max="8" width="17" customWidth="1"/>
    <col min="9" max="9" width="15.6640625" customWidth="1"/>
    <col min="10" max="10" width="14.21875" customWidth="1"/>
    <col min="11" max="11" width="15.21875" customWidth="1"/>
    <col min="12" max="12" width="16.5546875" customWidth="1"/>
    <col min="13" max="13" width="16.77734375" customWidth="1"/>
    <col min="14" max="14" width="21.6640625" customWidth="1"/>
    <col min="15" max="15" width="14.5546875" customWidth="1"/>
    <col min="16" max="16" width="19" customWidth="1"/>
    <col min="17" max="17" width="15.6640625" customWidth="1"/>
    <col min="18" max="18" width="14.88671875" customWidth="1"/>
    <col min="19" max="19" width="13.6640625" customWidth="1"/>
    <col min="20" max="20" width="18.21875" customWidth="1"/>
    <col min="22" max="22" width="16.6640625" customWidth="1"/>
    <col min="23" max="23" width="14.21875" customWidth="1"/>
    <col min="25" max="25" width="19.109375" bestFit="1" customWidth="1"/>
    <col min="26" max="26" width="18.6640625" customWidth="1"/>
    <col min="29" max="29" width="21.33203125" customWidth="1"/>
    <col min="30" max="30" width="16.44140625" customWidth="1"/>
    <col min="31" max="31" width="21" customWidth="1"/>
    <col min="32" max="32" width="18.21875" customWidth="1"/>
    <col min="34" max="34" width="15.6640625" customWidth="1"/>
  </cols>
  <sheetData>
    <row r="1" spans="1:47" ht="24.6">
      <c r="A1" s="325" t="s">
        <v>139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</row>
    <row r="2" spans="1:47" ht="28.8" customHeight="1">
      <c r="A2" s="269" t="s">
        <v>0</v>
      </c>
      <c r="B2" s="270"/>
      <c r="C2" s="273" t="s">
        <v>2</v>
      </c>
      <c r="D2" s="273" t="s">
        <v>8</v>
      </c>
      <c r="E2" s="273" t="s">
        <v>1</v>
      </c>
      <c r="F2" s="326" t="s">
        <v>91</v>
      </c>
      <c r="G2" s="317">
        <v>46202</v>
      </c>
      <c r="H2" s="317"/>
      <c r="I2" s="317"/>
      <c r="J2" s="317">
        <v>46203</v>
      </c>
      <c r="K2" s="317"/>
      <c r="L2" s="317"/>
      <c r="M2" s="317">
        <v>46204</v>
      </c>
      <c r="N2" s="317"/>
      <c r="O2" s="317"/>
      <c r="P2" s="317">
        <v>46205</v>
      </c>
      <c r="Q2" s="317"/>
      <c r="R2" s="317"/>
      <c r="S2" s="317">
        <v>46206</v>
      </c>
      <c r="T2" s="317"/>
      <c r="U2" s="317"/>
      <c r="V2" s="317">
        <v>46207</v>
      </c>
      <c r="W2" s="317"/>
      <c r="X2" s="317"/>
      <c r="Y2" s="317" t="s">
        <v>94</v>
      </c>
      <c r="Z2" s="262" t="s">
        <v>92</v>
      </c>
    </row>
    <row r="3" spans="1:47">
      <c r="A3" s="271"/>
      <c r="B3" s="272"/>
      <c r="C3" s="274"/>
      <c r="D3" s="274"/>
      <c r="E3" s="274"/>
      <c r="F3" s="327"/>
      <c r="G3" s="17" t="s">
        <v>95</v>
      </c>
      <c r="H3" s="17" t="s">
        <v>96</v>
      </c>
      <c r="I3" s="17" t="s">
        <v>103</v>
      </c>
      <c r="J3" s="17" t="s">
        <v>95</v>
      </c>
      <c r="K3" s="17" t="s">
        <v>96</v>
      </c>
      <c r="L3" s="17" t="s">
        <v>98</v>
      </c>
      <c r="M3" s="17" t="s">
        <v>95</v>
      </c>
      <c r="N3" s="17" t="s">
        <v>96</v>
      </c>
      <c r="O3" s="17" t="s">
        <v>98</v>
      </c>
      <c r="P3" s="17" t="s">
        <v>95</v>
      </c>
      <c r="Q3" s="17" t="s">
        <v>96</v>
      </c>
      <c r="R3" s="17" t="s">
        <v>98</v>
      </c>
      <c r="S3" s="17" t="s">
        <v>95</v>
      </c>
      <c r="T3" s="17" t="s">
        <v>96</v>
      </c>
      <c r="U3" s="17" t="s">
        <v>103</v>
      </c>
      <c r="V3" s="17" t="s">
        <v>95</v>
      </c>
      <c r="W3" s="17" t="s">
        <v>96</v>
      </c>
      <c r="X3" s="17" t="s">
        <v>103</v>
      </c>
      <c r="Y3" s="317"/>
      <c r="Z3" s="262"/>
    </row>
    <row r="4" spans="1:47" s="3" customFormat="1">
      <c r="A4" s="40">
        <v>1</v>
      </c>
      <c r="B4" s="263" t="s">
        <v>4</v>
      </c>
      <c r="C4" s="263" t="s">
        <v>7</v>
      </c>
      <c r="D4" s="9" t="s">
        <v>5</v>
      </c>
      <c r="E4" s="9" t="s">
        <v>6</v>
      </c>
      <c r="F4" s="10">
        <v>1200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8">
        <f t="shared" ref="Y4:Y17" si="0">F4-(G4+H4+J4+K4+M4+N4+P4+Q4+S4+T4+V4+W4+U4+O4+I4+L4+R4+X4)</f>
        <v>1200</v>
      </c>
      <c r="Z4" s="18">
        <f t="shared" ref="Z4:Z16" si="1">SUM(G4:X4)</f>
        <v>0</v>
      </c>
      <c r="AA4" s="21">
        <f>SUM(G4:X4)</f>
        <v>0</v>
      </c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</row>
    <row r="5" spans="1:47" s="3" customFormat="1">
      <c r="A5" s="40">
        <v>2</v>
      </c>
      <c r="B5" s="263"/>
      <c r="C5" s="263"/>
      <c r="D5" s="8" t="s">
        <v>35</v>
      </c>
      <c r="E5" s="8"/>
      <c r="F5" s="12">
        <v>500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8">
        <f t="shared" si="0"/>
        <v>500</v>
      </c>
      <c r="Z5" s="18">
        <f t="shared" si="1"/>
        <v>0</v>
      </c>
      <c r="AA5" s="21">
        <f t="shared" ref="AA5:AA38" si="2">SUM(G5:X5)</f>
        <v>0</v>
      </c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</row>
    <row r="6" spans="1:47">
      <c r="A6" s="37">
        <v>3</v>
      </c>
      <c r="B6" s="277" t="s">
        <v>9</v>
      </c>
      <c r="C6" s="277" t="s">
        <v>10</v>
      </c>
      <c r="D6" s="6" t="s">
        <v>11</v>
      </c>
      <c r="E6" s="6" t="s">
        <v>12</v>
      </c>
      <c r="F6" s="7">
        <v>2500</v>
      </c>
      <c r="G6" s="102">
        <v>1572.82</v>
      </c>
      <c r="H6" s="20"/>
      <c r="I6" s="20"/>
      <c r="J6" s="20"/>
      <c r="K6" s="20"/>
      <c r="L6" s="20"/>
      <c r="M6" s="102">
        <v>1345.15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18">
        <f t="shared" si="0"/>
        <v>-417.97000000000025</v>
      </c>
      <c r="Z6" s="18">
        <f t="shared" si="1"/>
        <v>2917.9700000000003</v>
      </c>
      <c r="AA6" s="21">
        <f t="shared" si="2"/>
        <v>2917.9700000000003</v>
      </c>
      <c r="AB6">
        <v>2917.97</v>
      </c>
      <c r="AC6" s="328" t="s">
        <v>104</v>
      </c>
      <c r="AD6" s="329"/>
      <c r="AE6" s="329"/>
      <c r="AF6" s="329"/>
      <c r="AH6" s="44"/>
    </row>
    <row r="7" spans="1:47">
      <c r="A7" s="37">
        <v>4</v>
      </c>
      <c r="B7" s="277"/>
      <c r="C7" s="277"/>
      <c r="D7" s="6" t="s">
        <v>35</v>
      </c>
      <c r="E7" s="6"/>
      <c r="F7" s="7">
        <v>500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18">
        <f t="shared" si="0"/>
        <v>500</v>
      </c>
      <c r="Z7" s="18">
        <f t="shared" si="1"/>
        <v>0</v>
      </c>
      <c r="AA7" s="21">
        <f t="shared" si="2"/>
        <v>0</v>
      </c>
      <c r="AC7" s="26" t="s">
        <v>99</v>
      </c>
      <c r="AD7" s="26" t="s">
        <v>100</v>
      </c>
      <c r="AE7" s="26" t="s">
        <v>101</v>
      </c>
      <c r="AF7" s="26" t="s">
        <v>102</v>
      </c>
      <c r="AH7" s="44"/>
    </row>
    <row r="8" spans="1:47">
      <c r="A8" s="37">
        <v>5</v>
      </c>
      <c r="B8" s="6" t="s">
        <v>13</v>
      </c>
      <c r="C8" s="6" t="s">
        <v>10</v>
      </c>
      <c r="D8" s="6" t="s">
        <v>14</v>
      </c>
      <c r="E8" s="6" t="s">
        <v>97</v>
      </c>
      <c r="F8" s="7">
        <v>2500</v>
      </c>
      <c r="G8" s="102">
        <v>1167.5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18">
        <f t="shared" si="0"/>
        <v>1332.5</v>
      </c>
      <c r="Z8" s="18">
        <f t="shared" si="1"/>
        <v>1167.5</v>
      </c>
      <c r="AA8" s="21">
        <f t="shared" si="2"/>
        <v>1167.5</v>
      </c>
      <c r="AB8">
        <v>1167.5</v>
      </c>
      <c r="AC8" s="25" t="s">
        <v>95</v>
      </c>
      <c r="AD8" s="45">
        <f>AF8/AE8</f>
        <v>1314.99126256007</v>
      </c>
      <c r="AE8" s="23">
        <v>22.89</v>
      </c>
      <c r="AF8" s="46">
        <f>G39+J39+M39+P39+S39+V39</f>
        <v>30100.15</v>
      </c>
    </row>
    <row r="9" spans="1:47">
      <c r="A9" s="37">
        <v>6</v>
      </c>
      <c r="B9" s="6" t="s">
        <v>211</v>
      </c>
      <c r="C9" s="6" t="s">
        <v>10</v>
      </c>
      <c r="D9" s="6" t="s">
        <v>14</v>
      </c>
      <c r="E9" s="6" t="s">
        <v>17</v>
      </c>
      <c r="F9" s="7">
        <v>1500</v>
      </c>
      <c r="G9" s="20"/>
      <c r="H9" s="20"/>
      <c r="I9" s="20"/>
      <c r="J9" s="20"/>
      <c r="K9" s="20"/>
      <c r="L9" s="20"/>
      <c r="M9" s="102">
        <v>759.56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18">
        <f t="shared" si="0"/>
        <v>740.44</v>
      </c>
      <c r="Z9" s="18">
        <f t="shared" si="1"/>
        <v>759.56</v>
      </c>
      <c r="AA9" s="21">
        <f t="shared" si="2"/>
        <v>759.56</v>
      </c>
      <c r="AB9">
        <v>759.56</v>
      </c>
      <c r="AC9" s="25" t="s">
        <v>96</v>
      </c>
      <c r="AD9" s="45">
        <f>AF9/AE9</f>
        <v>620.37265181301882</v>
      </c>
      <c r="AE9" s="23">
        <v>22.89</v>
      </c>
      <c r="AF9" s="88">
        <f>H39+K39+N39+Q39+T39+W39</f>
        <v>14200.33</v>
      </c>
    </row>
    <row r="10" spans="1:47">
      <c r="A10" s="37">
        <v>7</v>
      </c>
      <c r="B10" s="6" t="s">
        <v>18</v>
      </c>
      <c r="C10" s="6" t="s">
        <v>10</v>
      </c>
      <c r="D10" s="6"/>
      <c r="E10" s="6"/>
      <c r="F10" s="7">
        <v>1500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18">
        <f t="shared" si="0"/>
        <v>1500</v>
      </c>
      <c r="Z10" s="18">
        <f t="shared" si="1"/>
        <v>0</v>
      </c>
      <c r="AA10" s="21">
        <f t="shared" si="2"/>
        <v>0</v>
      </c>
      <c r="AC10" s="25" t="s">
        <v>103</v>
      </c>
      <c r="AD10" s="23"/>
      <c r="AE10" s="23"/>
      <c r="AF10" s="46">
        <f>R39+U39+O39</f>
        <v>0</v>
      </c>
    </row>
    <row r="11" spans="1:47" s="3" customFormat="1">
      <c r="A11" s="40">
        <v>8</v>
      </c>
      <c r="B11" s="8" t="s">
        <v>19</v>
      </c>
      <c r="C11" s="8" t="s">
        <v>20</v>
      </c>
      <c r="D11" s="8" t="s">
        <v>21</v>
      </c>
      <c r="E11" s="8" t="s">
        <v>22</v>
      </c>
      <c r="F11" s="12">
        <v>700</v>
      </c>
      <c r="G11" s="19"/>
      <c r="H11" s="19"/>
      <c r="I11" s="19"/>
      <c r="J11" s="19"/>
      <c r="K11" s="19"/>
      <c r="L11" s="19">
        <v>700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8">
        <f t="shared" si="0"/>
        <v>0</v>
      </c>
      <c r="Z11" s="18">
        <f t="shared" si="1"/>
        <v>700</v>
      </c>
      <c r="AA11" s="21">
        <f t="shared" si="2"/>
        <v>700</v>
      </c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 spans="1:47" s="3" customFormat="1">
      <c r="A12" s="40">
        <v>9</v>
      </c>
      <c r="B12" s="8" t="s">
        <v>23</v>
      </c>
      <c r="C12" s="8" t="s">
        <v>24</v>
      </c>
      <c r="D12" s="8" t="s">
        <v>25</v>
      </c>
      <c r="E12" s="8" t="s">
        <v>26</v>
      </c>
      <c r="F12" s="12">
        <v>1500</v>
      </c>
      <c r="G12" s="19"/>
      <c r="H12" s="19"/>
      <c r="I12" s="19">
        <v>1581.3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8">
        <f t="shared" si="0"/>
        <v>-81.299999999999955</v>
      </c>
      <c r="Z12" s="18">
        <f t="shared" si="1"/>
        <v>1581.3</v>
      </c>
      <c r="AA12" s="21">
        <f t="shared" si="2"/>
        <v>1581.3</v>
      </c>
      <c r="AB12">
        <v>1581.3</v>
      </c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 spans="1:47">
      <c r="A13" s="37">
        <v>10</v>
      </c>
      <c r="B13" s="277" t="s">
        <v>27</v>
      </c>
      <c r="C13" s="6" t="s">
        <v>28</v>
      </c>
      <c r="D13" s="6" t="s">
        <v>29</v>
      </c>
      <c r="E13" s="6" t="s">
        <v>30</v>
      </c>
      <c r="F13" s="7">
        <v>1500</v>
      </c>
      <c r="G13" s="20"/>
      <c r="H13" s="20"/>
      <c r="I13" s="20"/>
      <c r="J13" s="20"/>
      <c r="K13" s="20"/>
      <c r="L13" s="20"/>
      <c r="M13" s="102">
        <v>1500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18">
        <f t="shared" si="0"/>
        <v>0</v>
      </c>
      <c r="Z13" s="18">
        <f t="shared" si="1"/>
        <v>1500</v>
      </c>
      <c r="AA13" s="21">
        <f t="shared" si="2"/>
        <v>1500</v>
      </c>
      <c r="AB13">
        <v>1500</v>
      </c>
      <c r="AC13" t="s">
        <v>123</v>
      </c>
      <c r="AD13" s="341" t="s">
        <v>208</v>
      </c>
      <c r="AE13" s="341"/>
      <c r="AF13" s="91"/>
      <c r="AG13" s="91"/>
      <c r="AH13" s="91"/>
    </row>
    <row r="14" spans="1:47">
      <c r="A14" s="37">
        <v>11</v>
      </c>
      <c r="B14" s="277"/>
      <c r="C14" s="6" t="s">
        <v>34</v>
      </c>
      <c r="D14" s="6" t="s">
        <v>35</v>
      </c>
      <c r="E14" s="6"/>
      <c r="F14" s="7">
        <v>500</v>
      </c>
      <c r="G14" s="102">
        <v>400</v>
      </c>
      <c r="H14" s="20"/>
      <c r="I14" s="20"/>
      <c r="J14" s="20"/>
      <c r="K14" s="20"/>
      <c r="L14" s="20"/>
      <c r="M14" s="20"/>
      <c r="N14" s="20"/>
      <c r="O14" s="20"/>
      <c r="P14" s="102">
        <v>500</v>
      </c>
      <c r="Q14" s="20"/>
      <c r="R14" s="20"/>
      <c r="S14" s="20"/>
      <c r="T14" s="20"/>
      <c r="U14" s="20"/>
      <c r="V14" s="20"/>
      <c r="W14" s="20"/>
      <c r="X14" s="20"/>
      <c r="Y14" s="18">
        <f t="shared" si="0"/>
        <v>-400</v>
      </c>
      <c r="Z14" s="18">
        <f t="shared" si="1"/>
        <v>900</v>
      </c>
      <c r="AA14" s="21">
        <f t="shared" si="2"/>
        <v>900</v>
      </c>
      <c r="AB14">
        <v>900</v>
      </c>
      <c r="AD14" s="91" t="s">
        <v>209</v>
      </c>
      <c r="AE14" s="99">
        <f>G39+J39+G52+J52</f>
        <v>19398.13</v>
      </c>
      <c r="AF14" s="106">
        <v>21393.52</v>
      </c>
      <c r="AG14" s="106">
        <v>1995.39</v>
      </c>
      <c r="AH14" s="91"/>
    </row>
    <row r="15" spans="1:47">
      <c r="A15" s="37">
        <v>12</v>
      </c>
      <c r="B15" s="6" t="s">
        <v>31</v>
      </c>
      <c r="C15" s="6" t="s">
        <v>28</v>
      </c>
      <c r="D15" s="6" t="s">
        <v>33</v>
      </c>
      <c r="E15" s="6" t="s">
        <v>32</v>
      </c>
      <c r="F15" s="7">
        <v>1500</v>
      </c>
      <c r="G15" s="102">
        <v>1500</v>
      </c>
      <c r="H15" s="20"/>
      <c r="I15" s="20"/>
      <c r="J15" s="20"/>
      <c r="K15" s="20"/>
      <c r="L15" s="20"/>
      <c r="M15" s="20"/>
      <c r="N15" s="20"/>
      <c r="O15" s="20"/>
      <c r="P15" s="102">
        <v>2000</v>
      </c>
      <c r="Q15" s="20"/>
      <c r="R15" s="20"/>
      <c r="S15" s="20"/>
      <c r="T15" s="20"/>
      <c r="U15" s="20"/>
      <c r="V15" s="20"/>
      <c r="W15" s="20"/>
      <c r="X15" s="20"/>
      <c r="Y15" s="18">
        <f t="shared" si="0"/>
        <v>-2000</v>
      </c>
      <c r="Z15" s="18">
        <f t="shared" si="1"/>
        <v>3500</v>
      </c>
      <c r="AA15" s="21">
        <f t="shared" si="2"/>
        <v>3500</v>
      </c>
      <c r="AB15">
        <v>3500</v>
      </c>
      <c r="AD15" s="91" t="s">
        <v>210</v>
      </c>
      <c r="AE15" s="101">
        <f>M39+P39+S39+V39+M52+P52+S52+V52</f>
        <v>15193.26</v>
      </c>
      <c r="AF15" s="99"/>
      <c r="AG15" s="91">
        <f>I66+L66</f>
        <v>27000.25</v>
      </c>
      <c r="AH15" s="100">
        <f>AE15+AF15+AG15</f>
        <v>42193.51</v>
      </c>
    </row>
    <row r="16" spans="1:47" s="3" customFormat="1">
      <c r="A16" s="40">
        <v>13</v>
      </c>
      <c r="B16" s="336" t="s">
        <v>36</v>
      </c>
      <c r="C16" s="8" t="s">
        <v>37</v>
      </c>
      <c r="D16" s="8" t="s">
        <v>39</v>
      </c>
      <c r="E16" s="8" t="s">
        <v>38</v>
      </c>
      <c r="F16" s="12">
        <v>2500</v>
      </c>
      <c r="G16" s="19"/>
      <c r="H16" s="66">
        <v>1001.17</v>
      </c>
      <c r="I16" s="102" t="s">
        <v>244</v>
      </c>
      <c r="J16" s="19"/>
      <c r="K16" s="19"/>
      <c r="L16" s="19"/>
      <c r="M16" s="19"/>
      <c r="N16" s="66">
        <v>947.87</v>
      </c>
      <c r="O16" s="102" t="s">
        <v>301</v>
      </c>
      <c r="P16" s="19"/>
      <c r="Q16" s="19"/>
      <c r="R16" s="19"/>
      <c r="S16" s="19"/>
      <c r="T16" s="19"/>
      <c r="U16" s="19"/>
      <c r="V16" s="19"/>
      <c r="W16" s="66">
        <v>551</v>
      </c>
      <c r="X16" s="102" t="s">
        <v>306</v>
      </c>
      <c r="Y16" s="18" t="e">
        <f t="shared" si="0"/>
        <v>#VALUE!</v>
      </c>
      <c r="Z16" s="18">
        <f t="shared" si="1"/>
        <v>2500.04</v>
      </c>
      <c r="AA16" s="21">
        <f t="shared" si="2"/>
        <v>2500.04</v>
      </c>
      <c r="AB16">
        <v>2500</v>
      </c>
      <c r="AC16"/>
      <c r="AD16" s="91"/>
      <c r="AE16" s="99">
        <f>SUM(AE14:AE15)</f>
        <v>34591.39</v>
      </c>
      <c r="AF16" s="91"/>
      <c r="AG16" s="91"/>
      <c r="AH16" s="91"/>
      <c r="AI16"/>
      <c r="AJ16"/>
      <c r="AK16"/>
      <c r="AL16"/>
      <c r="AM16"/>
      <c r="AN16"/>
      <c r="AO16"/>
      <c r="AP16"/>
      <c r="AQ16"/>
      <c r="AR16"/>
      <c r="AS16"/>
    </row>
    <row r="17" spans="1:53" s="3" customFormat="1">
      <c r="A17" s="40"/>
      <c r="B17" s="338"/>
      <c r="C17" s="8" t="s">
        <v>37</v>
      </c>
      <c r="D17" s="8" t="s">
        <v>35</v>
      </c>
      <c r="E17" s="8"/>
      <c r="F17" s="12">
        <v>300</v>
      </c>
      <c r="G17" s="19"/>
      <c r="H17" s="19"/>
      <c r="I17" s="19"/>
      <c r="J17" s="19"/>
      <c r="K17" s="19"/>
      <c r="L17" s="19"/>
      <c r="M17" s="19"/>
      <c r="N17" s="66">
        <v>300</v>
      </c>
      <c r="O17" s="390" t="s">
        <v>307</v>
      </c>
      <c r="P17" s="19"/>
      <c r="Q17" s="19"/>
      <c r="R17" s="19"/>
      <c r="S17" s="19"/>
      <c r="T17" s="66">
        <v>600</v>
      </c>
      <c r="U17" s="102" t="s">
        <v>303</v>
      </c>
      <c r="V17" s="19"/>
      <c r="W17" s="19"/>
      <c r="X17" s="19"/>
      <c r="Y17" s="18" t="e">
        <f t="shared" si="0"/>
        <v>#VALUE!</v>
      </c>
      <c r="Z17" s="18"/>
      <c r="AA17" s="21">
        <f t="shared" si="2"/>
        <v>900</v>
      </c>
      <c r="AB17">
        <v>900</v>
      </c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</row>
    <row r="18" spans="1:53" s="3" customFormat="1">
      <c r="A18" s="40">
        <v>14</v>
      </c>
      <c r="B18" s="8" t="s">
        <v>40</v>
      </c>
      <c r="C18" s="8" t="s">
        <v>37</v>
      </c>
      <c r="D18" s="8" t="s">
        <v>42</v>
      </c>
      <c r="E18" s="8" t="s">
        <v>41</v>
      </c>
      <c r="F18" s="12">
        <v>2500</v>
      </c>
      <c r="H18" s="66">
        <v>920.03</v>
      </c>
      <c r="I18" s="102" t="s">
        <v>242</v>
      </c>
      <c r="J18" s="19"/>
      <c r="K18" s="19"/>
      <c r="L18" s="19"/>
      <c r="M18" s="19"/>
      <c r="N18" s="66">
        <v>1580</v>
      </c>
      <c r="O18" s="391"/>
      <c r="P18" s="19"/>
      <c r="Q18" s="19"/>
      <c r="R18" s="19"/>
      <c r="S18" s="19"/>
      <c r="T18" s="19"/>
      <c r="U18" s="19"/>
      <c r="V18" s="19"/>
      <c r="W18" s="19"/>
      <c r="X18" s="19"/>
      <c r="Y18" s="18" t="e">
        <f>F18-(H18+#REF!+J18+K18+M18+N18+P18+Q18+S18+T18+V18+W18+U18+O18+I18+L18+R18+X18)</f>
        <v>#REF!</v>
      </c>
      <c r="Z18" s="18">
        <f>SUM(H18:X18)</f>
        <v>2500.0299999999997</v>
      </c>
      <c r="AA18" s="21">
        <f t="shared" si="2"/>
        <v>2500.0299999999997</v>
      </c>
      <c r="AB18">
        <v>2500.0300000000002</v>
      </c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</row>
    <row r="19" spans="1:53" s="3" customFormat="1">
      <c r="A19" s="40">
        <v>15</v>
      </c>
      <c r="B19" s="8" t="s">
        <v>43</v>
      </c>
      <c r="C19" s="8" t="s">
        <v>37</v>
      </c>
      <c r="D19" s="8" t="s">
        <v>33</v>
      </c>
      <c r="E19" s="8" t="s">
        <v>44</v>
      </c>
      <c r="F19" s="12">
        <v>4000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66">
        <v>2300.2600000000002</v>
      </c>
      <c r="U19" s="102" t="s">
        <v>302</v>
      </c>
      <c r="V19" s="19"/>
      <c r="W19" s="19"/>
      <c r="X19" s="19"/>
      <c r="Y19" s="18" t="e">
        <f>F19-(G19+H19+J19+K19+M19+N19+P19+Q19+S19+T19+V19+W19+U19+O19+I19+L19+R19+X19)</f>
        <v>#VALUE!</v>
      </c>
      <c r="Z19" s="18">
        <f t="shared" ref="Z19:Z34" si="3">SUM(G19:X19)</f>
        <v>2300.2600000000002</v>
      </c>
      <c r="AA19" s="21">
        <f t="shared" si="2"/>
        <v>2300.2600000000002</v>
      </c>
      <c r="AB19">
        <v>2300.2600000000002</v>
      </c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</row>
    <row r="20" spans="1:53">
      <c r="A20" s="37">
        <v>16</v>
      </c>
      <c r="B20" s="277" t="s">
        <v>45</v>
      </c>
      <c r="C20" s="277" t="s">
        <v>46</v>
      </c>
      <c r="D20" s="6" t="s">
        <v>39</v>
      </c>
      <c r="E20" s="6" t="s">
        <v>47</v>
      </c>
      <c r="F20" s="7">
        <v>2500</v>
      </c>
      <c r="G20" s="102">
        <v>1457.73</v>
      </c>
      <c r="H20" s="20"/>
      <c r="I20" s="20"/>
      <c r="J20" s="20"/>
      <c r="K20" s="20"/>
      <c r="L20" s="20"/>
      <c r="M20" s="20"/>
      <c r="N20" s="20"/>
      <c r="O20" s="20"/>
      <c r="P20" s="102">
        <v>1042</v>
      </c>
      <c r="Q20" s="20"/>
      <c r="R20" s="20"/>
      <c r="S20" s="20"/>
      <c r="T20" s="20"/>
      <c r="U20" s="20"/>
      <c r="V20" s="20"/>
      <c r="W20" s="20"/>
      <c r="X20" s="20"/>
      <c r="Y20" s="18">
        <f>F20-(G20+H20+J20+K20+M20+N20+P20+Q20+S20+T20+V20+W20+U20+O20+I20+L20+R20+X20)</f>
        <v>0.26999999999998181</v>
      </c>
      <c r="Z20" s="18">
        <f t="shared" si="3"/>
        <v>2499.73</v>
      </c>
      <c r="AA20" s="21">
        <f t="shared" si="2"/>
        <v>2499.73</v>
      </c>
      <c r="AB20">
        <v>2499.73</v>
      </c>
    </row>
    <row r="21" spans="1:53">
      <c r="A21" s="37">
        <v>17</v>
      </c>
      <c r="B21" s="277"/>
      <c r="C21" s="277"/>
      <c r="D21" s="6" t="s">
        <v>54</v>
      </c>
      <c r="E21" s="6"/>
      <c r="F21" s="41">
        <v>1000</v>
      </c>
      <c r="G21" s="102">
        <v>1000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18">
        <f>F21-(G21+H21+J21+K21+M21+N21+P21+Q21+S21+T21+V21+W21+U21+O21+I21+L21+R21+X21)</f>
        <v>0</v>
      </c>
      <c r="Z21" s="18">
        <f t="shared" si="3"/>
        <v>1000</v>
      </c>
      <c r="AA21" s="21">
        <f t="shared" si="2"/>
        <v>1000</v>
      </c>
      <c r="AB21">
        <v>1000</v>
      </c>
    </row>
    <row r="22" spans="1:53">
      <c r="A22" s="37">
        <v>18</v>
      </c>
      <c r="B22" s="277"/>
      <c r="C22" s="277"/>
      <c r="D22" s="6" t="s">
        <v>55</v>
      </c>
      <c r="E22" s="6"/>
      <c r="F22" s="41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18">
        <f>F22-(G22+H22+J22+K22+M22+N22+P22+Q22+S22+T22+V22+W22+U22+O22+I22+L22+R22+X22)</f>
        <v>0</v>
      </c>
      <c r="Z22" s="18">
        <f t="shared" si="3"/>
        <v>0</v>
      </c>
      <c r="AA22" s="21">
        <f t="shared" si="2"/>
        <v>0</v>
      </c>
      <c r="AD22" s="105">
        <f>G39+J39+G52+J52</f>
        <v>19398.13</v>
      </c>
    </row>
    <row r="23" spans="1:53">
      <c r="A23" s="37">
        <v>19</v>
      </c>
      <c r="B23" s="277"/>
      <c r="C23" s="277"/>
      <c r="D23" s="6" t="s">
        <v>56</v>
      </c>
      <c r="E23" s="6"/>
      <c r="F23" s="41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18">
        <f>F23-(G23+H23+J23+K23+M23+N23+P23+Q23+S23+T23+V23+W23+U23+O23+I23+L23+R23+X23)</f>
        <v>0</v>
      </c>
      <c r="Z23" s="18">
        <f t="shared" si="3"/>
        <v>0</v>
      </c>
      <c r="AA23" s="21">
        <f t="shared" si="2"/>
        <v>0</v>
      </c>
      <c r="AD23">
        <f>19398.13+1995.39</f>
        <v>21393.52</v>
      </c>
      <c r="AF23">
        <f>15193.26-1995.39</f>
        <v>13197.87</v>
      </c>
      <c r="AG23" s="107">
        <f>AF23+AG15</f>
        <v>40198.120000000003</v>
      </c>
      <c r="AH23" t="s">
        <v>212</v>
      </c>
    </row>
    <row r="24" spans="1:53">
      <c r="A24" s="37">
        <v>20</v>
      </c>
      <c r="B24" s="6" t="s">
        <v>48</v>
      </c>
      <c r="C24" s="6" t="s">
        <v>46</v>
      </c>
      <c r="D24" s="6" t="s">
        <v>39</v>
      </c>
      <c r="E24" s="6" t="s">
        <v>49</v>
      </c>
      <c r="F24" s="7">
        <v>1500</v>
      </c>
      <c r="G24" s="20"/>
      <c r="H24" s="20"/>
      <c r="I24" s="20"/>
      <c r="J24" s="20"/>
      <c r="K24" s="20"/>
      <c r="L24" s="20"/>
      <c r="M24" s="102">
        <v>1500</v>
      </c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18">
        <f t="shared" ref="Y24:Y38" si="4">F24-(G24+H24+J24+K24+M24+N24+P24+Q24+S24+T24+V24+W24+O24+R24+U24+I24+L24+X24)</f>
        <v>0</v>
      </c>
      <c r="Z24" s="18">
        <f t="shared" si="3"/>
        <v>1500</v>
      </c>
      <c r="AA24" s="21">
        <f t="shared" si="2"/>
        <v>1500</v>
      </c>
      <c r="AB24">
        <v>1500</v>
      </c>
    </row>
    <row r="25" spans="1:53">
      <c r="A25" s="37">
        <v>21</v>
      </c>
      <c r="B25" s="6" t="s">
        <v>50</v>
      </c>
      <c r="C25" s="6" t="s">
        <v>46</v>
      </c>
      <c r="D25" s="6" t="s">
        <v>33</v>
      </c>
      <c r="E25" s="6" t="s">
        <v>51</v>
      </c>
      <c r="F25" s="7">
        <v>3000</v>
      </c>
      <c r="G25" s="102">
        <v>3000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18">
        <f t="shared" si="4"/>
        <v>0</v>
      </c>
      <c r="Z25" s="18">
        <f t="shared" si="3"/>
        <v>3000</v>
      </c>
      <c r="AA25" s="21">
        <f t="shared" si="2"/>
        <v>3000</v>
      </c>
      <c r="AB25">
        <v>3000</v>
      </c>
    </row>
    <row r="26" spans="1:53">
      <c r="A26" s="37">
        <v>22</v>
      </c>
      <c r="B26" s="6" t="s">
        <v>52</v>
      </c>
      <c r="C26" s="6" t="s">
        <v>46</v>
      </c>
      <c r="D26" s="6" t="s">
        <v>42</v>
      </c>
      <c r="E26" s="6" t="s">
        <v>53</v>
      </c>
      <c r="F26" s="7">
        <v>2500</v>
      </c>
      <c r="G26" s="102">
        <v>944.69</v>
      </c>
      <c r="H26" s="20"/>
      <c r="I26" s="20"/>
      <c r="J26" s="20"/>
      <c r="K26" s="20"/>
      <c r="L26" s="20"/>
      <c r="M26" s="20"/>
      <c r="N26" s="20"/>
      <c r="O26" s="20"/>
      <c r="P26" s="102">
        <v>1555.31</v>
      </c>
      <c r="Q26" s="20"/>
      <c r="R26" s="20"/>
      <c r="S26" s="20"/>
      <c r="T26" s="20"/>
      <c r="U26" s="20"/>
      <c r="V26" s="20"/>
      <c r="W26" s="20"/>
      <c r="X26" s="20"/>
      <c r="Y26" s="18">
        <f t="shared" si="4"/>
        <v>0</v>
      </c>
      <c r="Z26" s="18">
        <f t="shared" si="3"/>
        <v>2500</v>
      </c>
      <c r="AA26" s="21">
        <f t="shared" si="2"/>
        <v>2500</v>
      </c>
      <c r="AB26">
        <v>2500</v>
      </c>
    </row>
    <row r="27" spans="1:53" s="3" customFormat="1">
      <c r="A27" s="40">
        <v>23</v>
      </c>
      <c r="B27" s="8" t="s">
        <v>66</v>
      </c>
      <c r="C27" s="339" t="s">
        <v>58</v>
      </c>
      <c r="D27" s="8" t="s">
        <v>59</v>
      </c>
      <c r="E27" s="8" t="s">
        <v>60</v>
      </c>
      <c r="F27" s="12">
        <v>2500</v>
      </c>
      <c r="G27" s="19"/>
      <c r="H27" s="66">
        <v>1000</v>
      </c>
      <c r="I27" s="30" t="s">
        <v>241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66">
        <v>1000</v>
      </c>
      <c r="U27" s="175" t="s">
        <v>338</v>
      </c>
      <c r="V27" s="19"/>
      <c r="W27" s="19"/>
      <c r="X27" s="19"/>
      <c r="Y27" s="18" t="e">
        <f>F27-(G27+H27+J27+K27+M27+N27+P27+Q27+S27+T27+V27+W27+O27+R27+U29+I27+L27+X27)</f>
        <v>#VALUE!</v>
      </c>
      <c r="Z27" s="18">
        <f t="shared" si="3"/>
        <v>2000</v>
      </c>
      <c r="AA27" s="21">
        <f t="shared" si="2"/>
        <v>2000</v>
      </c>
      <c r="AB27">
        <v>2000</v>
      </c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</row>
    <row r="28" spans="1:53" s="3" customFormat="1">
      <c r="A28" s="40">
        <v>24</v>
      </c>
      <c r="B28" s="8" t="s">
        <v>57</v>
      </c>
      <c r="C28" s="339"/>
      <c r="D28" s="8" t="s">
        <v>35</v>
      </c>
      <c r="E28" s="8"/>
      <c r="F28" s="12">
        <v>1000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8">
        <f t="shared" si="4"/>
        <v>1000</v>
      </c>
      <c r="Z28" s="18">
        <f t="shared" si="3"/>
        <v>0</v>
      </c>
      <c r="AA28" s="21">
        <f t="shared" si="2"/>
        <v>0</v>
      </c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</row>
    <row r="29" spans="1:53">
      <c r="A29" s="37">
        <v>25</v>
      </c>
      <c r="B29" s="6" t="s">
        <v>61</v>
      </c>
      <c r="C29" s="6" t="s">
        <v>62</v>
      </c>
      <c r="D29" s="6" t="s">
        <v>11</v>
      </c>
      <c r="E29" s="6" t="s">
        <v>63</v>
      </c>
      <c r="F29" s="7">
        <v>2500</v>
      </c>
      <c r="G29" s="102">
        <v>2157.8000000000002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66">
        <v>1000</v>
      </c>
      <c r="U29" s="102" t="s">
        <v>305</v>
      </c>
      <c r="V29" s="20"/>
      <c r="W29" s="20"/>
      <c r="X29" s="20"/>
      <c r="Y29" s="18" t="e">
        <f>F29-(G29+H29+J29+K29+M29+N29+P29+Q29+S29+T29+V29+W29+O29+R29+#REF!+I29+L29+X29)</f>
        <v>#REF!</v>
      </c>
      <c r="Z29" s="18">
        <f t="shared" si="3"/>
        <v>3157.8</v>
      </c>
      <c r="AA29" s="21">
        <f t="shared" si="2"/>
        <v>3157.8</v>
      </c>
      <c r="AB29">
        <v>3157</v>
      </c>
      <c r="AD29" s="21">
        <f>H39+N39+Q39+T39+W39</f>
        <v>14200.33</v>
      </c>
    </row>
    <row r="30" spans="1:53">
      <c r="A30" s="37">
        <v>26</v>
      </c>
      <c r="B30" s="277" t="s">
        <v>64</v>
      </c>
      <c r="C30" s="277" t="s">
        <v>62</v>
      </c>
      <c r="D30" s="6" t="s">
        <v>65</v>
      </c>
      <c r="E30" s="6" t="s">
        <v>67</v>
      </c>
      <c r="F30" s="7">
        <v>1000</v>
      </c>
      <c r="G30" s="102">
        <v>800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102">
        <v>200</v>
      </c>
      <c r="T30" s="20"/>
      <c r="U30" s="20"/>
      <c r="V30" s="20"/>
      <c r="W30" s="20"/>
      <c r="X30" s="20"/>
      <c r="Y30" s="18">
        <f t="shared" si="4"/>
        <v>0</v>
      </c>
      <c r="Z30" s="18">
        <f t="shared" si="3"/>
        <v>1000</v>
      </c>
      <c r="AA30" s="21">
        <f t="shared" si="2"/>
        <v>1000</v>
      </c>
      <c r="AB30">
        <v>1000</v>
      </c>
    </row>
    <row r="31" spans="1:53">
      <c r="A31" s="37">
        <v>27</v>
      </c>
      <c r="B31" s="277"/>
      <c r="C31" s="277"/>
      <c r="D31" s="6" t="s">
        <v>68</v>
      </c>
      <c r="E31" s="6"/>
      <c r="F31" s="7">
        <v>500</v>
      </c>
      <c r="G31" s="102">
        <v>500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102">
        <v>500</v>
      </c>
      <c r="T31" s="20"/>
      <c r="U31" s="20"/>
      <c r="V31" s="20"/>
      <c r="W31" s="20"/>
      <c r="X31" s="20"/>
      <c r="Y31" s="18">
        <f t="shared" si="4"/>
        <v>-500</v>
      </c>
      <c r="Z31" s="18">
        <f t="shared" si="3"/>
        <v>1000</v>
      </c>
      <c r="AA31" s="21">
        <f t="shared" si="2"/>
        <v>1000</v>
      </c>
      <c r="AB31">
        <v>1000</v>
      </c>
    </row>
    <row r="32" spans="1:53">
      <c r="A32" s="37">
        <v>28</v>
      </c>
      <c r="B32" s="277"/>
      <c r="C32" s="277"/>
      <c r="D32" s="6" t="s">
        <v>68</v>
      </c>
      <c r="E32" s="6"/>
      <c r="F32" s="7">
        <v>500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18">
        <f t="shared" si="4"/>
        <v>500</v>
      </c>
      <c r="Z32" s="18">
        <f t="shared" si="3"/>
        <v>0</v>
      </c>
      <c r="AA32" s="21">
        <f t="shared" si="2"/>
        <v>0</v>
      </c>
    </row>
    <row r="33" spans="1:32">
      <c r="A33" s="37">
        <v>29</v>
      </c>
      <c r="B33" s="277" t="s">
        <v>69</v>
      </c>
      <c r="C33" s="6"/>
      <c r="D33" s="6"/>
      <c r="E33" s="6" t="s">
        <v>70</v>
      </c>
      <c r="F33" s="7">
        <v>1000</v>
      </c>
      <c r="G33" s="102">
        <v>800</v>
      </c>
      <c r="H33" s="20"/>
      <c r="I33" s="20"/>
      <c r="J33" s="20"/>
      <c r="K33" s="20"/>
      <c r="L33" s="20"/>
      <c r="M33" s="20"/>
      <c r="N33" s="20"/>
      <c r="O33" s="20"/>
      <c r="P33" s="102">
        <v>800</v>
      </c>
      <c r="Q33" s="20"/>
      <c r="R33" s="20"/>
      <c r="S33" s="20"/>
      <c r="T33" s="20"/>
      <c r="U33" s="20"/>
      <c r="V33" s="20"/>
      <c r="W33" s="20"/>
      <c r="X33" s="20"/>
      <c r="Y33" s="18">
        <f t="shared" si="4"/>
        <v>-600</v>
      </c>
      <c r="Z33" s="18">
        <f t="shared" si="3"/>
        <v>1600</v>
      </c>
      <c r="AA33" s="21">
        <f t="shared" si="2"/>
        <v>1600</v>
      </c>
      <c r="AB33">
        <v>1600</v>
      </c>
    </row>
    <row r="34" spans="1:32">
      <c r="A34" s="37">
        <v>30</v>
      </c>
      <c r="B34" s="277"/>
      <c r="C34" s="6"/>
      <c r="D34" s="6" t="s">
        <v>35</v>
      </c>
      <c r="E34" s="6"/>
      <c r="F34" s="7">
        <v>500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18">
        <f t="shared" si="4"/>
        <v>500</v>
      </c>
      <c r="Z34" s="18">
        <f t="shared" si="3"/>
        <v>0</v>
      </c>
      <c r="AA34" s="21">
        <f t="shared" si="2"/>
        <v>0</v>
      </c>
    </row>
    <row r="35" spans="1:32">
      <c r="A35" s="37">
        <v>31</v>
      </c>
      <c r="B35" s="6" t="s">
        <v>206</v>
      </c>
      <c r="C35" s="6" t="s">
        <v>207</v>
      </c>
      <c r="D35" s="6"/>
      <c r="E35" s="6" t="s">
        <v>158</v>
      </c>
      <c r="F35" s="7">
        <v>1500</v>
      </c>
      <c r="G35" s="102">
        <v>747.24</v>
      </c>
      <c r="H35" s="20"/>
      <c r="I35" s="20"/>
      <c r="J35" s="20"/>
      <c r="K35" s="20"/>
      <c r="L35" s="20"/>
      <c r="M35" s="20"/>
      <c r="N35" s="20"/>
      <c r="O35" s="20"/>
      <c r="P35" s="102">
        <v>700</v>
      </c>
      <c r="Q35" s="20"/>
      <c r="R35" s="20"/>
      <c r="S35" s="20"/>
      <c r="T35" s="20"/>
      <c r="U35" s="20"/>
      <c r="V35" s="20"/>
      <c r="W35" s="20"/>
      <c r="X35" s="20"/>
      <c r="Y35" s="18">
        <f t="shared" si="4"/>
        <v>52.759999999999991</v>
      </c>
      <c r="Z35" s="18"/>
      <c r="AA35" s="21">
        <f t="shared" si="2"/>
        <v>1447.24</v>
      </c>
      <c r="AB35">
        <v>1447.24</v>
      </c>
    </row>
    <row r="36" spans="1:32">
      <c r="A36" s="37">
        <v>32</v>
      </c>
      <c r="B36" s="6" t="s">
        <v>160</v>
      </c>
      <c r="C36" s="6" t="s">
        <v>161</v>
      </c>
      <c r="D36" s="6" t="s">
        <v>11</v>
      </c>
      <c r="E36" s="6" t="s">
        <v>159</v>
      </c>
      <c r="F36" s="7">
        <v>1500</v>
      </c>
      <c r="G36" s="102">
        <v>950.35</v>
      </c>
      <c r="H36" s="20"/>
      <c r="I36" s="20"/>
      <c r="J36" s="20"/>
      <c r="K36" s="20"/>
      <c r="L36" s="20">
        <v>1100</v>
      </c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18">
        <f t="shared" si="4"/>
        <v>-550.34999999999991</v>
      </c>
      <c r="Z36" s="18"/>
      <c r="AA36" s="21">
        <f t="shared" si="2"/>
        <v>2050.35</v>
      </c>
      <c r="AB36">
        <v>2050.35</v>
      </c>
    </row>
    <row r="37" spans="1:32">
      <c r="A37" s="37"/>
      <c r="B37" s="6" t="s">
        <v>204</v>
      </c>
      <c r="C37" s="6" t="s">
        <v>205</v>
      </c>
      <c r="D37" s="6" t="s">
        <v>21</v>
      </c>
      <c r="E37" s="6"/>
      <c r="F37" s="7">
        <v>700</v>
      </c>
      <c r="G37" s="102">
        <v>700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18">
        <f t="shared" si="4"/>
        <v>0</v>
      </c>
      <c r="Z37" s="18"/>
      <c r="AA37" s="21">
        <f t="shared" si="2"/>
        <v>700</v>
      </c>
      <c r="AB37">
        <v>700</v>
      </c>
    </row>
    <row r="38" spans="1:32">
      <c r="A38" s="37">
        <v>33</v>
      </c>
      <c r="B38" s="6" t="s">
        <v>71</v>
      </c>
      <c r="C38" s="6"/>
      <c r="D38" s="6" t="s">
        <v>73</v>
      </c>
      <c r="E38" s="6" t="s">
        <v>72</v>
      </c>
      <c r="F38" s="7">
        <v>3000</v>
      </c>
      <c r="G38" s="20"/>
      <c r="H38" s="66">
        <v>1200</v>
      </c>
      <c r="I38" s="102" t="s">
        <v>243</v>
      </c>
      <c r="J38" s="20"/>
      <c r="K38" s="20"/>
      <c r="L38" s="20"/>
      <c r="M38" s="20"/>
      <c r="N38" s="66">
        <v>1200</v>
      </c>
      <c r="O38" s="102" t="s">
        <v>251</v>
      </c>
      <c r="P38" s="20"/>
      <c r="Q38" s="66">
        <v>600</v>
      </c>
      <c r="R38" s="102" t="s">
        <v>304</v>
      </c>
      <c r="S38" s="20"/>
      <c r="T38" s="20"/>
      <c r="U38" s="20"/>
      <c r="V38" s="20"/>
      <c r="W38" s="20"/>
      <c r="X38" s="20"/>
      <c r="Y38" s="18" t="e">
        <f t="shared" si="4"/>
        <v>#VALUE!</v>
      </c>
      <c r="Z38" s="18">
        <f>SUM(G38:X38)</f>
        <v>3000</v>
      </c>
      <c r="AA38" s="21">
        <f t="shared" si="2"/>
        <v>3000</v>
      </c>
      <c r="AB38">
        <v>3000</v>
      </c>
    </row>
    <row r="39" spans="1:32">
      <c r="A39" s="318" t="s">
        <v>105</v>
      </c>
      <c r="B39" s="324"/>
      <c r="C39" s="324"/>
      <c r="D39" s="324"/>
      <c r="E39" s="324"/>
      <c r="F39" s="28">
        <f>SUM(F4:F38)</f>
        <v>51900</v>
      </c>
      <c r="G39" s="42">
        <f>SUM(G4:G38)</f>
        <v>17698.13</v>
      </c>
      <c r="H39" s="42">
        <f>SUM(H4:H38)</f>
        <v>4121.2</v>
      </c>
      <c r="I39" s="42">
        <f t="shared" ref="I39:X39" si="5">SUM(I4:I38)</f>
        <v>1581.3</v>
      </c>
      <c r="J39" s="42">
        <f>SUM(J4:J38)</f>
        <v>0</v>
      </c>
      <c r="K39" s="42">
        <f t="shared" si="5"/>
        <v>0</v>
      </c>
      <c r="L39" s="42">
        <f t="shared" si="5"/>
        <v>1800</v>
      </c>
      <c r="M39" s="42">
        <f>SUM(M4:M38)</f>
        <v>5104.71</v>
      </c>
      <c r="N39" s="42">
        <f t="shared" si="5"/>
        <v>4027.87</v>
      </c>
      <c r="O39" s="42">
        <f t="shared" si="5"/>
        <v>0</v>
      </c>
      <c r="P39" s="42">
        <f>SUM(P4:P38)</f>
        <v>6597.3099999999995</v>
      </c>
      <c r="Q39" s="42">
        <f t="shared" si="5"/>
        <v>600</v>
      </c>
      <c r="R39" s="42">
        <f t="shared" si="5"/>
        <v>0</v>
      </c>
      <c r="S39" s="42">
        <f>SUM(S4:S38)</f>
        <v>700</v>
      </c>
      <c r="T39" s="42">
        <f t="shared" si="5"/>
        <v>4900.26</v>
      </c>
      <c r="U39" s="42">
        <f t="shared" si="5"/>
        <v>0</v>
      </c>
      <c r="V39" s="42">
        <f t="shared" si="5"/>
        <v>0</v>
      </c>
      <c r="W39" s="42">
        <f t="shared" si="5"/>
        <v>551</v>
      </c>
      <c r="X39" s="42">
        <f t="shared" si="5"/>
        <v>0</v>
      </c>
      <c r="Y39" s="42" t="e">
        <f>SUM(Y4:Y38)</f>
        <v>#VALUE!</v>
      </c>
      <c r="Z39" s="42">
        <f>SUM(Z4:Z38)</f>
        <v>42584.19</v>
      </c>
    </row>
    <row r="40" spans="1:32">
      <c r="Y40" s="21">
        <f>F39-Z39</f>
        <v>9315.8099999999977</v>
      </c>
      <c r="Z40" s="21">
        <f>G39+H39+J39+K39+M39+N39+O39+P39+Q39+R39+S39+T39+U39+V39+W39</f>
        <v>44300.480000000003</v>
      </c>
    </row>
    <row r="42" spans="1:32" ht="24.6">
      <c r="A42" s="334" t="s">
        <v>140</v>
      </c>
      <c r="B42" s="335"/>
      <c r="C42" s="335"/>
      <c r="D42" s="335"/>
      <c r="E42" s="335"/>
      <c r="F42" s="335"/>
      <c r="G42" s="335"/>
      <c r="H42" s="335"/>
      <c r="I42" s="335"/>
      <c r="J42" s="335"/>
      <c r="K42" s="335"/>
      <c r="L42" s="335"/>
      <c r="M42" s="335"/>
      <c r="N42" s="335"/>
      <c r="O42" s="335"/>
      <c r="P42" s="335"/>
      <c r="Q42" s="335"/>
      <c r="R42" s="335"/>
      <c r="S42" s="335"/>
      <c r="T42" s="335"/>
      <c r="U42" s="335"/>
      <c r="V42" s="335"/>
      <c r="W42" s="335"/>
      <c r="X42" s="335"/>
      <c r="Y42" s="335"/>
      <c r="Z42" s="335"/>
    </row>
    <row r="43" spans="1:32" ht="28.8" customHeight="1">
      <c r="A43" s="261" t="s">
        <v>0</v>
      </c>
      <c r="B43" s="261"/>
      <c r="C43" s="261" t="s">
        <v>2</v>
      </c>
      <c r="D43" s="261" t="s">
        <v>8</v>
      </c>
      <c r="E43" s="261" t="s">
        <v>1</v>
      </c>
      <c r="F43" s="262" t="s">
        <v>3</v>
      </c>
      <c r="G43" s="317">
        <v>46202</v>
      </c>
      <c r="H43" s="317"/>
      <c r="I43" s="317"/>
      <c r="J43" s="317">
        <v>46203</v>
      </c>
      <c r="K43" s="317"/>
      <c r="L43" s="317"/>
      <c r="M43" s="317">
        <v>46204</v>
      </c>
      <c r="N43" s="317"/>
      <c r="O43" s="317"/>
      <c r="P43" s="317">
        <v>46205</v>
      </c>
      <c r="Q43" s="317"/>
      <c r="R43" s="317"/>
      <c r="S43" s="317">
        <v>46206</v>
      </c>
      <c r="T43" s="317"/>
      <c r="U43" s="317"/>
      <c r="V43" s="317">
        <v>46207</v>
      </c>
      <c r="W43" s="317"/>
      <c r="X43" s="317"/>
      <c r="Y43" s="332" t="s">
        <v>94</v>
      </c>
      <c r="Z43" s="326" t="s">
        <v>92</v>
      </c>
    </row>
    <row r="44" spans="1:32">
      <c r="A44" s="261"/>
      <c r="B44" s="261"/>
      <c r="C44" s="261"/>
      <c r="D44" s="261"/>
      <c r="E44" s="261"/>
      <c r="F44" s="262"/>
      <c r="G44" s="17" t="s">
        <v>95</v>
      </c>
      <c r="H44" s="17" t="s">
        <v>96</v>
      </c>
      <c r="I44" s="17" t="s">
        <v>98</v>
      </c>
      <c r="J44" s="17" t="s">
        <v>95</v>
      </c>
      <c r="K44" s="17" t="s">
        <v>96</v>
      </c>
      <c r="L44" s="17" t="s">
        <v>98</v>
      </c>
      <c r="M44" s="17" t="s">
        <v>95</v>
      </c>
      <c r="N44" s="17" t="s">
        <v>96</v>
      </c>
      <c r="O44" s="17" t="s">
        <v>98</v>
      </c>
      <c r="P44" s="17" t="s">
        <v>95</v>
      </c>
      <c r="Q44" s="17" t="s">
        <v>96</v>
      </c>
      <c r="R44" s="17" t="s">
        <v>98</v>
      </c>
      <c r="S44" s="17" t="s">
        <v>95</v>
      </c>
      <c r="T44" s="17" t="s">
        <v>96</v>
      </c>
      <c r="U44" s="17" t="s">
        <v>98</v>
      </c>
      <c r="V44" s="17" t="s">
        <v>95</v>
      </c>
      <c r="W44" s="17" t="s">
        <v>96</v>
      </c>
      <c r="X44" s="17" t="s">
        <v>98</v>
      </c>
      <c r="Y44" s="333"/>
      <c r="Z44" s="327"/>
    </row>
    <row r="45" spans="1:32">
      <c r="A45" s="37">
        <v>1</v>
      </c>
      <c r="B45" s="6" t="s">
        <v>75</v>
      </c>
      <c r="C45" s="6" t="s">
        <v>77</v>
      </c>
      <c r="D45" s="6" t="s">
        <v>76</v>
      </c>
      <c r="E45" s="6" t="s">
        <v>78</v>
      </c>
      <c r="F45" s="7">
        <v>2500</v>
      </c>
      <c r="G45" s="20"/>
      <c r="H45" s="20"/>
      <c r="I45" s="20"/>
      <c r="J45" s="20"/>
      <c r="K45" s="20"/>
      <c r="L45" s="20"/>
      <c r="M45" s="102">
        <v>500</v>
      </c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>
        <f t="shared" ref="Y45:Y51" si="6">F45-(G45+H45+J45+K45+M45+N45+P45+Q45+R45+S45+T45+V45+W45)</f>
        <v>2000</v>
      </c>
      <c r="Z45" s="20">
        <f t="shared" ref="Z45:Z51" si="7">(G45+H45+J45+K45+M45+N45+P45+Q45+R45+S45+T45+V45+W45)</f>
        <v>500</v>
      </c>
    </row>
    <row r="46" spans="1:32">
      <c r="A46" s="37">
        <v>2</v>
      </c>
      <c r="B46" s="6" t="s">
        <v>79</v>
      </c>
      <c r="C46" s="6" t="s">
        <v>77</v>
      </c>
      <c r="D46" s="6" t="s">
        <v>73</v>
      </c>
      <c r="E46" s="6" t="s">
        <v>74</v>
      </c>
      <c r="F46" s="7">
        <v>1500</v>
      </c>
      <c r="G46" s="20"/>
      <c r="H46" s="20"/>
      <c r="I46" s="20"/>
      <c r="J46" s="102">
        <v>1700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30">
        <f t="shared" si="6"/>
        <v>-200</v>
      </c>
      <c r="Z46" s="20">
        <f t="shared" si="7"/>
        <v>1700</v>
      </c>
      <c r="AC46" s="328" t="s">
        <v>104</v>
      </c>
      <c r="AD46" s="329"/>
      <c r="AE46" s="329"/>
      <c r="AF46" s="329"/>
    </row>
    <row r="47" spans="1:32">
      <c r="A47" s="330">
        <v>3</v>
      </c>
      <c r="B47" s="277" t="s">
        <v>80</v>
      </c>
      <c r="C47" s="277" t="s">
        <v>77</v>
      </c>
      <c r="D47" s="6" t="s">
        <v>81</v>
      </c>
      <c r="E47" s="6" t="s">
        <v>6</v>
      </c>
      <c r="F47" s="7">
        <v>2000</v>
      </c>
      <c r="G47" s="20"/>
      <c r="H47" s="20"/>
      <c r="I47" s="20"/>
      <c r="J47" s="20"/>
      <c r="K47" s="20"/>
      <c r="L47" s="20"/>
      <c r="M47" s="102">
        <v>1370.08</v>
      </c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>
        <f t="shared" si="6"/>
        <v>629.92000000000007</v>
      </c>
      <c r="Z47" s="20">
        <f t="shared" si="7"/>
        <v>1370.08</v>
      </c>
      <c r="AC47" s="26" t="s">
        <v>99</v>
      </c>
      <c r="AD47" s="26" t="s">
        <v>100</v>
      </c>
      <c r="AE47" s="26" t="s">
        <v>101</v>
      </c>
      <c r="AF47" s="26" t="s">
        <v>102</v>
      </c>
    </row>
    <row r="48" spans="1:32">
      <c r="A48" s="331"/>
      <c r="B48" s="277"/>
      <c r="C48" s="277"/>
      <c r="D48" s="6" t="s">
        <v>35</v>
      </c>
      <c r="E48" s="6"/>
      <c r="F48" s="7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30">
        <f t="shared" si="6"/>
        <v>0</v>
      </c>
      <c r="Z48" s="20">
        <f t="shared" si="7"/>
        <v>0</v>
      </c>
      <c r="AC48" s="25" t="s">
        <v>95</v>
      </c>
      <c r="AD48" s="13"/>
      <c r="AE48" s="13"/>
      <c r="AF48" s="24">
        <f>(G52+J52+M52+P52+S52+V52)</f>
        <v>4491.24</v>
      </c>
    </row>
    <row r="49" spans="1:32">
      <c r="A49" s="37">
        <v>4</v>
      </c>
      <c r="B49" s="6" t="s">
        <v>82</v>
      </c>
      <c r="C49" s="6" t="s">
        <v>83</v>
      </c>
      <c r="D49" s="6" t="s">
        <v>73</v>
      </c>
      <c r="E49" s="6" t="s">
        <v>84</v>
      </c>
      <c r="F49" s="7">
        <v>1500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>
        <f t="shared" si="6"/>
        <v>1500</v>
      </c>
      <c r="Z49" s="20">
        <f t="shared" si="7"/>
        <v>0</v>
      </c>
      <c r="AC49" s="25" t="s">
        <v>96</v>
      </c>
      <c r="AD49" s="13"/>
      <c r="AE49" s="13"/>
      <c r="AF49" s="24">
        <f>H52+K52+N52+Q52+T52+W52</f>
        <v>0</v>
      </c>
    </row>
    <row r="50" spans="1:32">
      <c r="A50" s="37">
        <v>5</v>
      </c>
      <c r="B50" s="6" t="s">
        <v>85</v>
      </c>
      <c r="C50" s="6" t="s">
        <v>83</v>
      </c>
      <c r="D50" s="6" t="s">
        <v>73</v>
      </c>
      <c r="E50" s="6" t="s">
        <v>86</v>
      </c>
      <c r="F50" s="7">
        <v>1500</v>
      </c>
      <c r="H50" s="20"/>
      <c r="I50" s="20"/>
      <c r="J50" s="20"/>
      <c r="K50" s="20"/>
      <c r="L50" s="20"/>
      <c r="M50" s="102">
        <v>921.16</v>
      </c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 t="e">
        <f>F50-(M50+H50+J50+K50+#REF!+N50+P50+Q50+R50+S50+T50+V50+W50)</f>
        <v>#REF!</v>
      </c>
      <c r="Z50" s="20" t="e">
        <f>(M50+H50+J50+K50+#REF!+N50+P50+Q50+R50+S50+T50+V50+W50)</f>
        <v>#REF!</v>
      </c>
      <c r="AC50" s="25" t="s">
        <v>98</v>
      </c>
      <c r="AD50" s="13"/>
      <c r="AE50" s="13"/>
      <c r="AF50" s="13"/>
    </row>
    <row r="51" spans="1:32">
      <c r="A51" s="37">
        <v>6</v>
      </c>
      <c r="B51" s="6" t="s">
        <v>87</v>
      </c>
      <c r="C51" s="6" t="s">
        <v>88</v>
      </c>
      <c r="D51" s="6" t="s">
        <v>81</v>
      </c>
      <c r="E51" s="6" t="s">
        <v>89</v>
      </c>
      <c r="F51" s="7">
        <v>2000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>
        <f t="shared" si="6"/>
        <v>2000</v>
      </c>
      <c r="Z51" s="20">
        <f t="shared" si="7"/>
        <v>0</v>
      </c>
    </row>
    <row r="52" spans="1:32">
      <c r="A52" s="318" t="s">
        <v>105</v>
      </c>
      <c r="B52" s="324"/>
      <c r="C52" s="324"/>
      <c r="D52" s="324"/>
      <c r="E52" s="324"/>
      <c r="F52" s="28">
        <f>SUM(F45:F51)</f>
        <v>11000</v>
      </c>
      <c r="G52" s="29">
        <f>SUM(G45:G51)</f>
        <v>0</v>
      </c>
      <c r="H52" s="29">
        <f>SUM(H45:H51)</f>
        <v>0</v>
      </c>
      <c r="I52" s="29"/>
      <c r="J52" s="29">
        <f t="shared" ref="J52:Z52" si="8">SUM(J45:J51)</f>
        <v>1700</v>
      </c>
      <c r="K52" s="29">
        <f t="shared" si="8"/>
        <v>0</v>
      </c>
      <c r="L52" s="29"/>
      <c r="M52" s="29">
        <f t="shared" si="8"/>
        <v>2791.24</v>
      </c>
      <c r="N52" s="29">
        <f t="shared" si="8"/>
        <v>0</v>
      </c>
      <c r="O52" s="29"/>
      <c r="P52" s="29">
        <f t="shared" si="8"/>
        <v>0</v>
      </c>
      <c r="Q52" s="29">
        <f t="shared" si="8"/>
        <v>0</v>
      </c>
      <c r="R52" s="29">
        <f t="shared" si="8"/>
        <v>0</v>
      </c>
      <c r="S52" s="29">
        <f t="shared" si="8"/>
        <v>0</v>
      </c>
      <c r="T52" s="29">
        <f t="shared" si="8"/>
        <v>0</v>
      </c>
      <c r="U52" s="29"/>
      <c r="V52" s="29">
        <f t="shared" si="8"/>
        <v>0</v>
      </c>
      <c r="W52" s="29">
        <f t="shared" si="8"/>
        <v>0</v>
      </c>
      <c r="X52" s="29"/>
      <c r="Y52" s="43" t="e">
        <f t="shared" si="8"/>
        <v>#REF!</v>
      </c>
      <c r="Z52" s="43" t="e">
        <f t="shared" si="8"/>
        <v>#REF!</v>
      </c>
    </row>
    <row r="56" spans="1:32" ht="24.6">
      <c r="A56" s="325" t="s">
        <v>141</v>
      </c>
      <c r="B56" s="325"/>
      <c r="C56" s="325"/>
      <c r="D56" s="325"/>
      <c r="E56" s="325"/>
      <c r="F56" s="325"/>
      <c r="G56" s="325"/>
      <c r="H56" s="325"/>
      <c r="I56" s="325"/>
      <c r="J56" s="325"/>
      <c r="K56" s="325"/>
      <c r="L56" s="325"/>
      <c r="M56" s="325"/>
      <c r="N56" s="325"/>
      <c r="O56" s="325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spans="1:32" ht="28.8" customHeight="1">
      <c r="A57" s="261" t="s">
        <v>0</v>
      </c>
      <c r="B57" s="261"/>
      <c r="C57" s="261" t="s">
        <v>2</v>
      </c>
      <c r="D57" s="261" t="s">
        <v>8</v>
      </c>
      <c r="E57" s="261" t="s">
        <v>1</v>
      </c>
      <c r="F57" s="262" t="s">
        <v>3</v>
      </c>
      <c r="G57" s="31">
        <v>46202</v>
      </c>
      <c r="H57" s="31">
        <v>46203</v>
      </c>
      <c r="I57" s="31">
        <v>46204</v>
      </c>
      <c r="J57" s="31">
        <v>46205</v>
      </c>
      <c r="K57" s="31">
        <v>46206</v>
      </c>
      <c r="L57" s="31">
        <v>46207</v>
      </c>
      <c r="M57" s="31">
        <v>46208</v>
      </c>
      <c r="N57" s="317" t="s">
        <v>94</v>
      </c>
      <c r="O57" s="262" t="s">
        <v>92</v>
      </c>
      <c r="R57" s="58"/>
      <c r="T57" s="58"/>
      <c r="U57" s="58"/>
      <c r="W57" s="58"/>
      <c r="X57" s="58"/>
    </row>
    <row r="58" spans="1:32">
      <c r="A58" s="261"/>
      <c r="B58" s="261"/>
      <c r="C58" s="261"/>
      <c r="D58" s="261"/>
      <c r="E58" s="261"/>
      <c r="F58" s="262"/>
      <c r="G58" s="17" t="s">
        <v>95</v>
      </c>
      <c r="H58" s="17" t="s">
        <v>95</v>
      </c>
      <c r="I58" s="17" t="s">
        <v>95</v>
      </c>
      <c r="J58" s="17" t="s">
        <v>95</v>
      </c>
      <c r="K58" s="17" t="s">
        <v>95</v>
      </c>
      <c r="L58" s="17" t="s">
        <v>95</v>
      </c>
      <c r="M58" s="17" t="s">
        <v>95</v>
      </c>
      <c r="N58" s="317"/>
      <c r="O58" s="262"/>
      <c r="R58" s="59"/>
      <c r="S58" s="59"/>
      <c r="T58" s="59"/>
      <c r="U58" s="59"/>
      <c r="V58" s="59"/>
      <c r="W58" s="59"/>
      <c r="X58" s="59"/>
    </row>
    <row r="59" spans="1:32">
      <c r="A59" s="37">
        <v>1</v>
      </c>
      <c r="B59" s="32" t="s">
        <v>112</v>
      </c>
      <c r="C59" s="315" t="s">
        <v>118</v>
      </c>
      <c r="D59" s="6"/>
      <c r="E59" s="33" t="s">
        <v>106</v>
      </c>
      <c r="F59" s="7"/>
      <c r="G59" s="13"/>
      <c r="H59" s="13"/>
      <c r="I59" s="13"/>
      <c r="J59" s="13"/>
      <c r="K59" s="13"/>
      <c r="L59" s="13"/>
      <c r="M59" s="13"/>
      <c r="N59" s="13"/>
      <c r="O59" s="20">
        <f t="shared" ref="O59:O65" si="9">SUM(G59:N59)</f>
        <v>0</v>
      </c>
      <c r="V59" s="365" t="s">
        <v>143</v>
      </c>
      <c r="W59" s="366"/>
      <c r="X59" s="366"/>
      <c r="Y59" s="366"/>
    </row>
    <row r="60" spans="1:32">
      <c r="A60" s="37">
        <v>2</v>
      </c>
      <c r="B60" s="32" t="s">
        <v>113</v>
      </c>
      <c r="C60" s="315"/>
      <c r="D60" s="6"/>
      <c r="E60" s="33" t="s">
        <v>107</v>
      </c>
      <c r="F60" s="7"/>
      <c r="G60" s="13"/>
      <c r="H60" s="13"/>
      <c r="I60" s="13"/>
      <c r="J60" s="13"/>
      <c r="K60" s="13"/>
      <c r="L60" s="13">
        <v>10800.14</v>
      </c>
      <c r="M60" s="13"/>
      <c r="N60" s="13"/>
      <c r="O60" s="20">
        <f t="shared" si="9"/>
        <v>10800.14</v>
      </c>
      <c r="V60" s="26" t="s">
        <v>99</v>
      </c>
      <c r="W60" s="26" t="s">
        <v>100</v>
      </c>
      <c r="X60" s="26" t="s">
        <v>101</v>
      </c>
      <c r="Y60" s="26" t="s">
        <v>102</v>
      </c>
    </row>
    <row r="61" spans="1:32">
      <c r="A61" s="37">
        <v>3</v>
      </c>
      <c r="B61" s="32" t="s">
        <v>114</v>
      </c>
      <c r="C61" s="315"/>
      <c r="D61" s="6"/>
      <c r="E61" s="33" t="s">
        <v>108</v>
      </c>
      <c r="F61" s="7"/>
      <c r="G61" s="13"/>
      <c r="H61" s="13"/>
      <c r="I61" s="13"/>
      <c r="J61" s="13"/>
      <c r="K61" s="13"/>
      <c r="L61" s="13"/>
      <c r="M61" s="13"/>
      <c r="N61" s="13"/>
      <c r="O61" s="20">
        <f t="shared" si="9"/>
        <v>0</v>
      </c>
      <c r="V61" s="6" t="s">
        <v>95</v>
      </c>
      <c r="W61" s="6"/>
      <c r="X61" s="6"/>
      <c r="Y61" s="35" t="e">
        <f>(G66+J66+#REF!+#REF!+S66+V66)</f>
        <v>#REF!</v>
      </c>
    </row>
    <row r="62" spans="1:32">
      <c r="A62" s="37">
        <v>4</v>
      </c>
      <c r="B62" s="32" t="s">
        <v>114</v>
      </c>
      <c r="C62" s="315"/>
      <c r="D62" s="6"/>
      <c r="E62" s="33" t="s">
        <v>108</v>
      </c>
      <c r="F62" s="7"/>
      <c r="G62" s="13"/>
      <c r="H62" s="13"/>
      <c r="I62" s="13"/>
      <c r="J62" s="13"/>
      <c r="K62" s="13"/>
      <c r="L62" s="13"/>
      <c r="M62" s="13"/>
      <c r="N62" s="13"/>
      <c r="O62" s="20">
        <f t="shared" si="9"/>
        <v>0</v>
      </c>
      <c r="V62" s="6" t="s">
        <v>96</v>
      </c>
      <c r="W62" s="6"/>
      <c r="X62" s="6"/>
      <c r="Y62" s="6" t="e">
        <f>(H66+K66+#REF!+#REF!+T66+W66)</f>
        <v>#REF!</v>
      </c>
    </row>
    <row r="63" spans="1:32">
      <c r="A63" s="37">
        <v>5</v>
      </c>
      <c r="B63" s="32" t="s">
        <v>115</v>
      </c>
      <c r="C63" s="315"/>
      <c r="D63" s="6"/>
      <c r="E63" s="33" t="s">
        <v>109</v>
      </c>
      <c r="F63" s="7"/>
      <c r="G63" s="13"/>
      <c r="H63" s="13"/>
      <c r="I63" s="13">
        <v>8100.11</v>
      </c>
      <c r="J63" s="13"/>
      <c r="K63" s="13"/>
      <c r="L63" s="13"/>
      <c r="M63" s="13"/>
      <c r="N63" s="13"/>
      <c r="O63" s="20">
        <f t="shared" si="9"/>
        <v>8100.11</v>
      </c>
      <c r="V63" s="6" t="s">
        <v>103</v>
      </c>
      <c r="W63" s="6"/>
      <c r="X63" s="6"/>
      <c r="Y63" s="6" t="e">
        <f>(I66+M66+#REF!+R66+U66+X66)</f>
        <v>#REF!</v>
      </c>
    </row>
    <row r="64" spans="1:32">
      <c r="A64" s="37">
        <v>6</v>
      </c>
      <c r="B64" s="32" t="s">
        <v>116</v>
      </c>
      <c r="C64" s="315"/>
      <c r="D64" s="6"/>
      <c r="E64" s="33" t="s">
        <v>110</v>
      </c>
      <c r="F64" s="7"/>
      <c r="G64" s="13"/>
      <c r="H64" s="13"/>
      <c r="I64" s="13"/>
      <c r="J64" s="13"/>
      <c r="K64" s="13"/>
      <c r="L64" s="13"/>
      <c r="M64" s="13"/>
      <c r="N64" s="13"/>
      <c r="O64" s="20">
        <f t="shared" si="9"/>
        <v>0</v>
      </c>
    </row>
    <row r="65" spans="1:22">
      <c r="A65" s="37">
        <v>7</v>
      </c>
      <c r="B65" s="32" t="s">
        <v>117</v>
      </c>
      <c r="C65" s="315"/>
      <c r="D65" s="6"/>
      <c r="E65" s="33" t="s">
        <v>111</v>
      </c>
      <c r="F65" s="7"/>
      <c r="G65" s="13"/>
      <c r="H65" s="13"/>
      <c r="I65" s="13"/>
      <c r="J65" s="13"/>
      <c r="K65" s="13"/>
      <c r="L65" s="13">
        <v>8100</v>
      </c>
      <c r="M65" s="13"/>
      <c r="N65" s="13"/>
      <c r="O65" s="20">
        <f t="shared" si="9"/>
        <v>8100</v>
      </c>
    </row>
    <row r="66" spans="1:22">
      <c r="A66" s="318" t="s">
        <v>105</v>
      </c>
      <c r="B66" s="324"/>
      <c r="C66" s="324"/>
      <c r="D66" s="324"/>
      <c r="E66" s="324"/>
      <c r="F66" s="36"/>
      <c r="G66" s="13">
        <f>SUM(G59:G65)</f>
        <v>0</v>
      </c>
      <c r="H66" s="13">
        <f>SUM(H59:H65)</f>
        <v>0</v>
      </c>
      <c r="I66" s="13">
        <f>SUM(I59:I65)</f>
        <v>8100.11</v>
      </c>
      <c r="J66" s="13">
        <f t="shared" ref="J66:K66" si="10">SUM(J59:J65)</f>
        <v>0</v>
      </c>
      <c r="K66" s="13">
        <f t="shared" si="10"/>
        <v>0</v>
      </c>
      <c r="L66" s="13">
        <f>SUM(L59:L65)</f>
        <v>18900.14</v>
      </c>
      <c r="M66" s="13">
        <f>SUM(M59:M65)</f>
        <v>0</v>
      </c>
      <c r="N66" s="13">
        <f>SUM(N59:N65)</f>
        <v>0</v>
      </c>
      <c r="O66" s="20">
        <f>SUM(O59:O65)</f>
        <v>27000.25</v>
      </c>
    </row>
    <row r="69" spans="1:22" ht="24.6">
      <c r="A69" s="325" t="s">
        <v>142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5"/>
      <c r="Q69" s="325"/>
      <c r="R69" s="325"/>
      <c r="S69" s="325"/>
      <c r="T69" s="325"/>
      <c r="U69" s="325"/>
      <c r="V69" s="325"/>
    </row>
    <row r="70" spans="1:22">
      <c r="A70" s="261" t="s">
        <v>0</v>
      </c>
      <c r="B70" s="261"/>
      <c r="C70" s="261" t="s">
        <v>145</v>
      </c>
      <c r="D70" s="261" t="s">
        <v>8</v>
      </c>
      <c r="E70" s="261" t="s">
        <v>245</v>
      </c>
      <c r="F70" s="262" t="s">
        <v>3</v>
      </c>
      <c r="G70" s="317">
        <v>46202</v>
      </c>
      <c r="H70" s="317"/>
      <c r="I70" s="317">
        <v>46203</v>
      </c>
      <c r="J70" s="317"/>
      <c r="K70" s="317">
        <v>46204</v>
      </c>
      <c r="L70" s="317"/>
      <c r="M70" s="317">
        <v>46205</v>
      </c>
      <c r="N70" s="317"/>
      <c r="O70" s="317">
        <v>46206</v>
      </c>
      <c r="P70" s="317"/>
      <c r="Q70" s="317">
        <v>46207</v>
      </c>
      <c r="R70" s="317"/>
      <c r="S70" s="317">
        <v>46208</v>
      </c>
      <c r="T70" s="317"/>
      <c r="U70" s="13"/>
      <c r="V70" s="13"/>
    </row>
    <row r="71" spans="1:22" ht="28.8">
      <c r="A71" s="261"/>
      <c r="B71" s="261"/>
      <c r="C71" s="261"/>
      <c r="D71" s="261"/>
      <c r="E71" s="261"/>
      <c r="F71" s="262"/>
      <c r="G71" s="17" t="s">
        <v>100</v>
      </c>
      <c r="H71" s="17" t="s">
        <v>144</v>
      </c>
      <c r="I71" s="17" t="s">
        <v>100</v>
      </c>
      <c r="J71" s="17" t="s">
        <v>144</v>
      </c>
      <c r="K71" s="17" t="s">
        <v>100</v>
      </c>
      <c r="L71" s="17" t="s">
        <v>144</v>
      </c>
      <c r="M71" s="17" t="s">
        <v>100</v>
      </c>
      <c r="N71" s="17" t="s">
        <v>144</v>
      </c>
      <c r="O71" s="17" t="s">
        <v>100</v>
      </c>
      <c r="P71" s="17" t="s">
        <v>144</v>
      </c>
      <c r="Q71" s="17" t="s">
        <v>100</v>
      </c>
      <c r="R71" s="17" t="s">
        <v>144</v>
      </c>
      <c r="S71" s="17" t="s">
        <v>100</v>
      </c>
      <c r="T71" s="17" t="s">
        <v>144</v>
      </c>
      <c r="U71" s="52" t="s">
        <v>198</v>
      </c>
      <c r="V71" s="61">
        <v>27</v>
      </c>
    </row>
    <row r="72" spans="1:22">
      <c r="A72" s="37">
        <v>1</v>
      </c>
      <c r="B72" s="6" t="s">
        <v>238</v>
      </c>
      <c r="C72" s="37" t="s">
        <v>196</v>
      </c>
      <c r="D72" s="6"/>
      <c r="E72" s="32">
        <v>550</v>
      </c>
      <c r="F72" s="89">
        <f>E72*6</f>
        <v>3300</v>
      </c>
      <c r="G72" s="6">
        <v>710</v>
      </c>
      <c r="H72" s="116" t="s">
        <v>239</v>
      </c>
      <c r="I72" s="6">
        <v>580</v>
      </c>
      <c r="J72" s="118" t="s">
        <v>247</v>
      </c>
      <c r="K72" s="6">
        <v>660</v>
      </c>
      <c r="L72" s="118" t="s">
        <v>248</v>
      </c>
      <c r="M72" s="89">
        <v>1545</v>
      </c>
      <c r="N72" s="118" t="s">
        <v>345</v>
      </c>
      <c r="O72" s="13"/>
      <c r="P72" s="13"/>
      <c r="Q72" s="6">
        <v>150</v>
      </c>
      <c r="R72" s="118" t="s">
        <v>343</v>
      </c>
      <c r="S72" s="13"/>
      <c r="T72" s="13"/>
      <c r="U72" s="6">
        <f t="shared" ref="U72:U77" si="11">S72+Q72+O72+M72+K72+I72+G72</f>
        <v>3645</v>
      </c>
      <c r="V72" s="284"/>
    </row>
    <row r="73" spans="1:22">
      <c r="A73" s="37">
        <v>2</v>
      </c>
      <c r="B73" s="6" t="s">
        <v>221</v>
      </c>
      <c r="C73" s="56"/>
      <c r="D73" s="6"/>
      <c r="E73" s="32">
        <v>450</v>
      </c>
      <c r="F73" s="89">
        <f>E73*6</f>
        <v>2700</v>
      </c>
      <c r="G73" s="13"/>
      <c r="H73" s="13"/>
      <c r="I73" s="6">
        <v>430</v>
      </c>
      <c r="J73" s="118" t="s">
        <v>246</v>
      </c>
      <c r="K73" s="6">
        <v>200</v>
      </c>
      <c r="L73" s="118" t="s">
        <v>249</v>
      </c>
      <c r="M73" s="89">
        <v>760</v>
      </c>
      <c r="N73" s="118" t="s">
        <v>335</v>
      </c>
      <c r="O73" s="13"/>
      <c r="P73" s="13"/>
      <c r="Q73" s="13"/>
      <c r="R73" s="13"/>
      <c r="S73" s="13"/>
      <c r="T73" s="13"/>
      <c r="U73" s="6">
        <f t="shared" si="11"/>
        <v>1390</v>
      </c>
      <c r="V73" s="284"/>
    </row>
    <row r="74" spans="1:22">
      <c r="A74" s="37">
        <v>3</v>
      </c>
      <c r="B74" s="6" t="s">
        <v>222</v>
      </c>
      <c r="C74" s="56"/>
      <c r="D74" s="6"/>
      <c r="E74" s="32"/>
      <c r="F74" s="7"/>
      <c r="G74" s="13"/>
      <c r="H74" s="13"/>
      <c r="I74" s="13"/>
      <c r="J74" s="13"/>
      <c r="K74" s="6"/>
      <c r="L74" s="13"/>
      <c r="M74" s="89"/>
      <c r="N74" s="13"/>
      <c r="O74" s="13">
        <v>638.94000000000005</v>
      </c>
      <c r="P74" s="118" t="s">
        <v>340</v>
      </c>
      <c r="Q74" s="13">
        <v>240</v>
      </c>
      <c r="R74" s="118" t="s">
        <v>344</v>
      </c>
      <c r="S74" s="13"/>
      <c r="T74" s="13"/>
      <c r="U74" s="6">
        <f t="shared" si="11"/>
        <v>878.94</v>
      </c>
      <c r="V74" s="284"/>
    </row>
    <row r="75" spans="1:22">
      <c r="A75" s="37">
        <v>4</v>
      </c>
      <c r="B75" s="6" t="s">
        <v>202</v>
      </c>
      <c r="C75" s="56"/>
      <c r="D75" s="6"/>
      <c r="E75" s="32"/>
      <c r="F75" s="7"/>
      <c r="G75" s="13"/>
      <c r="H75" s="13"/>
      <c r="I75" s="13"/>
      <c r="J75" s="13"/>
      <c r="K75" s="6">
        <v>400</v>
      </c>
      <c r="L75" s="118" t="s">
        <v>334</v>
      </c>
      <c r="M75" s="89">
        <v>240</v>
      </c>
      <c r="N75" s="118" t="s">
        <v>336</v>
      </c>
      <c r="O75" s="13"/>
      <c r="P75" s="13"/>
      <c r="Q75" s="13"/>
      <c r="R75" s="13"/>
      <c r="S75" s="13"/>
      <c r="T75" s="13"/>
      <c r="U75" s="6">
        <f t="shared" si="11"/>
        <v>640</v>
      </c>
      <c r="V75" s="284"/>
    </row>
    <row r="76" spans="1:22">
      <c r="A76" s="37">
        <v>5</v>
      </c>
      <c r="B76" s="6" t="s">
        <v>197</v>
      </c>
      <c r="C76" s="56"/>
      <c r="D76" s="6"/>
      <c r="E76" s="32"/>
      <c r="F76" s="7"/>
      <c r="G76" s="13"/>
      <c r="H76" s="13"/>
      <c r="I76" s="13"/>
      <c r="J76" s="13"/>
      <c r="K76" s="13"/>
      <c r="L76" s="13"/>
      <c r="M76" s="13"/>
      <c r="N76" s="13"/>
      <c r="O76" s="13">
        <v>360</v>
      </c>
      <c r="P76" s="118" t="s">
        <v>339</v>
      </c>
      <c r="Q76" s="13"/>
      <c r="R76" s="13"/>
      <c r="S76" s="13"/>
      <c r="T76" s="13"/>
      <c r="U76" s="6">
        <f t="shared" si="11"/>
        <v>360</v>
      </c>
      <c r="V76" s="284"/>
    </row>
    <row r="77" spans="1:22">
      <c r="A77" s="37">
        <v>6</v>
      </c>
      <c r="B77" s="6" t="s">
        <v>203</v>
      </c>
      <c r="C77" s="56"/>
      <c r="D77" s="6"/>
      <c r="E77" s="32"/>
      <c r="F77" s="7"/>
      <c r="G77" s="13"/>
      <c r="H77" s="13"/>
      <c r="I77" s="13"/>
      <c r="J77" s="13"/>
      <c r="K77" s="13"/>
      <c r="L77" s="13"/>
      <c r="M77" s="13"/>
      <c r="N77" s="13"/>
      <c r="O77" s="13">
        <v>610</v>
      </c>
      <c r="P77" s="118" t="s">
        <v>342</v>
      </c>
      <c r="Q77" s="13"/>
      <c r="R77" s="13"/>
      <c r="S77" s="13"/>
      <c r="T77" s="13"/>
      <c r="U77" s="6">
        <f t="shared" si="11"/>
        <v>610</v>
      </c>
      <c r="V77" s="284"/>
    </row>
    <row r="78" spans="1:22">
      <c r="A78" s="37">
        <v>7</v>
      </c>
      <c r="B78" s="50" t="s">
        <v>223</v>
      </c>
      <c r="C78" s="56"/>
      <c r="D78" s="6"/>
      <c r="E78" s="32"/>
      <c r="F78" s="7"/>
      <c r="G78" s="6">
        <v>700</v>
      </c>
      <c r="H78" s="137" t="s">
        <v>240</v>
      </c>
      <c r="I78" s="6">
        <v>400</v>
      </c>
      <c r="J78" s="138" t="s">
        <v>408</v>
      </c>
      <c r="K78" s="6">
        <v>1000</v>
      </c>
      <c r="L78" s="170" t="s">
        <v>407</v>
      </c>
      <c r="M78" s="89">
        <v>400</v>
      </c>
      <c r="N78" s="118" t="s">
        <v>337</v>
      </c>
      <c r="O78" s="13">
        <v>300</v>
      </c>
      <c r="P78" s="118" t="s">
        <v>338</v>
      </c>
      <c r="Q78" s="13">
        <v>400</v>
      </c>
      <c r="R78" s="118" t="s">
        <v>341</v>
      </c>
      <c r="S78" s="13"/>
      <c r="T78" s="13"/>
      <c r="U78" s="6" t="e">
        <f>S78+#REF!+#REF!+#REF!+O78+K78+G78</f>
        <v>#REF!</v>
      </c>
      <c r="V78" s="284"/>
    </row>
    <row r="79" spans="1:22">
      <c r="A79" s="37"/>
      <c r="B79" s="32"/>
      <c r="C79" s="56"/>
      <c r="D79" s="6"/>
      <c r="E79" s="32"/>
      <c r="F79" s="7"/>
      <c r="G79" s="13"/>
      <c r="H79" s="13"/>
      <c r="N79" s="13"/>
      <c r="O79" s="13"/>
      <c r="P79" s="13"/>
      <c r="Q79" s="13"/>
      <c r="R79" s="13"/>
      <c r="S79" s="13"/>
      <c r="T79" s="13"/>
      <c r="U79" s="6"/>
      <c r="V79" s="284"/>
    </row>
    <row r="80" spans="1:22">
      <c r="A80" s="37"/>
      <c r="B80" s="32"/>
      <c r="C80" s="56"/>
      <c r="D80" s="6"/>
      <c r="E80" s="32"/>
      <c r="F80" s="7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6"/>
      <c r="V80" s="284"/>
    </row>
    <row r="81" spans="1:23">
      <c r="A81" s="37"/>
      <c r="B81" s="32"/>
      <c r="C81" s="56"/>
      <c r="D81" s="6"/>
      <c r="E81" s="32"/>
      <c r="F81" s="7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6"/>
      <c r="V81" s="284"/>
    </row>
    <row r="82" spans="1:23">
      <c r="A82" s="318" t="s">
        <v>105</v>
      </c>
      <c r="B82" s="318"/>
      <c r="C82" s="318"/>
      <c r="D82" s="318"/>
      <c r="E82" s="318"/>
      <c r="F82" s="318"/>
      <c r="G82" s="6">
        <f>SUM(G72:G81)</f>
        <v>1410</v>
      </c>
      <c r="H82" s="6"/>
      <c r="I82" s="6">
        <f>SUM(I72:I81)</f>
        <v>1410</v>
      </c>
      <c r="J82" s="6"/>
      <c r="K82" s="6">
        <f>SUM(K72:K81)</f>
        <v>2260</v>
      </c>
      <c r="L82" s="6"/>
      <c r="M82" s="6">
        <f>SUM(M72:M81)</f>
        <v>2945</v>
      </c>
      <c r="N82" s="6"/>
      <c r="O82" s="6">
        <f>SUM(O72:O81)</f>
        <v>1908.94</v>
      </c>
      <c r="P82" s="6"/>
      <c r="Q82" s="6">
        <f>SUM(Q72:Q81)</f>
        <v>790</v>
      </c>
      <c r="R82" s="6"/>
      <c r="S82" s="6">
        <f>SUM(S72:S81)</f>
        <v>0</v>
      </c>
      <c r="T82" s="6"/>
      <c r="U82" s="6" t="e">
        <f>SUM(U72:U81)</f>
        <v>#REF!</v>
      </c>
      <c r="V82" s="90" t="e">
        <f>U82*V71</f>
        <v>#REF!</v>
      </c>
    </row>
    <row r="83" spans="1:23">
      <c r="A83" s="318"/>
      <c r="B83" s="318"/>
      <c r="C83" s="318"/>
      <c r="D83" s="318"/>
      <c r="E83" s="318"/>
      <c r="F83" s="318"/>
      <c r="G83" s="20">
        <f>G82*27</f>
        <v>38070</v>
      </c>
      <c r="H83" s="152">
        <v>38070.089999999997</v>
      </c>
      <c r="I83" s="20">
        <f>I82*27</f>
        <v>38070</v>
      </c>
      <c r="J83" s="152">
        <v>38070.25</v>
      </c>
      <c r="K83" s="20">
        <f>K82*27</f>
        <v>61020</v>
      </c>
      <c r="L83" s="152">
        <v>61020.46</v>
      </c>
      <c r="M83" s="20">
        <f>M82*27</f>
        <v>79515</v>
      </c>
      <c r="N83" s="152">
        <v>79515.44</v>
      </c>
      <c r="O83" s="20">
        <f>O82*27</f>
        <v>51541.380000000005</v>
      </c>
      <c r="P83" s="152">
        <v>52541.54</v>
      </c>
      <c r="Q83" s="20">
        <f>Q82*27</f>
        <v>21330</v>
      </c>
      <c r="R83" s="152">
        <v>21330.16</v>
      </c>
      <c r="S83" s="20">
        <f>S82*27</f>
        <v>0</v>
      </c>
      <c r="T83" s="13">
        <f>Q82+O82+M82+K82+G82+I82</f>
        <v>10723.94</v>
      </c>
      <c r="U83" s="13"/>
      <c r="V83" s="13"/>
    </row>
    <row r="84" spans="1:23">
      <c r="A84" s="95"/>
      <c r="B84" s="95"/>
      <c r="C84" s="95"/>
      <c r="D84" s="95"/>
      <c r="E84" s="95"/>
      <c r="F84" s="96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90">
        <f>Q83+O83+M83+K83+I83+G83</f>
        <v>289546.38</v>
      </c>
      <c r="T84" s="233">
        <f>H83+J83+L83+N83+P83+R83</f>
        <v>290547.93999999994</v>
      </c>
      <c r="U84" s="13"/>
      <c r="V84" s="13"/>
    </row>
    <row r="85" spans="1:23">
      <c r="F85" s="94"/>
      <c r="S85" s="97"/>
    </row>
    <row r="86" spans="1:23">
      <c r="F86" s="94"/>
      <c r="K86" s="21">
        <f>G83+I83+K83+M83+O83+Q83</f>
        <v>289546.38</v>
      </c>
      <c r="L86" s="21">
        <f>K86-(1000*27)</f>
        <v>262546.38</v>
      </c>
      <c r="M86" s="21"/>
      <c r="S86" s="97"/>
    </row>
    <row r="87" spans="1:23" ht="15.6">
      <c r="B87" s="290" t="s">
        <v>199</v>
      </c>
      <c r="C87" s="290"/>
      <c r="D87" s="290"/>
      <c r="E87" s="290"/>
      <c r="F87" s="290"/>
    </row>
    <row r="88" spans="1:23" ht="15.6">
      <c r="B88" s="72" t="s">
        <v>190</v>
      </c>
      <c r="C88" s="290" t="s">
        <v>189</v>
      </c>
      <c r="D88" s="290"/>
      <c r="E88" s="290"/>
      <c r="F88" s="290"/>
    </row>
    <row r="89" spans="1:23" ht="43.2" customHeight="1">
      <c r="B89" s="69" t="s">
        <v>216</v>
      </c>
      <c r="C89" s="35">
        <f>C90+C91+C92</f>
        <v>63587.030000000006</v>
      </c>
      <c r="D89" s="108"/>
      <c r="E89" s="108"/>
      <c r="F89" s="7"/>
      <c r="G89" s="2"/>
      <c r="K89" s="1"/>
      <c r="L89" s="1"/>
    </row>
    <row r="90" spans="1:23" ht="43.2" customHeight="1">
      <c r="B90" s="69" t="s">
        <v>217</v>
      </c>
      <c r="C90" s="70">
        <v>21393.52</v>
      </c>
      <c r="D90" s="108"/>
      <c r="E90" s="108"/>
      <c r="F90" s="7"/>
      <c r="G90" s="2"/>
      <c r="H90" s="373" t="s">
        <v>232</v>
      </c>
      <c r="I90" s="374"/>
      <c r="K90" s="1"/>
      <c r="L90" s="1"/>
    </row>
    <row r="91" spans="1:23" ht="15">
      <c r="B91" s="112" t="s">
        <v>214</v>
      </c>
      <c r="C91" s="113">
        <f>I66+L66</f>
        <v>27000.25</v>
      </c>
      <c r="D91" s="114"/>
      <c r="E91" s="115">
        <f>C91</f>
        <v>27000.25</v>
      </c>
      <c r="F91" s="7" t="s">
        <v>218</v>
      </c>
      <c r="H91" s="133" t="s">
        <v>95</v>
      </c>
      <c r="I91" s="134">
        <f>E92</f>
        <v>13197.87</v>
      </c>
      <c r="K91" s="1"/>
      <c r="L91" s="1"/>
    </row>
    <row r="92" spans="1:23" ht="30">
      <c r="B92" s="69" t="s">
        <v>215</v>
      </c>
      <c r="C92" s="70">
        <f>M39+P39+S39+V39+M52+P52+S52+V52</f>
        <v>15193.26</v>
      </c>
      <c r="D92" s="50" t="s">
        <v>213</v>
      </c>
      <c r="E92" s="111">
        <f>C92-1995.39</f>
        <v>13197.87</v>
      </c>
      <c r="F92" s="116" t="s">
        <v>219</v>
      </c>
      <c r="H92" s="133" t="s">
        <v>233</v>
      </c>
      <c r="I92" s="134">
        <f>C100</f>
        <v>303746.71000000002</v>
      </c>
      <c r="K92" s="1"/>
      <c r="L92" s="1"/>
      <c r="W92" s="6" t="s">
        <v>238</v>
      </c>
    </row>
    <row r="93" spans="1:23" ht="15" customHeight="1">
      <c r="B93" s="371" t="s">
        <v>180</v>
      </c>
      <c r="C93" s="371"/>
      <c r="D93" s="371"/>
      <c r="E93" s="372">
        <f>SUM(E91:E92)</f>
        <v>40198.120000000003</v>
      </c>
      <c r="F93" s="7"/>
      <c r="H93" s="306" t="s">
        <v>138</v>
      </c>
      <c r="I93" s="307">
        <f>SUM(I91:I92)</f>
        <v>316944.58</v>
      </c>
      <c r="K93" s="1"/>
      <c r="L93" s="1"/>
      <c r="W93" s="6" t="s">
        <v>221</v>
      </c>
    </row>
    <row r="94" spans="1:23" ht="15.6" customHeight="1">
      <c r="B94" s="371"/>
      <c r="C94" s="371"/>
      <c r="D94" s="371"/>
      <c r="E94" s="372"/>
      <c r="F94" s="7"/>
      <c r="H94" s="306"/>
      <c r="I94" s="307"/>
      <c r="K94" s="1"/>
      <c r="L94" s="1"/>
      <c r="W94" s="6" t="s">
        <v>222</v>
      </c>
    </row>
    <row r="95" spans="1:23">
      <c r="I95" s="97"/>
      <c r="K95" s="1"/>
      <c r="L95" s="1"/>
      <c r="W95" s="6" t="s">
        <v>202</v>
      </c>
    </row>
    <row r="96" spans="1:23" ht="15.6">
      <c r="B96" s="281" t="s">
        <v>200</v>
      </c>
      <c r="C96" s="281"/>
      <c r="D96" s="281"/>
      <c r="E96" s="281"/>
      <c r="F96" s="281"/>
      <c r="G96" s="281"/>
      <c r="H96" s="281"/>
      <c r="I96" s="97"/>
      <c r="K96" s="1"/>
      <c r="L96" s="1">
        <f>L89+L91+L92+L93+L94+L95</f>
        <v>0</v>
      </c>
      <c r="W96" s="6" t="s">
        <v>197</v>
      </c>
    </row>
    <row r="97" spans="2:30" ht="15.6">
      <c r="B97" s="86" t="s">
        <v>188</v>
      </c>
      <c r="C97" s="86" t="s">
        <v>189</v>
      </c>
      <c r="D97" s="281" t="s">
        <v>333</v>
      </c>
      <c r="E97" s="281"/>
      <c r="F97" s="281"/>
      <c r="G97" s="174" t="s">
        <v>348</v>
      </c>
      <c r="H97" s="174" t="s">
        <v>347</v>
      </c>
      <c r="I97" s="97"/>
      <c r="W97" s="6" t="s">
        <v>203</v>
      </c>
    </row>
    <row r="98" spans="2:30" ht="30.6">
      <c r="B98" s="131" t="s">
        <v>220</v>
      </c>
      <c r="C98" s="235">
        <f>H39+K39+N39+Q39+T39+W39</f>
        <v>14200.33</v>
      </c>
      <c r="D98" s="257" t="s">
        <v>435</v>
      </c>
      <c r="E98" s="257"/>
      <c r="F98" s="160" t="s">
        <v>393</v>
      </c>
      <c r="G98" s="13"/>
      <c r="H98" s="13"/>
      <c r="K98" s="297" t="s">
        <v>236</v>
      </c>
      <c r="L98" s="297"/>
      <c r="M98" s="297"/>
      <c r="W98" s="125"/>
    </row>
    <row r="99" spans="2:30" ht="121.8" customHeight="1">
      <c r="B99" s="131" t="s">
        <v>231</v>
      </c>
      <c r="C99" s="130">
        <f>T116</f>
        <v>289546.38</v>
      </c>
      <c r="D99" s="236">
        <f>T84</f>
        <v>290547.93999999994</v>
      </c>
      <c r="E99" s="109" t="s">
        <v>436</v>
      </c>
      <c r="F99" s="7" t="s">
        <v>346</v>
      </c>
      <c r="G99" s="13"/>
      <c r="H99" s="13"/>
      <c r="K99" s="108" t="s">
        <v>234</v>
      </c>
      <c r="L99" s="135">
        <f>C90+E92+C98</f>
        <v>48791.72</v>
      </c>
      <c r="M99" s="110"/>
      <c r="W99" s="50" t="s">
        <v>223</v>
      </c>
    </row>
    <row r="100" spans="2:30" ht="15.6">
      <c r="B100" s="132" t="s">
        <v>180</v>
      </c>
      <c r="C100" s="234">
        <f>C98+C99</f>
        <v>303746.71000000002</v>
      </c>
      <c r="D100" s="190">
        <f>C98+D99</f>
        <v>304748.26999999996</v>
      </c>
      <c r="E100" s="13"/>
      <c r="F100" s="7"/>
      <c r="G100" s="237">
        <v>316944.71000000002</v>
      </c>
      <c r="H100" s="238">
        <f>G100-D100</f>
        <v>12196.440000000061</v>
      </c>
      <c r="K100" s="108" t="s">
        <v>235</v>
      </c>
      <c r="L100" s="136">
        <f>C99</f>
        <v>289546.38</v>
      </c>
      <c r="M100" s="108"/>
    </row>
    <row r="101" spans="2:30" ht="43.2">
      <c r="D101" s="71">
        <f>D100-C100</f>
        <v>1001.5599999999395</v>
      </c>
      <c r="K101" s="91" t="s">
        <v>236</v>
      </c>
      <c r="L101" s="103">
        <f>L99+L100</f>
        <v>338338.1</v>
      </c>
      <c r="M101" s="13"/>
    </row>
    <row r="102" spans="2:30">
      <c r="I102" s="97"/>
    </row>
    <row r="104" spans="2:30">
      <c r="X104" s="138" t="s">
        <v>247</v>
      </c>
      <c r="Y104" s="139" t="s">
        <v>248</v>
      </c>
    </row>
    <row r="105" spans="2:30">
      <c r="B105" s="277" t="s">
        <v>224</v>
      </c>
      <c r="C105" s="277"/>
      <c r="D105" s="277"/>
      <c r="E105" s="277"/>
      <c r="F105" s="277"/>
      <c r="G105" s="277"/>
      <c r="H105" s="277"/>
      <c r="I105" s="128"/>
      <c r="L105" s="297" t="s">
        <v>237</v>
      </c>
      <c r="M105" s="297"/>
      <c r="N105" s="297"/>
      <c r="O105" s="297"/>
      <c r="P105" s="297"/>
      <c r="Q105" s="297"/>
      <c r="R105" s="297"/>
      <c r="S105" s="297"/>
      <c r="T105" s="297"/>
      <c r="V105" s="378" t="s">
        <v>237</v>
      </c>
      <c r="W105" s="379"/>
      <c r="X105" s="379"/>
      <c r="Y105" s="379"/>
      <c r="Z105" s="379"/>
      <c r="AA105" s="379"/>
      <c r="AB105" s="379"/>
      <c r="AC105" s="379"/>
      <c r="AD105" s="380"/>
    </row>
    <row r="106" spans="2:30">
      <c r="B106" s="6"/>
      <c r="C106" s="330" t="s">
        <v>225</v>
      </c>
      <c r="D106" s="330" t="s">
        <v>226</v>
      </c>
      <c r="E106" s="330" t="s">
        <v>227</v>
      </c>
      <c r="F106" s="304" t="s">
        <v>228</v>
      </c>
      <c r="G106" s="330" t="s">
        <v>229</v>
      </c>
      <c r="H106" s="330" t="s">
        <v>230</v>
      </c>
      <c r="I106" s="284"/>
      <c r="J106" s="284"/>
      <c r="L106" s="277"/>
      <c r="M106" s="315" t="s">
        <v>225</v>
      </c>
      <c r="N106" s="315" t="s">
        <v>226</v>
      </c>
      <c r="O106" s="315" t="s">
        <v>227</v>
      </c>
      <c r="P106" s="375" t="s">
        <v>228</v>
      </c>
      <c r="Q106" s="315" t="s">
        <v>229</v>
      </c>
      <c r="R106" s="315" t="s">
        <v>230</v>
      </c>
      <c r="S106" s="297" t="s">
        <v>105</v>
      </c>
      <c r="T106" s="297"/>
      <c r="V106" s="381"/>
      <c r="W106" s="330" t="s">
        <v>225</v>
      </c>
      <c r="X106" s="330" t="s">
        <v>226</v>
      </c>
      <c r="Y106" s="330" t="s">
        <v>227</v>
      </c>
      <c r="Z106" s="304" t="s">
        <v>228</v>
      </c>
      <c r="AA106" s="330" t="s">
        <v>229</v>
      </c>
      <c r="AB106" s="330" t="s">
        <v>230</v>
      </c>
      <c r="AC106" s="383" t="s">
        <v>105</v>
      </c>
      <c r="AD106" s="384"/>
    </row>
    <row r="107" spans="2:30">
      <c r="B107" s="6"/>
      <c r="C107" s="331"/>
      <c r="D107" s="331"/>
      <c r="E107" s="331"/>
      <c r="F107" s="305"/>
      <c r="G107" s="331"/>
      <c r="H107" s="331"/>
      <c r="I107" s="284"/>
      <c r="J107" s="284"/>
      <c r="L107" s="277"/>
      <c r="M107" s="315"/>
      <c r="N107" s="315"/>
      <c r="O107" s="315"/>
      <c r="P107" s="375"/>
      <c r="Q107" s="315"/>
      <c r="R107" s="315"/>
      <c r="S107" s="297"/>
      <c r="T107" s="297"/>
      <c r="V107" s="382"/>
      <c r="W107" s="331"/>
      <c r="X107" s="331"/>
      <c r="Y107" s="331"/>
      <c r="Z107" s="305"/>
      <c r="AA107" s="331"/>
      <c r="AB107" s="331"/>
      <c r="AC107" s="383"/>
      <c r="AD107" s="384"/>
    </row>
    <row r="108" spans="2:30">
      <c r="B108" s="6" t="s">
        <v>201</v>
      </c>
      <c r="C108" s="6">
        <v>710</v>
      </c>
      <c r="D108" s="6">
        <v>580</v>
      </c>
      <c r="E108" s="6">
        <v>660</v>
      </c>
      <c r="F108" s="89"/>
      <c r="G108" s="6">
        <v>1545</v>
      </c>
      <c r="H108" s="6">
        <v>150</v>
      </c>
      <c r="I108" s="13">
        <f t="shared" ref="I108:I114" si="12">SUM(C108:H108)</f>
        <v>3645</v>
      </c>
      <c r="J108" s="385"/>
      <c r="L108" s="37" t="s">
        <v>238</v>
      </c>
      <c r="M108" s="6">
        <v>710</v>
      </c>
      <c r="N108" s="6">
        <v>580</v>
      </c>
      <c r="O108" s="6">
        <v>660</v>
      </c>
      <c r="P108" s="89">
        <v>1545</v>
      </c>
      <c r="Q108" s="6"/>
      <c r="R108" s="6">
        <v>150</v>
      </c>
      <c r="S108" s="6">
        <f t="shared" ref="S108:S115" si="13">SUM(M108:R108)</f>
        <v>3645</v>
      </c>
      <c r="T108" s="277"/>
      <c r="V108" s="6" t="s">
        <v>238</v>
      </c>
      <c r="W108" s="116">
        <f>27*710</f>
        <v>19170</v>
      </c>
      <c r="X108" s="7">
        <f>27*580</f>
        <v>15660</v>
      </c>
      <c r="Y108" s="7">
        <f>27*660</f>
        <v>17820</v>
      </c>
      <c r="Z108" s="7">
        <f>27*1545</f>
        <v>41715</v>
      </c>
      <c r="AA108" s="20"/>
      <c r="AB108" s="7">
        <f>27*150</f>
        <v>4050</v>
      </c>
      <c r="AC108" s="121">
        <f t="shared" ref="AC108:AC115" si="14">SUM(W108:AB108)</f>
        <v>98415</v>
      </c>
      <c r="AD108" s="376"/>
    </row>
    <row r="109" spans="2:30">
      <c r="B109" s="6" t="s">
        <v>221</v>
      </c>
      <c r="C109" s="6"/>
      <c r="D109" s="6">
        <v>430</v>
      </c>
      <c r="E109" s="6"/>
      <c r="F109" s="89">
        <v>760</v>
      </c>
      <c r="G109" s="6"/>
      <c r="H109" s="6"/>
      <c r="I109" s="13">
        <f t="shared" si="12"/>
        <v>1190</v>
      </c>
      <c r="J109" s="386"/>
      <c r="L109" s="37" t="s">
        <v>221</v>
      </c>
      <c r="M109" s="6"/>
      <c r="N109" s="6">
        <v>430</v>
      </c>
      <c r="O109" s="6">
        <v>200</v>
      </c>
      <c r="P109" s="89">
        <v>760</v>
      </c>
      <c r="Q109" s="6"/>
      <c r="R109" s="6"/>
      <c r="S109" s="6">
        <f t="shared" si="13"/>
        <v>1390</v>
      </c>
      <c r="T109" s="277"/>
      <c r="V109" s="6" t="s">
        <v>221</v>
      </c>
      <c r="W109" s="116" t="s">
        <v>239</v>
      </c>
      <c r="X109" s="116">
        <f>27*430</f>
        <v>11610</v>
      </c>
      <c r="Y109" s="7">
        <f>27*200</f>
        <v>5400</v>
      </c>
      <c r="Z109" s="7">
        <f>27*760</f>
        <v>20520</v>
      </c>
      <c r="AA109" s="20"/>
      <c r="AB109" s="20"/>
      <c r="AC109" s="121">
        <f t="shared" si="14"/>
        <v>37530</v>
      </c>
      <c r="AD109" s="376"/>
    </row>
    <row r="110" spans="2:30">
      <c r="B110" s="6" t="s">
        <v>222</v>
      </c>
      <c r="C110" s="6"/>
      <c r="D110" s="6"/>
      <c r="E110" s="6">
        <v>914</v>
      </c>
      <c r="F110" s="89">
        <v>640</v>
      </c>
      <c r="G110" s="6"/>
      <c r="H110" s="6">
        <v>240</v>
      </c>
      <c r="I110" s="13">
        <f t="shared" si="12"/>
        <v>1794</v>
      </c>
      <c r="J110" s="386"/>
      <c r="L110" s="37" t="s">
        <v>222</v>
      </c>
      <c r="M110" s="6"/>
      <c r="N110" s="6"/>
      <c r="O110" s="6"/>
      <c r="P110" s="89"/>
      <c r="Q110" s="6">
        <v>638.94000000000005</v>
      </c>
      <c r="R110" s="6">
        <v>240</v>
      </c>
      <c r="S110" s="6">
        <f t="shared" si="13"/>
        <v>878.94</v>
      </c>
      <c r="T110" s="277"/>
      <c r="V110" s="6" t="s">
        <v>222</v>
      </c>
      <c r="W110" s="7"/>
      <c r="X110" s="116" t="s">
        <v>246</v>
      </c>
      <c r="Y110" s="116" t="s">
        <v>249</v>
      </c>
      <c r="Z110" s="7"/>
      <c r="AA110" s="20">
        <f>27*638.94</f>
        <v>17251.38</v>
      </c>
      <c r="AB110" s="20">
        <f>27*240</f>
        <v>6480</v>
      </c>
      <c r="AC110" s="121">
        <f t="shared" si="14"/>
        <v>23731.38</v>
      </c>
      <c r="AD110" s="376"/>
    </row>
    <row r="111" spans="2:30">
      <c r="B111" s="6" t="s">
        <v>202</v>
      </c>
      <c r="C111" s="6"/>
      <c r="D111" s="6"/>
      <c r="E111" s="6">
        <v>76</v>
      </c>
      <c r="F111" s="89">
        <v>240</v>
      </c>
      <c r="G111" s="6"/>
      <c r="H111" s="6"/>
      <c r="I111" s="13">
        <f t="shared" si="12"/>
        <v>316</v>
      </c>
      <c r="J111" s="386"/>
      <c r="L111" s="37" t="s">
        <v>202</v>
      </c>
      <c r="M111" s="6"/>
      <c r="N111" s="6"/>
      <c r="O111" s="6">
        <v>400</v>
      </c>
      <c r="P111" s="89">
        <v>240</v>
      </c>
      <c r="Q111" s="6"/>
      <c r="R111" s="6"/>
      <c r="S111" s="6">
        <f t="shared" si="13"/>
        <v>640</v>
      </c>
      <c r="T111" s="277"/>
      <c r="V111" s="6" t="s">
        <v>202</v>
      </c>
      <c r="W111" s="7"/>
      <c r="X111" s="7"/>
      <c r="Y111" s="7">
        <f>27*400</f>
        <v>10800</v>
      </c>
      <c r="Z111" s="7">
        <f>27*240</f>
        <v>6480</v>
      </c>
      <c r="AA111" s="20"/>
      <c r="AB111" s="20"/>
      <c r="AC111" s="121">
        <f t="shared" si="14"/>
        <v>17280</v>
      </c>
      <c r="AD111" s="376"/>
    </row>
    <row r="112" spans="2:30">
      <c r="B112" s="6" t="s">
        <v>197</v>
      </c>
      <c r="C112" s="6"/>
      <c r="D112" s="6"/>
      <c r="E112" s="6"/>
      <c r="F112" s="89">
        <v>360</v>
      </c>
      <c r="G112" s="6">
        <v>455</v>
      </c>
      <c r="H112" s="6"/>
      <c r="I112" s="13">
        <f t="shared" si="12"/>
        <v>815</v>
      </c>
      <c r="J112" s="387"/>
      <c r="L112" s="37" t="s">
        <v>197</v>
      </c>
      <c r="M112" s="6"/>
      <c r="N112" s="6"/>
      <c r="O112" s="6"/>
      <c r="P112" s="89"/>
      <c r="Q112" s="6">
        <v>360</v>
      </c>
      <c r="R112" s="6"/>
      <c r="S112" s="6">
        <f t="shared" si="13"/>
        <v>360</v>
      </c>
      <c r="T112" s="277"/>
      <c r="V112" s="6" t="s">
        <v>197</v>
      </c>
      <c r="W112" s="7"/>
      <c r="X112" s="7"/>
      <c r="Y112" s="116" t="s">
        <v>250</v>
      </c>
      <c r="Z112" s="7"/>
      <c r="AA112" s="20">
        <f>27*360</f>
        <v>9720</v>
      </c>
      <c r="AB112" s="20"/>
      <c r="AC112" s="122">
        <f t="shared" si="14"/>
        <v>9720</v>
      </c>
      <c r="AD112" s="377"/>
    </row>
    <row r="113" spans="2:30">
      <c r="B113" s="6" t="s">
        <v>203</v>
      </c>
      <c r="C113" s="6"/>
      <c r="D113" s="6"/>
      <c r="E113" s="6"/>
      <c r="F113" s="89"/>
      <c r="G113" s="6"/>
      <c r="H113" s="6">
        <v>610</v>
      </c>
      <c r="I113" s="13">
        <f t="shared" si="12"/>
        <v>610</v>
      </c>
      <c r="J113" s="61">
        <v>27</v>
      </c>
      <c r="L113" s="37" t="s">
        <v>203</v>
      </c>
      <c r="M113" s="6"/>
      <c r="N113" s="6"/>
      <c r="O113" s="6"/>
      <c r="P113" s="89"/>
      <c r="Q113" s="6">
        <v>610</v>
      </c>
      <c r="R113" s="6"/>
      <c r="S113" s="6">
        <f t="shared" si="13"/>
        <v>610</v>
      </c>
      <c r="T113" s="142">
        <v>27</v>
      </c>
      <c r="V113" s="6" t="s">
        <v>203</v>
      </c>
      <c r="W113" s="7"/>
      <c r="X113" s="7"/>
      <c r="Y113" s="7"/>
      <c r="Z113" s="7"/>
      <c r="AA113" s="20">
        <f>27*610</f>
        <v>16470</v>
      </c>
      <c r="AB113" s="20"/>
      <c r="AC113" s="6">
        <f t="shared" si="14"/>
        <v>16470</v>
      </c>
      <c r="AD113" s="61">
        <v>27</v>
      </c>
    </row>
    <row r="114" spans="2:30">
      <c r="B114" s="6"/>
      <c r="C114" s="124">
        <f t="shared" ref="C114:H114" si="15">SUM(C108:C113)</f>
        <v>710</v>
      </c>
      <c r="D114" s="124">
        <f t="shared" si="15"/>
        <v>1010</v>
      </c>
      <c r="E114" s="124">
        <f t="shared" si="15"/>
        <v>1650</v>
      </c>
      <c r="F114" s="126">
        <f t="shared" si="15"/>
        <v>2000</v>
      </c>
      <c r="G114" s="124">
        <f t="shared" si="15"/>
        <v>2000</v>
      </c>
      <c r="H114" s="124">
        <f t="shared" si="15"/>
        <v>1000</v>
      </c>
      <c r="I114" s="127">
        <f t="shared" si="12"/>
        <v>8370</v>
      </c>
      <c r="J114" s="61">
        <f>I114*J113</f>
        <v>225990</v>
      </c>
      <c r="L114" s="125"/>
      <c r="M114" s="124">
        <f t="shared" ref="M114:R114" si="16">SUM(M108:M113)</f>
        <v>710</v>
      </c>
      <c r="N114" s="124">
        <f t="shared" si="16"/>
        <v>1010</v>
      </c>
      <c r="O114" s="124">
        <f t="shared" si="16"/>
        <v>1260</v>
      </c>
      <c r="P114" s="124">
        <f t="shared" si="16"/>
        <v>2545</v>
      </c>
      <c r="Q114" s="124">
        <f t="shared" si="16"/>
        <v>1608.94</v>
      </c>
      <c r="R114" s="124">
        <f t="shared" si="16"/>
        <v>390</v>
      </c>
      <c r="S114" s="143">
        <f t="shared" si="13"/>
        <v>7523.9400000000005</v>
      </c>
      <c r="T114" s="144">
        <f>S114*T113</f>
        <v>203146.38</v>
      </c>
      <c r="V114" s="125"/>
      <c r="W114" s="125">
        <f t="shared" ref="W114:AB114" si="17">SUM(W108:W113)</f>
        <v>19170</v>
      </c>
      <c r="X114" s="125">
        <f t="shared" si="17"/>
        <v>27270</v>
      </c>
      <c r="Y114" s="125">
        <f t="shared" si="17"/>
        <v>34020</v>
      </c>
      <c r="Z114" s="125">
        <f t="shared" si="17"/>
        <v>68715</v>
      </c>
      <c r="AA114" s="125">
        <f t="shared" si="17"/>
        <v>43441.380000000005</v>
      </c>
      <c r="AB114" s="125">
        <f t="shared" si="17"/>
        <v>10530</v>
      </c>
      <c r="AC114" s="123">
        <f t="shared" si="14"/>
        <v>203146.38</v>
      </c>
      <c r="AD114" s="117">
        <f>AC114*AD113</f>
        <v>5484952.2599999998</v>
      </c>
    </row>
    <row r="115" spans="2:30">
      <c r="B115" s="6" t="s">
        <v>223</v>
      </c>
      <c r="C115" s="6"/>
      <c r="D115" s="6"/>
      <c r="E115" s="6"/>
      <c r="F115" s="7"/>
      <c r="G115" s="13"/>
      <c r="H115" s="13"/>
      <c r="I115" s="129"/>
      <c r="L115" s="141" t="s">
        <v>223</v>
      </c>
      <c r="M115" s="6">
        <v>700</v>
      </c>
      <c r="N115" s="6">
        <v>400</v>
      </c>
      <c r="O115" s="6">
        <v>1000</v>
      </c>
      <c r="P115" s="89">
        <v>400</v>
      </c>
      <c r="Q115" s="6">
        <v>300</v>
      </c>
      <c r="R115" s="6">
        <v>400</v>
      </c>
      <c r="S115" s="6">
        <f t="shared" si="13"/>
        <v>3200</v>
      </c>
      <c r="T115" s="6"/>
      <c r="V115" s="50" t="s">
        <v>223</v>
      </c>
      <c r="W115" s="116">
        <f>27*700</f>
        <v>18900</v>
      </c>
      <c r="X115" s="7">
        <f>27*400</f>
        <v>10800</v>
      </c>
      <c r="Y115" s="116">
        <f>27*1000</f>
        <v>27000</v>
      </c>
      <c r="Z115" s="7">
        <f>27*400</f>
        <v>10800</v>
      </c>
      <c r="AA115" s="20">
        <f>27*300</f>
        <v>8100</v>
      </c>
      <c r="AB115" s="20">
        <f>27*400</f>
        <v>10800</v>
      </c>
      <c r="AC115" s="13">
        <f t="shared" si="14"/>
        <v>86400</v>
      </c>
      <c r="AD115" s="13"/>
    </row>
    <row r="116" spans="2:30">
      <c r="L116" s="13"/>
      <c r="M116" s="6"/>
      <c r="N116" s="6"/>
      <c r="O116" s="6"/>
      <c r="P116" s="6"/>
      <c r="Q116" s="6"/>
      <c r="R116" s="6"/>
      <c r="S116" s="14">
        <f>SUM(S114:S115)</f>
        <v>10723.94</v>
      </c>
      <c r="T116" s="145">
        <f>S116*T113</f>
        <v>289546.38</v>
      </c>
      <c r="V116" s="13"/>
      <c r="W116" s="137" t="s">
        <v>240</v>
      </c>
      <c r="X116" s="13"/>
      <c r="Y116" s="137"/>
      <c r="Z116" s="13"/>
      <c r="AA116" s="13"/>
      <c r="AB116" s="13"/>
      <c r="AC116" s="102">
        <f>SUM(AC114:AC115)</f>
        <v>289546.38</v>
      </c>
      <c r="AD116" s="119"/>
    </row>
    <row r="119" spans="2:30">
      <c r="B119" s="40">
        <v>1</v>
      </c>
      <c r="C119" s="263" t="s">
        <v>4</v>
      </c>
      <c r="D119" s="263" t="s">
        <v>7</v>
      </c>
      <c r="E119" s="9" t="s">
        <v>5</v>
      </c>
      <c r="F119" s="10">
        <v>1200</v>
      </c>
      <c r="G119" s="47"/>
      <c r="I119" s="388" t="s">
        <v>257</v>
      </c>
      <c r="J119" s="389"/>
    </row>
    <row r="120" spans="2:30">
      <c r="B120" s="40">
        <v>2</v>
      </c>
      <c r="C120" s="263"/>
      <c r="D120" s="263"/>
      <c r="E120" s="8" t="s">
        <v>35</v>
      </c>
      <c r="F120" s="12">
        <v>500</v>
      </c>
      <c r="G120" s="47"/>
      <c r="I120" s="13" t="s">
        <v>252</v>
      </c>
      <c r="J120" s="24">
        <f>G121+G122+G123+G124+G125</f>
        <v>4845.03</v>
      </c>
    </row>
    <row r="121" spans="2:30">
      <c r="B121" s="37">
        <v>3</v>
      </c>
      <c r="C121" s="277" t="s">
        <v>9</v>
      </c>
      <c r="D121" s="277" t="s">
        <v>10</v>
      </c>
      <c r="E121" s="6" t="s">
        <v>11</v>
      </c>
      <c r="F121" s="7">
        <v>2500</v>
      </c>
      <c r="G121" s="47">
        <v>2917.97</v>
      </c>
      <c r="I121" s="13" t="s">
        <v>253</v>
      </c>
      <c r="J121" s="24">
        <f>G128+G129+G130</f>
        <v>5900</v>
      </c>
    </row>
    <row r="122" spans="2:30">
      <c r="B122" s="37">
        <v>4</v>
      </c>
      <c r="C122" s="277"/>
      <c r="D122" s="277"/>
      <c r="E122" s="6" t="s">
        <v>35</v>
      </c>
      <c r="F122" s="7">
        <v>500</v>
      </c>
      <c r="G122" s="47"/>
      <c r="I122" s="13" t="s">
        <v>254</v>
      </c>
      <c r="J122" s="24">
        <f>G131+G132+G133+G134</f>
        <v>8200.2900000000009</v>
      </c>
    </row>
    <row r="123" spans="2:30">
      <c r="B123" s="37">
        <v>5</v>
      </c>
      <c r="C123" s="6" t="s">
        <v>13</v>
      </c>
      <c r="D123" s="6" t="s">
        <v>10</v>
      </c>
      <c r="E123" s="6" t="s">
        <v>14</v>
      </c>
      <c r="F123" s="7">
        <v>2500</v>
      </c>
      <c r="G123" s="47">
        <v>1167.5</v>
      </c>
      <c r="I123" s="13" t="s">
        <v>255</v>
      </c>
      <c r="J123" s="24">
        <f>G135+G136+G139+G140+G141</f>
        <v>10499.73</v>
      </c>
    </row>
    <row r="124" spans="2:30">
      <c r="B124" s="37">
        <v>6</v>
      </c>
      <c r="C124" s="6" t="s">
        <v>211</v>
      </c>
      <c r="D124" s="6" t="s">
        <v>10</v>
      </c>
      <c r="E124" s="6" t="s">
        <v>14</v>
      </c>
      <c r="F124" s="7">
        <v>1500</v>
      </c>
      <c r="G124" s="47">
        <v>759.56</v>
      </c>
      <c r="I124" s="13" t="s">
        <v>256</v>
      </c>
      <c r="J124" s="24">
        <f>G142</f>
        <v>2000</v>
      </c>
    </row>
    <row r="125" spans="2:30">
      <c r="B125" s="37">
        <v>7</v>
      </c>
      <c r="C125" s="6" t="s">
        <v>18</v>
      </c>
      <c r="D125" s="6" t="s">
        <v>10</v>
      </c>
      <c r="E125" s="6"/>
      <c r="F125" s="7">
        <v>1500</v>
      </c>
      <c r="G125" s="47"/>
      <c r="I125" s="13" t="s">
        <v>258</v>
      </c>
      <c r="J125" s="24">
        <f>G144+G145+G146</f>
        <v>5157</v>
      </c>
    </row>
    <row r="126" spans="2:30">
      <c r="B126" s="40">
        <v>8</v>
      </c>
      <c r="C126" s="8" t="s">
        <v>19</v>
      </c>
      <c r="D126" s="8" t="s">
        <v>20</v>
      </c>
      <c r="E126" s="8" t="s">
        <v>21</v>
      </c>
      <c r="F126" s="12">
        <v>700</v>
      </c>
      <c r="G126" s="47"/>
    </row>
    <row r="127" spans="2:30">
      <c r="B127" s="40">
        <v>9</v>
      </c>
      <c r="C127" s="8" t="s">
        <v>23</v>
      </c>
      <c r="D127" s="8" t="s">
        <v>24</v>
      </c>
      <c r="E127" s="8" t="s">
        <v>25</v>
      </c>
      <c r="F127" s="12">
        <v>1500</v>
      </c>
      <c r="G127" s="47">
        <v>1581.3</v>
      </c>
    </row>
    <row r="128" spans="2:30">
      <c r="B128" s="37">
        <v>10</v>
      </c>
      <c r="C128" s="277" t="s">
        <v>27</v>
      </c>
      <c r="D128" s="6" t="s">
        <v>28</v>
      </c>
      <c r="E128" s="6" t="s">
        <v>29</v>
      </c>
      <c r="F128" s="7">
        <v>1500</v>
      </c>
      <c r="G128" s="47">
        <v>1500</v>
      </c>
    </row>
    <row r="129" spans="2:13">
      <c r="B129" s="37">
        <v>11</v>
      </c>
      <c r="C129" s="277"/>
      <c r="D129" s="6" t="s">
        <v>34</v>
      </c>
      <c r="E129" s="6" t="s">
        <v>35</v>
      </c>
      <c r="F129" s="7">
        <v>500</v>
      </c>
      <c r="G129" s="47">
        <v>900</v>
      </c>
    </row>
    <row r="130" spans="2:13">
      <c r="B130" s="37">
        <v>12</v>
      </c>
      <c r="C130" s="6" t="s">
        <v>31</v>
      </c>
      <c r="D130" s="6" t="s">
        <v>28</v>
      </c>
      <c r="E130" s="6" t="s">
        <v>33</v>
      </c>
      <c r="F130" s="7">
        <v>1500</v>
      </c>
      <c r="G130" s="47">
        <v>3500</v>
      </c>
    </row>
    <row r="131" spans="2:13">
      <c r="B131" s="40">
        <v>13</v>
      </c>
      <c r="C131" s="336" t="s">
        <v>36</v>
      </c>
      <c r="D131" s="8" t="s">
        <v>37</v>
      </c>
      <c r="E131" s="8" t="s">
        <v>39</v>
      </c>
      <c r="F131" s="12">
        <v>2500</v>
      </c>
      <c r="G131" s="47">
        <v>2500</v>
      </c>
      <c r="K131" s="97"/>
      <c r="L131" s="97"/>
    </row>
    <row r="132" spans="2:13">
      <c r="B132" s="40"/>
      <c r="C132" s="338"/>
      <c r="D132" s="8" t="s">
        <v>37</v>
      </c>
      <c r="E132" s="8" t="s">
        <v>35</v>
      </c>
      <c r="F132" s="12">
        <v>300</v>
      </c>
      <c r="G132" s="47">
        <v>900</v>
      </c>
      <c r="K132" s="97"/>
      <c r="L132" s="392"/>
    </row>
    <row r="133" spans="2:13">
      <c r="B133" s="40">
        <v>14</v>
      </c>
      <c r="C133" s="8" t="s">
        <v>40</v>
      </c>
      <c r="D133" s="8" t="s">
        <v>37</v>
      </c>
      <c r="E133" s="8" t="s">
        <v>42</v>
      </c>
      <c r="F133" s="12">
        <v>2500</v>
      </c>
      <c r="G133" s="47">
        <v>2500.0300000000002</v>
      </c>
      <c r="K133" s="97"/>
      <c r="L133" s="392"/>
    </row>
    <row r="134" spans="2:13">
      <c r="B134" s="40">
        <v>15</v>
      </c>
      <c r="C134" s="8" t="s">
        <v>43</v>
      </c>
      <c r="D134" s="8" t="s">
        <v>37</v>
      </c>
      <c r="E134" s="8" t="s">
        <v>33</v>
      </c>
      <c r="F134" s="12">
        <v>4000</v>
      </c>
      <c r="G134" s="47">
        <v>2300.2600000000002</v>
      </c>
      <c r="K134" s="97"/>
      <c r="L134" s="97"/>
    </row>
    <row r="135" spans="2:13">
      <c r="B135" s="37">
        <v>16</v>
      </c>
      <c r="C135" s="277" t="s">
        <v>45</v>
      </c>
      <c r="D135" s="277" t="s">
        <v>46</v>
      </c>
      <c r="E135" s="6" t="s">
        <v>39</v>
      </c>
      <c r="F135" s="7">
        <v>2500</v>
      </c>
      <c r="G135" s="47">
        <v>2499.73</v>
      </c>
      <c r="K135" s="97"/>
      <c r="L135" s="97"/>
    </row>
    <row r="136" spans="2:13">
      <c r="B136" s="37">
        <v>17</v>
      </c>
      <c r="C136" s="277"/>
      <c r="D136" s="277"/>
      <c r="E136" s="6" t="s">
        <v>54</v>
      </c>
      <c r="F136" s="41">
        <v>1000</v>
      </c>
      <c r="G136" s="47">
        <v>1000</v>
      </c>
      <c r="K136" s="97"/>
      <c r="L136" s="97"/>
    </row>
    <row r="137" spans="2:13">
      <c r="B137" s="37">
        <v>18</v>
      </c>
      <c r="C137" s="277"/>
      <c r="D137" s="277"/>
      <c r="E137" s="6" t="s">
        <v>55</v>
      </c>
      <c r="F137" s="41"/>
      <c r="G137" s="47"/>
      <c r="K137" s="97"/>
      <c r="L137" s="97"/>
    </row>
    <row r="138" spans="2:13">
      <c r="B138" s="37">
        <v>19</v>
      </c>
      <c r="C138" s="277"/>
      <c r="D138" s="277"/>
      <c r="E138" s="6" t="s">
        <v>56</v>
      </c>
      <c r="F138" s="41"/>
      <c r="G138" s="47"/>
      <c r="K138" s="97"/>
      <c r="L138" s="97"/>
    </row>
    <row r="139" spans="2:13">
      <c r="B139" s="37">
        <v>20</v>
      </c>
      <c r="C139" s="6" t="s">
        <v>48</v>
      </c>
      <c r="D139" s="6" t="s">
        <v>46</v>
      </c>
      <c r="E139" s="6" t="s">
        <v>39</v>
      </c>
      <c r="F139" s="7">
        <v>1500</v>
      </c>
      <c r="G139" s="47">
        <v>1500</v>
      </c>
      <c r="K139" s="97"/>
      <c r="L139" s="97"/>
      <c r="M139" s="97"/>
    </row>
    <row r="140" spans="2:13">
      <c r="B140" s="37">
        <v>21</v>
      </c>
      <c r="C140" s="6" t="s">
        <v>50</v>
      </c>
      <c r="D140" s="6" t="s">
        <v>46</v>
      </c>
      <c r="E140" s="6" t="s">
        <v>33</v>
      </c>
      <c r="F140" s="7">
        <v>3000</v>
      </c>
      <c r="G140" s="47">
        <v>3000</v>
      </c>
      <c r="K140" s="97"/>
      <c r="L140" s="97"/>
      <c r="M140" s="97"/>
    </row>
    <row r="141" spans="2:13">
      <c r="B141" s="37">
        <v>22</v>
      </c>
      <c r="C141" s="6" t="s">
        <v>52</v>
      </c>
      <c r="D141" s="6" t="s">
        <v>46</v>
      </c>
      <c r="E141" s="6" t="s">
        <v>42</v>
      </c>
      <c r="F141" s="7">
        <v>2500</v>
      </c>
      <c r="G141" s="47">
        <v>2500</v>
      </c>
      <c r="K141" s="97"/>
      <c r="L141" s="97"/>
      <c r="M141" s="97"/>
    </row>
    <row r="142" spans="2:13">
      <c r="B142" s="40">
        <v>23</v>
      </c>
      <c r="C142" s="8" t="s">
        <v>66</v>
      </c>
      <c r="D142" s="339" t="s">
        <v>58</v>
      </c>
      <c r="E142" s="8" t="s">
        <v>59</v>
      </c>
      <c r="F142" s="12">
        <v>3500</v>
      </c>
      <c r="G142" s="47">
        <v>2000</v>
      </c>
      <c r="K142" s="97"/>
      <c r="L142" s="97"/>
      <c r="M142" s="97"/>
    </row>
    <row r="143" spans="2:13">
      <c r="B143" s="40">
        <v>24</v>
      </c>
      <c r="C143" s="8" t="s">
        <v>57</v>
      </c>
      <c r="D143" s="339"/>
      <c r="E143" s="8" t="s">
        <v>35</v>
      </c>
      <c r="F143" s="12">
        <v>1000</v>
      </c>
      <c r="G143" s="47"/>
      <c r="K143" s="97"/>
      <c r="L143" s="97"/>
      <c r="M143" s="97"/>
    </row>
    <row r="144" spans="2:13">
      <c r="B144" s="37">
        <v>25</v>
      </c>
      <c r="C144" s="6" t="s">
        <v>61</v>
      </c>
      <c r="D144" s="6" t="s">
        <v>62</v>
      </c>
      <c r="E144" s="6" t="s">
        <v>11</v>
      </c>
      <c r="F144" s="7">
        <v>2500</v>
      </c>
      <c r="G144" s="47">
        <v>3157</v>
      </c>
      <c r="K144" s="97"/>
      <c r="L144" s="97"/>
      <c r="M144" s="97"/>
    </row>
    <row r="145" spans="2:13">
      <c r="B145" s="37">
        <v>26</v>
      </c>
      <c r="C145" s="277" t="s">
        <v>64</v>
      </c>
      <c r="D145" s="277" t="s">
        <v>62</v>
      </c>
      <c r="E145" s="6" t="s">
        <v>65</v>
      </c>
      <c r="F145" s="7">
        <v>1000</v>
      </c>
      <c r="G145" s="47">
        <v>1000</v>
      </c>
      <c r="K145" s="97"/>
      <c r="L145" s="97"/>
      <c r="M145" s="97"/>
    </row>
    <row r="146" spans="2:13">
      <c r="B146" s="37">
        <v>27</v>
      </c>
      <c r="C146" s="277"/>
      <c r="D146" s="277"/>
      <c r="E146" s="6" t="s">
        <v>68</v>
      </c>
      <c r="F146" s="7">
        <v>500</v>
      </c>
      <c r="G146" s="47">
        <v>1000</v>
      </c>
      <c r="K146" s="97"/>
      <c r="L146" s="97"/>
      <c r="M146" s="97"/>
    </row>
    <row r="147" spans="2:13">
      <c r="B147" s="37">
        <v>28</v>
      </c>
      <c r="C147" s="277"/>
      <c r="D147" s="277"/>
      <c r="E147" s="6" t="s">
        <v>68</v>
      </c>
      <c r="F147" s="7">
        <v>500</v>
      </c>
      <c r="G147" s="47"/>
      <c r="K147" s="97"/>
      <c r="L147" s="97"/>
      <c r="M147" s="97"/>
    </row>
    <row r="148" spans="2:13">
      <c r="B148" s="37">
        <v>29</v>
      </c>
      <c r="C148" s="277" t="s">
        <v>69</v>
      </c>
      <c r="D148" s="6"/>
      <c r="E148" s="6"/>
      <c r="F148" s="7">
        <v>1000</v>
      </c>
      <c r="G148" s="47">
        <v>1600</v>
      </c>
      <c r="K148" s="97"/>
      <c r="L148" s="97"/>
      <c r="M148" s="97"/>
    </row>
    <row r="149" spans="2:13">
      <c r="B149" s="37">
        <v>30</v>
      </c>
      <c r="C149" s="277"/>
      <c r="D149" s="6"/>
      <c r="E149" s="6" t="s">
        <v>35</v>
      </c>
      <c r="F149" s="7"/>
      <c r="G149" s="47"/>
      <c r="K149" s="97"/>
      <c r="L149" s="97"/>
    </row>
    <row r="150" spans="2:13">
      <c r="B150" s="37">
        <v>31</v>
      </c>
      <c r="C150" s="6" t="s">
        <v>206</v>
      </c>
      <c r="D150" s="6" t="s">
        <v>207</v>
      </c>
      <c r="E150" s="6"/>
      <c r="F150" s="7">
        <v>1500</v>
      </c>
      <c r="G150" s="47">
        <v>1447.24</v>
      </c>
      <c r="K150" s="97"/>
      <c r="L150" s="97"/>
      <c r="M150" s="97"/>
    </row>
    <row r="151" spans="2:13">
      <c r="B151" s="37">
        <v>32</v>
      </c>
      <c r="C151" s="6" t="s">
        <v>160</v>
      </c>
      <c r="D151" s="6" t="s">
        <v>161</v>
      </c>
      <c r="E151" s="6" t="s">
        <v>11</v>
      </c>
      <c r="F151" s="7">
        <v>1500</v>
      </c>
      <c r="G151" s="47">
        <v>2050.35</v>
      </c>
      <c r="K151" s="97"/>
      <c r="L151" s="97"/>
      <c r="M151" s="97"/>
    </row>
    <row r="152" spans="2:13">
      <c r="B152" s="37"/>
      <c r="C152" s="6" t="s">
        <v>204</v>
      </c>
      <c r="D152" s="6" t="s">
        <v>205</v>
      </c>
      <c r="E152" s="6" t="s">
        <v>21</v>
      </c>
      <c r="F152" s="7">
        <v>700</v>
      </c>
      <c r="G152" s="47">
        <v>700</v>
      </c>
      <c r="K152" s="97"/>
      <c r="L152" s="97"/>
    </row>
    <row r="153" spans="2:13">
      <c r="B153" s="37">
        <v>33</v>
      </c>
      <c r="C153" s="6" t="s">
        <v>71</v>
      </c>
      <c r="D153" s="6"/>
      <c r="E153" s="6" t="s">
        <v>73</v>
      </c>
      <c r="F153" s="7">
        <v>3000</v>
      </c>
      <c r="G153" s="47">
        <v>3000</v>
      </c>
      <c r="K153" s="97"/>
      <c r="L153" s="97"/>
    </row>
  </sheetData>
  <mergeCells count="130">
    <mergeCell ref="C145:C147"/>
    <mergeCell ref="D145:D147"/>
    <mergeCell ref="C148:C149"/>
    <mergeCell ref="I119:J119"/>
    <mergeCell ref="O17:O18"/>
    <mergeCell ref="L132:L133"/>
    <mergeCell ref="B96:H96"/>
    <mergeCell ref="C128:C129"/>
    <mergeCell ref="C131:C132"/>
    <mergeCell ref="C135:C138"/>
    <mergeCell ref="D135:D138"/>
    <mergeCell ref="D142:D143"/>
    <mergeCell ref="K98:M98"/>
    <mergeCell ref="D97:F97"/>
    <mergeCell ref="D98:E98"/>
    <mergeCell ref="D57:D58"/>
    <mergeCell ref="E57:E58"/>
    <mergeCell ref="F57:F58"/>
    <mergeCell ref="H93:H94"/>
    <mergeCell ref="I93:I94"/>
    <mergeCell ref="AD108:AD112"/>
    <mergeCell ref="C119:C120"/>
    <mergeCell ref="D119:D120"/>
    <mergeCell ref="C121:C122"/>
    <mergeCell ref="D121:D122"/>
    <mergeCell ref="V105:AD105"/>
    <mergeCell ref="V106:V107"/>
    <mergeCell ref="W106:W107"/>
    <mergeCell ref="X106:X107"/>
    <mergeCell ref="Y106:Y107"/>
    <mergeCell ref="Z106:Z107"/>
    <mergeCell ref="AA106:AA107"/>
    <mergeCell ref="AB106:AB107"/>
    <mergeCell ref="AC106:AD107"/>
    <mergeCell ref="L105:T105"/>
    <mergeCell ref="S106:T107"/>
    <mergeCell ref="T108:T112"/>
    <mergeCell ref="I106:I107"/>
    <mergeCell ref="J106:J107"/>
    <mergeCell ref="J108:J112"/>
    <mergeCell ref="B105:H105"/>
    <mergeCell ref="M106:M107"/>
    <mergeCell ref="N106:N107"/>
    <mergeCell ref="O106:O107"/>
    <mergeCell ref="P106:P107"/>
    <mergeCell ref="Q106:Q107"/>
    <mergeCell ref="R106:R107"/>
    <mergeCell ref="C106:C107"/>
    <mergeCell ref="D106:D107"/>
    <mergeCell ref="E106:E107"/>
    <mergeCell ref="F106:F107"/>
    <mergeCell ref="G106:G107"/>
    <mergeCell ref="H106:H107"/>
    <mergeCell ref="L106:L107"/>
    <mergeCell ref="V72:V81"/>
    <mergeCell ref="A82:F83"/>
    <mergeCell ref="C59:C65"/>
    <mergeCell ref="AD13:AE13"/>
    <mergeCell ref="B93:D94"/>
    <mergeCell ref="E93:E94"/>
    <mergeCell ref="B87:F87"/>
    <mergeCell ref="C88:F88"/>
    <mergeCell ref="H90:I90"/>
    <mergeCell ref="AC46:AF46"/>
    <mergeCell ref="A47:A48"/>
    <mergeCell ref="B47:B48"/>
    <mergeCell ref="C47:C48"/>
    <mergeCell ref="A43:B44"/>
    <mergeCell ref="C43:C44"/>
    <mergeCell ref="D43:D44"/>
    <mergeCell ref="E43:E44"/>
    <mergeCell ref="V59:Y59"/>
    <mergeCell ref="A66:E66"/>
    <mergeCell ref="N57:N58"/>
    <mergeCell ref="O57:O58"/>
    <mergeCell ref="A52:E52"/>
    <mergeCell ref="A57:B58"/>
    <mergeCell ref="C57:C58"/>
    <mergeCell ref="A1:Z1"/>
    <mergeCell ref="A2:B3"/>
    <mergeCell ref="C2:C3"/>
    <mergeCell ref="D2:D3"/>
    <mergeCell ref="E2:E3"/>
    <mergeCell ref="F2:F3"/>
    <mergeCell ref="G2:I2"/>
    <mergeCell ref="J2:L2"/>
    <mergeCell ref="M2:O2"/>
    <mergeCell ref="P2:R2"/>
    <mergeCell ref="S2:U2"/>
    <mergeCell ref="V2:X2"/>
    <mergeCell ref="Y2:Y3"/>
    <mergeCell ref="Z2:Z3"/>
    <mergeCell ref="B4:B5"/>
    <mergeCell ref="C4:C5"/>
    <mergeCell ref="F43:F44"/>
    <mergeCell ref="B6:B7"/>
    <mergeCell ref="C6:C7"/>
    <mergeCell ref="AC6:AF6"/>
    <mergeCell ref="B13:B14"/>
    <mergeCell ref="B20:B23"/>
    <mergeCell ref="C20:C23"/>
    <mergeCell ref="C27:C28"/>
    <mergeCell ref="B16:B17"/>
    <mergeCell ref="B30:B32"/>
    <mergeCell ref="C30:C32"/>
    <mergeCell ref="B33:B34"/>
    <mergeCell ref="A39:E39"/>
    <mergeCell ref="A42:Z42"/>
    <mergeCell ref="Y43:Y44"/>
    <mergeCell ref="Z43:Z44"/>
    <mergeCell ref="G43:I43"/>
    <mergeCell ref="J43:L43"/>
    <mergeCell ref="M43:O43"/>
    <mergeCell ref="P43:R43"/>
    <mergeCell ref="S43:U43"/>
    <mergeCell ref="V43:X43"/>
    <mergeCell ref="Q70:R70"/>
    <mergeCell ref="S70:T70"/>
    <mergeCell ref="A56:O56"/>
    <mergeCell ref="G70:H70"/>
    <mergeCell ref="I70:J70"/>
    <mergeCell ref="K70:L70"/>
    <mergeCell ref="M70:N70"/>
    <mergeCell ref="O70:P70"/>
    <mergeCell ref="A70:B71"/>
    <mergeCell ref="C70:C71"/>
    <mergeCell ref="D70:D71"/>
    <mergeCell ref="E70:E71"/>
    <mergeCell ref="F70:F71"/>
    <mergeCell ref="A69:V69"/>
  </mergeCells>
  <conditionalFormatting sqref="Y4:Y38">
    <cfRule type="cellIs" dxfId="160" priority="40" operator="lessThan">
      <formula>-1</formula>
    </cfRule>
  </conditionalFormatting>
  <conditionalFormatting sqref="Y39">
    <cfRule type="cellIs" dxfId="159" priority="38" operator="greaterThan">
      <formula>0</formula>
    </cfRule>
  </conditionalFormatting>
  <conditionalFormatting sqref="Y45:Y51">
    <cfRule type="cellIs" dxfId="158" priority="1" operator="lessThan">
      <formula>0</formula>
    </cfRule>
  </conditionalFormatting>
  <conditionalFormatting sqref="Z4">
    <cfRule type="cellIs" dxfId="157" priority="37" operator="greaterThan">
      <formula>$F$4</formula>
    </cfRule>
  </conditionalFormatting>
  <conditionalFormatting sqref="Z5">
    <cfRule type="cellIs" dxfId="156" priority="36" operator="greaterThan">
      <formula>$F$5</formula>
    </cfRule>
  </conditionalFormatting>
  <conditionalFormatting sqref="Z6">
    <cfRule type="cellIs" dxfId="155" priority="8" operator="greaterThan">
      <formula>$F$6</formula>
    </cfRule>
  </conditionalFormatting>
  <conditionalFormatting sqref="Z7">
    <cfRule type="cellIs" dxfId="154" priority="35" operator="greaterThan">
      <formula>$F$7</formula>
    </cfRule>
  </conditionalFormatting>
  <conditionalFormatting sqref="Z8">
    <cfRule type="cellIs" dxfId="153" priority="34" operator="greaterThan">
      <formula>$F$8</formula>
    </cfRule>
  </conditionalFormatting>
  <conditionalFormatting sqref="Z9">
    <cfRule type="cellIs" dxfId="152" priority="33" operator="greaterThan">
      <formula>$F$9</formula>
    </cfRule>
  </conditionalFormatting>
  <conditionalFormatting sqref="Z10">
    <cfRule type="cellIs" dxfId="151" priority="32" operator="greaterThan">
      <formula>$F$10</formula>
    </cfRule>
  </conditionalFormatting>
  <conditionalFormatting sqref="Z11">
    <cfRule type="cellIs" dxfId="150" priority="31" operator="greaterThan">
      <formula>$F$11</formula>
    </cfRule>
  </conditionalFormatting>
  <conditionalFormatting sqref="Z12">
    <cfRule type="cellIs" dxfId="149" priority="29" operator="greaterThan">
      <formula>$F$12</formula>
    </cfRule>
  </conditionalFormatting>
  <conditionalFormatting sqref="Z13">
    <cfRule type="cellIs" dxfId="148" priority="28" operator="greaterThan">
      <formula>$F$13</formula>
    </cfRule>
  </conditionalFormatting>
  <conditionalFormatting sqref="Z14">
    <cfRule type="cellIs" dxfId="147" priority="27" operator="greaterThan">
      <formula>$F$14</formula>
    </cfRule>
  </conditionalFormatting>
  <conditionalFormatting sqref="Z15">
    <cfRule type="cellIs" dxfId="146" priority="26" operator="greaterThan">
      <formula>$F$15</formula>
    </cfRule>
  </conditionalFormatting>
  <conditionalFormatting sqref="Z16:Z17">
    <cfRule type="cellIs" dxfId="145" priority="25" operator="greaterThan">
      <formula>$F$16</formula>
    </cfRule>
  </conditionalFormatting>
  <conditionalFormatting sqref="Z18">
    <cfRule type="cellIs" dxfId="144" priority="24" operator="greaterThan">
      <formula>$F$18</formula>
    </cfRule>
  </conditionalFormatting>
  <conditionalFormatting sqref="Z19">
    <cfRule type="cellIs" dxfId="143" priority="23" operator="greaterThan">
      <formula>$F$19</formula>
    </cfRule>
  </conditionalFormatting>
  <conditionalFormatting sqref="Z20">
    <cfRule type="cellIs" dxfId="142" priority="22" operator="greaterThan">
      <formula>$F$20</formula>
    </cfRule>
  </conditionalFormatting>
  <conditionalFormatting sqref="Z21">
    <cfRule type="cellIs" dxfId="141" priority="21" operator="greaterThan">
      <formula>$F$21</formula>
    </cfRule>
  </conditionalFormatting>
  <conditionalFormatting sqref="Z24">
    <cfRule type="cellIs" dxfId="140" priority="20" operator="greaterThan">
      <formula>$F$24</formula>
    </cfRule>
  </conditionalFormatting>
  <conditionalFormatting sqref="Z25">
    <cfRule type="cellIs" dxfId="139" priority="19" operator="greaterThan">
      <formula>$F$25</formula>
    </cfRule>
  </conditionalFormatting>
  <conditionalFormatting sqref="Z26">
    <cfRule type="cellIs" dxfId="138" priority="18" operator="greaterThan">
      <formula>$F$26</formula>
    </cfRule>
  </conditionalFormatting>
  <conditionalFormatting sqref="Z27">
    <cfRule type="cellIs" dxfId="137" priority="17" operator="greaterThan">
      <formula>$F$27</formula>
    </cfRule>
  </conditionalFormatting>
  <conditionalFormatting sqref="Z28">
    <cfRule type="cellIs" dxfId="136" priority="16" operator="greaterThan">
      <formula>$F$28</formula>
    </cfRule>
  </conditionalFormatting>
  <conditionalFormatting sqref="Z29">
    <cfRule type="cellIs" dxfId="135" priority="15" operator="greaterThan">
      <formula>$F$29</formula>
    </cfRule>
  </conditionalFormatting>
  <conditionalFormatting sqref="Z30">
    <cfRule type="cellIs" dxfId="134" priority="14" operator="greaterThan">
      <formula>$F$30</formula>
    </cfRule>
  </conditionalFormatting>
  <conditionalFormatting sqref="Z31">
    <cfRule type="cellIs" dxfId="133" priority="13" operator="greaterThan">
      <formula>$F$31</formula>
    </cfRule>
  </conditionalFormatting>
  <conditionalFormatting sqref="Z32">
    <cfRule type="cellIs" dxfId="132" priority="12" operator="greaterThan">
      <formula>$F$32</formula>
    </cfRule>
  </conditionalFormatting>
  <conditionalFormatting sqref="Z33">
    <cfRule type="cellIs" dxfId="131" priority="11" operator="greaterThan">
      <formula>$F$33</formula>
    </cfRule>
  </conditionalFormatting>
  <conditionalFormatting sqref="Z34:Z37">
    <cfRule type="cellIs" dxfId="130" priority="10" operator="greaterThan">
      <formula>$F$34</formula>
    </cfRule>
  </conditionalFormatting>
  <conditionalFormatting sqref="Z38">
    <cfRule type="cellIs" dxfId="129" priority="9" operator="greaterThan">
      <formula>$F$38</formula>
    </cfRule>
  </conditionalFormatting>
  <conditionalFormatting sqref="Z39">
    <cfRule type="cellIs" dxfId="128" priority="39" operator="lessThan">
      <formula>46700</formula>
    </cfRule>
  </conditionalFormatting>
  <pageMargins left="0.7" right="0.7" top="0.75" bottom="0.75" header="0.3" footer="0.3"/>
  <pageSetup paperSize="9" scale="1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6E7AF-D7CC-43D3-A5F5-5C2EC2C6CE0C}">
  <sheetPr>
    <pageSetUpPr fitToPage="1"/>
  </sheetPr>
  <dimension ref="A1:BJ249"/>
  <sheetViews>
    <sheetView topLeftCell="D173" zoomScale="73" zoomScaleNormal="85" workbookViewId="0">
      <selection activeCell="K183" sqref="K183:Q197"/>
    </sheetView>
  </sheetViews>
  <sheetFormatPr baseColWidth="10" defaultRowHeight="14.4"/>
  <cols>
    <col min="1" max="1" width="3.6640625" style="1" customWidth="1"/>
    <col min="2" max="2" width="34.77734375" style="1" customWidth="1"/>
    <col min="3" max="3" width="36.88671875" style="1" customWidth="1"/>
    <col min="4" max="4" width="32.33203125" style="1" customWidth="1"/>
    <col min="5" max="5" width="19.77734375" style="1" customWidth="1"/>
    <col min="6" max="6" width="21.5546875" style="2" customWidth="1"/>
    <col min="7" max="7" width="20" customWidth="1"/>
    <col min="8" max="8" width="17" customWidth="1"/>
    <col min="9" max="9" width="15.6640625" customWidth="1"/>
    <col min="10" max="10" width="17.21875" customWidth="1"/>
    <col min="11" max="11" width="15.21875" customWidth="1"/>
    <col min="12" max="12" width="18.88671875" customWidth="1"/>
    <col min="13" max="13" width="16.77734375" customWidth="1"/>
    <col min="14" max="14" width="21.6640625" customWidth="1"/>
    <col min="15" max="15" width="20.88671875" customWidth="1"/>
    <col min="16" max="16" width="19" customWidth="1"/>
    <col min="17" max="17" width="15.6640625" customWidth="1"/>
    <col min="18" max="18" width="14.88671875" customWidth="1"/>
    <col min="19" max="19" width="18.44140625" customWidth="1"/>
    <col min="20" max="20" width="22.21875" customWidth="1"/>
    <col min="21" max="21" width="16.44140625" customWidth="1"/>
    <col min="22" max="22" width="16.6640625" customWidth="1"/>
    <col min="23" max="23" width="17.21875" customWidth="1"/>
    <col min="28" max="28" width="19.109375" bestFit="1" customWidth="1"/>
    <col min="29" max="29" width="18.6640625" customWidth="1"/>
    <col min="30" max="30" width="14.6640625" customWidth="1"/>
    <col min="32" max="32" width="21.33203125" customWidth="1"/>
    <col min="33" max="33" width="16.44140625" customWidth="1"/>
    <col min="34" max="34" width="21" customWidth="1"/>
    <col min="35" max="35" width="18.21875" customWidth="1"/>
    <col min="37" max="37" width="15.6640625" customWidth="1"/>
    <col min="40" max="42" width="13.88671875" customWidth="1"/>
    <col min="43" max="44" width="14.33203125" customWidth="1"/>
    <col min="45" max="46" width="14.77734375" customWidth="1"/>
    <col min="47" max="48" width="18.33203125" customWidth="1"/>
    <col min="50" max="50" width="13.33203125" customWidth="1"/>
    <col min="54" max="54" width="15.5546875" customWidth="1"/>
  </cols>
  <sheetData>
    <row r="1" spans="1:56" ht="24.6">
      <c r="A1" s="325" t="s">
        <v>139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</row>
    <row r="2" spans="1:56" ht="28.8" customHeight="1">
      <c r="A2" s="269" t="s">
        <v>0</v>
      </c>
      <c r="B2" s="270"/>
      <c r="C2" s="273" t="s">
        <v>2</v>
      </c>
      <c r="D2" s="273" t="s">
        <v>8</v>
      </c>
      <c r="E2" s="273" t="s">
        <v>1</v>
      </c>
      <c r="F2" s="326" t="s">
        <v>91</v>
      </c>
      <c r="G2" s="317">
        <v>46209</v>
      </c>
      <c r="H2" s="317"/>
      <c r="I2" s="317"/>
      <c r="J2" s="317">
        <v>46210</v>
      </c>
      <c r="K2" s="317"/>
      <c r="L2" s="317"/>
      <c r="M2" s="317">
        <v>46211</v>
      </c>
      <c r="N2" s="317"/>
      <c r="O2" s="317"/>
      <c r="P2" s="317">
        <v>46212</v>
      </c>
      <c r="Q2" s="317"/>
      <c r="R2" s="317"/>
      <c r="S2" s="317">
        <v>46213</v>
      </c>
      <c r="T2" s="317"/>
      <c r="U2" s="317"/>
      <c r="V2" s="317">
        <v>46214</v>
      </c>
      <c r="W2" s="317"/>
      <c r="X2" s="317"/>
      <c r="Y2" s="317">
        <v>46215</v>
      </c>
      <c r="Z2" s="317"/>
      <c r="AA2" s="317"/>
      <c r="AB2" s="317" t="s">
        <v>94</v>
      </c>
      <c r="AC2" s="262" t="s">
        <v>92</v>
      </c>
    </row>
    <row r="3" spans="1:56">
      <c r="A3" s="271"/>
      <c r="B3" s="272"/>
      <c r="C3" s="274"/>
      <c r="D3" s="274"/>
      <c r="E3" s="274"/>
      <c r="F3" s="327"/>
      <c r="G3" s="17" t="s">
        <v>95</v>
      </c>
      <c r="H3" s="17" t="s">
        <v>96</v>
      </c>
      <c r="I3" s="17" t="s">
        <v>103</v>
      </c>
      <c r="J3" s="17" t="s">
        <v>95</v>
      </c>
      <c r="K3" s="17" t="s">
        <v>96</v>
      </c>
      <c r="L3" s="17" t="s">
        <v>98</v>
      </c>
      <c r="M3" s="17" t="s">
        <v>95</v>
      </c>
      <c r="N3" s="17" t="s">
        <v>96</v>
      </c>
      <c r="O3" s="17" t="s">
        <v>98</v>
      </c>
      <c r="P3" s="17" t="s">
        <v>95</v>
      </c>
      <c r="Q3" s="17" t="s">
        <v>96</v>
      </c>
      <c r="R3" s="17" t="s">
        <v>98</v>
      </c>
      <c r="S3" s="17" t="s">
        <v>95</v>
      </c>
      <c r="T3" s="17" t="s">
        <v>96</v>
      </c>
      <c r="U3" s="17" t="s">
        <v>103</v>
      </c>
      <c r="V3" s="17" t="s">
        <v>95</v>
      </c>
      <c r="W3" s="17" t="s">
        <v>96</v>
      </c>
      <c r="X3" s="17" t="s">
        <v>103</v>
      </c>
      <c r="Y3" s="17" t="s">
        <v>95</v>
      </c>
      <c r="Z3" s="17" t="s">
        <v>96</v>
      </c>
      <c r="AA3" s="17" t="s">
        <v>103</v>
      </c>
      <c r="AB3" s="317"/>
      <c r="AC3" s="262"/>
    </row>
    <row r="4" spans="1:56" s="3" customFormat="1">
      <c r="A4" s="40">
        <v>1</v>
      </c>
      <c r="B4" s="263" t="s">
        <v>4</v>
      </c>
      <c r="C4" s="263" t="s">
        <v>7</v>
      </c>
      <c r="D4" s="9" t="s">
        <v>5</v>
      </c>
      <c r="E4" s="9" t="s">
        <v>6</v>
      </c>
      <c r="F4" s="10">
        <v>1200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8">
        <f t="shared" ref="AB4:AB18" si="0">F4-(G4+H4+J4+K4+M4+N4+P4+Q4+S4+T4+V4+W4+U4+O4+I4+L4+R4+X4)</f>
        <v>1200</v>
      </c>
      <c r="AC4" s="18">
        <f t="shared" ref="AC4:AC16" si="1">SUM(G4:X4)</f>
        <v>0</v>
      </c>
      <c r="AD4" s="21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</row>
    <row r="5" spans="1:56" s="3" customFormat="1">
      <c r="A5" s="40">
        <v>2</v>
      </c>
      <c r="B5" s="263"/>
      <c r="C5" s="263"/>
      <c r="D5" s="8" t="s">
        <v>35</v>
      </c>
      <c r="E5" s="8"/>
      <c r="F5" s="12">
        <v>500</v>
      </c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8">
        <f t="shared" si="0"/>
        <v>500</v>
      </c>
      <c r="AC5" s="18">
        <f t="shared" si="1"/>
        <v>0</v>
      </c>
      <c r="AD5" s="21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56">
      <c r="A6" s="37">
        <v>3</v>
      </c>
      <c r="B6" s="277" t="s">
        <v>9</v>
      </c>
      <c r="C6" s="277" t="s">
        <v>10</v>
      </c>
      <c r="D6" s="6" t="s">
        <v>11</v>
      </c>
      <c r="E6" s="6" t="s">
        <v>12</v>
      </c>
      <c r="F6" s="7">
        <v>2500</v>
      </c>
      <c r="G6" s="152">
        <v>1500.51</v>
      </c>
      <c r="H6" s="103"/>
      <c r="I6" s="103"/>
      <c r="J6" s="103"/>
      <c r="K6" s="103"/>
      <c r="L6" s="103"/>
      <c r="M6" s="103"/>
      <c r="N6" s="103"/>
      <c r="O6" s="103"/>
      <c r="P6" s="152">
        <v>1000</v>
      </c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8">
        <f t="shared" si="0"/>
        <v>-0.51000000000021828</v>
      </c>
      <c r="AC6" s="18">
        <f t="shared" si="1"/>
        <v>2500.5100000000002</v>
      </c>
      <c r="AD6" s="21"/>
      <c r="AF6" s="328" t="s">
        <v>264</v>
      </c>
      <c r="AG6" s="329"/>
      <c r="AH6" s="329"/>
      <c r="AI6" s="329"/>
      <c r="AK6" s="44"/>
    </row>
    <row r="7" spans="1:56">
      <c r="A7" s="37">
        <v>4</v>
      </c>
      <c r="B7" s="277"/>
      <c r="C7" s="277"/>
      <c r="D7" s="6" t="s">
        <v>35</v>
      </c>
      <c r="E7" s="6"/>
      <c r="F7" s="7">
        <v>500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8">
        <f t="shared" si="0"/>
        <v>500</v>
      </c>
      <c r="AC7" s="18">
        <f t="shared" si="1"/>
        <v>0</v>
      </c>
      <c r="AD7" s="21"/>
      <c r="AF7" s="26" t="s">
        <v>99</v>
      </c>
      <c r="AG7" s="26" t="s">
        <v>100</v>
      </c>
      <c r="AH7" s="26" t="s">
        <v>101</v>
      </c>
      <c r="AI7" s="26" t="s">
        <v>102</v>
      </c>
      <c r="AK7" s="44"/>
    </row>
    <row r="8" spans="1:56">
      <c r="A8" s="37">
        <v>5</v>
      </c>
      <c r="B8" s="6" t="s">
        <v>13</v>
      </c>
      <c r="C8" s="6" t="s">
        <v>10</v>
      </c>
      <c r="D8" s="6" t="s">
        <v>14</v>
      </c>
      <c r="E8" s="6" t="s">
        <v>97</v>
      </c>
      <c r="F8" s="7">
        <v>1500</v>
      </c>
      <c r="G8" s="103"/>
      <c r="H8" s="103"/>
      <c r="I8" s="103"/>
      <c r="J8" s="152">
        <v>1500</v>
      </c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8">
        <f t="shared" si="0"/>
        <v>0</v>
      </c>
      <c r="AC8" s="18">
        <f t="shared" si="1"/>
        <v>1500</v>
      </c>
      <c r="AD8" s="21"/>
      <c r="AF8" s="25" t="s">
        <v>95</v>
      </c>
      <c r="AG8" s="45">
        <f>AI8/AH8</f>
        <v>1591.007863695937</v>
      </c>
      <c r="AH8" s="23">
        <v>22.89</v>
      </c>
      <c r="AI8" s="46">
        <f>G42+J42+M42+P42+S42+V42</f>
        <v>36418.17</v>
      </c>
    </row>
    <row r="9" spans="1:56">
      <c r="A9" s="37">
        <v>6</v>
      </c>
      <c r="B9" s="6" t="s">
        <v>211</v>
      </c>
      <c r="C9" s="6" t="s">
        <v>10</v>
      </c>
      <c r="D9" s="6" t="s">
        <v>14</v>
      </c>
      <c r="E9" s="6" t="s">
        <v>17</v>
      </c>
      <c r="F9" s="7">
        <v>1500</v>
      </c>
      <c r="G9" s="152">
        <v>1113.8499999999999</v>
      </c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8">
        <f t="shared" si="0"/>
        <v>386.15000000000009</v>
      </c>
      <c r="AC9" s="18">
        <f t="shared" si="1"/>
        <v>1113.8499999999999</v>
      </c>
      <c r="AD9" s="21"/>
      <c r="AF9" s="25" t="s">
        <v>96</v>
      </c>
      <c r="AG9" s="45">
        <f>AI9/AH9</f>
        <v>712.10615989515077</v>
      </c>
      <c r="AH9" s="23">
        <v>22.89</v>
      </c>
      <c r="AI9" s="88">
        <f>H42+K42+N42+Q42+T42+W42+Z42</f>
        <v>16300.11</v>
      </c>
    </row>
    <row r="10" spans="1:56">
      <c r="A10" s="37">
        <v>7</v>
      </c>
      <c r="B10" s="6" t="s">
        <v>18</v>
      </c>
      <c r="C10" s="6" t="s">
        <v>10</v>
      </c>
      <c r="D10" s="6"/>
      <c r="E10" s="6"/>
      <c r="F10" s="7">
        <v>1500</v>
      </c>
      <c r="G10" s="152">
        <v>1381.48</v>
      </c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8">
        <f t="shared" si="0"/>
        <v>118.51999999999998</v>
      </c>
      <c r="AC10" s="18">
        <f t="shared" si="1"/>
        <v>1381.48</v>
      </c>
      <c r="AD10" s="21"/>
      <c r="AF10" s="25" t="s">
        <v>103</v>
      </c>
      <c r="AG10" s="23"/>
      <c r="AH10" s="23"/>
      <c r="AI10" s="46">
        <f>R42+U42+O42</f>
        <v>3868.4700000000003</v>
      </c>
    </row>
    <row r="11" spans="1:56" s="3" customFormat="1">
      <c r="A11" s="40">
        <v>8</v>
      </c>
      <c r="B11" s="8" t="s">
        <v>19</v>
      </c>
      <c r="C11" s="8" t="s">
        <v>20</v>
      </c>
      <c r="D11" s="8" t="s">
        <v>21</v>
      </c>
      <c r="E11" s="8" t="s">
        <v>22</v>
      </c>
      <c r="F11" s="12">
        <v>700</v>
      </c>
      <c r="G11" s="103"/>
      <c r="H11" s="103"/>
      <c r="I11" s="103">
        <v>440</v>
      </c>
      <c r="J11" s="103"/>
      <c r="K11" s="103"/>
      <c r="L11" s="103"/>
      <c r="M11" s="103"/>
      <c r="N11" s="103"/>
      <c r="O11" s="103"/>
      <c r="P11" s="103"/>
      <c r="Q11" s="103"/>
      <c r="R11" s="103">
        <v>800</v>
      </c>
      <c r="S11" s="103"/>
      <c r="T11" s="103"/>
      <c r="U11" s="103"/>
      <c r="V11" s="103"/>
      <c r="W11" s="103"/>
      <c r="X11" s="103"/>
      <c r="Y11" s="103"/>
      <c r="Z11" s="103"/>
      <c r="AA11" s="103"/>
      <c r="AB11" s="18">
        <f t="shared" si="0"/>
        <v>-540</v>
      </c>
      <c r="AC11" s="18">
        <f t="shared" si="1"/>
        <v>1240</v>
      </c>
      <c r="AD11" s="21">
        <v>540</v>
      </c>
      <c r="AE11">
        <v>1240</v>
      </c>
      <c r="AF11"/>
      <c r="AG11"/>
      <c r="AH11"/>
      <c r="AI11"/>
      <c r="AJ11"/>
      <c r="AK11"/>
      <c r="AL11"/>
      <c r="AM11"/>
      <c r="BC11"/>
    </row>
    <row r="12" spans="1:56" s="3" customFormat="1">
      <c r="A12" s="40">
        <v>9</v>
      </c>
      <c r="B12" s="8" t="s">
        <v>23</v>
      </c>
      <c r="C12" s="8" t="s">
        <v>24</v>
      </c>
      <c r="D12" s="8" t="s">
        <v>25</v>
      </c>
      <c r="E12" s="8" t="s">
        <v>26</v>
      </c>
      <c r="F12" s="12">
        <v>1500</v>
      </c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>
        <v>1068.47</v>
      </c>
      <c r="V12" s="103"/>
      <c r="W12" s="103"/>
      <c r="X12" s="103"/>
      <c r="Y12" s="103"/>
      <c r="Z12" s="103"/>
      <c r="AA12" s="103"/>
      <c r="AB12" s="18">
        <f t="shared" si="0"/>
        <v>431.53</v>
      </c>
      <c r="AC12" s="18">
        <f t="shared" si="1"/>
        <v>1068.47</v>
      </c>
      <c r="AD12" s="21"/>
      <c r="AE12"/>
      <c r="AF12"/>
      <c r="AG12"/>
      <c r="AH12"/>
      <c r="AI12"/>
      <c r="AJ12"/>
      <c r="AK12"/>
      <c r="AL12"/>
      <c r="AM12"/>
      <c r="BC12"/>
    </row>
    <row r="13" spans="1:56">
      <c r="A13" s="37">
        <v>10</v>
      </c>
      <c r="B13" s="277" t="s">
        <v>27</v>
      </c>
      <c r="C13" s="6" t="s">
        <v>28</v>
      </c>
      <c r="D13" s="6" t="s">
        <v>29</v>
      </c>
      <c r="E13" s="6" t="s">
        <v>30</v>
      </c>
      <c r="F13" s="7">
        <v>1500</v>
      </c>
      <c r="G13" s="103"/>
      <c r="H13" s="103"/>
      <c r="I13" s="103"/>
      <c r="J13" s="152">
        <v>1500</v>
      </c>
      <c r="K13" s="103"/>
      <c r="L13" s="103"/>
      <c r="M13" s="103"/>
      <c r="N13" s="103"/>
      <c r="O13" s="103"/>
      <c r="P13" s="152">
        <v>1000</v>
      </c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8">
        <f t="shared" si="0"/>
        <v>-1000</v>
      </c>
      <c r="AC13" s="18">
        <f t="shared" si="1"/>
        <v>2500</v>
      </c>
      <c r="AD13" s="21">
        <v>1000</v>
      </c>
      <c r="AE13">
        <v>2500</v>
      </c>
      <c r="AG13" s="340"/>
      <c r="AH13" s="340"/>
      <c r="AI13" s="149"/>
      <c r="AJ13" s="149"/>
      <c r="AK13" s="149"/>
    </row>
    <row r="14" spans="1:56">
      <c r="A14" s="37">
        <v>11</v>
      </c>
      <c r="B14" s="277"/>
      <c r="C14" s="6" t="s">
        <v>34</v>
      </c>
      <c r="D14" s="6" t="s">
        <v>35</v>
      </c>
      <c r="E14" s="6"/>
      <c r="F14" s="7">
        <v>500</v>
      </c>
      <c r="G14" s="103"/>
      <c r="H14" s="103"/>
      <c r="I14" s="103"/>
      <c r="J14" s="152">
        <v>500</v>
      </c>
      <c r="K14" s="103"/>
      <c r="L14" s="103"/>
      <c r="M14" s="103"/>
      <c r="N14" s="103"/>
      <c r="O14" s="103"/>
      <c r="P14" s="103"/>
      <c r="Q14" s="103"/>
      <c r="R14" s="103"/>
      <c r="S14" s="152">
        <v>500</v>
      </c>
      <c r="T14" s="103"/>
      <c r="U14" s="103"/>
      <c r="V14" s="103"/>
      <c r="W14" s="103"/>
      <c r="X14" s="103"/>
      <c r="Y14" s="103"/>
      <c r="Z14" s="103"/>
      <c r="AA14" s="103"/>
      <c r="AB14" s="18">
        <f t="shared" si="0"/>
        <v>-500</v>
      </c>
      <c r="AC14" s="18">
        <f t="shared" si="1"/>
        <v>1000</v>
      </c>
      <c r="AD14" s="21">
        <v>500</v>
      </c>
      <c r="AE14">
        <v>1000</v>
      </c>
      <c r="AG14" s="341" t="s">
        <v>265</v>
      </c>
      <c r="AH14" s="342"/>
      <c r="AI14" s="151"/>
      <c r="AJ14" s="151"/>
      <c r="AK14" s="149"/>
    </row>
    <row r="15" spans="1:56">
      <c r="A15" s="37">
        <v>12</v>
      </c>
      <c r="B15" s="6" t="s">
        <v>31</v>
      </c>
      <c r="C15" s="6" t="s">
        <v>28</v>
      </c>
      <c r="D15" s="6" t="s">
        <v>33</v>
      </c>
      <c r="E15" s="6" t="s">
        <v>32</v>
      </c>
      <c r="F15" s="7">
        <v>1500</v>
      </c>
      <c r="G15" s="103"/>
      <c r="H15" s="103"/>
      <c r="I15" s="103"/>
      <c r="J15" s="152">
        <v>1500</v>
      </c>
      <c r="K15" s="103"/>
      <c r="L15" s="103"/>
      <c r="M15" s="103"/>
      <c r="N15" s="103"/>
      <c r="O15" s="103"/>
      <c r="P15" s="103"/>
      <c r="Q15" s="103"/>
      <c r="R15" s="103"/>
      <c r="S15" s="152">
        <v>2000</v>
      </c>
      <c r="T15" s="103"/>
      <c r="U15" s="103"/>
      <c r="V15" s="103"/>
      <c r="W15" s="103"/>
      <c r="X15" s="103"/>
      <c r="Y15" s="103"/>
      <c r="Z15" s="103"/>
      <c r="AA15" s="103"/>
      <c r="AB15" s="18">
        <f t="shared" si="0"/>
        <v>-2000</v>
      </c>
      <c r="AC15" s="18">
        <f t="shared" si="1"/>
        <v>3500</v>
      </c>
      <c r="AD15" s="21">
        <v>2000</v>
      </c>
      <c r="AE15">
        <v>3500</v>
      </c>
      <c r="AG15" s="141" t="s">
        <v>95</v>
      </c>
      <c r="AH15" s="101">
        <f>AI8+AI51</f>
        <v>40629.53</v>
      </c>
      <c r="AI15" s="150"/>
      <c r="AJ15" s="149"/>
      <c r="AK15" s="150"/>
    </row>
    <row r="16" spans="1:56" s="3" customFormat="1">
      <c r="A16" s="40">
        <v>13</v>
      </c>
      <c r="B16" s="336" t="s">
        <v>36</v>
      </c>
      <c r="C16" s="8" t="s">
        <v>37</v>
      </c>
      <c r="D16" s="8" t="s">
        <v>39</v>
      </c>
      <c r="E16" s="8" t="s">
        <v>38</v>
      </c>
      <c r="F16" s="12">
        <v>2500</v>
      </c>
      <c r="G16" s="152">
        <v>1501.58</v>
      </c>
      <c r="H16" s="103"/>
      <c r="I16" s="103"/>
      <c r="J16" s="103"/>
      <c r="K16" s="103"/>
      <c r="L16" s="103"/>
      <c r="M16" s="103"/>
      <c r="N16" s="103"/>
      <c r="O16" s="103"/>
      <c r="P16" s="152">
        <v>1308.94</v>
      </c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8">
        <f t="shared" si="0"/>
        <v>-310.52</v>
      </c>
      <c r="AC16" s="18">
        <f t="shared" si="1"/>
        <v>2810.52</v>
      </c>
      <c r="AD16" s="21">
        <v>310</v>
      </c>
      <c r="AE16">
        <v>2810.52</v>
      </c>
      <c r="AF16"/>
      <c r="AG16" s="141" t="s">
        <v>96</v>
      </c>
      <c r="AH16" s="99">
        <f>AI9+AI52</f>
        <v>16800.11</v>
      </c>
      <c r="AI16" s="149"/>
      <c r="AJ16" s="149"/>
      <c r="AK16" s="149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</row>
    <row r="17" spans="1:62" s="3" customFormat="1">
      <c r="A17" s="40"/>
      <c r="B17" s="338"/>
      <c r="C17" s="8" t="s">
        <v>37</v>
      </c>
      <c r="D17" s="8" t="s">
        <v>35</v>
      </c>
      <c r="E17" s="8"/>
      <c r="F17" s="12">
        <v>300</v>
      </c>
      <c r="G17" s="103"/>
      <c r="H17" s="148">
        <v>400</v>
      </c>
      <c r="I17" s="390" t="s">
        <v>386</v>
      </c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8" t="e">
        <f t="shared" si="0"/>
        <v>#VALUE!</v>
      </c>
      <c r="AC17" s="18"/>
      <c r="AD17" s="21">
        <v>100</v>
      </c>
      <c r="AE17"/>
      <c r="AF17"/>
      <c r="AG17" s="141" t="s">
        <v>98</v>
      </c>
      <c r="AH17" s="24">
        <f>AI10+AI53</f>
        <v>3868.4700000000003</v>
      </c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</row>
    <row r="18" spans="1:62" s="3" customFormat="1">
      <c r="A18" s="40">
        <v>14</v>
      </c>
      <c r="B18" s="8" t="s">
        <v>40</v>
      </c>
      <c r="C18" s="8" t="s">
        <v>37</v>
      </c>
      <c r="D18" s="8" t="s">
        <v>42</v>
      </c>
      <c r="E18" s="8" t="s">
        <v>41</v>
      </c>
      <c r="F18" s="12">
        <v>2500</v>
      </c>
      <c r="G18"/>
      <c r="H18" s="148">
        <v>1712</v>
      </c>
      <c r="I18" s="391"/>
      <c r="J18" s="103"/>
      <c r="K18" s="103"/>
      <c r="L18" s="103"/>
      <c r="M18" s="103"/>
      <c r="N18" s="148">
        <v>788</v>
      </c>
      <c r="O18" s="102" t="s">
        <v>262</v>
      </c>
      <c r="P18" s="103"/>
      <c r="Q18" s="103"/>
      <c r="R18" s="103"/>
      <c r="S18" s="103"/>
      <c r="T18" s="148">
        <v>800</v>
      </c>
      <c r="U18" s="102" t="s">
        <v>381</v>
      </c>
      <c r="V18" s="103"/>
      <c r="W18" s="103"/>
      <c r="X18" s="103"/>
      <c r="Y18" s="103"/>
      <c r="Z18" s="103"/>
      <c r="AA18" s="103"/>
      <c r="AB18" s="18" t="e">
        <f t="shared" si="0"/>
        <v>#VALUE!</v>
      </c>
      <c r="AC18" s="18">
        <f>SUM(H18:X18)</f>
        <v>3300</v>
      </c>
      <c r="AD18" s="21">
        <v>800</v>
      </c>
      <c r="AE18">
        <v>3300</v>
      </c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</row>
    <row r="19" spans="1:62" s="3" customFormat="1">
      <c r="A19" s="40">
        <v>15</v>
      </c>
      <c r="B19" s="8" t="s">
        <v>43</v>
      </c>
      <c r="C19" s="8" t="s">
        <v>37</v>
      </c>
      <c r="D19" s="8" t="s">
        <v>33</v>
      </c>
      <c r="E19" s="8" t="s">
        <v>44</v>
      </c>
      <c r="F19" s="12">
        <v>4000</v>
      </c>
      <c r="G19" s="103"/>
      <c r="H19" s="103"/>
      <c r="I19" s="103"/>
      <c r="J19" s="103"/>
      <c r="K19" s="103"/>
      <c r="L19" s="103"/>
      <c r="M19" s="103"/>
      <c r="N19" s="148">
        <v>2500.11</v>
      </c>
      <c r="O19" s="102" t="s">
        <v>379</v>
      </c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C19" s="18">
        <f t="shared" ref="AC19:AC41" si="2">SUM(G19:X19)</f>
        <v>2500.11</v>
      </c>
      <c r="AD19" s="21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</row>
    <row r="20" spans="1:62">
      <c r="A20" s="37">
        <v>16</v>
      </c>
      <c r="B20" s="277" t="s">
        <v>45</v>
      </c>
      <c r="C20" s="277" t="s">
        <v>46</v>
      </c>
      <c r="D20" s="6" t="s">
        <v>39</v>
      </c>
      <c r="E20" s="6" t="s">
        <v>47</v>
      </c>
      <c r="F20" s="7">
        <v>2500</v>
      </c>
      <c r="G20" s="152">
        <v>1299.56</v>
      </c>
      <c r="H20" s="103"/>
      <c r="I20" s="103"/>
      <c r="J20" s="103"/>
      <c r="K20" s="103"/>
      <c r="L20" s="103"/>
      <c r="M20" s="103"/>
      <c r="N20" s="103"/>
      <c r="O20" s="103"/>
      <c r="P20" s="152">
        <v>720.35</v>
      </c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8">
        <f>F20-(G20+H20+J20+K20+M20+N20+P20+Q20+S20+T20+V20+W20+U20+O20+I20+L20+R20+X20)</f>
        <v>480.09000000000015</v>
      </c>
      <c r="AC20" s="18">
        <f t="shared" si="2"/>
        <v>2019.9099999999999</v>
      </c>
      <c r="AD20" s="21"/>
    </row>
    <row r="21" spans="1:62">
      <c r="A21" s="37">
        <v>17</v>
      </c>
      <c r="B21" s="277"/>
      <c r="C21" s="277"/>
      <c r="D21" s="6" t="s">
        <v>54</v>
      </c>
      <c r="E21" s="6"/>
      <c r="F21" s="41">
        <v>1000</v>
      </c>
      <c r="G21" s="152">
        <v>1000</v>
      </c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8">
        <f>F21-(G21+H21+J21+K21+M21+N21+P21+Q21+S21+T21+V21+W21+U21+O21+I21+L21+R21+X21)</f>
        <v>0</v>
      </c>
      <c r="AC21" s="18">
        <f t="shared" si="2"/>
        <v>1000</v>
      </c>
      <c r="AD21" s="21"/>
    </row>
    <row r="22" spans="1:62">
      <c r="A22" s="37">
        <v>18</v>
      </c>
      <c r="B22" s="277"/>
      <c r="C22" s="277"/>
      <c r="D22" s="6" t="s">
        <v>55</v>
      </c>
      <c r="E22" s="6"/>
      <c r="F22" s="41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8">
        <f>F22-(G22+H22+J22+K22+M22+N22+P22+Q22+S22+T22+V22+W22+U22+O22+I22+L22+R22+X22)</f>
        <v>0</v>
      </c>
      <c r="AC22" s="18">
        <f t="shared" si="2"/>
        <v>0</v>
      </c>
      <c r="AD22" s="21"/>
      <c r="AG22" s="21"/>
    </row>
    <row r="23" spans="1:62">
      <c r="A23" s="37">
        <v>19</v>
      </c>
      <c r="B23" s="277"/>
      <c r="C23" s="277"/>
      <c r="D23" s="6" t="s">
        <v>56</v>
      </c>
      <c r="E23" s="6"/>
      <c r="F23" s="41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8">
        <f>F23-(G23+H23+J23+K23+M23+N23+P23+Q23+S23+T23+V23+W23+U23+O23+I23+L23+R23+X23)</f>
        <v>0</v>
      </c>
      <c r="AC23" s="18">
        <f t="shared" si="2"/>
        <v>0</v>
      </c>
      <c r="AD23" s="21"/>
    </row>
    <row r="24" spans="1:62">
      <c r="A24" s="37">
        <v>20</v>
      </c>
      <c r="B24" s="6" t="s">
        <v>48</v>
      </c>
      <c r="C24" s="6" t="s">
        <v>46</v>
      </c>
      <c r="D24" s="6" t="s">
        <v>39</v>
      </c>
      <c r="E24" s="6" t="s">
        <v>49</v>
      </c>
      <c r="F24" s="7">
        <v>1500</v>
      </c>
      <c r="G24" s="103"/>
      <c r="H24" s="103"/>
      <c r="I24" s="103"/>
      <c r="J24" s="103"/>
      <c r="K24" s="103"/>
      <c r="L24" s="103"/>
      <c r="M24" s="152">
        <v>1167.53</v>
      </c>
      <c r="N24" s="103"/>
      <c r="O24" s="103"/>
      <c r="P24" s="152">
        <v>332.47</v>
      </c>
      <c r="Q24" s="103"/>
      <c r="R24" s="103"/>
      <c r="S24" s="103"/>
      <c r="T24" s="103"/>
      <c r="U24" s="103"/>
      <c r="V24" s="103"/>
      <c r="W24" s="148">
        <v>500</v>
      </c>
      <c r="X24" s="102" t="s">
        <v>404</v>
      </c>
      <c r="Y24" s="103"/>
      <c r="Z24" s="103"/>
      <c r="AA24" s="103"/>
      <c r="AB24" s="18" t="e">
        <f t="shared" ref="AB24:AB41" si="3">F24-(G24+H24+J24+K24+M24+N24+P24+Q24+S24+T24+V24+W24+O24+R24+U24+I24+L24+X24)</f>
        <v>#VALUE!</v>
      </c>
      <c r="AC24" s="18">
        <f t="shared" si="2"/>
        <v>2000</v>
      </c>
      <c r="AD24" s="21">
        <v>500</v>
      </c>
      <c r="AE24">
        <v>2000</v>
      </c>
    </row>
    <row r="25" spans="1:62">
      <c r="A25" s="37">
        <v>21</v>
      </c>
      <c r="B25" s="6" t="s">
        <v>50</v>
      </c>
      <c r="C25" s="6" t="s">
        <v>46</v>
      </c>
      <c r="D25" s="6" t="s">
        <v>33</v>
      </c>
      <c r="E25" s="6" t="s">
        <v>51</v>
      </c>
      <c r="F25" s="7">
        <v>3000</v>
      </c>
      <c r="G25" s="103"/>
      <c r="H25" s="103"/>
      <c r="I25" s="103"/>
      <c r="J25" s="152">
        <v>3000</v>
      </c>
      <c r="K25" s="103"/>
      <c r="L25" s="103"/>
      <c r="M25" s="103"/>
      <c r="N25" s="103"/>
      <c r="O25" s="103"/>
      <c r="P25" s="152">
        <v>1000</v>
      </c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8">
        <f t="shared" si="3"/>
        <v>-1000</v>
      </c>
      <c r="AC25" s="18">
        <f t="shared" si="2"/>
        <v>4000</v>
      </c>
      <c r="AD25" s="21">
        <v>1000</v>
      </c>
      <c r="AE25">
        <v>4000</v>
      </c>
    </row>
    <row r="26" spans="1:62">
      <c r="A26" s="37">
        <v>22</v>
      </c>
      <c r="B26" s="6" t="s">
        <v>52</v>
      </c>
      <c r="C26" s="6" t="s">
        <v>46</v>
      </c>
      <c r="D26" s="6" t="s">
        <v>42</v>
      </c>
      <c r="E26" s="6" t="s">
        <v>53</v>
      </c>
      <c r="F26" s="7">
        <v>2500</v>
      </c>
      <c r="G26" s="152">
        <v>1254.83</v>
      </c>
      <c r="H26" s="103"/>
      <c r="I26" s="103"/>
      <c r="J26" s="103"/>
      <c r="K26" s="103"/>
      <c r="L26" s="103"/>
      <c r="M26" s="152">
        <v>1246</v>
      </c>
      <c r="N26" s="103"/>
      <c r="O26" s="103"/>
      <c r="P26" s="103"/>
      <c r="Q26" s="103"/>
      <c r="R26" s="103"/>
      <c r="S26" s="103"/>
      <c r="T26" s="103"/>
      <c r="U26" s="103"/>
      <c r="V26" s="103"/>
      <c r="W26" s="102">
        <v>800</v>
      </c>
      <c r="X26" s="138" t="s">
        <v>385</v>
      </c>
      <c r="Y26" s="103"/>
      <c r="Z26" s="103"/>
      <c r="AA26" s="103"/>
      <c r="AB26" s="18" t="e">
        <f>F26-(G26+H26+J26+K26+M26+N26+P26+Q26+S26+T26+V26+W26+O26+R26+U26+I26+L26+U40)</f>
        <v>#VALUE!</v>
      </c>
      <c r="AC26" s="18">
        <f t="shared" si="2"/>
        <v>3300.83</v>
      </c>
      <c r="AD26" s="21">
        <v>800</v>
      </c>
      <c r="AE26">
        <v>3300</v>
      </c>
    </row>
    <row r="27" spans="1:62" s="3" customFormat="1">
      <c r="A27" s="40">
        <v>23</v>
      </c>
      <c r="B27" s="8" t="s">
        <v>66</v>
      </c>
      <c r="C27" s="339" t="s">
        <v>58</v>
      </c>
      <c r="D27" s="8" t="s">
        <v>59</v>
      </c>
      <c r="E27" s="8" t="s">
        <v>60</v>
      </c>
      <c r="F27" s="12">
        <v>2500</v>
      </c>
      <c r="G27" s="103"/>
      <c r="H27" s="103"/>
      <c r="I27" s="103"/>
      <c r="J27" s="103"/>
      <c r="K27" s="103"/>
      <c r="L27" s="103"/>
      <c r="M27" s="103"/>
      <c r="N27" s="148">
        <v>1000</v>
      </c>
      <c r="O27" s="102" t="s">
        <v>380</v>
      </c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8" t="e">
        <f t="shared" si="3"/>
        <v>#VALUE!</v>
      </c>
      <c r="AC27" s="18">
        <f t="shared" si="2"/>
        <v>1000</v>
      </c>
      <c r="AD27" s="21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</row>
    <row r="28" spans="1:62" s="3" customFormat="1">
      <c r="A28" s="40">
        <v>24</v>
      </c>
      <c r="B28" s="8" t="s">
        <v>57</v>
      </c>
      <c r="C28" s="339"/>
      <c r="D28" s="8" t="s">
        <v>35</v>
      </c>
      <c r="E28" s="8"/>
      <c r="F28" s="12">
        <v>1000</v>
      </c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8">
        <f t="shared" si="3"/>
        <v>1000</v>
      </c>
      <c r="AC28" s="18">
        <f t="shared" si="2"/>
        <v>0</v>
      </c>
      <c r="AD28" s="21"/>
      <c r="AE28"/>
      <c r="AF28"/>
      <c r="AG28"/>
      <c r="AH28"/>
      <c r="AI28"/>
      <c r="AJ28"/>
      <c r="AK28"/>
      <c r="AL28"/>
      <c r="BA28"/>
      <c r="BB28"/>
      <c r="BC28"/>
      <c r="BD28"/>
      <c r="BE28"/>
      <c r="BF28"/>
      <c r="BG28"/>
      <c r="BH28"/>
      <c r="BI28"/>
      <c r="BJ28"/>
    </row>
    <row r="29" spans="1:62">
      <c r="A29" s="37">
        <v>25</v>
      </c>
      <c r="B29" s="6" t="s">
        <v>61</v>
      </c>
      <c r="C29" s="6" t="s">
        <v>62</v>
      </c>
      <c r="D29" s="6" t="s">
        <v>11</v>
      </c>
      <c r="E29" s="6" t="s">
        <v>63</v>
      </c>
      <c r="F29" s="7">
        <v>2500</v>
      </c>
      <c r="G29" s="152">
        <v>1664.06</v>
      </c>
      <c r="H29" s="103"/>
      <c r="I29" s="103"/>
      <c r="J29" s="103"/>
      <c r="K29" s="103"/>
      <c r="L29" s="103"/>
      <c r="M29" s="103"/>
      <c r="N29" s="103"/>
      <c r="O29" s="103">
        <v>2000</v>
      </c>
      <c r="P29" s="103"/>
      <c r="Q29" s="103"/>
      <c r="R29" s="103"/>
      <c r="S29" s="103"/>
      <c r="T29" s="103"/>
      <c r="U29" s="103"/>
      <c r="V29" s="103"/>
      <c r="W29" s="148">
        <v>1000</v>
      </c>
      <c r="X29" s="102" t="s">
        <v>384</v>
      </c>
      <c r="Y29" s="103"/>
      <c r="Z29" s="103"/>
      <c r="AA29" s="103"/>
      <c r="AB29" s="18" t="e">
        <f t="shared" si="3"/>
        <v>#VALUE!</v>
      </c>
      <c r="AC29" s="18">
        <f t="shared" si="2"/>
        <v>4664.0599999999995</v>
      </c>
      <c r="AD29" s="21">
        <v>2164.06</v>
      </c>
      <c r="AE29">
        <v>4664</v>
      </c>
    </row>
    <row r="30" spans="1:62">
      <c r="A30" s="37">
        <v>26</v>
      </c>
      <c r="B30" s="277" t="s">
        <v>64</v>
      </c>
      <c r="C30" s="277" t="s">
        <v>62</v>
      </c>
      <c r="D30" s="6" t="s">
        <v>65</v>
      </c>
      <c r="E30" s="6" t="s">
        <v>67</v>
      </c>
      <c r="F30" s="7">
        <v>1000</v>
      </c>
      <c r="G30" s="152">
        <v>1000</v>
      </c>
      <c r="H30" s="103"/>
      <c r="I30" s="103"/>
      <c r="J30" s="103"/>
      <c r="K30" s="103"/>
      <c r="L30" s="103"/>
      <c r="M30" s="103"/>
      <c r="N30" s="103"/>
      <c r="O30" s="103"/>
      <c r="P30" s="152">
        <v>500</v>
      </c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8">
        <f t="shared" si="3"/>
        <v>-500</v>
      </c>
      <c r="AC30" s="18">
        <f t="shared" si="2"/>
        <v>1500</v>
      </c>
      <c r="AD30" s="21">
        <v>500</v>
      </c>
      <c r="AE30">
        <v>1500</v>
      </c>
    </row>
    <row r="31" spans="1:62">
      <c r="A31" s="37">
        <v>27</v>
      </c>
      <c r="B31" s="277"/>
      <c r="C31" s="277"/>
      <c r="D31" s="6" t="s">
        <v>68</v>
      </c>
      <c r="E31" s="6"/>
      <c r="F31" s="7">
        <v>500</v>
      </c>
      <c r="G31" s="152">
        <v>500</v>
      </c>
      <c r="H31" s="103"/>
      <c r="I31" s="103"/>
      <c r="J31" s="103"/>
      <c r="K31" s="103"/>
      <c r="L31" s="103"/>
      <c r="M31" s="103"/>
      <c r="N31" s="103"/>
      <c r="O31" s="103"/>
      <c r="P31" s="152">
        <v>228.9</v>
      </c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8">
        <f t="shared" si="3"/>
        <v>-228.89999999999998</v>
      </c>
      <c r="AC31" s="18">
        <f t="shared" si="2"/>
        <v>728.9</v>
      </c>
      <c r="AD31" s="21">
        <v>228.9</v>
      </c>
      <c r="AE31">
        <v>728.9</v>
      </c>
    </row>
    <row r="32" spans="1:62">
      <c r="A32" s="37">
        <v>28</v>
      </c>
      <c r="B32" s="277"/>
      <c r="C32" s="277"/>
      <c r="D32" s="6" t="s">
        <v>68</v>
      </c>
      <c r="E32" s="6"/>
      <c r="F32" s="7">
        <v>500</v>
      </c>
      <c r="G32" s="103"/>
      <c r="H32" s="103"/>
      <c r="I32" s="103"/>
      <c r="J32" s="103"/>
      <c r="K32" s="103"/>
      <c r="L32" s="103"/>
      <c r="M32" s="103"/>
      <c r="N32" s="103"/>
      <c r="O32" s="103"/>
      <c r="P32" s="152">
        <v>400</v>
      </c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8">
        <f t="shared" si="3"/>
        <v>100</v>
      </c>
      <c r="AC32" s="18">
        <f t="shared" si="2"/>
        <v>400</v>
      </c>
      <c r="AD32" s="21"/>
    </row>
    <row r="33" spans="1:31">
      <c r="A33" s="37">
        <v>29</v>
      </c>
      <c r="B33" s="277" t="s">
        <v>69</v>
      </c>
      <c r="C33" s="6"/>
      <c r="D33" s="6"/>
      <c r="E33" s="6" t="s">
        <v>70</v>
      </c>
      <c r="F33" s="7">
        <v>800</v>
      </c>
      <c r="G33" s="152">
        <v>800</v>
      </c>
      <c r="H33" s="103"/>
      <c r="I33" s="103"/>
      <c r="J33" s="103"/>
      <c r="K33" s="103"/>
      <c r="L33" s="103"/>
      <c r="M33" s="103"/>
      <c r="N33" s="103"/>
      <c r="O33" s="103"/>
      <c r="P33" s="152">
        <v>500</v>
      </c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8">
        <f t="shared" si="3"/>
        <v>-500</v>
      </c>
      <c r="AC33" s="18">
        <f t="shared" si="2"/>
        <v>1300</v>
      </c>
      <c r="AD33" s="21">
        <v>300</v>
      </c>
      <c r="AE33">
        <v>1300</v>
      </c>
    </row>
    <row r="34" spans="1:31">
      <c r="A34" s="37">
        <v>30</v>
      </c>
      <c r="B34" s="277"/>
      <c r="C34" s="6"/>
      <c r="D34" s="6" t="s">
        <v>35</v>
      </c>
      <c r="E34" s="6"/>
      <c r="F34" s="7">
        <v>500</v>
      </c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8">
        <f t="shared" si="3"/>
        <v>500</v>
      </c>
      <c r="AC34" s="18">
        <f t="shared" si="2"/>
        <v>0</v>
      </c>
      <c r="AD34" s="21"/>
    </row>
    <row r="35" spans="1:31">
      <c r="A35" s="37">
        <v>31</v>
      </c>
      <c r="B35" s="176" t="s">
        <v>206</v>
      </c>
      <c r="C35" s="6" t="s">
        <v>207</v>
      </c>
      <c r="D35" s="6"/>
      <c r="E35" s="6" t="s">
        <v>158</v>
      </c>
      <c r="F35" s="7">
        <v>1500</v>
      </c>
      <c r="G35" s="152">
        <v>586.12</v>
      </c>
      <c r="H35" s="103"/>
      <c r="I35" s="103"/>
      <c r="J35" s="103"/>
      <c r="K35" s="103"/>
      <c r="L35" s="103"/>
      <c r="M35" s="103"/>
      <c r="N35" s="103"/>
      <c r="O35" s="103"/>
      <c r="P35" s="152">
        <v>737.52</v>
      </c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8">
        <f t="shared" si="3"/>
        <v>176.36000000000013</v>
      </c>
      <c r="AC35" s="18">
        <f t="shared" si="2"/>
        <v>1323.6399999999999</v>
      </c>
      <c r="AD35" s="21"/>
    </row>
    <row r="36" spans="1:31">
      <c r="A36" s="37">
        <v>32</v>
      </c>
      <c r="B36" s="176" t="s">
        <v>160</v>
      </c>
      <c r="C36" s="6" t="s">
        <v>161</v>
      </c>
      <c r="D36" s="6" t="s">
        <v>11</v>
      </c>
      <c r="E36" s="6" t="s">
        <v>159</v>
      </c>
      <c r="F36" s="7">
        <v>1500</v>
      </c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8">
        <f t="shared" si="3"/>
        <v>1500</v>
      </c>
      <c r="AC36" s="18">
        <f t="shared" si="2"/>
        <v>0</v>
      </c>
      <c r="AD36" s="21"/>
    </row>
    <row r="37" spans="1:31">
      <c r="A37" s="37">
        <v>33</v>
      </c>
      <c r="B37" s="176" t="s">
        <v>204</v>
      </c>
      <c r="C37" s="6" t="s">
        <v>205</v>
      </c>
      <c r="D37" s="6" t="s">
        <v>21</v>
      </c>
      <c r="E37" s="6"/>
      <c r="F37" s="7">
        <v>700</v>
      </c>
      <c r="G37" s="148">
        <v>574.47</v>
      </c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52">
        <v>800</v>
      </c>
      <c r="T37" s="103"/>
      <c r="U37" s="103"/>
      <c r="V37" s="103"/>
      <c r="W37" s="103"/>
      <c r="X37" s="103"/>
      <c r="Y37" s="103"/>
      <c r="Z37" s="103"/>
      <c r="AA37" s="103"/>
      <c r="AB37" s="18">
        <f t="shared" si="3"/>
        <v>-674.47</v>
      </c>
      <c r="AC37" s="18">
        <f t="shared" si="2"/>
        <v>1374.47</v>
      </c>
      <c r="AD37" s="21">
        <v>674.47</v>
      </c>
      <c r="AE37">
        <v>1374.47</v>
      </c>
    </row>
    <row r="38" spans="1:31" ht="28.8">
      <c r="A38" s="37">
        <v>34</v>
      </c>
      <c r="B38" s="6" t="s">
        <v>71</v>
      </c>
      <c r="C38" s="6"/>
      <c r="D38" s="6" t="s">
        <v>73</v>
      </c>
      <c r="E38" s="6" t="s">
        <v>72</v>
      </c>
      <c r="F38" s="7">
        <v>3000</v>
      </c>
      <c r="G38" s="103"/>
      <c r="H38" s="148">
        <v>1200</v>
      </c>
      <c r="I38" s="102" t="s">
        <v>377</v>
      </c>
      <c r="J38" s="103"/>
      <c r="K38" s="102" t="s">
        <v>378</v>
      </c>
      <c r="L38" s="103"/>
      <c r="M38" s="103"/>
      <c r="N38" s="148">
        <v>800</v>
      </c>
      <c r="O38" s="102" t="s">
        <v>263</v>
      </c>
      <c r="P38" s="103"/>
      <c r="Q38" s="148">
        <v>1000</v>
      </c>
      <c r="R38" s="205" t="s">
        <v>403</v>
      </c>
      <c r="S38" s="103"/>
      <c r="T38" s="103"/>
      <c r="U38" s="103"/>
      <c r="V38" s="103"/>
      <c r="W38" s="103"/>
      <c r="X38" s="103"/>
      <c r="Y38" s="103"/>
      <c r="Z38" s="103"/>
      <c r="AA38" s="103"/>
      <c r="AB38" s="18" t="e">
        <f t="shared" si="3"/>
        <v>#VALUE!</v>
      </c>
      <c r="AC38" s="18">
        <f t="shared" si="2"/>
        <v>3000</v>
      </c>
      <c r="AD38" s="21"/>
    </row>
    <row r="39" spans="1:31">
      <c r="A39" s="37"/>
      <c r="B39" s="176" t="s">
        <v>266</v>
      </c>
      <c r="C39" s="6"/>
      <c r="D39" s="6" t="s">
        <v>11</v>
      </c>
      <c r="E39" s="6" t="s">
        <v>259</v>
      </c>
      <c r="F39" s="7">
        <v>1500</v>
      </c>
      <c r="G39" s="103"/>
      <c r="H39" s="103"/>
      <c r="I39" s="103"/>
      <c r="J39" s="103"/>
      <c r="K39" s="148">
        <v>1000</v>
      </c>
      <c r="L39" s="103">
        <v>200</v>
      </c>
      <c r="M39" s="103"/>
      <c r="N39" s="103"/>
      <c r="O39" s="103"/>
      <c r="P39" s="152">
        <v>800</v>
      </c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8">
        <f t="shared" si="3"/>
        <v>-500</v>
      </c>
      <c r="AC39" s="18">
        <f t="shared" si="2"/>
        <v>2000</v>
      </c>
      <c r="AD39" s="21">
        <v>500</v>
      </c>
      <c r="AE39">
        <v>2000</v>
      </c>
    </row>
    <row r="40" spans="1:31">
      <c r="A40" s="37"/>
      <c r="B40" s="6"/>
      <c r="C40" s="6"/>
      <c r="D40" s="6" t="s">
        <v>11</v>
      </c>
      <c r="E40" s="6" t="s">
        <v>260</v>
      </c>
      <c r="F40" s="7">
        <v>1500</v>
      </c>
      <c r="G40" s="103"/>
      <c r="H40" s="103"/>
      <c r="I40" s="103"/>
      <c r="J40" s="103"/>
      <c r="K40" s="148">
        <v>1000</v>
      </c>
      <c r="L40" s="103">
        <v>200</v>
      </c>
      <c r="M40" s="103"/>
      <c r="N40" s="103"/>
      <c r="O40" s="103"/>
      <c r="P40" s="103"/>
      <c r="Q40" s="103"/>
      <c r="R40" s="103"/>
      <c r="S40" s="103"/>
      <c r="T40" s="148">
        <v>800</v>
      </c>
      <c r="U40" s="102" t="s">
        <v>382</v>
      </c>
      <c r="V40" s="103"/>
      <c r="W40" s="103"/>
      <c r="X40" s="103"/>
      <c r="Y40" s="103"/>
      <c r="Z40" s="103"/>
      <c r="AA40" s="103"/>
      <c r="AB40" s="18" t="e">
        <f>F40-(G40+H40+J40+K40+M40+N40+P40+Q40+S40+T40+V40+W40+O40+R40+#REF!+I40+L40+X40)</f>
        <v>#REF!</v>
      </c>
      <c r="AC40" s="18">
        <f t="shared" si="2"/>
        <v>2000</v>
      </c>
      <c r="AD40" s="21">
        <v>500</v>
      </c>
      <c r="AE40">
        <v>2000</v>
      </c>
    </row>
    <row r="41" spans="1:31">
      <c r="A41" s="37"/>
      <c r="B41" s="6"/>
      <c r="C41" s="6"/>
      <c r="D41" s="6" t="s">
        <v>11</v>
      </c>
      <c r="E41" s="6" t="s">
        <v>261</v>
      </c>
      <c r="F41" s="7">
        <v>1500</v>
      </c>
      <c r="G41" s="103"/>
      <c r="H41" s="103"/>
      <c r="I41" s="103"/>
      <c r="J41" s="103"/>
      <c r="K41" s="148">
        <v>1000</v>
      </c>
      <c r="L41" s="103">
        <v>200</v>
      </c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8">
        <f t="shared" si="3"/>
        <v>300</v>
      </c>
      <c r="AC41" s="18">
        <f t="shared" si="2"/>
        <v>1200</v>
      </c>
      <c r="AD41" s="21"/>
      <c r="AE41">
        <v>1200</v>
      </c>
    </row>
    <row r="42" spans="1:31">
      <c r="A42" s="318" t="s">
        <v>105</v>
      </c>
      <c r="B42" s="324"/>
      <c r="C42" s="324"/>
      <c r="D42" s="324"/>
      <c r="E42" s="324"/>
      <c r="F42" s="28">
        <f>SUM(F4:F41)</f>
        <v>55200</v>
      </c>
      <c r="G42" s="42">
        <f>SUM(G4:G41)</f>
        <v>14176.46</v>
      </c>
      <c r="H42" s="42">
        <f>SUM(H4:H41)</f>
        <v>3312</v>
      </c>
      <c r="I42" s="42">
        <f t="shared" ref="I42:X42" si="4">SUM(I4:I41)</f>
        <v>440</v>
      </c>
      <c r="J42" s="42">
        <f t="shared" si="4"/>
        <v>8000</v>
      </c>
      <c r="K42" s="42">
        <f t="shared" si="4"/>
        <v>3000</v>
      </c>
      <c r="L42" s="42">
        <f t="shared" si="4"/>
        <v>600</v>
      </c>
      <c r="M42" s="42">
        <f t="shared" si="4"/>
        <v>2413.5299999999997</v>
      </c>
      <c r="N42" s="42">
        <f t="shared" si="4"/>
        <v>5088.1100000000006</v>
      </c>
      <c r="O42" s="42">
        <f t="shared" si="4"/>
        <v>2000</v>
      </c>
      <c r="P42" s="42">
        <f t="shared" si="4"/>
        <v>8528.18</v>
      </c>
      <c r="Q42" s="42">
        <f t="shared" si="4"/>
        <v>1000</v>
      </c>
      <c r="R42" s="42">
        <f t="shared" si="4"/>
        <v>800</v>
      </c>
      <c r="S42" s="42">
        <f t="shared" si="4"/>
        <v>3300</v>
      </c>
      <c r="T42" s="42">
        <f t="shared" si="4"/>
        <v>1600</v>
      </c>
      <c r="U42" s="42">
        <f t="shared" si="4"/>
        <v>1068.47</v>
      </c>
      <c r="V42" s="42">
        <f t="shared" si="4"/>
        <v>0</v>
      </c>
      <c r="W42" s="42">
        <f t="shared" si="4"/>
        <v>2300</v>
      </c>
      <c r="X42" s="42">
        <f t="shared" si="4"/>
        <v>0</v>
      </c>
      <c r="Y42" s="42"/>
      <c r="Z42" s="42"/>
      <c r="AA42" s="42"/>
      <c r="AB42" s="42" t="e">
        <f>SUM(AB4:AB41)</f>
        <v>#VALUE!</v>
      </c>
      <c r="AC42" s="42">
        <f>SUM(AC4:AC38)</f>
        <v>52026.75</v>
      </c>
    </row>
    <row r="43" spans="1:31">
      <c r="AB43" s="21">
        <f>F42-AC42</f>
        <v>3173.25</v>
      </c>
      <c r="AC43" s="21">
        <f>G42+H42+J42+K42+M42+N42+O42+P42+Q42+R42+S42+T42+U42+V42+W42</f>
        <v>56586.75</v>
      </c>
    </row>
    <row r="45" spans="1:31" ht="24.6">
      <c r="A45" s="334" t="s">
        <v>140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35"/>
      <c r="Q45" s="335"/>
      <c r="R45" s="335"/>
      <c r="S45" s="335"/>
      <c r="T45" s="335"/>
      <c r="U45" s="335"/>
      <c r="V45" s="335"/>
      <c r="W45" s="335"/>
      <c r="X45" s="335"/>
      <c r="Y45" s="335"/>
      <c r="Z45" s="335"/>
      <c r="AA45" s="335"/>
      <c r="AB45" s="335"/>
      <c r="AC45" s="335"/>
    </row>
    <row r="46" spans="1:31" ht="28.8" customHeight="1">
      <c r="A46" s="261" t="s">
        <v>0</v>
      </c>
      <c r="B46" s="261"/>
      <c r="C46" s="261" t="s">
        <v>2</v>
      </c>
      <c r="D46" s="261" t="s">
        <v>8</v>
      </c>
      <c r="E46" s="261" t="s">
        <v>1</v>
      </c>
      <c r="F46" s="262" t="s">
        <v>3</v>
      </c>
      <c r="G46" s="317">
        <v>46209</v>
      </c>
      <c r="H46" s="317"/>
      <c r="I46" s="317"/>
      <c r="J46" s="317">
        <v>46210</v>
      </c>
      <c r="K46" s="317"/>
      <c r="L46" s="317"/>
      <c r="M46" s="317">
        <v>46211</v>
      </c>
      <c r="N46" s="317"/>
      <c r="O46" s="317"/>
      <c r="P46" s="317">
        <v>46212</v>
      </c>
      <c r="Q46" s="317"/>
      <c r="R46" s="317"/>
      <c r="S46" s="317">
        <v>46213</v>
      </c>
      <c r="T46" s="317"/>
      <c r="U46" s="317"/>
      <c r="V46" s="317">
        <v>46214</v>
      </c>
      <c r="W46" s="317"/>
      <c r="X46" s="317"/>
      <c r="Y46" s="317">
        <v>46215</v>
      </c>
      <c r="Z46" s="317"/>
      <c r="AA46" s="317"/>
      <c r="AB46" s="332" t="s">
        <v>94</v>
      </c>
      <c r="AC46" s="326" t="s">
        <v>92</v>
      </c>
    </row>
    <row r="47" spans="1:31">
      <c r="A47" s="261"/>
      <c r="B47" s="261"/>
      <c r="C47" s="261"/>
      <c r="D47" s="261"/>
      <c r="E47" s="261"/>
      <c r="F47" s="262"/>
      <c r="G47" s="17" t="s">
        <v>95</v>
      </c>
      <c r="H47" s="17" t="s">
        <v>96</v>
      </c>
      <c r="I47" s="17" t="s">
        <v>98</v>
      </c>
      <c r="J47" s="17" t="s">
        <v>95</v>
      </c>
      <c r="K47" s="17" t="s">
        <v>96</v>
      </c>
      <c r="L47" s="17" t="s">
        <v>98</v>
      </c>
      <c r="M47" s="17" t="s">
        <v>95</v>
      </c>
      <c r="N47" s="17" t="s">
        <v>96</v>
      </c>
      <c r="O47" s="17" t="s">
        <v>98</v>
      </c>
      <c r="P47" s="17" t="s">
        <v>95</v>
      </c>
      <c r="Q47" s="17" t="s">
        <v>96</v>
      </c>
      <c r="R47" s="17" t="s">
        <v>98</v>
      </c>
      <c r="S47" s="17" t="s">
        <v>95</v>
      </c>
      <c r="T47" s="17" t="s">
        <v>96</v>
      </c>
      <c r="U47" s="17" t="s">
        <v>98</v>
      </c>
      <c r="V47" s="17" t="s">
        <v>95</v>
      </c>
      <c r="W47" s="17" t="s">
        <v>96</v>
      </c>
      <c r="X47" s="17" t="s">
        <v>98</v>
      </c>
      <c r="Y47" s="17" t="s">
        <v>95</v>
      </c>
      <c r="Z47" s="17" t="s">
        <v>96</v>
      </c>
      <c r="AA47" s="17" t="s">
        <v>98</v>
      </c>
      <c r="AB47" s="333"/>
      <c r="AC47" s="327"/>
    </row>
    <row r="48" spans="1:31">
      <c r="A48" s="37">
        <v>1</v>
      </c>
      <c r="B48" s="6" t="s">
        <v>75</v>
      </c>
      <c r="C48" s="6" t="s">
        <v>77</v>
      </c>
      <c r="D48" s="6" t="s">
        <v>76</v>
      </c>
      <c r="E48" s="6" t="s">
        <v>78</v>
      </c>
      <c r="F48" s="7">
        <v>2500</v>
      </c>
      <c r="G48" s="20">
        <v>2250.33</v>
      </c>
      <c r="H48" s="20"/>
      <c r="I48" s="103"/>
      <c r="J48" s="103"/>
      <c r="K48" s="103"/>
      <c r="L48" s="103"/>
      <c r="M48" s="103"/>
      <c r="N48" s="103"/>
      <c r="O48" s="20"/>
      <c r="P48" s="20"/>
      <c r="Q48" s="20"/>
      <c r="R48" s="20"/>
      <c r="S48" s="20"/>
      <c r="T48" s="20"/>
      <c r="U48" s="20"/>
      <c r="V48" s="20"/>
      <c r="W48" s="20">
        <v>500</v>
      </c>
      <c r="X48" s="102" t="s">
        <v>383</v>
      </c>
      <c r="Y48" s="20"/>
      <c r="Z48" s="20"/>
      <c r="AA48" s="20"/>
      <c r="AB48" s="20">
        <f t="shared" ref="AB48:AB54" si="5">F48-(G48+H48+J48+K48+M48+N48+P48+Q48+R48+S48+T48+V48+W48)</f>
        <v>-250.32999999999993</v>
      </c>
      <c r="AC48" s="20">
        <f t="shared" ref="AC48:AC54" si="6">(G48+H48+J48+K48+M48+N48+P48+Q48+R48+S48+T48+V48+W48)</f>
        <v>2750.33</v>
      </c>
    </row>
    <row r="49" spans="1:35">
      <c r="A49" s="37">
        <v>2</v>
      </c>
      <c r="B49" s="6" t="s">
        <v>79</v>
      </c>
      <c r="C49" s="6" t="s">
        <v>77</v>
      </c>
      <c r="D49" s="6" t="s">
        <v>73</v>
      </c>
      <c r="E49" s="6" t="s">
        <v>74</v>
      </c>
      <c r="F49" s="7">
        <v>1500</v>
      </c>
      <c r="G49" s="20"/>
      <c r="H49" s="20"/>
      <c r="I49" s="103"/>
      <c r="J49" s="103">
        <v>1500</v>
      </c>
      <c r="K49" s="103"/>
      <c r="L49" s="103"/>
      <c r="M49" s="103"/>
      <c r="N49" s="103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30">
        <f t="shared" si="5"/>
        <v>0</v>
      </c>
      <c r="AC49" s="20">
        <f t="shared" si="6"/>
        <v>1500</v>
      </c>
      <c r="AF49" s="328" t="s">
        <v>104</v>
      </c>
      <c r="AG49" s="329"/>
      <c r="AH49" s="329"/>
      <c r="AI49" s="329"/>
    </row>
    <row r="50" spans="1:35">
      <c r="A50" s="330">
        <v>3</v>
      </c>
      <c r="B50" s="277" t="s">
        <v>80</v>
      </c>
      <c r="C50" s="277" t="s">
        <v>77</v>
      </c>
      <c r="D50" s="6" t="s">
        <v>81</v>
      </c>
      <c r="E50" s="6" t="s">
        <v>6</v>
      </c>
      <c r="F50" s="7">
        <v>2000</v>
      </c>
      <c r="G50" s="20"/>
      <c r="H50" s="20"/>
      <c r="I50" s="103"/>
      <c r="J50" s="103"/>
      <c r="K50" s="103"/>
      <c r="L50" s="103"/>
      <c r="M50" s="103"/>
      <c r="N50" s="103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>
        <f t="shared" si="5"/>
        <v>2000</v>
      </c>
      <c r="AC50" s="20">
        <f t="shared" si="6"/>
        <v>0</v>
      </c>
      <c r="AF50" s="26" t="s">
        <v>99</v>
      </c>
      <c r="AG50" s="26" t="s">
        <v>100</v>
      </c>
      <c r="AH50" s="26" t="s">
        <v>101</v>
      </c>
      <c r="AI50" s="26" t="s">
        <v>102</v>
      </c>
    </row>
    <row r="51" spans="1:35">
      <c r="A51" s="331"/>
      <c r="B51" s="277"/>
      <c r="C51" s="277"/>
      <c r="D51" s="6" t="s">
        <v>35</v>
      </c>
      <c r="E51" s="6"/>
      <c r="F51" s="7"/>
      <c r="G51" s="20"/>
      <c r="H51" s="20"/>
      <c r="I51" s="103"/>
      <c r="J51" s="103"/>
      <c r="K51" s="103"/>
      <c r="L51" s="103"/>
      <c r="M51" s="103"/>
      <c r="N51" s="103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30">
        <f t="shared" si="5"/>
        <v>0</v>
      </c>
      <c r="AC51" s="20">
        <f t="shared" si="6"/>
        <v>0</v>
      </c>
      <c r="AF51" s="25" t="s">
        <v>95</v>
      </c>
      <c r="AG51" s="13"/>
      <c r="AH51" s="13"/>
      <c r="AI51" s="24">
        <f>(G55+J55+M55+P55+S55+V55)</f>
        <v>4211.3599999999997</v>
      </c>
    </row>
    <row r="52" spans="1:35">
      <c r="A52" s="37">
        <v>4</v>
      </c>
      <c r="B52" s="6" t="s">
        <v>82</v>
      </c>
      <c r="C52" s="6" t="s">
        <v>83</v>
      </c>
      <c r="D52" s="6" t="s">
        <v>73</v>
      </c>
      <c r="E52" s="6" t="s">
        <v>84</v>
      </c>
      <c r="F52" s="7">
        <v>1500</v>
      </c>
      <c r="G52" s="20"/>
      <c r="H52" s="20"/>
      <c r="I52" s="103"/>
      <c r="J52" s="103"/>
      <c r="K52" s="103"/>
      <c r="L52" s="103"/>
      <c r="M52" s="103">
        <v>461.03</v>
      </c>
      <c r="N52" s="103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>
        <f t="shared" si="5"/>
        <v>1038.97</v>
      </c>
      <c r="AC52" s="20">
        <f t="shared" si="6"/>
        <v>461.03</v>
      </c>
      <c r="AF52" s="25" t="s">
        <v>96</v>
      </c>
      <c r="AG52" s="13"/>
      <c r="AH52" s="13"/>
      <c r="AI52" s="24">
        <f>H55+K55+N55+Q55+T55+W55</f>
        <v>500</v>
      </c>
    </row>
    <row r="53" spans="1:35">
      <c r="A53" s="37">
        <v>5</v>
      </c>
      <c r="B53" s="6" t="s">
        <v>85</v>
      </c>
      <c r="C53" s="6" t="s">
        <v>83</v>
      </c>
      <c r="D53" s="6" t="s">
        <v>73</v>
      </c>
      <c r="E53" s="6" t="s">
        <v>86</v>
      </c>
      <c r="F53" s="7">
        <v>1500</v>
      </c>
      <c r="H53" s="20"/>
      <c r="I53" s="103"/>
      <c r="J53" s="103"/>
      <c r="K53" s="103"/>
      <c r="L53" s="103"/>
      <c r="M53" s="103"/>
      <c r="N53" s="103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 t="e">
        <f>F53-(M53+H53+J53+K53+#REF!+N53+P53+Q53+R53+S53+T53+V53+W53)</f>
        <v>#REF!</v>
      </c>
      <c r="AC53" s="20" t="e">
        <f>(M53+H53+J53+K53+#REF!+N53+P53+Q53+R53+S53+T53+V53+W53)</f>
        <v>#REF!</v>
      </c>
      <c r="AF53" s="25" t="s">
        <v>98</v>
      </c>
      <c r="AG53" s="13"/>
      <c r="AH53" s="13"/>
      <c r="AI53" s="13"/>
    </row>
    <row r="54" spans="1:35">
      <c r="A54" s="37">
        <v>6</v>
      </c>
      <c r="B54" s="6" t="s">
        <v>87</v>
      </c>
      <c r="C54" s="6" t="s">
        <v>88</v>
      </c>
      <c r="D54" s="6" t="s">
        <v>81</v>
      </c>
      <c r="E54" s="6" t="s">
        <v>89</v>
      </c>
      <c r="F54" s="7">
        <v>2000</v>
      </c>
      <c r="G54" s="20"/>
      <c r="H54" s="20"/>
      <c r="I54" s="103"/>
      <c r="J54" s="103"/>
      <c r="K54" s="103"/>
      <c r="L54" s="103"/>
      <c r="M54" s="103"/>
      <c r="N54" s="103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>
        <f t="shared" si="5"/>
        <v>2000</v>
      </c>
      <c r="AC54" s="20">
        <f t="shared" si="6"/>
        <v>0</v>
      </c>
    </row>
    <row r="55" spans="1:35">
      <c r="A55" s="318" t="s">
        <v>105</v>
      </c>
      <c r="B55" s="324"/>
      <c r="C55" s="324"/>
      <c r="D55" s="324"/>
      <c r="E55" s="324"/>
      <c r="F55" s="28">
        <f>SUM(F48:F54)</f>
        <v>11000</v>
      </c>
      <c r="G55" s="29">
        <f>SUM(G48:G54)</f>
        <v>2250.33</v>
      </c>
      <c r="H55" s="29">
        <f>SUM(H48:H54)</f>
        <v>0</v>
      </c>
      <c r="I55" s="29"/>
      <c r="J55" s="29">
        <f t="shared" ref="J55:AC55" si="7">SUM(J48:J54)</f>
        <v>1500</v>
      </c>
      <c r="K55" s="29">
        <f t="shared" si="7"/>
        <v>0</v>
      </c>
      <c r="L55" s="29"/>
      <c r="M55" s="29">
        <f t="shared" si="7"/>
        <v>461.03</v>
      </c>
      <c r="N55" s="29">
        <f t="shared" si="7"/>
        <v>0</v>
      </c>
      <c r="O55" s="29"/>
      <c r="P55" s="29">
        <f t="shared" si="7"/>
        <v>0</v>
      </c>
      <c r="Q55" s="29">
        <f t="shared" si="7"/>
        <v>0</v>
      </c>
      <c r="R55" s="29">
        <f t="shared" si="7"/>
        <v>0</v>
      </c>
      <c r="S55" s="29">
        <f t="shared" si="7"/>
        <v>0</v>
      </c>
      <c r="T55" s="29">
        <f t="shared" si="7"/>
        <v>0</v>
      </c>
      <c r="U55" s="29"/>
      <c r="V55" s="29">
        <f t="shared" si="7"/>
        <v>0</v>
      </c>
      <c r="W55" s="29">
        <f t="shared" si="7"/>
        <v>500</v>
      </c>
      <c r="X55" s="29"/>
      <c r="Y55" s="29"/>
      <c r="Z55" s="29"/>
      <c r="AA55" s="29"/>
      <c r="AB55" s="43" t="e">
        <f t="shared" si="7"/>
        <v>#REF!</v>
      </c>
      <c r="AC55" s="43" t="e">
        <f t="shared" si="7"/>
        <v>#REF!</v>
      </c>
    </row>
    <row r="59" spans="1:35" ht="24.6">
      <c r="A59" s="325" t="s">
        <v>269</v>
      </c>
      <c r="B59" s="325"/>
      <c r="C59" s="325"/>
      <c r="D59" s="325"/>
      <c r="E59" s="325"/>
      <c r="F59" s="325"/>
      <c r="G59" s="325"/>
      <c r="H59" s="325"/>
      <c r="I59" s="325"/>
      <c r="J59" s="325"/>
      <c r="K59" s="325"/>
      <c r="L59" s="325"/>
      <c r="M59" s="325"/>
      <c r="N59" s="325"/>
      <c r="O59" s="325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</row>
    <row r="60" spans="1:35" ht="28.8" customHeight="1">
      <c r="A60" s="261" t="s">
        <v>0</v>
      </c>
      <c r="B60" s="261"/>
      <c r="C60" s="261" t="s">
        <v>2</v>
      </c>
      <c r="D60" s="261" t="s">
        <v>8</v>
      </c>
      <c r="E60" s="261" t="s">
        <v>1</v>
      </c>
      <c r="F60" s="262" t="s">
        <v>3</v>
      </c>
      <c r="G60" s="31">
        <v>46209</v>
      </c>
      <c r="H60" s="31">
        <v>46210</v>
      </c>
      <c r="I60" s="31">
        <v>46211</v>
      </c>
      <c r="J60" s="31">
        <v>46212</v>
      </c>
      <c r="K60" s="31">
        <v>46213</v>
      </c>
      <c r="L60" s="31">
        <v>46214</v>
      </c>
      <c r="M60" s="31">
        <v>46215</v>
      </c>
      <c r="N60" s="317" t="s">
        <v>94</v>
      </c>
      <c r="O60" s="262" t="s">
        <v>92</v>
      </c>
      <c r="R60" s="58"/>
      <c r="T60" s="58"/>
      <c r="U60" s="58"/>
      <c r="W60" s="58"/>
      <c r="X60" s="58"/>
      <c r="Y60" s="58"/>
      <c r="Z60" s="58"/>
      <c r="AA60" s="58"/>
    </row>
    <row r="61" spans="1:35">
      <c r="A61" s="261"/>
      <c r="B61" s="261"/>
      <c r="C61" s="261"/>
      <c r="D61" s="261"/>
      <c r="E61" s="261"/>
      <c r="F61" s="262"/>
      <c r="G61" s="17" t="s">
        <v>95</v>
      </c>
      <c r="H61" s="17" t="s">
        <v>95</v>
      </c>
      <c r="I61" s="17" t="s">
        <v>95</v>
      </c>
      <c r="J61" s="17" t="s">
        <v>95</v>
      </c>
      <c r="K61" s="17" t="s">
        <v>95</v>
      </c>
      <c r="L61" s="17" t="s">
        <v>95</v>
      </c>
      <c r="M61" s="17" t="s">
        <v>95</v>
      </c>
      <c r="N61" s="317"/>
      <c r="O61" s="262"/>
      <c r="R61" s="59"/>
      <c r="S61" s="59"/>
      <c r="T61" s="59"/>
      <c r="U61" s="59"/>
      <c r="V61" s="59"/>
      <c r="W61" s="59"/>
      <c r="X61" s="59"/>
      <c r="Y61" s="59"/>
      <c r="Z61" s="59"/>
      <c r="AA61" s="59"/>
    </row>
    <row r="62" spans="1:35">
      <c r="A62" s="37">
        <v>1</v>
      </c>
      <c r="B62" s="32" t="s">
        <v>112</v>
      </c>
      <c r="C62" s="315" t="s">
        <v>118</v>
      </c>
      <c r="D62" s="6"/>
      <c r="E62" s="33" t="s">
        <v>106</v>
      </c>
      <c r="F62" s="7"/>
      <c r="G62" s="13"/>
      <c r="H62" s="13"/>
      <c r="I62" s="13"/>
      <c r="J62" s="13"/>
      <c r="K62" s="13"/>
      <c r="L62" s="13"/>
      <c r="M62" s="13"/>
      <c r="N62" s="13"/>
      <c r="O62" s="20">
        <f t="shared" ref="O62:O68" si="8">SUM(G62:N62)</f>
        <v>0</v>
      </c>
      <c r="V62" s="322"/>
      <c r="W62" s="323"/>
      <c r="X62" s="323"/>
      <c r="Y62" s="323"/>
      <c r="Z62" s="323"/>
      <c r="AA62" s="323"/>
      <c r="AB62" s="323"/>
    </row>
    <row r="63" spans="1:35">
      <c r="A63" s="37">
        <v>2</v>
      </c>
      <c r="B63" s="32" t="s">
        <v>113</v>
      </c>
      <c r="C63" s="315"/>
      <c r="D63" s="6"/>
      <c r="E63" s="33" t="s">
        <v>107</v>
      </c>
      <c r="F63" s="7"/>
      <c r="G63" s="13"/>
      <c r="H63" s="13"/>
      <c r="I63" s="13"/>
      <c r="J63" s="13"/>
      <c r="K63" s="13"/>
      <c r="L63" s="13"/>
      <c r="M63" s="13"/>
      <c r="N63" s="13"/>
      <c r="O63" s="20">
        <f t="shared" si="8"/>
        <v>0</v>
      </c>
      <c r="V63" s="158"/>
      <c r="W63" s="158"/>
      <c r="X63" s="158"/>
      <c r="Y63" s="158"/>
      <c r="Z63" s="158"/>
      <c r="AA63" s="158"/>
      <c r="AB63" s="158"/>
    </row>
    <row r="64" spans="1:35">
      <c r="A64" s="37">
        <v>3</v>
      </c>
      <c r="B64" s="32" t="s">
        <v>114</v>
      </c>
      <c r="C64" s="315"/>
      <c r="D64" s="6"/>
      <c r="E64" s="33" t="s">
        <v>108</v>
      </c>
      <c r="F64" s="7"/>
      <c r="G64" s="13"/>
      <c r="H64" s="13"/>
      <c r="I64" s="13"/>
      <c r="J64" s="13"/>
      <c r="K64" s="13"/>
      <c r="L64" s="13"/>
      <c r="M64" s="13"/>
      <c r="N64" s="13"/>
      <c r="O64" s="20">
        <f t="shared" si="8"/>
        <v>0</v>
      </c>
      <c r="V64" s="1"/>
      <c r="W64" s="1"/>
      <c r="X64" s="1"/>
      <c r="Y64" s="1"/>
      <c r="Z64" s="1"/>
      <c r="AA64" s="1"/>
      <c r="AB64" s="71"/>
    </row>
    <row r="65" spans="1:28">
      <c r="A65" s="37">
        <v>4</v>
      </c>
      <c r="B65" s="32" t="s">
        <v>114</v>
      </c>
      <c r="C65" s="315"/>
      <c r="D65" s="6"/>
      <c r="E65" s="33" t="s">
        <v>108</v>
      </c>
      <c r="F65" s="7"/>
      <c r="G65" s="13"/>
      <c r="H65" s="13"/>
      <c r="I65" s="13"/>
      <c r="J65" s="13"/>
      <c r="K65" s="13"/>
      <c r="L65" s="13"/>
      <c r="M65" s="13"/>
      <c r="N65" s="13"/>
      <c r="O65" s="20">
        <f t="shared" si="8"/>
        <v>0</v>
      </c>
      <c r="V65" s="1"/>
      <c r="W65" s="1"/>
      <c r="X65" s="1"/>
      <c r="Y65" s="1"/>
      <c r="Z65" s="1"/>
      <c r="AA65" s="1"/>
      <c r="AB65" s="1"/>
    </row>
    <row r="66" spans="1:28">
      <c r="A66" s="37">
        <v>5</v>
      </c>
      <c r="B66" s="32" t="s">
        <v>115</v>
      </c>
      <c r="C66" s="315"/>
      <c r="D66" s="6"/>
      <c r="E66" s="33" t="s">
        <v>109</v>
      </c>
      <c r="F66" s="7"/>
      <c r="G66" s="13"/>
      <c r="H66" s="13"/>
      <c r="I66" s="13"/>
      <c r="J66" s="13"/>
      <c r="K66" s="13"/>
      <c r="L66" s="13"/>
      <c r="M66" s="13"/>
      <c r="N66" s="13"/>
      <c r="O66" s="20">
        <f t="shared" si="8"/>
        <v>0</v>
      </c>
      <c r="V66" s="1"/>
      <c r="W66" s="1"/>
      <c r="X66" s="1"/>
      <c r="Y66" s="1"/>
      <c r="Z66" s="1"/>
      <c r="AA66" s="1"/>
      <c r="AB66" s="1"/>
    </row>
    <row r="67" spans="1:28">
      <c r="A67" s="37">
        <v>6</v>
      </c>
      <c r="B67" s="32" t="s">
        <v>116</v>
      </c>
      <c r="C67" s="315"/>
      <c r="D67" s="6"/>
      <c r="E67" s="33" t="s">
        <v>110</v>
      </c>
      <c r="F67" s="7"/>
      <c r="G67" s="13"/>
      <c r="H67" s="20">
        <v>10530.11</v>
      </c>
      <c r="I67" s="13"/>
      <c r="J67" s="13"/>
      <c r="K67" s="13"/>
      <c r="L67" s="13"/>
      <c r="M67" s="13"/>
      <c r="N67" s="13"/>
      <c r="O67" s="20">
        <f t="shared" si="8"/>
        <v>10530.11</v>
      </c>
    </row>
    <row r="68" spans="1:28">
      <c r="A68" s="37">
        <v>7</v>
      </c>
      <c r="B68" s="32" t="s">
        <v>117</v>
      </c>
      <c r="C68" s="315"/>
      <c r="D68" s="6"/>
      <c r="E68" s="33" t="s">
        <v>111</v>
      </c>
      <c r="F68" s="7"/>
      <c r="G68" s="13"/>
      <c r="H68" s="13"/>
      <c r="I68" s="13"/>
      <c r="J68" s="13"/>
      <c r="K68" s="13"/>
      <c r="L68" s="13"/>
      <c r="M68" s="13"/>
      <c r="N68" s="13"/>
      <c r="O68" s="20">
        <f t="shared" si="8"/>
        <v>0</v>
      </c>
    </row>
    <row r="69" spans="1:28">
      <c r="A69" s="318" t="s">
        <v>105</v>
      </c>
      <c r="B69" s="324"/>
      <c r="C69" s="324"/>
      <c r="D69" s="324"/>
      <c r="E69" s="324"/>
      <c r="F69" s="36"/>
      <c r="G69" s="13">
        <f>SUM(G62:G68)</f>
        <v>0</v>
      </c>
      <c r="H69" s="20">
        <f>SUM(H62:H68)</f>
        <v>10530.11</v>
      </c>
      <c r="I69" s="13">
        <f>SUM(I62:I68)</f>
        <v>0</v>
      </c>
      <c r="J69" s="13">
        <f t="shared" ref="J69:K69" si="9">SUM(J62:J68)</f>
        <v>0</v>
      </c>
      <c r="K69" s="13">
        <f t="shared" si="9"/>
        <v>0</v>
      </c>
      <c r="L69" s="13">
        <f>SUM(L62:L68)</f>
        <v>0</v>
      </c>
      <c r="M69" s="13">
        <f>SUM(M62:M68)</f>
        <v>0</v>
      </c>
      <c r="N69" s="13">
        <f>SUM(N62:N68)</f>
        <v>0</v>
      </c>
      <c r="O69" s="20">
        <f>SUM(O62:O68)</f>
        <v>10530.11</v>
      </c>
    </row>
    <row r="72" spans="1:28" ht="24.6">
      <c r="A72" s="325" t="s">
        <v>142</v>
      </c>
      <c r="B72" s="325"/>
      <c r="C72" s="325"/>
      <c r="D72" s="325"/>
      <c r="E72" s="325"/>
      <c r="F72" s="325"/>
      <c r="G72" s="325"/>
      <c r="H72" s="325"/>
      <c r="I72" s="325"/>
      <c r="J72" s="325"/>
      <c r="K72" s="325"/>
      <c r="L72" s="325"/>
      <c r="M72" s="325"/>
      <c r="N72" s="325"/>
      <c r="O72" s="325"/>
      <c r="P72" s="325"/>
      <c r="Q72" s="325"/>
      <c r="R72" s="325"/>
      <c r="S72" s="325"/>
      <c r="T72" s="325"/>
      <c r="U72" s="325"/>
      <c r="V72" s="325"/>
    </row>
    <row r="73" spans="1:28">
      <c r="A73" s="261" t="s">
        <v>0</v>
      </c>
      <c r="B73" s="261"/>
      <c r="C73" s="261" t="s">
        <v>145</v>
      </c>
      <c r="D73" s="261" t="s">
        <v>8</v>
      </c>
      <c r="E73" s="261" t="s">
        <v>245</v>
      </c>
      <c r="F73" s="262" t="s">
        <v>3</v>
      </c>
      <c r="G73" s="317">
        <v>46209</v>
      </c>
      <c r="H73" s="317"/>
      <c r="I73" s="317">
        <v>46210</v>
      </c>
      <c r="J73" s="317"/>
      <c r="K73" s="317">
        <v>46211</v>
      </c>
      <c r="L73" s="317"/>
      <c r="M73" s="317">
        <v>46212</v>
      </c>
      <c r="N73" s="317"/>
      <c r="O73" s="317">
        <v>46213</v>
      </c>
      <c r="P73" s="317"/>
      <c r="Q73" s="317">
        <v>46214</v>
      </c>
      <c r="R73" s="317"/>
      <c r="S73" s="317">
        <v>46215</v>
      </c>
      <c r="T73" s="317"/>
      <c r="U73" s="13"/>
      <c r="V73" s="13"/>
    </row>
    <row r="74" spans="1:28">
      <c r="A74" s="261"/>
      <c r="B74" s="261"/>
      <c r="C74" s="261"/>
      <c r="D74" s="261"/>
      <c r="E74" s="261"/>
      <c r="F74" s="262"/>
      <c r="G74" s="17" t="s">
        <v>100</v>
      </c>
      <c r="H74" s="17" t="s">
        <v>144</v>
      </c>
      <c r="I74" s="17" t="s">
        <v>100</v>
      </c>
      <c r="J74" s="17" t="s">
        <v>144</v>
      </c>
      <c r="K74" s="17" t="s">
        <v>100</v>
      </c>
      <c r="L74" s="17" t="s">
        <v>144</v>
      </c>
      <c r="M74" s="17" t="s">
        <v>100</v>
      </c>
      <c r="N74" s="17" t="s">
        <v>144</v>
      </c>
      <c r="O74" s="17" t="s">
        <v>100</v>
      </c>
      <c r="P74" s="17" t="s">
        <v>144</v>
      </c>
      <c r="Q74" s="17" t="s">
        <v>100</v>
      </c>
      <c r="R74" s="17" t="s">
        <v>144</v>
      </c>
      <c r="S74" s="17" t="s">
        <v>100</v>
      </c>
      <c r="T74" s="17" t="s">
        <v>144</v>
      </c>
      <c r="U74" s="52" t="s">
        <v>198</v>
      </c>
      <c r="V74" s="61">
        <v>27</v>
      </c>
    </row>
    <row r="75" spans="1:28">
      <c r="A75" s="37">
        <v>1</v>
      </c>
      <c r="B75" s="6" t="s">
        <v>238</v>
      </c>
      <c r="C75" s="37" t="s">
        <v>196</v>
      </c>
      <c r="D75" s="6"/>
      <c r="E75" s="32">
        <v>550</v>
      </c>
      <c r="F75" s="89">
        <f>E75*6</f>
        <v>3300</v>
      </c>
      <c r="G75" s="155">
        <v>715</v>
      </c>
      <c r="H75" s="203" t="s">
        <v>278</v>
      </c>
      <c r="I75" s="156">
        <v>100</v>
      </c>
      <c r="J75" s="118" t="s">
        <v>398</v>
      </c>
      <c r="K75" s="157">
        <v>600</v>
      </c>
      <c r="L75" s="118" t="s">
        <v>282</v>
      </c>
      <c r="M75" s="89"/>
      <c r="N75" s="13"/>
      <c r="O75" s="13"/>
      <c r="P75" s="13"/>
      <c r="Q75" s="6"/>
      <c r="R75" s="13"/>
      <c r="S75" s="13"/>
      <c r="T75" s="13"/>
      <c r="U75" s="6">
        <f>S75+Q75+O75+M75+K75+I75+G75</f>
        <v>1415</v>
      </c>
      <c r="V75" s="284"/>
    </row>
    <row r="76" spans="1:28">
      <c r="A76" s="37">
        <v>2</v>
      </c>
      <c r="B76" s="6" t="s">
        <v>221</v>
      </c>
      <c r="C76" s="56"/>
      <c r="D76" s="6"/>
      <c r="E76" s="32">
        <v>450</v>
      </c>
      <c r="F76" s="89">
        <f>E76*6</f>
        <v>2700</v>
      </c>
      <c r="G76" s="23"/>
      <c r="H76" s="23"/>
      <c r="I76" s="108">
        <v>800</v>
      </c>
      <c r="J76" s="138" t="s">
        <v>397</v>
      </c>
      <c r="K76" s="6"/>
      <c r="L76" s="13"/>
      <c r="M76" s="89"/>
      <c r="N76" s="13"/>
      <c r="O76" s="13">
        <v>668.2</v>
      </c>
      <c r="P76" s="118" t="s">
        <v>288</v>
      </c>
      <c r="Q76" s="13"/>
      <c r="R76" s="13"/>
      <c r="S76" s="13"/>
      <c r="T76" s="13"/>
      <c r="U76" s="6">
        <f>S76+Q76+O76+M76+K76+I76+G76</f>
        <v>1468.2</v>
      </c>
      <c r="V76" s="284"/>
    </row>
    <row r="77" spans="1:28">
      <c r="A77" s="37">
        <v>3</v>
      </c>
      <c r="B77" s="6" t="s">
        <v>222</v>
      </c>
      <c r="C77" s="56"/>
      <c r="D77" s="6"/>
      <c r="E77" s="32"/>
      <c r="F77" s="7"/>
      <c r="G77" s="201">
        <v>700</v>
      </c>
      <c r="H77" s="137" t="s">
        <v>428</v>
      </c>
      <c r="I77" s="153">
        <v>300</v>
      </c>
      <c r="J77" s="118" t="s">
        <v>280</v>
      </c>
      <c r="K77" s="6">
        <v>700</v>
      </c>
      <c r="L77" s="138" t="s">
        <v>283</v>
      </c>
      <c r="M77" s="89">
        <v>600</v>
      </c>
      <c r="N77" s="118" t="s">
        <v>400</v>
      </c>
      <c r="O77" s="13">
        <v>1000</v>
      </c>
      <c r="P77" s="118" t="s">
        <v>289</v>
      </c>
      <c r="Q77" s="13"/>
      <c r="R77" s="13"/>
      <c r="S77" s="13"/>
      <c r="T77" s="13"/>
      <c r="U77" s="6">
        <f>S77+Q77+O77+M77+K81+I77+G77</f>
        <v>2900</v>
      </c>
      <c r="V77" s="284"/>
    </row>
    <row r="78" spans="1:28">
      <c r="A78" s="37">
        <v>4</v>
      </c>
      <c r="B78" s="6" t="s">
        <v>202</v>
      </c>
      <c r="C78" s="56"/>
      <c r="D78" s="6"/>
      <c r="E78" s="32"/>
      <c r="F78" s="7"/>
      <c r="G78" s="155">
        <v>285</v>
      </c>
      <c r="H78" s="137" t="s">
        <v>277</v>
      </c>
      <c r="I78" s="153">
        <v>800</v>
      </c>
      <c r="J78" s="118" t="s">
        <v>281</v>
      </c>
      <c r="K78" s="6"/>
      <c r="L78" s="13"/>
      <c r="M78" s="89"/>
      <c r="N78" s="13"/>
      <c r="O78" s="13"/>
      <c r="P78" s="13"/>
      <c r="Q78" s="13"/>
      <c r="R78" s="13"/>
      <c r="S78" s="13"/>
      <c r="T78" s="13"/>
      <c r="U78" s="6">
        <f>S78+Q78+O78+M78+K78+I78+G78</f>
        <v>1085</v>
      </c>
      <c r="V78" s="284"/>
    </row>
    <row r="79" spans="1:28">
      <c r="A79" s="37">
        <v>5</v>
      </c>
      <c r="B79" s="6" t="s">
        <v>197</v>
      </c>
      <c r="C79" s="56"/>
      <c r="D79" s="6"/>
      <c r="E79" s="32"/>
      <c r="F79" s="7"/>
      <c r="G79" s="155">
        <v>233</v>
      </c>
      <c r="H79" s="137" t="s">
        <v>276</v>
      </c>
      <c r="I79" s="13"/>
      <c r="J79" s="13"/>
      <c r="K79" s="13"/>
      <c r="L79" s="13"/>
      <c r="M79" s="155">
        <v>400</v>
      </c>
      <c r="N79" s="118" t="s">
        <v>287</v>
      </c>
      <c r="O79" s="13"/>
      <c r="P79" s="13"/>
      <c r="Q79" s="13"/>
      <c r="R79" s="13"/>
      <c r="S79" s="13"/>
      <c r="T79" s="13"/>
      <c r="U79" s="6">
        <f>S79+Q79+O79+M79+K79+I79+G79</f>
        <v>633</v>
      </c>
      <c r="V79" s="284"/>
    </row>
    <row r="80" spans="1:28">
      <c r="A80" s="37">
        <v>6</v>
      </c>
      <c r="B80" s="6" t="s">
        <v>203</v>
      </c>
      <c r="C80" s="56"/>
      <c r="D80" s="6"/>
      <c r="E80" s="32"/>
      <c r="F80" s="7"/>
      <c r="G80" s="23"/>
      <c r="H80" s="23"/>
      <c r="I80" s="13"/>
      <c r="J80" s="13"/>
      <c r="K80" s="13"/>
      <c r="L80" s="13"/>
      <c r="M80" s="23"/>
      <c r="N80" s="13"/>
      <c r="O80" s="13">
        <v>95</v>
      </c>
      <c r="P80" s="153" t="s">
        <v>429</v>
      </c>
      <c r="Q80" s="13"/>
      <c r="R80" s="13"/>
      <c r="S80" s="13"/>
      <c r="T80" s="13"/>
      <c r="U80" s="6">
        <f>S80+Q80+O80+M80+K80+I80+G80</f>
        <v>95</v>
      </c>
      <c r="V80" s="284"/>
    </row>
    <row r="81" spans="1:23">
      <c r="A81" s="37">
        <v>7</v>
      </c>
      <c r="B81" s="50" t="s">
        <v>223</v>
      </c>
      <c r="C81" s="56"/>
      <c r="D81" s="6"/>
      <c r="E81" s="32"/>
      <c r="F81" s="7"/>
      <c r="G81" s="146">
        <v>600</v>
      </c>
      <c r="H81" s="137" t="s">
        <v>279</v>
      </c>
      <c r="I81" s="227">
        <v>600</v>
      </c>
      <c r="J81" s="226" t="s">
        <v>285</v>
      </c>
      <c r="K81" s="6">
        <v>300</v>
      </c>
      <c r="L81" s="118" t="s">
        <v>284</v>
      </c>
      <c r="M81" s="89"/>
      <c r="N81" s="13"/>
      <c r="O81" s="13"/>
      <c r="P81" s="13"/>
      <c r="Q81" s="13">
        <v>500</v>
      </c>
      <c r="R81" s="118" t="s">
        <v>291</v>
      </c>
      <c r="S81" s="13">
        <v>300</v>
      </c>
      <c r="T81" s="118" t="s">
        <v>292</v>
      </c>
      <c r="U81" s="6">
        <f>S81+Q81+O81+M81+K77+I81+G81</f>
        <v>2700</v>
      </c>
      <c r="V81" s="284"/>
    </row>
    <row r="82" spans="1:23">
      <c r="A82" s="37"/>
      <c r="B82" s="32" t="s">
        <v>272</v>
      </c>
      <c r="C82" s="56"/>
      <c r="D82" s="6"/>
      <c r="E82" s="32"/>
      <c r="F82" s="7"/>
      <c r="G82" s="13"/>
      <c r="H82" s="13"/>
      <c r="K82" s="1">
        <v>860</v>
      </c>
      <c r="L82" s="138" t="s">
        <v>399</v>
      </c>
      <c r="M82" s="22"/>
      <c r="N82" s="13"/>
      <c r="O82" s="13">
        <v>820</v>
      </c>
      <c r="P82" s="118" t="s">
        <v>290</v>
      </c>
      <c r="Q82" s="13"/>
      <c r="R82" s="13"/>
      <c r="S82" s="13"/>
      <c r="T82" s="13"/>
      <c r="U82" s="6">
        <f t="shared" ref="U82:U84" si="10">S82+Q82+O82+M82+K82+I82+G82</f>
        <v>1680</v>
      </c>
      <c r="V82" s="284"/>
    </row>
    <row r="83" spans="1:23">
      <c r="A83" s="37"/>
      <c r="B83" s="32" t="s">
        <v>273</v>
      </c>
      <c r="C83" s="56"/>
      <c r="D83" s="6"/>
      <c r="E83" s="32"/>
      <c r="F83" s="7"/>
      <c r="G83" s="13"/>
      <c r="H83" s="13"/>
      <c r="I83" s="13"/>
      <c r="J83" s="13"/>
      <c r="K83" s="13"/>
      <c r="L83" s="13"/>
      <c r="M83" s="23">
        <v>100</v>
      </c>
      <c r="N83" s="118" t="s">
        <v>286</v>
      </c>
      <c r="O83" s="13"/>
      <c r="P83" s="13"/>
      <c r="Q83" s="13"/>
      <c r="R83" s="13"/>
      <c r="S83" s="13"/>
      <c r="T83" s="13"/>
      <c r="U83" s="6">
        <f t="shared" si="10"/>
        <v>100</v>
      </c>
      <c r="V83" s="284"/>
    </row>
    <row r="84" spans="1:23">
      <c r="A84" s="37"/>
      <c r="B84" s="32" t="s">
        <v>274</v>
      </c>
      <c r="C84" s="56"/>
      <c r="D84" s="6"/>
      <c r="E84" s="32"/>
      <c r="F84" s="7"/>
      <c r="G84" s="13"/>
      <c r="H84" s="13"/>
      <c r="I84" s="13"/>
      <c r="J84" s="13"/>
      <c r="K84" s="13"/>
      <c r="L84" s="13"/>
      <c r="M84" s="13"/>
      <c r="N84" s="13"/>
      <c r="O84" s="13">
        <v>200</v>
      </c>
      <c r="P84" s="118" t="s">
        <v>401</v>
      </c>
      <c r="Q84" s="13"/>
      <c r="R84" s="13"/>
      <c r="S84" s="13"/>
      <c r="T84" s="13"/>
      <c r="U84" s="6">
        <f t="shared" si="10"/>
        <v>200</v>
      </c>
      <c r="V84" s="284"/>
    </row>
    <row r="85" spans="1:23">
      <c r="A85" s="318" t="s">
        <v>105</v>
      </c>
      <c r="B85" s="318"/>
      <c r="C85" s="318"/>
      <c r="D85" s="318"/>
      <c r="E85" s="318"/>
      <c r="F85" s="318"/>
      <c r="G85" s="27">
        <f>SUM(G75:G84)</f>
        <v>2533</v>
      </c>
      <c r="H85" s="27"/>
      <c r="I85" s="27">
        <f>SUM(I75:I84)</f>
        <v>2600</v>
      </c>
      <c r="J85" s="27"/>
      <c r="K85" s="27">
        <f>SUM(K75:K84)</f>
        <v>2460</v>
      </c>
      <c r="L85" s="27"/>
      <c r="M85" s="27">
        <f>SUM(M75:M84)</f>
        <v>1100</v>
      </c>
      <c r="N85" s="27"/>
      <c r="O85" s="27">
        <f>SUM(O75:O84)</f>
        <v>2783.2</v>
      </c>
      <c r="P85" s="27"/>
      <c r="Q85" s="27">
        <f>SUM(Q75:Q84)</f>
        <v>500</v>
      </c>
      <c r="R85" s="27"/>
      <c r="S85" s="27">
        <f>SUM(S75:S84)</f>
        <v>300</v>
      </c>
      <c r="T85" s="27"/>
      <c r="U85" s="14">
        <f>SUM(U75:U84)</f>
        <v>12276.2</v>
      </c>
      <c r="V85" s="90">
        <f>U85*V74</f>
        <v>331457.40000000002</v>
      </c>
    </row>
    <row r="86" spans="1:23">
      <c r="A86" s="318"/>
      <c r="B86" s="318"/>
      <c r="C86" s="318"/>
      <c r="D86" s="318"/>
      <c r="E86" s="318"/>
      <c r="F86" s="318"/>
      <c r="G86" s="29">
        <f>G85*27</f>
        <v>68391</v>
      </c>
      <c r="H86" s="152">
        <v>68391.399999999994</v>
      </c>
      <c r="I86" s="29">
        <f>I85*27</f>
        <v>70200</v>
      </c>
      <c r="J86" s="152">
        <v>70200.52</v>
      </c>
      <c r="K86" s="29">
        <f>K85*27</f>
        <v>66420</v>
      </c>
      <c r="L86" s="152">
        <v>66406.509999999995</v>
      </c>
      <c r="M86" s="29">
        <f>M85*27</f>
        <v>29700</v>
      </c>
      <c r="N86" s="152">
        <v>29701.98</v>
      </c>
      <c r="O86" s="29">
        <f>O85*27</f>
        <v>75146.399999999994</v>
      </c>
      <c r="P86" s="152">
        <v>75148.429999999993</v>
      </c>
      <c r="Q86" s="29">
        <f>Q85*27</f>
        <v>13500</v>
      </c>
      <c r="R86" s="152">
        <v>13500.06</v>
      </c>
      <c r="S86" s="29">
        <f>S85*27</f>
        <v>8100</v>
      </c>
      <c r="T86" s="153">
        <v>8100.05</v>
      </c>
      <c r="U86" s="24">
        <f>S86+Q86+O86+M86+K86+I86+G86</f>
        <v>331457.40000000002</v>
      </c>
      <c r="V86" s="13"/>
    </row>
    <row r="87" spans="1:23">
      <c r="A87" s="95"/>
      <c r="B87" s="95"/>
      <c r="C87" s="95"/>
      <c r="D87" s="95"/>
      <c r="E87" s="95"/>
      <c r="F87" s="96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90"/>
      <c r="T87" s="13" t="s">
        <v>402</v>
      </c>
      <c r="U87" s="204">
        <f>T86+R86+P86+N86+L86+J86+H86</f>
        <v>331448.94999999995</v>
      </c>
      <c r="V87" s="13"/>
    </row>
    <row r="88" spans="1:23">
      <c r="F88" s="94"/>
      <c r="S88" s="97"/>
    </row>
    <row r="89" spans="1:23">
      <c r="F89" s="94"/>
      <c r="H89">
        <f>G85+I85+K85+M85+O85+Q85+S85</f>
        <v>12276.2</v>
      </c>
      <c r="S89" s="97"/>
    </row>
    <row r="90" spans="1:23" ht="15.6">
      <c r="B90" s="290" t="s">
        <v>271</v>
      </c>
      <c r="C90" s="290"/>
      <c r="D90" s="290"/>
      <c r="E90" s="290"/>
      <c r="F90" s="290"/>
    </row>
    <row r="91" spans="1:23" ht="15.6">
      <c r="B91" s="72" t="s">
        <v>190</v>
      </c>
      <c r="C91" s="290"/>
      <c r="D91" s="290"/>
      <c r="E91" s="290"/>
      <c r="F91" s="290"/>
    </row>
    <row r="92" spans="1:23" ht="43.2" customHeight="1">
      <c r="B92" s="291" t="s">
        <v>267</v>
      </c>
      <c r="C92" s="293">
        <f>G42+J42+M42+P42+S42+V42+G55+J55+M55+P55+S55+V55+Y55</f>
        <v>40629.53</v>
      </c>
      <c r="D92" s="108"/>
      <c r="E92" s="108"/>
      <c r="F92" s="7"/>
      <c r="G92" s="2"/>
      <c r="U92">
        <f>11975.79+600</f>
        <v>12575.79</v>
      </c>
    </row>
    <row r="93" spans="1:23" ht="43.2" customHeight="1">
      <c r="B93" s="292"/>
      <c r="C93" s="294"/>
      <c r="D93" s="108"/>
      <c r="E93" s="108"/>
      <c r="F93" s="7"/>
      <c r="G93" s="2"/>
      <c r="I93" s="295" t="s">
        <v>437</v>
      </c>
      <c r="J93" s="296"/>
      <c r="L93" s="174" t="s">
        <v>387</v>
      </c>
      <c r="M93" s="174" t="s">
        <v>388</v>
      </c>
      <c r="Q93" s="1"/>
      <c r="R93" s="1"/>
    </row>
    <row r="94" spans="1:23" ht="15">
      <c r="B94" s="112" t="s">
        <v>214</v>
      </c>
      <c r="C94" s="113">
        <f>G69+H69+I69+J69+K69+L69+M69</f>
        <v>10530.11</v>
      </c>
      <c r="D94" s="114"/>
      <c r="E94" s="115">
        <f>C94</f>
        <v>10530.11</v>
      </c>
      <c r="F94" s="7" t="s">
        <v>218</v>
      </c>
      <c r="I94" s="231" t="s">
        <v>95</v>
      </c>
      <c r="J94" s="232">
        <f>F96</f>
        <v>43224.92</v>
      </c>
      <c r="L94" s="191">
        <v>13197.87</v>
      </c>
      <c r="M94" s="192" t="e">
        <f>#REF!-L94</f>
        <v>#REF!</v>
      </c>
      <c r="Q94" s="297" t="s">
        <v>293</v>
      </c>
      <c r="R94" s="297"/>
      <c r="S94" s="297"/>
    </row>
    <row r="95" spans="1:23" ht="28.8">
      <c r="B95" s="69" t="s">
        <v>268</v>
      </c>
      <c r="C95" s="70">
        <v>2595.39</v>
      </c>
      <c r="D95" s="50" t="s">
        <v>270</v>
      </c>
      <c r="E95" s="111"/>
      <c r="F95" s="116"/>
      <c r="I95" s="231" t="s">
        <v>233</v>
      </c>
      <c r="J95" s="232">
        <f>C105</f>
        <v>336052.61999999988</v>
      </c>
      <c r="Q95" s="108" t="s">
        <v>234</v>
      </c>
      <c r="R95" s="135">
        <f>C93+E95+C101</f>
        <v>16800.11</v>
      </c>
      <c r="S95" s="110"/>
      <c r="W95" s="1"/>
    </row>
    <row r="96" spans="1:23" ht="15" customHeight="1">
      <c r="B96" s="298" t="s">
        <v>180</v>
      </c>
      <c r="C96" s="299"/>
      <c r="D96" s="299"/>
      <c r="E96" s="300"/>
      <c r="F96" s="304">
        <f>C95+C92</f>
        <v>43224.92</v>
      </c>
      <c r="I96" s="393" t="s">
        <v>138</v>
      </c>
      <c r="J96" s="307">
        <f>SUM(J94:J95)</f>
        <v>379277.53999999986</v>
      </c>
      <c r="Q96" s="108" t="s">
        <v>235</v>
      </c>
      <c r="R96" s="136" t="e">
        <f>#REF!</f>
        <v>#REF!</v>
      </c>
      <c r="S96" s="108"/>
      <c r="W96" s="1"/>
    </row>
    <row r="97" spans="2:33" ht="15.6" customHeight="1">
      <c r="B97" s="301"/>
      <c r="C97" s="302"/>
      <c r="D97" s="302"/>
      <c r="E97" s="303"/>
      <c r="F97" s="305"/>
      <c r="I97" s="393"/>
      <c r="J97" s="307"/>
      <c r="Q97" s="91" t="s">
        <v>236</v>
      </c>
      <c r="R97" s="103" t="e">
        <f>R95+R96</f>
        <v>#REF!</v>
      </c>
      <c r="S97" s="13"/>
      <c r="W97" s="1"/>
    </row>
    <row r="98" spans="2:33">
      <c r="Q98" s="1"/>
      <c r="R98" s="1"/>
      <c r="W98" s="1"/>
    </row>
    <row r="99" spans="2:33" ht="15.6">
      <c r="B99" s="281" t="s">
        <v>434</v>
      </c>
      <c r="C99" s="281"/>
      <c r="D99" s="281"/>
      <c r="E99" s="281"/>
      <c r="F99" s="281"/>
      <c r="G99" s="281"/>
      <c r="O99" s="97"/>
      <c r="Q99" s="1"/>
      <c r="R99" s="1"/>
      <c r="W99" s="1"/>
    </row>
    <row r="100" spans="2:33" ht="15.6">
      <c r="B100" s="86" t="s">
        <v>188</v>
      </c>
      <c r="C100" s="86" t="s">
        <v>189</v>
      </c>
      <c r="D100" s="404" t="s">
        <v>333</v>
      </c>
      <c r="E100" s="405"/>
      <c r="F100" s="405"/>
      <c r="G100" s="406"/>
      <c r="O100" s="97"/>
      <c r="Q100" s="1"/>
      <c r="R100" s="1"/>
      <c r="W100" s="1"/>
    </row>
    <row r="101" spans="2:33" ht="57.6" customHeight="1">
      <c r="B101" s="70" t="s">
        <v>394</v>
      </c>
      <c r="C101" s="70">
        <f>H42+K42+N42+Q42+T42+W42+H55+K55+N55+Q55+T55+W55+Z55</f>
        <v>16800.11</v>
      </c>
      <c r="D101" s="402" t="s">
        <v>432</v>
      </c>
      <c r="E101" s="402"/>
      <c r="F101" s="402"/>
      <c r="G101" s="6" t="s">
        <v>433</v>
      </c>
      <c r="O101" s="97"/>
    </row>
    <row r="102" spans="2:33" ht="57.6" customHeight="1">
      <c r="B102" s="70" t="s">
        <v>395</v>
      </c>
      <c r="C102" s="239">
        <f>U87</f>
        <v>331448.94999999995</v>
      </c>
      <c r="D102" s="257" t="s">
        <v>430</v>
      </c>
      <c r="E102" s="257"/>
      <c r="F102" s="257"/>
      <c r="G102" s="6" t="s">
        <v>431</v>
      </c>
      <c r="W102" s="147"/>
    </row>
    <row r="103" spans="2:33" ht="15.6">
      <c r="B103" s="74" t="s">
        <v>102</v>
      </c>
      <c r="C103" s="74">
        <f>C101+C102</f>
        <v>348249.05999999994</v>
      </c>
      <c r="D103" s="284"/>
      <c r="E103" s="284"/>
      <c r="F103" s="284"/>
      <c r="G103" s="13"/>
      <c r="Q103" s="282"/>
    </row>
    <row r="104" spans="2:33" ht="15">
      <c r="B104" s="228" t="s">
        <v>391</v>
      </c>
      <c r="C104" s="229">
        <f>'SEMANA 27'!H100</f>
        <v>12196.440000000061</v>
      </c>
      <c r="D104" s="362"/>
      <c r="E104" s="407"/>
      <c r="F104" s="394"/>
      <c r="G104" s="13"/>
      <c r="Q104" s="283"/>
    </row>
    <row r="105" spans="2:33" ht="15.6">
      <c r="B105" s="230" t="s">
        <v>180</v>
      </c>
      <c r="C105" s="408">
        <f>C103-C104</f>
        <v>336052.61999999988</v>
      </c>
      <c r="D105" s="409"/>
      <c r="E105" s="409"/>
      <c r="F105" s="409"/>
      <c r="G105" s="410"/>
      <c r="I105" s="97"/>
    </row>
    <row r="107" spans="2:33">
      <c r="AB107" s="1"/>
    </row>
    <row r="108" spans="2:33">
      <c r="B108" s="198"/>
      <c r="C108" s="198"/>
      <c r="D108" s="198"/>
      <c r="E108" s="198"/>
      <c r="F108" s="198"/>
      <c r="G108" s="198"/>
      <c r="H108" s="198"/>
      <c r="L108" s="395" t="s">
        <v>237</v>
      </c>
      <c r="M108" s="297"/>
      <c r="N108" s="297"/>
      <c r="O108" s="297"/>
      <c r="P108" s="297"/>
      <c r="Q108" s="297"/>
      <c r="R108" s="297"/>
      <c r="S108" s="297"/>
      <c r="T108" s="297"/>
      <c r="V108" s="378" t="s">
        <v>237</v>
      </c>
      <c r="W108" s="379"/>
      <c r="X108" s="379"/>
      <c r="Y108" s="379"/>
      <c r="Z108" s="379"/>
      <c r="AA108" s="379"/>
      <c r="AB108" s="379"/>
      <c r="AC108" s="379"/>
      <c r="AD108" s="379"/>
      <c r="AE108" s="379"/>
      <c r="AF108" s="379"/>
      <c r="AG108" s="380"/>
    </row>
    <row r="109" spans="2:33">
      <c r="C109" s="396"/>
      <c r="D109" s="396"/>
      <c r="E109" s="396"/>
      <c r="F109" s="397"/>
      <c r="G109" s="396"/>
      <c r="H109" s="396"/>
      <c r="I109" s="283"/>
      <c r="J109" s="283"/>
      <c r="L109" s="394"/>
      <c r="M109" s="315" t="s">
        <v>225</v>
      </c>
      <c r="N109" s="315" t="s">
        <v>226</v>
      </c>
      <c r="O109" s="315" t="s">
        <v>227</v>
      </c>
      <c r="P109" s="375" t="s">
        <v>228</v>
      </c>
      <c r="Q109" s="315" t="s">
        <v>229</v>
      </c>
      <c r="R109" s="315" t="s">
        <v>230</v>
      </c>
      <c r="S109" s="297" t="s">
        <v>105</v>
      </c>
      <c r="T109" s="297"/>
      <c r="V109" s="381"/>
      <c r="W109" s="330" t="s">
        <v>225</v>
      </c>
      <c r="X109" s="330" t="s">
        <v>226</v>
      </c>
      <c r="Y109" s="38"/>
      <c r="Z109" s="38"/>
      <c r="AA109" s="38"/>
      <c r="AB109" s="330" t="s">
        <v>227</v>
      </c>
      <c r="AC109" s="304" t="s">
        <v>228</v>
      </c>
      <c r="AD109" s="330" t="s">
        <v>229</v>
      </c>
      <c r="AE109" s="330" t="s">
        <v>230</v>
      </c>
      <c r="AF109" s="383" t="s">
        <v>105</v>
      </c>
      <c r="AG109" s="384"/>
    </row>
    <row r="110" spans="2:33">
      <c r="C110" s="396"/>
      <c r="D110" s="396"/>
      <c r="E110" s="396"/>
      <c r="F110" s="397"/>
      <c r="G110" s="396"/>
      <c r="H110" s="396"/>
      <c r="I110" s="283"/>
      <c r="J110" s="283"/>
      <c r="L110" s="394"/>
      <c r="M110" s="315"/>
      <c r="N110" s="315"/>
      <c r="O110" s="315"/>
      <c r="P110" s="375"/>
      <c r="Q110" s="315"/>
      <c r="R110" s="315"/>
      <c r="S110" s="297"/>
      <c r="T110" s="297"/>
      <c r="V110" s="382"/>
      <c r="W110" s="331"/>
      <c r="X110" s="331"/>
      <c r="Y110" s="39"/>
      <c r="Z110" s="39"/>
      <c r="AA110" s="39"/>
      <c r="AB110" s="331"/>
      <c r="AC110" s="305"/>
      <c r="AD110" s="331"/>
      <c r="AE110" s="331"/>
      <c r="AF110" s="383"/>
      <c r="AG110" s="384"/>
    </row>
    <row r="111" spans="2:33">
      <c r="F111" s="197"/>
      <c r="G111" s="1"/>
      <c r="H111" s="1"/>
      <c r="J111" s="283"/>
      <c r="L111" s="193" t="s">
        <v>238</v>
      </c>
      <c r="M111" s="6"/>
      <c r="N111" s="6"/>
      <c r="O111" s="6"/>
      <c r="P111" s="89"/>
      <c r="Q111" s="6"/>
      <c r="R111" s="6"/>
      <c r="S111" s="6">
        <f t="shared" ref="S111:S118" si="11">SUM(M111:R111)</f>
        <v>0</v>
      </c>
      <c r="T111" s="277"/>
      <c r="V111" s="6" t="s">
        <v>238</v>
      </c>
      <c r="W111" s="48"/>
      <c r="X111" s="48"/>
      <c r="Y111" s="48"/>
      <c r="Z111" s="48"/>
      <c r="AA111" s="48"/>
      <c r="AB111" s="48"/>
      <c r="AC111" s="48"/>
      <c r="AD111" s="20"/>
      <c r="AE111" s="7"/>
      <c r="AF111" s="121">
        <f t="shared" ref="AF111:AF118" si="12">SUM(W111:AE111)</f>
        <v>0</v>
      </c>
      <c r="AG111" s="376"/>
    </row>
    <row r="112" spans="2:33">
      <c r="B112" s="399" t="s">
        <v>390</v>
      </c>
      <c r="C112" s="400"/>
      <c r="D112" s="400"/>
      <c r="E112" s="198"/>
      <c r="F112" s="198"/>
      <c r="G112" s="1"/>
      <c r="H112" s="1"/>
      <c r="J112" s="283"/>
      <c r="L112" s="193" t="s">
        <v>221</v>
      </c>
      <c r="M112" s="6"/>
      <c r="N112" s="6"/>
      <c r="O112" s="6"/>
      <c r="P112" s="89"/>
      <c r="Q112" s="6"/>
      <c r="R112" s="6"/>
      <c r="S112" s="6">
        <f t="shared" si="11"/>
        <v>0</v>
      </c>
      <c r="T112" s="277"/>
      <c r="V112" s="6" t="s">
        <v>221</v>
      </c>
      <c r="W112" s="48"/>
      <c r="X112" s="48"/>
      <c r="Y112" s="48"/>
      <c r="Z112" s="48"/>
      <c r="AA112" s="48"/>
      <c r="AB112" s="48"/>
      <c r="AC112" s="48"/>
      <c r="AD112" s="20"/>
      <c r="AE112" s="20"/>
      <c r="AF112" s="121">
        <f t="shared" si="12"/>
        <v>0</v>
      </c>
      <c r="AG112" s="376"/>
    </row>
    <row r="113" spans="2:33">
      <c r="B113" s="200" t="s">
        <v>102</v>
      </c>
      <c r="C113" s="200" t="s">
        <v>391</v>
      </c>
      <c r="D113" s="200" t="s">
        <v>388</v>
      </c>
      <c r="F113" s="197"/>
      <c r="G113" s="1"/>
      <c r="H113" s="1"/>
      <c r="J113" s="283"/>
      <c r="L113" s="193" t="s">
        <v>222</v>
      </c>
      <c r="M113" s="6"/>
      <c r="N113" s="6"/>
      <c r="O113" s="6"/>
      <c r="P113" s="89"/>
      <c r="Q113" s="6"/>
      <c r="R113" s="6"/>
      <c r="S113" s="6">
        <f t="shared" si="11"/>
        <v>0</v>
      </c>
      <c r="T113" s="277"/>
      <c r="V113" s="6" t="s">
        <v>222</v>
      </c>
      <c r="W113" s="48"/>
      <c r="X113" s="48"/>
      <c r="Y113" s="48"/>
      <c r="Z113" s="48"/>
      <c r="AA113" s="48"/>
      <c r="AB113" s="48"/>
      <c r="AC113" s="48"/>
      <c r="AD113" s="20"/>
      <c r="AE113" s="20"/>
      <c r="AF113" s="121">
        <f t="shared" si="12"/>
        <v>0</v>
      </c>
      <c r="AG113" s="376"/>
    </row>
    <row r="114" spans="2:33">
      <c r="B114" s="6">
        <v>16800.11</v>
      </c>
      <c r="C114" s="6">
        <v>13197.87</v>
      </c>
      <c r="D114" s="6">
        <v>3602.24</v>
      </c>
      <c r="F114" s="197"/>
      <c r="G114" s="1"/>
      <c r="H114" s="1"/>
      <c r="J114" s="283"/>
      <c r="L114" s="193" t="s">
        <v>202</v>
      </c>
      <c r="M114" s="6"/>
      <c r="N114" s="6"/>
      <c r="O114" s="6"/>
      <c r="P114" s="89"/>
      <c r="Q114" s="6"/>
      <c r="R114" s="6"/>
      <c r="S114" s="6">
        <f t="shared" si="11"/>
        <v>0</v>
      </c>
      <c r="T114" s="277"/>
      <c r="V114" s="6" t="s">
        <v>202</v>
      </c>
      <c r="W114" s="48"/>
      <c r="X114" s="48"/>
      <c r="Y114" s="48"/>
      <c r="Z114" s="48"/>
      <c r="AA114" s="48"/>
      <c r="AB114" s="48"/>
      <c r="AC114" s="48"/>
      <c r="AD114" s="20"/>
      <c r="AE114" s="20"/>
      <c r="AF114" s="121">
        <f t="shared" si="12"/>
        <v>0</v>
      </c>
      <c r="AG114" s="376"/>
    </row>
    <row r="115" spans="2:33">
      <c r="B115" s="6"/>
      <c r="C115" s="6"/>
      <c r="D115" s="6"/>
      <c r="F115" s="197"/>
      <c r="G115" s="1"/>
      <c r="H115" s="1"/>
      <c r="J115" s="283"/>
      <c r="L115" s="193" t="s">
        <v>197</v>
      </c>
      <c r="M115" s="6"/>
      <c r="N115" s="6"/>
      <c r="O115" s="6"/>
      <c r="P115" s="89"/>
      <c r="Q115" s="6"/>
      <c r="R115" s="6"/>
      <c r="S115" s="6">
        <f t="shared" si="11"/>
        <v>0</v>
      </c>
      <c r="T115" s="277"/>
      <c r="V115" s="6" t="s">
        <v>197</v>
      </c>
      <c r="W115" s="48"/>
      <c r="X115" s="48"/>
      <c r="Y115" s="48"/>
      <c r="Z115" s="48"/>
      <c r="AA115" s="48"/>
      <c r="AB115" s="48"/>
      <c r="AC115" s="48"/>
      <c r="AD115" s="20"/>
      <c r="AE115" s="20"/>
      <c r="AF115" s="122">
        <f t="shared" si="12"/>
        <v>0</v>
      </c>
      <c r="AG115" s="377"/>
    </row>
    <row r="116" spans="2:33">
      <c r="B116" s="200" t="s">
        <v>333</v>
      </c>
      <c r="C116" s="200" t="s">
        <v>189</v>
      </c>
      <c r="D116" s="6"/>
      <c r="F116" s="197"/>
      <c r="G116" s="1"/>
      <c r="H116" s="1"/>
      <c r="J116" s="60"/>
      <c r="L116" s="193" t="s">
        <v>203</v>
      </c>
      <c r="M116" s="6"/>
      <c r="N116" s="6"/>
      <c r="O116" s="6"/>
      <c r="P116" s="89"/>
      <c r="Q116" s="6"/>
      <c r="R116" s="6"/>
      <c r="S116" s="6">
        <f t="shared" si="11"/>
        <v>0</v>
      </c>
      <c r="T116" s="142">
        <v>27</v>
      </c>
      <c r="V116" s="6" t="s">
        <v>203</v>
      </c>
      <c r="W116" s="48"/>
      <c r="X116" s="48"/>
      <c r="Y116" s="48"/>
      <c r="Z116" s="48"/>
      <c r="AA116" s="48"/>
      <c r="AB116" s="48"/>
      <c r="AC116" s="48"/>
      <c r="AD116" s="20"/>
      <c r="AE116" s="20"/>
      <c r="AF116" s="6">
        <f t="shared" si="12"/>
        <v>0</v>
      </c>
      <c r="AG116" s="61">
        <v>27</v>
      </c>
    </row>
    <row r="117" spans="2:33" ht="45">
      <c r="B117" s="70" t="s">
        <v>389</v>
      </c>
      <c r="C117" s="144">
        <v>13000.11</v>
      </c>
      <c r="D117" s="6"/>
      <c r="F117" s="197"/>
      <c r="G117" s="1"/>
      <c r="H117" s="1"/>
      <c r="I117" s="198"/>
      <c r="J117" s="60"/>
      <c r="L117" s="194"/>
      <c r="M117" s="124">
        <f t="shared" ref="M117:R117" si="13">SUM(M111:M116)</f>
        <v>0</v>
      </c>
      <c r="N117" s="124">
        <f t="shared" si="13"/>
        <v>0</v>
      </c>
      <c r="O117" s="124">
        <f t="shared" si="13"/>
        <v>0</v>
      </c>
      <c r="P117" s="124">
        <f t="shared" si="13"/>
        <v>0</v>
      </c>
      <c r="Q117" s="124">
        <f t="shared" si="13"/>
        <v>0</v>
      </c>
      <c r="R117" s="124">
        <f t="shared" si="13"/>
        <v>0</v>
      </c>
      <c r="S117" s="143">
        <f t="shared" si="11"/>
        <v>0</v>
      </c>
      <c r="T117" s="144">
        <f>S117*T116</f>
        <v>0</v>
      </c>
      <c r="V117" s="125"/>
      <c r="W117" s="125">
        <f>SUM(W111:W116)</f>
        <v>0</v>
      </c>
      <c r="X117" s="125">
        <f>SUM(X111:X116)</f>
        <v>0</v>
      </c>
      <c r="Y117" s="125"/>
      <c r="Z117" s="125"/>
      <c r="AA117" s="125"/>
      <c r="AB117" s="125">
        <f>SUM(AB111:AB116)</f>
        <v>0</v>
      </c>
      <c r="AC117" s="125">
        <f>SUM(AC111:AC116)</f>
        <v>0</v>
      </c>
      <c r="AD117" s="125">
        <f>SUM(AD111:AD116)</f>
        <v>0</v>
      </c>
      <c r="AE117" s="125">
        <f>SUM(AE111:AE116)</f>
        <v>0</v>
      </c>
      <c r="AF117" s="123">
        <f t="shared" si="12"/>
        <v>0</v>
      </c>
      <c r="AG117" s="117">
        <f>AF117*AG116</f>
        <v>0</v>
      </c>
    </row>
    <row r="118" spans="2:33">
      <c r="B118" s="6"/>
      <c r="C118" s="142">
        <v>3800</v>
      </c>
      <c r="D118" s="6"/>
      <c r="F118" s="173"/>
      <c r="L118" s="195" t="s">
        <v>223</v>
      </c>
      <c r="M118" s="6"/>
      <c r="N118" s="6"/>
      <c r="O118" s="6"/>
      <c r="P118" s="89"/>
      <c r="Q118" s="6"/>
      <c r="R118" s="6"/>
      <c r="S118" s="6">
        <f t="shared" si="11"/>
        <v>0</v>
      </c>
      <c r="T118" s="6"/>
      <c r="V118" s="50" t="s">
        <v>223</v>
      </c>
      <c r="W118" s="48"/>
      <c r="X118" s="48"/>
      <c r="Y118" s="48"/>
      <c r="Z118" s="48"/>
      <c r="AA118" s="48"/>
      <c r="AB118" s="48"/>
      <c r="AC118" s="48"/>
      <c r="AD118" s="20"/>
      <c r="AE118" s="20"/>
      <c r="AF118" s="13">
        <f t="shared" si="12"/>
        <v>0</v>
      </c>
      <c r="AG118" s="13"/>
    </row>
    <row r="119" spans="2:33">
      <c r="F119" s="173"/>
      <c r="L119" s="196"/>
      <c r="M119" s="6"/>
      <c r="N119" s="6"/>
      <c r="O119" s="6"/>
      <c r="P119" s="6"/>
      <c r="Q119" s="6"/>
      <c r="R119" s="6"/>
      <c r="S119" s="14">
        <f>SUM(S117:S118)</f>
        <v>0</v>
      </c>
      <c r="T119" s="145">
        <f>S119*T116</f>
        <v>0</v>
      </c>
      <c r="V119" s="13"/>
      <c r="W119" s="23"/>
      <c r="X119" s="13"/>
      <c r="Y119" s="13"/>
      <c r="Z119" s="13"/>
      <c r="AA119" s="13"/>
      <c r="AB119" s="23"/>
      <c r="AC119" s="13"/>
      <c r="AD119" s="13"/>
      <c r="AE119" s="13"/>
      <c r="AF119" s="102">
        <f>SUM(AF117:AF118)</f>
        <v>0</v>
      </c>
      <c r="AG119" s="119"/>
    </row>
    <row r="127" spans="2:33" ht="21">
      <c r="C127" s="285" t="s">
        <v>300</v>
      </c>
      <c r="D127" s="286"/>
      <c r="E127" s="286"/>
      <c r="F127" s="286"/>
      <c r="G127" s="286"/>
      <c r="H127" s="286"/>
      <c r="I127" s="286"/>
    </row>
    <row r="128" spans="2:33" ht="34.200000000000003" customHeight="1">
      <c r="C128" s="165" t="s">
        <v>296</v>
      </c>
      <c r="D128" s="165" t="s">
        <v>2</v>
      </c>
      <c r="E128" s="165" t="s">
        <v>297</v>
      </c>
      <c r="F128" s="166" t="s">
        <v>298</v>
      </c>
      <c r="G128" s="165" t="s">
        <v>295</v>
      </c>
      <c r="H128" s="165" t="s">
        <v>92</v>
      </c>
      <c r="I128" s="165" t="s">
        <v>299</v>
      </c>
    </row>
    <row r="129" spans="2:9">
      <c r="B129" s="161"/>
      <c r="C129" s="167" t="s">
        <v>19</v>
      </c>
      <c r="D129" s="50" t="s">
        <v>20</v>
      </c>
      <c r="E129" s="50" t="s">
        <v>21</v>
      </c>
      <c r="F129" s="50" t="s">
        <v>22</v>
      </c>
      <c r="G129" s="163">
        <v>700</v>
      </c>
      <c r="H129" s="68">
        <v>1240</v>
      </c>
      <c r="I129" s="164">
        <v>540</v>
      </c>
    </row>
    <row r="130" spans="2:9" ht="28.8">
      <c r="B130" s="161"/>
      <c r="C130" s="398" t="s">
        <v>27</v>
      </c>
      <c r="D130" s="50" t="s">
        <v>28</v>
      </c>
      <c r="E130" s="50" t="s">
        <v>29</v>
      </c>
      <c r="F130" s="50" t="s">
        <v>30</v>
      </c>
      <c r="G130" s="163">
        <v>1500</v>
      </c>
      <c r="H130" s="68">
        <v>2500</v>
      </c>
      <c r="I130" s="164">
        <v>1000</v>
      </c>
    </row>
    <row r="131" spans="2:9">
      <c r="B131" s="161"/>
      <c r="C131" s="398"/>
      <c r="D131" s="50" t="s">
        <v>34</v>
      </c>
      <c r="E131" s="50" t="s">
        <v>35</v>
      </c>
      <c r="F131" s="50"/>
      <c r="G131" s="163">
        <v>500</v>
      </c>
      <c r="H131" s="68">
        <v>1000</v>
      </c>
      <c r="I131" s="164">
        <v>500</v>
      </c>
    </row>
    <row r="132" spans="2:9" ht="28.8">
      <c r="B132" s="161"/>
      <c r="C132" s="167" t="s">
        <v>31</v>
      </c>
      <c r="D132" s="50" t="s">
        <v>28</v>
      </c>
      <c r="E132" s="50" t="s">
        <v>33</v>
      </c>
      <c r="F132" s="50" t="s">
        <v>32</v>
      </c>
      <c r="G132" s="163">
        <v>1500</v>
      </c>
      <c r="H132" s="68">
        <v>3500</v>
      </c>
      <c r="I132" s="164">
        <v>2000</v>
      </c>
    </row>
    <row r="133" spans="2:9">
      <c r="B133" s="161"/>
      <c r="C133" s="398" t="s">
        <v>36</v>
      </c>
      <c r="D133" s="50" t="s">
        <v>37</v>
      </c>
      <c r="E133" s="50" t="s">
        <v>39</v>
      </c>
      <c r="F133" s="50" t="s">
        <v>38</v>
      </c>
      <c r="G133" s="163">
        <v>2500</v>
      </c>
      <c r="H133" s="68">
        <v>2810</v>
      </c>
      <c r="I133" s="164">
        <v>310</v>
      </c>
    </row>
    <row r="134" spans="2:9">
      <c r="B134" s="161"/>
      <c r="C134" s="398"/>
      <c r="D134" s="50" t="s">
        <v>37</v>
      </c>
      <c r="E134" s="50" t="s">
        <v>35</v>
      </c>
      <c r="F134" s="50"/>
      <c r="G134" s="163">
        <v>300</v>
      </c>
      <c r="H134" s="68">
        <v>3300</v>
      </c>
      <c r="I134" s="164">
        <v>100</v>
      </c>
    </row>
    <row r="135" spans="2:9" ht="28.8">
      <c r="B135" s="161"/>
      <c r="C135" s="167" t="s">
        <v>40</v>
      </c>
      <c r="D135" s="50" t="s">
        <v>37</v>
      </c>
      <c r="E135" s="50" t="s">
        <v>42</v>
      </c>
      <c r="F135" s="50" t="s">
        <v>41</v>
      </c>
      <c r="G135" s="163">
        <v>2500</v>
      </c>
      <c r="H135" s="68">
        <v>2000</v>
      </c>
      <c r="I135" s="164">
        <v>800</v>
      </c>
    </row>
    <row r="136" spans="2:9">
      <c r="B136" s="161"/>
      <c r="C136" s="167" t="s">
        <v>48</v>
      </c>
      <c r="D136" s="50" t="s">
        <v>46</v>
      </c>
      <c r="E136" s="50" t="s">
        <v>39</v>
      </c>
      <c r="F136" s="50" t="s">
        <v>49</v>
      </c>
      <c r="G136" s="163">
        <v>1500</v>
      </c>
      <c r="H136" s="68">
        <v>4000</v>
      </c>
      <c r="I136" s="164">
        <v>500</v>
      </c>
    </row>
    <row r="137" spans="2:9">
      <c r="B137" s="161"/>
      <c r="C137" s="167" t="s">
        <v>50</v>
      </c>
      <c r="D137" s="50" t="s">
        <v>46</v>
      </c>
      <c r="E137" s="50" t="s">
        <v>33</v>
      </c>
      <c r="F137" s="50" t="s">
        <v>51</v>
      </c>
      <c r="G137" s="163">
        <v>3000</v>
      </c>
      <c r="H137" s="68">
        <v>3300</v>
      </c>
      <c r="I137" s="164">
        <v>1000</v>
      </c>
    </row>
    <row r="138" spans="2:9" ht="28.8">
      <c r="B138" s="161"/>
      <c r="C138" s="167" t="s">
        <v>52</v>
      </c>
      <c r="D138" s="50" t="s">
        <v>46</v>
      </c>
      <c r="E138" s="50" t="s">
        <v>42</v>
      </c>
      <c r="F138" s="50" t="s">
        <v>53</v>
      </c>
      <c r="G138" s="163">
        <v>2500</v>
      </c>
      <c r="H138" s="68">
        <v>4664</v>
      </c>
      <c r="I138" s="164">
        <v>800</v>
      </c>
    </row>
    <row r="139" spans="2:9">
      <c r="B139" s="161"/>
      <c r="C139" s="167" t="s">
        <v>61</v>
      </c>
      <c r="D139" s="50" t="s">
        <v>62</v>
      </c>
      <c r="E139" s="50" t="s">
        <v>11</v>
      </c>
      <c r="F139" s="50" t="s">
        <v>63</v>
      </c>
      <c r="G139" s="163">
        <v>2500</v>
      </c>
      <c r="H139" s="68">
        <v>1500</v>
      </c>
      <c r="I139" s="164">
        <v>2164.06</v>
      </c>
    </row>
    <row r="140" spans="2:9">
      <c r="B140" s="161"/>
      <c r="C140" s="398" t="s">
        <v>64</v>
      </c>
      <c r="D140" s="257" t="s">
        <v>62</v>
      </c>
      <c r="E140" s="50" t="s">
        <v>65</v>
      </c>
      <c r="F140" s="50" t="s">
        <v>67</v>
      </c>
      <c r="G140" s="163">
        <v>1000</v>
      </c>
      <c r="H140" s="68">
        <v>728.9</v>
      </c>
      <c r="I140" s="164">
        <v>500</v>
      </c>
    </row>
    <row r="141" spans="2:9">
      <c r="B141" s="161"/>
      <c r="C141" s="398"/>
      <c r="D141" s="257"/>
      <c r="E141" s="50" t="s">
        <v>68</v>
      </c>
      <c r="F141" s="50"/>
      <c r="G141" s="163">
        <v>500</v>
      </c>
      <c r="H141" s="68">
        <v>1300</v>
      </c>
      <c r="I141" s="164">
        <v>228.9</v>
      </c>
    </row>
    <row r="142" spans="2:9">
      <c r="B142" s="161"/>
      <c r="C142" s="167" t="s">
        <v>69</v>
      </c>
      <c r="D142" s="50"/>
      <c r="E142" s="50"/>
      <c r="F142" s="50" t="s">
        <v>70</v>
      </c>
      <c r="G142" s="163">
        <v>1000</v>
      </c>
      <c r="H142" s="68">
        <v>1374</v>
      </c>
      <c r="I142" s="164">
        <v>300</v>
      </c>
    </row>
    <row r="143" spans="2:9">
      <c r="B143" s="161"/>
      <c r="C143" s="167" t="s">
        <v>204</v>
      </c>
      <c r="D143" s="50" t="s">
        <v>205</v>
      </c>
      <c r="E143" s="50" t="s">
        <v>21</v>
      </c>
      <c r="F143" s="50"/>
      <c r="G143" s="163">
        <v>700</v>
      </c>
      <c r="H143" s="68">
        <v>2000</v>
      </c>
      <c r="I143" s="164">
        <v>674.47</v>
      </c>
    </row>
    <row r="144" spans="2:9">
      <c r="B144" s="161"/>
      <c r="C144" s="167" t="s">
        <v>266</v>
      </c>
      <c r="D144" s="50"/>
      <c r="E144" s="50" t="s">
        <v>11</v>
      </c>
      <c r="F144" s="50" t="s">
        <v>259</v>
      </c>
      <c r="G144" s="163">
        <v>1500</v>
      </c>
      <c r="H144" s="68">
        <v>2000</v>
      </c>
      <c r="I144" s="164">
        <v>500</v>
      </c>
    </row>
    <row r="145" spans="2:9">
      <c r="B145" s="161"/>
      <c r="C145" s="167"/>
      <c r="D145" s="50"/>
      <c r="E145" s="50" t="s">
        <v>11</v>
      </c>
      <c r="F145" s="50" t="s">
        <v>260</v>
      </c>
      <c r="G145" s="163">
        <v>1500</v>
      </c>
      <c r="H145" s="68">
        <v>1200</v>
      </c>
      <c r="I145" s="164">
        <v>500</v>
      </c>
    </row>
    <row r="146" spans="2:9" ht="21">
      <c r="C146" s="287" t="s">
        <v>138</v>
      </c>
      <c r="D146" s="288"/>
      <c r="E146" s="288"/>
      <c r="F146" s="288"/>
      <c r="G146" s="288"/>
      <c r="H146" s="289"/>
      <c r="I146" s="169">
        <f>SUM(I129:I145)</f>
        <v>12417.429999999998</v>
      </c>
    </row>
    <row r="151" spans="2:9" ht="21">
      <c r="D151" s="401" t="s">
        <v>331</v>
      </c>
      <c r="E151" s="401"/>
      <c r="F151" s="401"/>
      <c r="G151" s="401"/>
    </row>
    <row r="152" spans="2:9">
      <c r="D152" s="165" t="s">
        <v>330</v>
      </c>
      <c r="E152" s="165" t="s">
        <v>295</v>
      </c>
      <c r="F152" s="165" t="s">
        <v>329</v>
      </c>
      <c r="G152" s="165" t="s">
        <v>332</v>
      </c>
    </row>
    <row r="153" spans="2:9">
      <c r="D153" s="92" t="s">
        <v>61</v>
      </c>
      <c r="E153" s="171">
        <v>1000</v>
      </c>
      <c r="F153" s="171">
        <v>1592</v>
      </c>
      <c r="G153" s="172">
        <f>E153-F153</f>
        <v>-592</v>
      </c>
    </row>
    <row r="154" spans="2:9">
      <c r="D154" s="92" t="s">
        <v>308</v>
      </c>
      <c r="E154" s="171">
        <v>4000</v>
      </c>
      <c r="F154" s="171">
        <v>5106</v>
      </c>
      <c r="G154" s="172">
        <f>E154-F154</f>
        <v>-1106</v>
      </c>
    </row>
    <row r="155" spans="2:9">
      <c r="D155" s="92" t="s">
        <v>309</v>
      </c>
      <c r="E155" s="171">
        <v>1500</v>
      </c>
      <c r="F155" s="171">
        <v>1766.19</v>
      </c>
      <c r="G155" s="172">
        <f t="shared" ref="G155:G176" si="14">E155-F155</f>
        <v>-266.19000000000005</v>
      </c>
    </row>
    <row r="156" spans="2:9">
      <c r="D156" s="92" t="s">
        <v>310</v>
      </c>
      <c r="E156" s="171">
        <v>2500</v>
      </c>
      <c r="F156" s="171">
        <v>807</v>
      </c>
      <c r="G156" s="68">
        <f t="shared" si="14"/>
        <v>1693</v>
      </c>
    </row>
    <row r="157" spans="2:9">
      <c r="D157" s="92" t="s">
        <v>311</v>
      </c>
      <c r="E157" s="171">
        <v>500</v>
      </c>
      <c r="F157" s="171">
        <v>360</v>
      </c>
      <c r="G157" s="68">
        <f t="shared" si="14"/>
        <v>140</v>
      </c>
    </row>
    <row r="158" spans="2:9">
      <c r="D158" s="92" t="s">
        <v>312</v>
      </c>
      <c r="E158" s="171">
        <v>500</v>
      </c>
      <c r="F158" s="171">
        <v>408</v>
      </c>
      <c r="G158" s="68">
        <f t="shared" si="14"/>
        <v>92</v>
      </c>
    </row>
    <row r="159" spans="2:9">
      <c r="D159" s="92" t="s">
        <v>313</v>
      </c>
      <c r="E159" s="171">
        <v>2000</v>
      </c>
      <c r="F159" s="171">
        <v>1912</v>
      </c>
      <c r="G159" s="68">
        <f t="shared" si="14"/>
        <v>88</v>
      </c>
    </row>
    <row r="160" spans="2:9">
      <c r="D160" s="92" t="s">
        <v>204</v>
      </c>
      <c r="E160" s="171">
        <v>500</v>
      </c>
      <c r="F160" s="171">
        <v>1369.42</v>
      </c>
      <c r="G160" s="172">
        <f t="shared" si="14"/>
        <v>-869.42000000000007</v>
      </c>
    </row>
    <row r="161" spans="4:7">
      <c r="D161" s="92" t="s">
        <v>314</v>
      </c>
      <c r="E161" s="171">
        <v>2000</v>
      </c>
      <c r="F161" s="171">
        <v>1788</v>
      </c>
      <c r="G161" s="68">
        <f t="shared" si="14"/>
        <v>212</v>
      </c>
    </row>
    <row r="162" spans="4:7">
      <c r="D162" s="92" t="s">
        <v>315</v>
      </c>
      <c r="E162" s="171">
        <v>2000</v>
      </c>
      <c r="F162" s="171">
        <v>624</v>
      </c>
      <c r="G162" s="68">
        <f t="shared" si="14"/>
        <v>1376</v>
      </c>
    </row>
    <row r="163" spans="4:7">
      <c r="D163" s="92" t="s">
        <v>316</v>
      </c>
      <c r="E163" s="171">
        <v>1500</v>
      </c>
      <c r="F163" s="171">
        <v>2518</v>
      </c>
      <c r="G163" s="172">
        <f t="shared" si="14"/>
        <v>-1018</v>
      </c>
    </row>
    <row r="164" spans="4:7">
      <c r="D164" s="92" t="s">
        <v>317</v>
      </c>
      <c r="E164" s="171">
        <v>500</v>
      </c>
      <c r="F164" s="171">
        <v>722</v>
      </c>
      <c r="G164" s="172">
        <f t="shared" si="14"/>
        <v>-222</v>
      </c>
    </row>
    <row r="165" spans="4:7">
      <c r="D165" s="92" t="s">
        <v>318</v>
      </c>
      <c r="E165" s="171">
        <v>500</v>
      </c>
      <c r="F165" s="171">
        <v>494</v>
      </c>
      <c r="G165" s="68">
        <f t="shared" si="14"/>
        <v>6</v>
      </c>
    </row>
    <row r="166" spans="4:7">
      <c r="D166" s="92" t="s">
        <v>319</v>
      </c>
      <c r="E166" s="171">
        <v>500</v>
      </c>
      <c r="F166" s="171">
        <v>1660</v>
      </c>
      <c r="G166" s="172">
        <f t="shared" si="14"/>
        <v>-1160</v>
      </c>
    </row>
    <row r="167" spans="4:7">
      <c r="D167" s="92" t="s">
        <v>320</v>
      </c>
      <c r="E167" s="171">
        <v>1000</v>
      </c>
      <c r="F167" s="171">
        <v>1257</v>
      </c>
      <c r="G167" s="172">
        <f t="shared" si="14"/>
        <v>-257</v>
      </c>
    </row>
    <row r="168" spans="4:7">
      <c r="D168" s="92" t="s">
        <v>321</v>
      </c>
      <c r="E168" s="171"/>
      <c r="F168" s="171">
        <v>1041</v>
      </c>
      <c r="G168" s="172">
        <f t="shared" si="14"/>
        <v>-1041</v>
      </c>
    </row>
    <row r="169" spans="4:7">
      <c r="D169" s="92" t="s">
        <v>322</v>
      </c>
      <c r="E169" s="171">
        <v>500</v>
      </c>
      <c r="F169" s="171">
        <v>707</v>
      </c>
      <c r="G169" s="172">
        <f t="shared" si="14"/>
        <v>-207</v>
      </c>
    </row>
    <row r="170" spans="4:7">
      <c r="D170" s="92" t="s">
        <v>323</v>
      </c>
      <c r="E170" s="171">
        <v>500</v>
      </c>
      <c r="F170" s="171">
        <v>124</v>
      </c>
      <c r="G170" s="68">
        <f t="shared" si="14"/>
        <v>376</v>
      </c>
    </row>
    <row r="171" spans="4:7">
      <c r="D171" s="92" t="s">
        <v>324</v>
      </c>
      <c r="E171" s="171">
        <v>500</v>
      </c>
      <c r="F171" s="171">
        <v>248</v>
      </c>
      <c r="G171" s="68">
        <f t="shared" si="14"/>
        <v>252</v>
      </c>
    </row>
    <row r="172" spans="4:7">
      <c r="D172" s="92" t="s">
        <v>325</v>
      </c>
      <c r="E172" s="171">
        <v>1000</v>
      </c>
      <c r="F172" s="171">
        <v>939</v>
      </c>
      <c r="G172" s="68">
        <f t="shared" si="14"/>
        <v>61</v>
      </c>
    </row>
    <row r="173" spans="4:7">
      <c r="D173" s="92" t="s">
        <v>326</v>
      </c>
      <c r="E173" s="171">
        <v>700</v>
      </c>
      <c r="F173" s="171">
        <v>494</v>
      </c>
      <c r="G173" s="68">
        <f t="shared" si="14"/>
        <v>206</v>
      </c>
    </row>
    <row r="174" spans="4:7">
      <c r="D174" s="92" t="s">
        <v>57</v>
      </c>
      <c r="E174" s="171">
        <v>500</v>
      </c>
      <c r="F174" s="171">
        <v>539</v>
      </c>
      <c r="G174" s="172">
        <f t="shared" si="14"/>
        <v>-39</v>
      </c>
    </row>
    <row r="175" spans="4:7">
      <c r="D175" s="92" t="s">
        <v>327</v>
      </c>
      <c r="E175" s="171">
        <v>1000</v>
      </c>
      <c r="F175" s="171">
        <v>647</v>
      </c>
      <c r="G175" s="68">
        <f t="shared" si="14"/>
        <v>353</v>
      </c>
    </row>
    <row r="176" spans="4:7">
      <c r="D176" s="92" t="s">
        <v>328</v>
      </c>
      <c r="E176" s="171">
        <v>500</v>
      </c>
      <c r="F176" s="171">
        <v>108</v>
      </c>
      <c r="G176" s="68">
        <f t="shared" si="14"/>
        <v>392</v>
      </c>
    </row>
    <row r="180" spans="3:17">
      <c r="D180" s="1" t="s">
        <v>252</v>
      </c>
      <c r="E180" s="1">
        <v>100</v>
      </c>
    </row>
    <row r="183" spans="3:17" ht="15.6">
      <c r="C183" s="280" t="s">
        <v>363</v>
      </c>
      <c r="D183" s="280"/>
      <c r="E183" s="280"/>
      <c r="F183" s="280"/>
      <c r="G183" s="280"/>
      <c r="H183" s="280"/>
      <c r="I183" s="280"/>
      <c r="J183" s="180"/>
      <c r="K183" s="411" t="s">
        <v>363</v>
      </c>
      <c r="L183" s="412"/>
      <c r="M183" s="412"/>
      <c r="N183" s="412"/>
      <c r="O183" s="412"/>
      <c r="P183" s="412"/>
      <c r="Q183" s="412"/>
    </row>
    <row r="184" spans="3:17" ht="28.8">
      <c r="C184" s="37" t="s">
        <v>296</v>
      </c>
      <c r="D184" s="37" t="s">
        <v>349</v>
      </c>
      <c r="E184" s="37" t="s">
        <v>366</v>
      </c>
      <c r="F184" s="140" t="s">
        <v>364</v>
      </c>
      <c r="G184" s="56" t="s">
        <v>368</v>
      </c>
      <c r="H184" s="141" t="s">
        <v>369</v>
      </c>
      <c r="I184" s="98" t="s">
        <v>370</v>
      </c>
      <c r="K184" s="243" t="s">
        <v>296</v>
      </c>
      <c r="L184" s="243" t="s">
        <v>349</v>
      </c>
      <c r="M184" s="243" t="s">
        <v>366</v>
      </c>
      <c r="N184" s="243" t="s">
        <v>475</v>
      </c>
      <c r="O184" s="243" t="s">
        <v>368</v>
      </c>
      <c r="P184" s="243" t="s">
        <v>476</v>
      </c>
      <c r="Q184" s="243" t="s">
        <v>370</v>
      </c>
    </row>
    <row r="185" spans="3:17">
      <c r="C185" s="277" t="s">
        <v>309</v>
      </c>
      <c r="D185" s="6" t="s">
        <v>352</v>
      </c>
      <c r="E185" s="277">
        <v>400</v>
      </c>
      <c r="F185" s="278">
        <f>E185*7</f>
        <v>2800</v>
      </c>
      <c r="G185" s="6">
        <v>1163.2660000000001</v>
      </c>
      <c r="H185" s="277">
        <f>G185+G186+G187</f>
        <v>1753.2660000000001</v>
      </c>
      <c r="I185" s="277">
        <f>F185-H185</f>
        <v>1046.7339999999999</v>
      </c>
      <c r="K185" s="413" t="s">
        <v>309</v>
      </c>
      <c r="L185" s="245" t="s">
        <v>420</v>
      </c>
      <c r="M185" s="415">
        <v>400</v>
      </c>
      <c r="N185" s="415">
        <v>2400</v>
      </c>
      <c r="O185" s="246">
        <v>590</v>
      </c>
      <c r="P185" s="415">
        <v>1753.2660000000001</v>
      </c>
      <c r="Q185" s="416">
        <v>646.73399999999992</v>
      </c>
    </row>
    <row r="186" spans="3:17">
      <c r="C186" s="277"/>
      <c r="D186" s="6" t="s">
        <v>353</v>
      </c>
      <c r="E186" s="277"/>
      <c r="F186" s="278"/>
      <c r="G186" s="6">
        <v>590</v>
      </c>
      <c r="H186" s="277"/>
      <c r="I186" s="277"/>
      <c r="K186" s="414"/>
      <c r="L186" s="245" t="s">
        <v>477</v>
      </c>
      <c r="M186" s="414"/>
      <c r="N186" s="414"/>
      <c r="O186" s="246">
        <v>1163.2660000000001</v>
      </c>
      <c r="P186" s="414"/>
      <c r="Q186" s="414"/>
    </row>
    <row r="187" spans="3:17">
      <c r="C187" s="277"/>
      <c r="D187" s="6" t="s">
        <v>354</v>
      </c>
      <c r="E187" s="277"/>
      <c r="F187" s="278"/>
      <c r="G187" s="6"/>
      <c r="H187" s="277"/>
      <c r="I187" s="277"/>
      <c r="K187" s="244" t="s">
        <v>478</v>
      </c>
      <c r="L187" s="248" t="s">
        <v>479</v>
      </c>
      <c r="M187" s="249"/>
      <c r="N187" s="249"/>
      <c r="O187" s="249">
        <v>100</v>
      </c>
      <c r="P187" s="249">
        <v>100</v>
      </c>
      <c r="Q187" s="250">
        <v>-100</v>
      </c>
    </row>
    <row r="188" spans="3:17">
      <c r="C188" s="277" t="s">
        <v>124</v>
      </c>
      <c r="D188" s="6" t="s">
        <v>355</v>
      </c>
      <c r="E188" s="277">
        <v>550</v>
      </c>
      <c r="F188" s="278">
        <f>E188*7</f>
        <v>3850</v>
      </c>
      <c r="G188" s="6">
        <v>553</v>
      </c>
      <c r="H188" s="277">
        <f>G188+G189</f>
        <v>753</v>
      </c>
      <c r="I188" s="277">
        <f>F188-H188</f>
        <v>3097</v>
      </c>
      <c r="K188" s="413" t="s">
        <v>27</v>
      </c>
      <c r="L188" s="245" t="s">
        <v>480</v>
      </c>
      <c r="M188" s="415">
        <v>100</v>
      </c>
      <c r="N188" s="415">
        <v>600</v>
      </c>
      <c r="O188" s="246">
        <v>450</v>
      </c>
      <c r="P188" s="415">
        <v>4379.49</v>
      </c>
      <c r="Q188" s="420">
        <v>-3779.49</v>
      </c>
    </row>
    <row r="189" spans="3:17">
      <c r="C189" s="277"/>
      <c r="D189" s="6" t="s">
        <v>354</v>
      </c>
      <c r="E189" s="277"/>
      <c r="F189" s="278"/>
      <c r="G189" s="6">
        <v>200</v>
      </c>
      <c r="H189" s="277"/>
      <c r="I189" s="277"/>
      <c r="K189" s="414"/>
      <c r="L189" s="245" t="s">
        <v>272</v>
      </c>
      <c r="M189" s="414"/>
      <c r="N189" s="414"/>
      <c r="O189" s="246">
        <v>1774.49</v>
      </c>
      <c r="P189" s="414"/>
      <c r="Q189" s="414"/>
    </row>
    <row r="190" spans="3:17">
      <c r="C190" s="277" t="s">
        <v>27</v>
      </c>
      <c r="D190" s="6" t="s">
        <v>202</v>
      </c>
      <c r="E190" s="277">
        <v>500</v>
      </c>
      <c r="F190" s="278">
        <f>500*7</f>
        <v>3500</v>
      </c>
      <c r="G190" s="6">
        <v>420</v>
      </c>
      <c r="H190" s="277">
        <f>G190+G191+G192</f>
        <v>4349.49</v>
      </c>
      <c r="I190" s="279">
        <f>F190-H190</f>
        <v>-849.48999999999978</v>
      </c>
      <c r="K190" s="414"/>
      <c r="L190" s="245" t="s">
        <v>481</v>
      </c>
      <c r="M190" s="414"/>
      <c r="N190" s="414"/>
      <c r="O190" s="246">
        <v>2155</v>
      </c>
      <c r="P190" s="414"/>
      <c r="Q190" s="414"/>
    </row>
    <row r="191" spans="3:17">
      <c r="C191" s="277"/>
      <c r="D191" s="6" t="s">
        <v>356</v>
      </c>
      <c r="E191" s="277"/>
      <c r="F191" s="278"/>
      <c r="G191" s="6">
        <v>1774.49</v>
      </c>
      <c r="H191" s="277"/>
      <c r="I191" s="279"/>
      <c r="K191" s="244" t="s">
        <v>482</v>
      </c>
      <c r="L191" s="248" t="s">
        <v>483</v>
      </c>
      <c r="M191" s="249"/>
      <c r="N191" s="249"/>
      <c r="O191" s="249"/>
      <c r="P191" s="249"/>
      <c r="Q191" s="247"/>
    </row>
    <row r="192" spans="3:17">
      <c r="C192" s="277"/>
      <c r="D192" s="6" t="s">
        <v>357</v>
      </c>
      <c r="E192" s="277"/>
      <c r="F192" s="278"/>
      <c r="G192" s="6">
        <v>2155</v>
      </c>
      <c r="H192" s="277"/>
      <c r="I192" s="279"/>
      <c r="K192" s="413" t="s">
        <v>124</v>
      </c>
      <c r="L192" s="245" t="s">
        <v>484</v>
      </c>
      <c r="M192" s="415">
        <v>550</v>
      </c>
      <c r="N192" s="415">
        <v>3300</v>
      </c>
      <c r="O192" s="246">
        <v>200</v>
      </c>
      <c r="P192" s="415">
        <v>753</v>
      </c>
      <c r="Q192" s="416">
        <v>2547</v>
      </c>
    </row>
    <row r="193" spans="3:17">
      <c r="C193" s="6" t="s">
        <v>150</v>
      </c>
      <c r="D193" s="6" t="s">
        <v>358</v>
      </c>
      <c r="E193" s="6">
        <v>400</v>
      </c>
      <c r="F193" s="89">
        <f>400*7</f>
        <v>2800</v>
      </c>
      <c r="G193" s="6">
        <v>2078</v>
      </c>
      <c r="H193" s="6">
        <f>G193</f>
        <v>2078</v>
      </c>
      <c r="I193" s="6">
        <f>F193-H193</f>
        <v>722</v>
      </c>
      <c r="K193" s="414"/>
      <c r="L193" s="245" t="s">
        <v>485</v>
      </c>
      <c r="M193" s="414"/>
      <c r="N193" s="414"/>
      <c r="O193" s="246">
        <v>553</v>
      </c>
      <c r="P193" s="414"/>
      <c r="Q193" s="414"/>
    </row>
    <row r="194" spans="3:17">
      <c r="C194" s="6" t="s">
        <v>359</v>
      </c>
      <c r="D194" s="6" t="s">
        <v>360</v>
      </c>
      <c r="E194" s="6">
        <v>400</v>
      </c>
      <c r="F194" s="89">
        <f>400*7</f>
        <v>2800</v>
      </c>
      <c r="G194" s="6">
        <v>2657</v>
      </c>
      <c r="H194" s="6">
        <f>G194</f>
        <v>2657</v>
      </c>
      <c r="I194" s="6">
        <f>F194-H194</f>
        <v>143</v>
      </c>
      <c r="K194" s="244" t="s">
        <v>359</v>
      </c>
      <c r="L194" s="248" t="s">
        <v>486</v>
      </c>
      <c r="M194" s="249">
        <v>400</v>
      </c>
      <c r="N194" s="249">
        <v>2400</v>
      </c>
      <c r="O194" s="249">
        <v>2657</v>
      </c>
      <c r="P194" s="249">
        <v>2657</v>
      </c>
      <c r="Q194" s="250">
        <v>-257</v>
      </c>
    </row>
    <row r="195" spans="3:17">
      <c r="C195" s="6" t="s">
        <v>361</v>
      </c>
      <c r="D195" s="6" t="s">
        <v>197</v>
      </c>
      <c r="E195" s="6"/>
      <c r="F195" s="7"/>
      <c r="G195" s="6">
        <v>339</v>
      </c>
      <c r="H195" s="6">
        <f>G195</f>
        <v>339</v>
      </c>
      <c r="I195" s="6"/>
      <c r="K195" s="244" t="s">
        <v>150</v>
      </c>
      <c r="L195" s="245" t="s">
        <v>487</v>
      </c>
      <c r="M195" s="246">
        <v>500</v>
      </c>
      <c r="N195" s="246">
        <v>3000</v>
      </c>
      <c r="O195" s="246">
        <v>2078</v>
      </c>
      <c r="P195" s="246">
        <v>2078</v>
      </c>
      <c r="Q195" s="247">
        <v>922</v>
      </c>
    </row>
    <row r="196" spans="3:17">
      <c r="C196" s="6"/>
      <c r="D196" s="6" t="s">
        <v>362</v>
      </c>
      <c r="E196" s="6"/>
      <c r="F196" s="7"/>
      <c r="G196" s="6">
        <v>30</v>
      </c>
      <c r="H196" s="6">
        <v>30</v>
      </c>
      <c r="I196" s="6"/>
      <c r="K196" s="244" t="s">
        <v>361</v>
      </c>
      <c r="L196" s="245" t="s">
        <v>488</v>
      </c>
      <c r="M196" s="246"/>
      <c r="N196" s="246"/>
      <c r="O196" s="246">
        <v>339</v>
      </c>
      <c r="P196" s="246">
        <v>339</v>
      </c>
      <c r="Q196" s="250">
        <v>-339</v>
      </c>
    </row>
    <row r="197" spans="3:17">
      <c r="C197" s="6"/>
      <c r="D197" s="6" t="s">
        <v>252</v>
      </c>
      <c r="E197" s="6"/>
      <c r="F197" s="7"/>
      <c r="G197" s="6"/>
      <c r="H197" s="6"/>
      <c r="I197" s="6"/>
      <c r="K197" s="418" t="s">
        <v>365</v>
      </c>
      <c r="L197" s="419"/>
      <c r="M197" s="252"/>
      <c r="N197" s="251">
        <v>11700</v>
      </c>
      <c r="O197" s="251">
        <v>12059.76</v>
      </c>
      <c r="P197" s="251">
        <v>12059.76</v>
      </c>
      <c r="Q197" s="251">
        <v>-359.76</v>
      </c>
    </row>
    <row r="198" spans="3:17">
      <c r="C198" s="6"/>
      <c r="D198" s="6"/>
      <c r="E198" s="6"/>
      <c r="F198" s="7"/>
      <c r="G198" s="13"/>
      <c r="H198" s="13"/>
      <c r="I198" s="13"/>
    </row>
    <row r="199" spans="3:17">
      <c r="C199" s="266" t="s">
        <v>365</v>
      </c>
      <c r="D199" s="266"/>
      <c r="E199" s="6"/>
      <c r="F199" s="178">
        <f>SUM(F185:F198)</f>
        <v>15750</v>
      </c>
      <c r="G199" s="177">
        <f>SUM(G185:G198)</f>
        <v>11959.756000000001</v>
      </c>
      <c r="H199" s="82">
        <f>SUM(H185:H197)</f>
        <v>11959.755999999999</v>
      </c>
      <c r="I199" s="13"/>
      <c r="K199">
        <f>SUM(K185:K198)</f>
        <v>0</v>
      </c>
    </row>
    <row r="204" spans="3:17">
      <c r="I204">
        <v>11975.79</v>
      </c>
    </row>
    <row r="211" spans="6:10">
      <c r="F211" s="315" t="s">
        <v>367</v>
      </c>
      <c r="G211" s="315"/>
      <c r="I211" s="140" t="s">
        <v>350</v>
      </c>
      <c r="J211" s="37" t="s">
        <v>351</v>
      </c>
    </row>
    <row r="212" spans="6:10">
      <c r="F212" s="13">
        <v>1468</v>
      </c>
      <c r="G212" s="277">
        <f>F212+F214</f>
        <v>1468</v>
      </c>
      <c r="I212" s="278">
        <v>1953.27</v>
      </c>
      <c r="J212" s="277">
        <f>F185-I212</f>
        <v>846.73</v>
      </c>
    </row>
    <row r="213" spans="6:10">
      <c r="F213" s="13"/>
      <c r="G213" s="277"/>
      <c r="I213" s="278"/>
      <c r="J213" s="277"/>
    </row>
    <row r="214" spans="6:10">
      <c r="F214" s="13"/>
      <c r="G214" s="277"/>
      <c r="I214" s="278"/>
      <c r="J214" s="277"/>
    </row>
    <row r="215" spans="6:10">
      <c r="F215" s="13">
        <v>1415</v>
      </c>
      <c r="G215" s="13"/>
      <c r="I215" s="277">
        <v>1615</v>
      </c>
      <c r="J215" s="13"/>
    </row>
    <row r="216" spans="6:10">
      <c r="F216" s="13">
        <v>200</v>
      </c>
      <c r="G216" s="13"/>
      <c r="I216" s="277"/>
      <c r="J216" s="13"/>
    </row>
    <row r="217" spans="6:10">
      <c r="F217" s="13">
        <v>1085</v>
      </c>
      <c r="G217" s="284">
        <f>F217+F218+F219</f>
        <v>2860</v>
      </c>
      <c r="I217" s="277">
        <v>4349.49</v>
      </c>
      <c r="J217" s="279">
        <f>F190-I217</f>
        <v>-849.48999999999978</v>
      </c>
    </row>
    <row r="218" spans="6:10">
      <c r="F218" s="13">
        <v>1680</v>
      </c>
      <c r="G218" s="284"/>
      <c r="I218" s="277"/>
      <c r="J218" s="279"/>
    </row>
    <row r="219" spans="6:10">
      <c r="F219" s="13">
        <v>95</v>
      </c>
      <c r="G219" s="284"/>
      <c r="I219" s="277"/>
      <c r="J219" s="279"/>
    </row>
    <row r="220" spans="6:10">
      <c r="F220" s="13">
        <v>2100</v>
      </c>
      <c r="G220" s="13"/>
      <c r="I220" s="23">
        <v>2078</v>
      </c>
      <c r="J220" s="6">
        <f>F193-I220</f>
        <v>722</v>
      </c>
    </row>
    <row r="221" spans="6:10">
      <c r="F221" s="13">
        <v>2500</v>
      </c>
      <c r="G221" s="13"/>
      <c r="I221" s="23">
        <v>2657</v>
      </c>
      <c r="J221" s="6">
        <f>F194-I221</f>
        <v>143</v>
      </c>
    </row>
    <row r="222" spans="6:10">
      <c r="F222" s="13">
        <v>633</v>
      </c>
      <c r="G222" s="13"/>
      <c r="I222" s="23">
        <v>339</v>
      </c>
      <c r="J222" s="13"/>
    </row>
    <row r="223" spans="6:10">
      <c r="F223" s="13">
        <v>30</v>
      </c>
      <c r="G223" s="13"/>
      <c r="I223" s="23">
        <v>30</v>
      </c>
      <c r="J223" s="13"/>
    </row>
    <row r="224" spans="6:10">
      <c r="F224" s="179">
        <v>100</v>
      </c>
      <c r="I224" s="93">
        <v>100</v>
      </c>
    </row>
    <row r="228" spans="2:16" ht="19.8">
      <c r="B228" s="319" t="s">
        <v>406</v>
      </c>
      <c r="C228" s="320"/>
      <c r="D228" s="320"/>
      <c r="E228" s="320"/>
      <c r="F228" s="320"/>
      <c r="G228" s="320"/>
      <c r="H228" s="320"/>
      <c r="I228" s="320"/>
      <c r="J228" s="320"/>
      <c r="K228" s="320"/>
      <c r="L228" s="320"/>
      <c r="M228" s="320"/>
      <c r="N228" s="320"/>
      <c r="O228" s="320"/>
      <c r="P228" s="321"/>
    </row>
    <row r="229" spans="2:16">
      <c r="B229" s="308">
        <v>46209</v>
      </c>
      <c r="C229" s="312"/>
      <c r="D229" s="308">
        <v>46210</v>
      </c>
      <c r="E229" s="309"/>
      <c r="F229" s="308">
        <v>46211</v>
      </c>
      <c r="G229" s="309"/>
      <c r="H229" s="308">
        <v>46212</v>
      </c>
      <c r="I229" s="309"/>
      <c r="J229" s="308">
        <v>46366</v>
      </c>
      <c r="K229" s="309"/>
      <c r="L229" s="308">
        <v>46214</v>
      </c>
      <c r="M229" s="309"/>
      <c r="N229" s="308">
        <v>46215</v>
      </c>
      <c r="O229" s="309"/>
      <c r="P229" s="315" t="s">
        <v>180</v>
      </c>
    </row>
    <row r="230" spans="2:16">
      <c r="B230" s="313"/>
      <c r="C230" s="314"/>
      <c r="D230" s="310"/>
      <c r="E230" s="311"/>
      <c r="F230" s="310"/>
      <c r="G230" s="311"/>
      <c r="H230" s="310"/>
      <c r="I230" s="311"/>
      <c r="J230" s="310"/>
      <c r="K230" s="311"/>
      <c r="L230" s="310"/>
      <c r="M230" s="311"/>
      <c r="N230" s="310"/>
      <c r="O230" s="311"/>
      <c r="P230" s="315"/>
    </row>
    <row r="231" spans="2:16">
      <c r="B231" s="13" t="s">
        <v>189</v>
      </c>
      <c r="C231" s="13" t="s">
        <v>405</v>
      </c>
      <c r="D231" s="13" t="s">
        <v>189</v>
      </c>
      <c r="E231" s="13" t="s">
        <v>405</v>
      </c>
      <c r="F231" s="13" t="s">
        <v>189</v>
      </c>
      <c r="G231" s="13" t="s">
        <v>405</v>
      </c>
      <c r="H231" s="13" t="s">
        <v>189</v>
      </c>
      <c r="I231" s="13" t="s">
        <v>405</v>
      </c>
      <c r="J231" s="13" t="s">
        <v>189</v>
      </c>
      <c r="K231" s="13" t="s">
        <v>405</v>
      </c>
      <c r="L231" s="13" t="s">
        <v>189</v>
      </c>
      <c r="M231" s="13" t="s">
        <v>405</v>
      </c>
      <c r="N231" s="13" t="s">
        <v>189</v>
      </c>
      <c r="O231" s="13" t="s">
        <v>405</v>
      </c>
      <c r="P231" s="315"/>
    </row>
    <row r="232" spans="2:16" ht="28.8">
      <c r="B232" s="148">
        <v>400</v>
      </c>
      <c r="C232" s="403" t="s">
        <v>386</v>
      </c>
      <c r="D232" s="148">
        <v>1000</v>
      </c>
      <c r="E232" s="417" t="s">
        <v>378</v>
      </c>
      <c r="F232" s="148">
        <v>788</v>
      </c>
      <c r="G232" s="102" t="s">
        <v>262</v>
      </c>
      <c r="H232" s="148">
        <v>1000</v>
      </c>
      <c r="I232" s="205" t="s">
        <v>403</v>
      </c>
      <c r="J232" s="148">
        <v>800</v>
      </c>
      <c r="K232" s="102" t="s">
        <v>381</v>
      </c>
      <c r="L232" s="148">
        <v>500</v>
      </c>
      <c r="M232" s="102" t="s">
        <v>404</v>
      </c>
      <c r="N232" s="13"/>
      <c r="O232" s="13"/>
      <c r="P232" s="315"/>
    </row>
    <row r="233" spans="2:16">
      <c r="B233" s="148">
        <v>1712</v>
      </c>
      <c r="C233" s="403"/>
      <c r="D233" s="148">
        <v>1000</v>
      </c>
      <c r="E233" s="417"/>
      <c r="F233" s="148">
        <v>2500.11</v>
      </c>
      <c r="G233" s="102" t="s">
        <v>379</v>
      </c>
      <c r="H233" s="13"/>
      <c r="I233" s="13"/>
      <c r="J233" s="148">
        <v>800</v>
      </c>
      <c r="K233" s="102" t="s">
        <v>382</v>
      </c>
      <c r="L233" s="148">
        <v>800</v>
      </c>
      <c r="M233" s="118" t="s">
        <v>385</v>
      </c>
      <c r="N233" s="13"/>
      <c r="O233" s="13"/>
      <c r="P233" s="315"/>
    </row>
    <row r="234" spans="2:16">
      <c r="B234" s="148">
        <v>1200</v>
      </c>
      <c r="C234" s="102" t="s">
        <v>377</v>
      </c>
      <c r="D234" s="148">
        <v>1000</v>
      </c>
      <c r="E234" s="417"/>
      <c r="F234" s="148">
        <v>1000</v>
      </c>
      <c r="G234" s="102" t="s">
        <v>380</v>
      </c>
      <c r="H234" s="13"/>
      <c r="I234" s="13"/>
      <c r="J234" s="13"/>
      <c r="K234" s="13"/>
      <c r="L234" s="148">
        <v>1000</v>
      </c>
      <c r="M234" s="102" t="s">
        <v>384</v>
      </c>
      <c r="N234" s="13"/>
      <c r="O234" s="13"/>
      <c r="P234" s="315"/>
    </row>
    <row r="235" spans="2:16">
      <c r="B235" s="13"/>
      <c r="C235" s="13"/>
      <c r="D235" s="13"/>
      <c r="E235" s="13"/>
      <c r="F235" s="148">
        <v>800</v>
      </c>
      <c r="G235" s="102" t="s">
        <v>263</v>
      </c>
      <c r="H235" s="13"/>
      <c r="I235" s="13"/>
      <c r="J235" s="13"/>
      <c r="K235" s="13"/>
      <c r="L235" s="20">
        <v>500</v>
      </c>
      <c r="M235" s="102" t="s">
        <v>383</v>
      </c>
      <c r="N235" s="13"/>
      <c r="O235" s="13"/>
      <c r="P235" s="315"/>
    </row>
    <row r="236" spans="2:16">
      <c r="B236" s="207">
        <f>SUM(B232:B235)</f>
        <v>3312</v>
      </c>
      <c r="C236" s="208"/>
      <c r="D236" s="207">
        <f>SUM(D232:D235)</f>
        <v>3000</v>
      </c>
      <c r="E236" s="208"/>
      <c r="F236" s="207">
        <f>SUM(F232:F235)</f>
        <v>5088.1100000000006</v>
      </c>
      <c r="G236" s="208"/>
      <c r="H236" s="207">
        <f>SUM(H232:H235)</f>
        <v>1000</v>
      </c>
      <c r="I236" s="208"/>
      <c r="J236" s="207">
        <f>SUM(J232:J235)</f>
        <v>1600</v>
      </c>
      <c r="K236" s="208"/>
      <c r="L236" s="207">
        <f>SUM(L232:L235)</f>
        <v>2800</v>
      </c>
      <c r="M236" s="206"/>
      <c r="N236" s="206"/>
      <c r="O236" s="206"/>
      <c r="P236" s="182">
        <f>SUM(B236:O236)</f>
        <v>16800.11</v>
      </c>
    </row>
    <row r="249" spans="2:23">
      <c r="B249" s="95"/>
      <c r="C249" s="95"/>
      <c r="D249" s="95"/>
      <c r="E249" s="95"/>
      <c r="F249" s="95"/>
      <c r="G249" s="96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90">
        <f>Hoja4!P21+Hoja4!N21+Hoja4!L21+Hoja4!J21+Hoja4!H21+Hoja4!F21</f>
        <v>296357.40000000002</v>
      </c>
      <c r="U249" s="13"/>
      <c r="V249" s="13"/>
      <c r="W249" s="13"/>
    </row>
  </sheetData>
  <mergeCells count="186">
    <mergeCell ref="K192:K193"/>
    <mergeCell ref="M192:M193"/>
    <mergeCell ref="N192:N193"/>
    <mergeCell ref="P192:P193"/>
    <mergeCell ref="Q192:Q193"/>
    <mergeCell ref="K183:Q183"/>
    <mergeCell ref="K185:K186"/>
    <mergeCell ref="M185:M186"/>
    <mergeCell ref="N185:N186"/>
    <mergeCell ref="P185:P186"/>
    <mergeCell ref="Q185:Q186"/>
    <mergeCell ref="P229:P235"/>
    <mergeCell ref="B228:P228"/>
    <mergeCell ref="B229:C230"/>
    <mergeCell ref="D229:E230"/>
    <mergeCell ref="F229:G230"/>
    <mergeCell ref="H229:I230"/>
    <mergeCell ref="J229:K230"/>
    <mergeCell ref="L229:M230"/>
    <mergeCell ref="N229:O230"/>
    <mergeCell ref="E232:E234"/>
    <mergeCell ref="J212:J214"/>
    <mergeCell ref="J217:J219"/>
    <mergeCell ref="K197:L197"/>
    <mergeCell ref="K188:K190"/>
    <mergeCell ref="M188:M190"/>
    <mergeCell ref="N188:N190"/>
    <mergeCell ref="P188:P190"/>
    <mergeCell ref="Q188:Q190"/>
    <mergeCell ref="C232:C233"/>
    <mergeCell ref="D100:G100"/>
    <mergeCell ref="D104:F104"/>
    <mergeCell ref="C105:G105"/>
    <mergeCell ref="C183:I183"/>
    <mergeCell ref="C185:C187"/>
    <mergeCell ref="C140:C141"/>
    <mergeCell ref="D140:D141"/>
    <mergeCell ref="C127:I127"/>
    <mergeCell ref="C146:H146"/>
    <mergeCell ref="C199:D199"/>
    <mergeCell ref="C188:C189"/>
    <mergeCell ref="E188:E189"/>
    <mergeCell ref="F188:F189"/>
    <mergeCell ref="I215:I216"/>
    <mergeCell ref="I190:I192"/>
    <mergeCell ref="D151:G151"/>
    <mergeCell ref="C190:C192"/>
    <mergeCell ref="E190:E192"/>
    <mergeCell ref="F190:F192"/>
    <mergeCell ref="G212:G214"/>
    <mergeCell ref="G217:G219"/>
    <mergeCell ref="F211:G211"/>
    <mergeCell ref="H185:H187"/>
    <mergeCell ref="H188:H189"/>
    <mergeCell ref="H190:H192"/>
    <mergeCell ref="I185:I187"/>
    <mergeCell ref="I188:I189"/>
    <mergeCell ref="E185:E187"/>
    <mergeCell ref="F185:F187"/>
    <mergeCell ref="I212:I214"/>
    <mergeCell ref="I217:I219"/>
    <mergeCell ref="C130:C131"/>
    <mergeCell ref="C133:C134"/>
    <mergeCell ref="AB109:AB110"/>
    <mergeCell ref="AC109:AC110"/>
    <mergeCell ref="AD109:AD110"/>
    <mergeCell ref="AE109:AE110"/>
    <mergeCell ref="AF109:AG110"/>
    <mergeCell ref="J111:J115"/>
    <mergeCell ref="T111:T115"/>
    <mergeCell ref="AG111:AG115"/>
    <mergeCell ref="Q109:Q110"/>
    <mergeCell ref="R109:R110"/>
    <mergeCell ref="S109:T110"/>
    <mergeCell ref="V109:V110"/>
    <mergeCell ref="W109:W110"/>
    <mergeCell ref="X109:X110"/>
    <mergeCell ref="J109:J110"/>
    <mergeCell ref="B112:D112"/>
    <mergeCell ref="L109:L110"/>
    <mergeCell ref="M109:M110"/>
    <mergeCell ref="N109:N110"/>
    <mergeCell ref="O109:O110"/>
    <mergeCell ref="P109:P110"/>
    <mergeCell ref="L108:T108"/>
    <mergeCell ref="V108:AG108"/>
    <mergeCell ref="C109:C110"/>
    <mergeCell ref="D109:D110"/>
    <mergeCell ref="E109:E110"/>
    <mergeCell ref="F109:F110"/>
    <mergeCell ref="G109:G110"/>
    <mergeCell ref="H109:H110"/>
    <mergeCell ref="I109:I110"/>
    <mergeCell ref="Q94:S94"/>
    <mergeCell ref="Q103:Q104"/>
    <mergeCell ref="V75:V84"/>
    <mergeCell ref="A85:F86"/>
    <mergeCell ref="B90:F90"/>
    <mergeCell ref="C91:F91"/>
    <mergeCell ref="I93:J93"/>
    <mergeCell ref="I96:I97"/>
    <mergeCell ref="J96:J97"/>
    <mergeCell ref="B92:B93"/>
    <mergeCell ref="C92:C93"/>
    <mergeCell ref="F96:F97"/>
    <mergeCell ref="B96:E97"/>
    <mergeCell ref="D102:F102"/>
    <mergeCell ref="D101:F101"/>
    <mergeCell ref="D103:F103"/>
    <mergeCell ref="B99:G99"/>
    <mergeCell ref="I73:J73"/>
    <mergeCell ref="K73:L73"/>
    <mergeCell ref="M73:N73"/>
    <mergeCell ref="O73:P73"/>
    <mergeCell ref="Q73:R73"/>
    <mergeCell ref="S73:T73"/>
    <mergeCell ref="A73:B74"/>
    <mergeCell ref="C73:C74"/>
    <mergeCell ref="D73:D74"/>
    <mergeCell ref="E73:E74"/>
    <mergeCell ref="F73:F74"/>
    <mergeCell ref="G73:H73"/>
    <mergeCell ref="N60:N61"/>
    <mergeCell ref="O60:O61"/>
    <mergeCell ref="C62:C68"/>
    <mergeCell ref="V62:AB62"/>
    <mergeCell ref="A69:E69"/>
    <mergeCell ref="A72:V72"/>
    <mergeCell ref="A50:A51"/>
    <mergeCell ref="B50:B51"/>
    <mergeCell ref="C50:C51"/>
    <mergeCell ref="A55:E55"/>
    <mergeCell ref="A59:O59"/>
    <mergeCell ref="A60:B61"/>
    <mergeCell ref="C60:C61"/>
    <mergeCell ref="D60:D61"/>
    <mergeCell ref="E60:E61"/>
    <mergeCell ref="F60:F61"/>
    <mergeCell ref="P46:R46"/>
    <mergeCell ref="S46:U46"/>
    <mergeCell ref="V46:X46"/>
    <mergeCell ref="AB46:AB47"/>
    <mergeCell ref="AC46:AC47"/>
    <mergeCell ref="AF49:AI49"/>
    <mergeCell ref="A42:E42"/>
    <mergeCell ref="A45:AC45"/>
    <mergeCell ref="A46:B47"/>
    <mergeCell ref="C46:C47"/>
    <mergeCell ref="D46:D47"/>
    <mergeCell ref="E46:E47"/>
    <mergeCell ref="F46:F47"/>
    <mergeCell ref="G46:I46"/>
    <mergeCell ref="J46:L46"/>
    <mergeCell ref="M46:O46"/>
    <mergeCell ref="Y46:AA46"/>
    <mergeCell ref="B20:B23"/>
    <mergeCell ref="C20:C23"/>
    <mergeCell ref="C27:C28"/>
    <mergeCell ref="B30:B32"/>
    <mergeCell ref="C30:C32"/>
    <mergeCell ref="B33:B34"/>
    <mergeCell ref="B6:B7"/>
    <mergeCell ref="C6:C7"/>
    <mergeCell ref="AF6:AI6"/>
    <mergeCell ref="B13:B14"/>
    <mergeCell ref="AG13:AH13"/>
    <mergeCell ref="B16:B17"/>
    <mergeCell ref="AG14:AH14"/>
    <mergeCell ref="I17:I18"/>
    <mergeCell ref="S2:U2"/>
    <mergeCell ref="V2:X2"/>
    <mergeCell ref="AB2:AB3"/>
    <mergeCell ref="AC2:AC3"/>
    <mergeCell ref="B4:B5"/>
    <mergeCell ref="C4:C5"/>
    <mergeCell ref="A1:AC1"/>
    <mergeCell ref="A2:B3"/>
    <mergeCell ref="C2:C3"/>
    <mergeCell ref="D2:D3"/>
    <mergeCell ref="E2:E3"/>
    <mergeCell ref="F2:F3"/>
    <mergeCell ref="G2:I2"/>
    <mergeCell ref="J2:L2"/>
    <mergeCell ref="M2:O2"/>
    <mergeCell ref="P2:R2"/>
    <mergeCell ref="Y2:AA2"/>
  </mergeCells>
  <conditionalFormatting sqref="AB4:AB18 AB20:AB41">
    <cfRule type="cellIs" dxfId="127" priority="33" operator="lessThan">
      <formula>-1</formula>
    </cfRule>
  </conditionalFormatting>
  <conditionalFormatting sqref="AB42">
    <cfRule type="cellIs" dxfId="126" priority="31" operator="greaterThan">
      <formula>0</formula>
    </cfRule>
  </conditionalFormatting>
  <conditionalFormatting sqref="AB48:AB54">
    <cfRule type="cellIs" dxfId="125" priority="1" operator="lessThan">
      <formula>0</formula>
    </cfRule>
  </conditionalFormatting>
  <conditionalFormatting sqref="AC4">
    <cfRule type="cellIs" dxfId="124" priority="30" operator="greaterThan">
      <formula>$F$4</formula>
    </cfRule>
  </conditionalFormatting>
  <conditionalFormatting sqref="AC5">
    <cfRule type="cellIs" dxfId="123" priority="29" operator="greaterThan">
      <formula>$F$5</formula>
    </cfRule>
  </conditionalFormatting>
  <conditionalFormatting sqref="AC6">
    <cfRule type="cellIs" dxfId="122" priority="2" operator="greaterThan">
      <formula>$F$6</formula>
    </cfRule>
  </conditionalFormatting>
  <conditionalFormatting sqref="AC7">
    <cfRule type="cellIs" dxfId="121" priority="28" operator="greaterThan">
      <formula>$F$7</formula>
    </cfRule>
  </conditionalFormatting>
  <conditionalFormatting sqref="AC8">
    <cfRule type="cellIs" dxfId="120" priority="27" operator="greaterThan">
      <formula>$F$8</formula>
    </cfRule>
  </conditionalFormatting>
  <conditionalFormatting sqref="AC9">
    <cfRule type="cellIs" dxfId="119" priority="26" operator="greaterThan">
      <formula>$F$9</formula>
    </cfRule>
  </conditionalFormatting>
  <conditionalFormatting sqref="AC10">
    <cfRule type="cellIs" dxfId="118" priority="25" operator="greaterThan">
      <formula>$F$10</formula>
    </cfRule>
  </conditionalFormatting>
  <conditionalFormatting sqref="AC11">
    <cfRule type="cellIs" dxfId="117" priority="24" operator="greaterThan">
      <formula>$F$11</formula>
    </cfRule>
  </conditionalFormatting>
  <conditionalFormatting sqref="AC12">
    <cfRule type="cellIs" dxfId="116" priority="23" operator="greaterThan">
      <formula>$F$12</formula>
    </cfRule>
  </conditionalFormatting>
  <conditionalFormatting sqref="AC13">
    <cfRule type="cellIs" dxfId="115" priority="22" operator="greaterThan">
      <formula>$F$13</formula>
    </cfRule>
  </conditionalFormatting>
  <conditionalFormatting sqref="AC14">
    <cfRule type="cellIs" dxfId="114" priority="21" operator="greaterThan">
      <formula>$F$14</formula>
    </cfRule>
  </conditionalFormatting>
  <conditionalFormatting sqref="AC15">
    <cfRule type="cellIs" dxfId="113" priority="20" operator="greaterThan">
      <formula>$F$15</formula>
    </cfRule>
  </conditionalFormatting>
  <conditionalFormatting sqref="AC16:AC17">
    <cfRule type="cellIs" dxfId="112" priority="19" operator="greaterThan">
      <formula>$F$16</formula>
    </cfRule>
  </conditionalFormatting>
  <conditionalFormatting sqref="AC18">
    <cfRule type="cellIs" dxfId="111" priority="18" operator="greaterThan">
      <formula>$F$18</formula>
    </cfRule>
  </conditionalFormatting>
  <conditionalFormatting sqref="AC19">
    <cfRule type="cellIs" dxfId="110" priority="17" operator="greaterThan">
      <formula>$F$19</formula>
    </cfRule>
  </conditionalFormatting>
  <conditionalFormatting sqref="AC20">
    <cfRule type="cellIs" dxfId="109" priority="16" operator="greaterThan">
      <formula>$F$20</formula>
    </cfRule>
  </conditionalFormatting>
  <conditionalFormatting sqref="AC21">
    <cfRule type="cellIs" dxfId="108" priority="15" operator="greaterThan">
      <formula>$F$21</formula>
    </cfRule>
  </conditionalFormatting>
  <conditionalFormatting sqref="AC24">
    <cfRule type="cellIs" dxfId="107" priority="14" operator="greaterThan">
      <formula>$F$24</formula>
    </cfRule>
  </conditionalFormatting>
  <conditionalFormatting sqref="AC25">
    <cfRule type="cellIs" dxfId="106" priority="13" operator="greaterThan">
      <formula>$F$25</formula>
    </cfRule>
  </conditionalFormatting>
  <conditionalFormatting sqref="AC26">
    <cfRule type="cellIs" dxfId="105" priority="12" operator="greaterThan">
      <formula>$F$26</formula>
    </cfRule>
  </conditionalFormatting>
  <conditionalFormatting sqref="AC27">
    <cfRule type="cellIs" dxfId="104" priority="11" operator="greaterThan">
      <formula>$F$27</formula>
    </cfRule>
  </conditionalFormatting>
  <conditionalFormatting sqref="AC28">
    <cfRule type="cellIs" dxfId="103" priority="10" operator="greaterThan">
      <formula>$F$28</formula>
    </cfRule>
  </conditionalFormatting>
  <conditionalFormatting sqref="AC29">
    <cfRule type="cellIs" dxfId="102" priority="9" operator="greaterThan">
      <formula>$F$29</formula>
    </cfRule>
  </conditionalFormatting>
  <conditionalFormatting sqref="AC30">
    <cfRule type="cellIs" dxfId="101" priority="8" operator="greaterThan">
      <formula>$F$30</formula>
    </cfRule>
  </conditionalFormatting>
  <conditionalFormatting sqref="AC31 AC35 AC39">
    <cfRule type="cellIs" dxfId="100" priority="7" operator="greaterThan">
      <formula>$F$31</formula>
    </cfRule>
  </conditionalFormatting>
  <conditionalFormatting sqref="AC32 AC36 AC40">
    <cfRule type="cellIs" dxfId="99" priority="6" operator="greaterThan">
      <formula>$F$32</formula>
    </cfRule>
  </conditionalFormatting>
  <conditionalFormatting sqref="AC33 AC37 AC41">
    <cfRule type="cellIs" dxfId="98" priority="5" operator="greaterThan">
      <formula>$F$33</formula>
    </cfRule>
  </conditionalFormatting>
  <conditionalFormatting sqref="AC34 AC38">
    <cfRule type="cellIs" dxfId="97" priority="4" operator="greaterThan">
      <formula>$F$34</formula>
    </cfRule>
  </conditionalFormatting>
  <conditionalFormatting sqref="AC42">
    <cfRule type="cellIs" dxfId="96" priority="32" operator="lessThan">
      <formula>46700</formula>
    </cfRule>
  </conditionalFormatting>
  <pageMargins left="0.25" right="0.25" top="0.75" bottom="0.75" header="0.3" footer="0.3"/>
  <pageSetup scale="1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E0F4-8706-4921-A6AC-426F599DD9D8}">
  <sheetPr>
    <pageSetUpPr fitToPage="1"/>
  </sheetPr>
  <dimension ref="A1:BJ239"/>
  <sheetViews>
    <sheetView topLeftCell="C1" zoomScale="61" zoomScaleNormal="85" workbookViewId="0">
      <selection activeCell="D76" sqref="D76"/>
    </sheetView>
  </sheetViews>
  <sheetFormatPr baseColWidth="10" defaultRowHeight="14.4"/>
  <cols>
    <col min="1" max="1" width="4.44140625" style="1" customWidth="1"/>
    <col min="2" max="2" width="34.77734375" style="1" customWidth="1"/>
    <col min="3" max="3" width="36.88671875" style="1" customWidth="1"/>
    <col min="4" max="4" width="32.33203125" style="1" customWidth="1"/>
    <col min="5" max="5" width="19.77734375" style="1" customWidth="1"/>
    <col min="6" max="6" width="21.5546875" style="2" customWidth="1"/>
    <col min="7" max="7" width="20" customWidth="1"/>
    <col min="8" max="8" width="17" customWidth="1"/>
    <col min="9" max="9" width="19.21875" customWidth="1"/>
    <col min="10" max="10" width="17.21875" customWidth="1"/>
    <col min="11" max="11" width="15.21875" customWidth="1"/>
    <col min="12" max="12" width="16.5546875" customWidth="1"/>
    <col min="13" max="13" width="16.77734375" customWidth="1"/>
    <col min="14" max="14" width="21.6640625" customWidth="1"/>
    <col min="15" max="15" width="20.88671875" customWidth="1"/>
    <col min="16" max="16" width="19" customWidth="1"/>
    <col min="17" max="17" width="15.6640625" customWidth="1"/>
    <col min="18" max="18" width="14.88671875" customWidth="1"/>
    <col min="19" max="19" width="18.44140625" customWidth="1"/>
    <col min="20" max="20" width="22.21875" customWidth="1"/>
    <col min="21" max="21" width="16.44140625" customWidth="1"/>
    <col min="22" max="22" width="16.6640625" customWidth="1"/>
    <col min="23" max="23" width="17.21875" customWidth="1"/>
    <col min="28" max="28" width="19.109375" bestFit="1" customWidth="1"/>
    <col min="29" max="29" width="18.6640625" customWidth="1"/>
    <col min="30" max="30" width="14.6640625" customWidth="1"/>
    <col min="32" max="32" width="21.33203125" customWidth="1"/>
    <col min="33" max="33" width="16.44140625" customWidth="1"/>
    <col min="34" max="34" width="21" customWidth="1"/>
    <col min="35" max="35" width="18.21875" customWidth="1"/>
    <col min="37" max="37" width="15.6640625" customWidth="1"/>
    <col min="40" max="42" width="13.88671875" customWidth="1"/>
    <col min="43" max="44" width="14.33203125" customWidth="1"/>
    <col min="45" max="46" width="14.77734375" customWidth="1"/>
    <col min="47" max="48" width="18.33203125" customWidth="1"/>
    <col min="50" max="50" width="13.33203125" customWidth="1"/>
    <col min="54" max="54" width="15.5546875" customWidth="1"/>
  </cols>
  <sheetData>
    <row r="1" spans="1:56" ht="24.6">
      <c r="A1" s="325" t="s">
        <v>139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</row>
    <row r="2" spans="1:56" ht="28.8" customHeight="1">
      <c r="A2" s="269" t="s">
        <v>0</v>
      </c>
      <c r="B2" s="270"/>
      <c r="C2" s="273" t="s">
        <v>2</v>
      </c>
      <c r="D2" s="273" t="s">
        <v>8</v>
      </c>
      <c r="E2" s="273" t="s">
        <v>1</v>
      </c>
      <c r="F2" s="326" t="s">
        <v>91</v>
      </c>
      <c r="G2" s="317">
        <v>46216</v>
      </c>
      <c r="H2" s="317"/>
      <c r="I2" s="317"/>
      <c r="J2" s="317">
        <v>46217</v>
      </c>
      <c r="K2" s="317"/>
      <c r="L2" s="317"/>
      <c r="M2" s="317">
        <v>46218</v>
      </c>
      <c r="N2" s="317"/>
      <c r="O2" s="317"/>
      <c r="P2" s="317">
        <v>46219</v>
      </c>
      <c r="Q2" s="317"/>
      <c r="R2" s="317"/>
      <c r="S2" s="317">
        <v>46220</v>
      </c>
      <c r="T2" s="317"/>
      <c r="U2" s="317"/>
      <c r="V2" s="317">
        <v>46221</v>
      </c>
      <c r="W2" s="317"/>
      <c r="X2" s="317"/>
      <c r="Y2" s="317">
        <v>46222</v>
      </c>
      <c r="Z2" s="317"/>
      <c r="AA2" s="317"/>
      <c r="AB2" s="317" t="s">
        <v>94</v>
      </c>
      <c r="AC2" s="262" t="s">
        <v>92</v>
      </c>
    </row>
    <row r="3" spans="1:56">
      <c r="A3" s="271"/>
      <c r="B3" s="272"/>
      <c r="C3" s="274"/>
      <c r="D3" s="274"/>
      <c r="E3" s="274"/>
      <c r="F3" s="327"/>
      <c r="G3" s="17" t="s">
        <v>95</v>
      </c>
      <c r="H3" s="17" t="s">
        <v>96</v>
      </c>
      <c r="I3" s="17" t="s">
        <v>103</v>
      </c>
      <c r="J3" s="17" t="s">
        <v>95</v>
      </c>
      <c r="K3" s="17" t="s">
        <v>96</v>
      </c>
      <c r="L3" s="17" t="s">
        <v>98</v>
      </c>
      <c r="M3" s="17" t="s">
        <v>95</v>
      </c>
      <c r="N3" s="17" t="s">
        <v>96</v>
      </c>
      <c r="O3" s="17" t="s">
        <v>98</v>
      </c>
      <c r="P3" s="17" t="s">
        <v>95</v>
      </c>
      <c r="Q3" s="17" t="s">
        <v>96</v>
      </c>
      <c r="R3" s="17" t="s">
        <v>98</v>
      </c>
      <c r="S3" s="17" t="s">
        <v>95</v>
      </c>
      <c r="T3" s="17" t="s">
        <v>96</v>
      </c>
      <c r="U3" s="17" t="s">
        <v>103</v>
      </c>
      <c r="V3" s="17" t="s">
        <v>95</v>
      </c>
      <c r="W3" s="17" t="s">
        <v>96</v>
      </c>
      <c r="X3" s="17" t="s">
        <v>103</v>
      </c>
      <c r="Y3" s="17" t="s">
        <v>95</v>
      </c>
      <c r="Z3" s="17" t="s">
        <v>96</v>
      </c>
      <c r="AA3" s="17" t="s">
        <v>103</v>
      </c>
      <c r="AB3" s="317"/>
      <c r="AC3" s="262"/>
    </row>
    <row r="4" spans="1:56" s="3" customFormat="1">
      <c r="A4" s="40">
        <v>1</v>
      </c>
      <c r="B4" s="263" t="s">
        <v>4</v>
      </c>
      <c r="C4" s="263" t="s">
        <v>7</v>
      </c>
      <c r="D4" s="9" t="s">
        <v>5</v>
      </c>
      <c r="E4" s="9" t="s">
        <v>6</v>
      </c>
      <c r="F4" s="10">
        <v>1200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8">
        <f t="shared" ref="AB4:AB18" si="0">F4-(G4+H4+J4+K4+M4+N4+P4+Q4+S4+T4+V4+W4+U4+O4+I4+L4+R4+X4)</f>
        <v>1200</v>
      </c>
      <c r="AC4" s="18">
        <f t="shared" ref="AC4:AC16" si="1">SUM(G4:X4)</f>
        <v>0</v>
      </c>
      <c r="AD4" s="21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</row>
    <row r="5" spans="1:56" s="3" customFormat="1">
      <c r="A5" s="40">
        <v>2</v>
      </c>
      <c r="B5" s="263"/>
      <c r="C5" s="263"/>
      <c r="D5" s="8" t="s">
        <v>35</v>
      </c>
      <c r="E5" s="8"/>
      <c r="F5" s="12">
        <v>500</v>
      </c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8">
        <f t="shared" si="0"/>
        <v>500</v>
      </c>
      <c r="AC5" s="18">
        <f t="shared" si="1"/>
        <v>0</v>
      </c>
      <c r="AD5" s="21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56">
      <c r="A6" s="37">
        <v>3</v>
      </c>
      <c r="B6" s="277" t="s">
        <v>9</v>
      </c>
      <c r="C6" s="277" t="s">
        <v>10</v>
      </c>
      <c r="D6" s="6" t="s">
        <v>11</v>
      </c>
      <c r="E6" s="6" t="s">
        <v>12</v>
      </c>
      <c r="F6" s="7">
        <v>2500</v>
      </c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8">
        <f t="shared" si="0"/>
        <v>2500</v>
      </c>
      <c r="AC6" s="18">
        <f t="shared" si="1"/>
        <v>0</v>
      </c>
      <c r="AD6" s="21"/>
      <c r="AF6" s="328" t="s">
        <v>264</v>
      </c>
      <c r="AG6" s="329"/>
      <c r="AH6" s="329"/>
      <c r="AI6" s="329"/>
      <c r="AK6" s="44"/>
    </row>
    <row r="7" spans="1:56">
      <c r="A7" s="37">
        <v>4</v>
      </c>
      <c r="B7" s="277"/>
      <c r="C7" s="277"/>
      <c r="D7" s="6" t="s">
        <v>35</v>
      </c>
      <c r="E7" s="6"/>
      <c r="F7" s="7">
        <v>500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8">
        <f t="shared" si="0"/>
        <v>500</v>
      </c>
      <c r="AC7" s="18">
        <f t="shared" si="1"/>
        <v>0</v>
      </c>
      <c r="AD7" s="21"/>
      <c r="AF7" s="26" t="s">
        <v>99</v>
      </c>
      <c r="AG7" s="26" t="s">
        <v>100</v>
      </c>
      <c r="AH7" s="26" t="s">
        <v>101</v>
      </c>
      <c r="AI7" s="26" t="s">
        <v>102</v>
      </c>
      <c r="AK7" s="44"/>
    </row>
    <row r="8" spans="1:56">
      <c r="A8" s="37">
        <v>5</v>
      </c>
      <c r="B8" s="6" t="s">
        <v>13</v>
      </c>
      <c r="C8" s="6" t="s">
        <v>10</v>
      </c>
      <c r="D8" s="6" t="s">
        <v>14</v>
      </c>
      <c r="E8" s="6" t="s">
        <v>97</v>
      </c>
      <c r="F8" s="7">
        <v>1500</v>
      </c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8">
        <f t="shared" si="0"/>
        <v>1500</v>
      </c>
      <c r="AC8" s="18">
        <f t="shared" si="1"/>
        <v>0</v>
      </c>
      <c r="AD8" s="21"/>
      <c r="AF8" s="25" t="s">
        <v>95</v>
      </c>
      <c r="AG8" s="45">
        <f>AI8/AH8</f>
        <v>1154.3066841415466</v>
      </c>
      <c r="AH8" s="23">
        <v>22.89</v>
      </c>
      <c r="AI8" s="46">
        <f>G42+J42+M42+P42+S42+V42</f>
        <v>26422.080000000002</v>
      </c>
    </row>
    <row r="9" spans="1:56">
      <c r="A9" s="37">
        <v>6</v>
      </c>
      <c r="B9" s="6" t="s">
        <v>211</v>
      </c>
      <c r="C9" s="6" t="s">
        <v>10</v>
      </c>
      <c r="D9" s="6" t="s">
        <v>14</v>
      </c>
      <c r="E9" s="6" t="s">
        <v>17</v>
      </c>
      <c r="F9" s="7">
        <v>1500</v>
      </c>
      <c r="G9" s="152">
        <v>1250.07</v>
      </c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8">
        <f t="shared" si="0"/>
        <v>249.93000000000006</v>
      </c>
      <c r="AC9" s="18">
        <f t="shared" si="1"/>
        <v>1250.07</v>
      </c>
      <c r="AD9" s="21"/>
      <c r="AF9" s="25" t="s">
        <v>96</v>
      </c>
      <c r="AG9" s="45">
        <f>AI9/AH9</f>
        <v>3020.0039999999999</v>
      </c>
      <c r="AH9" s="23">
        <v>5</v>
      </c>
      <c r="AI9" s="88">
        <f>H42+K42+N42+Q42+T42+W42+Z42</f>
        <v>15100.02</v>
      </c>
    </row>
    <row r="10" spans="1:56">
      <c r="A10" s="37">
        <v>7</v>
      </c>
      <c r="B10" s="6" t="s">
        <v>18</v>
      </c>
      <c r="C10" s="6" t="s">
        <v>10</v>
      </c>
      <c r="D10" s="6"/>
      <c r="E10" s="6"/>
      <c r="F10" s="7">
        <v>1500</v>
      </c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8">
        <f t="shared" si="0"/>
        <v>1500</v>
      </c>
      <c r="AC10" s="18">
        <f t="shared" si="1"/>
        <v>0</v>
      </c>
      <c r="AD10" s="21"/>
      <c r="AF10" s="25" t="s">
        <v>103</v>
      </c>
      <c r="AG10" s="23"/>
      <c r="AH10" s="23"/>
      <c r="AI10" s="46">
        <f>R42+U42+O42</f>
        <v>0</v>
      </c>
    </row>
    <row r="11" spans="1:56" s="3" customFormat="1">
      <c r="A11" s="40">
        <v>8</v>
      </c>
      <c r="B11" s="8" t="s">
        <v>19</v>
      </c>
      <c r="C11" s="8" t="s">
        <v>20</v>
      </c>
      <c r="D11" s="8" t="s">
        <v>21</v>
      </c>
      <c r="E11" s="8" t="s">
        <v>22</v>
      </c>
      <c r="F11" s="12">
        <v>700</v>
      </c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8">
        <f t="shared" si="0"/>
        <v>700</v>
      </c>
      <c r="AC11" s="18">
        <f t="shared" si="1"/>
        <v>0</v>
      </c>
      <c r="AD11" s="21"/>
      <c r="AE11"/>
      <c r="AF11"/>
      <c r="AG11"/>
      <c r="AH11"/>
      <c r="AI11"/>
      <c r="AJ11"/>
      <c r="AK11"/>
      <c r="AL11"/>
      <c r="AM11"/>
      <c r="BC11"/>
    </row>
    <row r="12" spans="1:56" s="3" customFormat="1">
      <c r="A12" s="40">
        <v>9</v>
      </c>
      <c r="B12" s="8" t="s">
        <v>23</v>
      </c>
      <c r="C12" s="8" t="s">
        <v>24</v>
      </c>
      <c r="D12" s="8" t="s">
        <v>25</v>
      </c>
      <c r="E12" s="8" t="s">
        <v>26</v>
      </c>
      <c r="F12" s="12">
        <v>1500</v>
      </c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8">
        <f t="shared" si="0"/>
        <v>1500</v>
      </c>
      <c r="AC12" s="18">
        <f t="shared" si="1"/>
        <v>0</v>
      </c>
      <c r="AD12" s="21"/>
      <c r="AE12"/>
      <c r="AF12"/>
      <c r="AG12"/>
      <c r="AH12"/>
      <c r="AI12"/>
      <c r="AJ12"/>
      <c r="AK12"/>
      <c r="AL12"/>
      <c r="AM12"/>
      <c r="BC12"/>
    </row>
    <row r="13" spans="1:56">
      <c r="A13" s="37">
        <v>10</v>
      </c>
      <c r="B13" s="277" t="s">
        <v>27</v>
      </c>
      <c r="C13" s="6" t="s">
        <v>28</v>
      </c>
      <c r="D13" s="6" t="s">
        <v>29</v>
      </c>
      <c r="E13" s="6" t="s">
        <v>30</v>
      </c>
      <c r="F13" s="7">
        <v>1500</v>
      </c>
      <c r="G13" s="152">
        <v>1500</v>
      </c>
      <c r="H13" s="103"/>
      <c r="I13" s="103"/>
      <c r="J13" s="103"/>
      <c r="K13" s="103"/>
      <c r="L13" s="103"/>
      <c r="M13" s="103"/>
      <c r="N13" s="103"/>
      <c r="O13" s="103"/>
      <c r="P13" s="152">
        <v>600</v>
      </c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8">
        <f t="shared" si="0"/>
        <v>-600</v>
      </c>
      <c r="AC13" s="18">
        <f t="shared" si="1"/>
        <v>2100</v>
      </c>
      <c r="AD13" s="21"/>
      <c r="AG13" s="340"/>
      <c r="AH13" s="340"/>
      <c r="AI13" s="149"/>
      <c r="AJ13" s="149"/>
      <c r="AK13" s="149"/>
    </row>
    <row r="14" spans="1:56">
      <c r="A14" s="37">
        <v>11</v>
      </c>
      <c r="B14" s="277"/>
      <c r="C14" s="6" t="s">
        <v>34</v>
      </c>
      <c r="D14" s="6" t="s">
        <v>35</v>
      </c>
      <c r="E14" s="6"/>
      <c r="F14" s="7">
        <v>500</v>
      </c>
      <c r="G14" s="103"/>
      <c r="H14" s="103"/>
      <c r="I14" s="103"/>
      <c r="J14" s="103"/>
      <c r="K14" s="103"/>
      <c r="L14" s="103"/>
      <c r="M14" s="103"/>
      <c r="N14" s="103"/>
      <c r="O14" s="103"/>
      <c r="P14" s="30">
        <v>318.38</v>
      </c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8">
        <f t="shared" si="0"/>
        <v>181.62</v>
      </c>
      <c r="AC14" s="18">
        <f t="shared" si="1"/>
        <v>318.38</v>
      </c>
      <c r="AD14" s="21"/>
      <c r="AG14" s="421" t="s">
        <v>265</v>
      </c>
      <c r="AH14" s="422"/>
      <c r="AI14" s="151"/>
      <c r="AJ14" s="151"/>
      <c r="AK14" s="149"/>
    </row>
    <row r="15" spans="1:56">
      <c r="A15" s="37">
        <v>12</v>
      </c>
      <c r="B15" s="6" t="s">
        <v>31</v>
      </c>
      <c r="C15" s="6" t="s">
        <v>28</v>
      </c>
      <c r="D15" s="6" t="s">
        <v>33</v>
      </c>
      <c r="E15" s="6" t="s">
        <v>32</v>
      </c>
      <c r="F15" s="7">
        <v>1500</v>
      </c>
      <c r="G15" s="103"/>
      <c r="H15" s="103">
        <v>1500</v>
      </c>
      <c r="I15" s="102" t="s">
        <v>418</v>
      </c>
      <c r="J15" s="103"/>
      <c r="K15" s="103"/>
      <c r="L15" s="103"/>
      <c r="M15" s="103"/>
      <c r="N15" s="30">
        <v>1500</v>
      </c>
      <c r="O15" s="102" t="s">
        <v>463</v>
      </c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8" t="e">
        <f t="shared" si="0"/>
        <v>#VALUE!</v>
      </c>
      <c r="AC15" s="18">
        <f t="shared" si="1"/>
        <v>3000</v>
      </c>
      <c r="AD15" s="21"/>
      <c r="AG15" s="141" t="s">
        <v>95</v>
      </c>
      <c r="AH15" s="101">
        <f>AI8+AI51</f>
        <v>36439.660000000003</v>
      </c>
      <c r="AI15" s="150"/>
      <c r="AJ15" s="149"/>
      <c r="AK15" s="150"/>
    </row>
    <row r="16" spans="1:56" s="3" customFormat="1">
      <c r="A16" s="40">
        <v>13</v>
      </c>
      <c r="B16" s="336" t="s">
        <v>36</v>
      </c>
      <c r="C16" s="8" t="s">
        <v>37</v>
      </c>
      <c r="D16" s="8" t="s">
        <v>39</v>
      </c>
      <c r="E16" s="8" t="s">
        <v>38</v>
      </c>
      <c r="F16" s="12">
        <v>2500</v>
      </c>
      <c r="G16" s="152">
        <v>1374.06</v>
      </c>
      <c r="H16" s="103"/>
      <c r="I16" s="103"/>
      <c r="J16" s="103"/>
      <c r="K16" s="103"/>
      <c r="L16" s="103"/>
      <c r="M16" s="103"/>
      <c r="N16" s="103"/>
      <c r="O16" s="103"/>
      <c r="P16" s="152">
        <v>1600.22</v>
      </c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8">
        <f t="shared" si="0"/>
        <v>-474.27999999999975</v>
      </c>
      <c r="AC16" s="18">
        <f t="shared" si="1"/>
        <v>2974.2799999999997</v>
      </c>
      <c r="AD16" s="21"/>
      <c r="AE16"/>
      <c r="AF16"/>
      <c r="AG16" s="141" t="s">
        <v>96</v>
      </c>
      <c r="AH16" s="99">
        <f>AI9+AI52</f>
        <v>15100.02</v>
      </c>
      <c r="AI16" s="149"/>
      <c r="AJ16" s="149"/>
      <c r="AK16" s="149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</row>
    <row r="17" spans="1:62" s="3" customFormat="1">
      <c r="A17" s="40"/>
      <c r="B17" s="338"/>
      <c r="C17" s="8" t="s">
        <v>37</v>
      </c>
      <c r="D17" s="8" t="s">
        <v>35</v>
      </c>
      <c r="E17" s="8"/>
      <c r="F17" s="12">
        <v>300</v>
      </c>
      <c r="G17" s="103"/>
      <c r="H17" s="103"/>
      <c r="I17" s="211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8">
        <f t="shared" si="0"/>
        <v>300</v>
      </c>
      <c r="AC17" s="18"/>
      <c r="AD17" s="21"/>
      <c r="AE17"/>
      <c r="AF17"/>
      <c r="AG17" s="141" t="s">
        <v>98</v>
      </c>
      <c r="AH17" s="24">
        <f>AI10+AI53</f>
        <v>0</v>
      </c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</row>
    <row r="18" spans="1:62" s="3" customFormat="1">
      <c r="A18" s="40">
        <v>14</v>
      </c>
      <c r="B18" s="8" t="s">
        <v>40</v>
      </c>
      <c r="C18" s="8" t="s">
        <v>37</v>
      </c>
      <c r="D18" s="8" t="s">
        <v>42</v>
      </c>
      <c r="E18" s="8" t="s">
        <v>41</v>
      </c>
      <c r="F18" s="12">
        <v>2500</v>
      </c>
      <c r="G18"/>
      <c r="H18" s="103"/>
      <c r="I18" s="212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8">
        <f t="shared" si="0"/>
        <v>2500</v>
      </c>
      <c r="AC18" s="18">
        <f>SUM(H18:X18)</f>
        <v>0</v>
      </c>
      <c r="AD18" s="21"/>
      <c r="AE18"/>
      <c r="AF18"/>
      <c r="AG18" s="141" t="s">
        <v>419</v>
      </c>
      <c r="AH18" s="24">
        <f>O69</f>
        <v>17820.25</v>
      </c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</row>
    <row r="19" spans="1:62" s="3" customFormat="1">
      <c r="A19" s="40">
        <v>15</v>
      </c>
      <c r="B19" s="8" t="s">
        <v>43</v>
      </c>
      <c r="C19" s="8" t="s">
        <v>37</v>
      </c>
      <c r="D19" s="8" t="s">
        <v>33</v>
      </c>
      <c r="E19" s="8" t="s">
        <v>44</v>
      </c>
      <c r="F19" s="12">
        <v>4000</v>
      </c>
      <c r="G19" s="152">
        <v>2920.37</v>
      </c>
      <c r="H19" s="103"/>
      <c r="I19" s="103"/>
      <c r="J19" s="103"/>
      <c r="K19" s="103"/>
      <c r="L19" s="103"/>
      <c r="M19" s="103"/>
      <c r="N19" s="103"/>
      <c r="O19" s="103"/>
      <c r="Q19" s="103">
        <v>1500</v>
      </c>
      <c r="R19" s="102" t="s">
        <v>467</v>
      </c>
      <c r="S19" s="103"/>
      <c r="T19" s="103"/>
      <c r="U19" s="103"/>
      <c r="V19" s="103"/>
      <c r="W19" s="103"/>
      <c r="X19" s="103"/>
      <c r="Y19" s="103"/>
      <c r="Z19" s="103"/>
      <c r="AA19" s="103"/>
      <c r="AC19" s="18">
        <f t="shared" ref="AC19:AC41" si="2">SUM(G19:X19)</f>
        <v>4420.37</v>
      </c>
      <c r="AD19" s="21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</row>
    <row r="20" spans="1:62">
      <c r="A20" s="37">
        <v>16</v>
      </c>
      <c r="B20" s="277" t="s">
        <v>45</v>
      </c>
      <c r="C20" s="277" t="s">
        <v>46</v>
      </c>
      <c r="D20" s="6" t="s">
        <v>39</v>
      </c>
      <c r="E20" s="6" t="s">
        <v>47</v>
      </c>
      <c r="F20" s="7">
        <v>2500</v>
      </c>
      <c r="G20" s="152">
        <v>1388.51</v>
      </c>
      <c r="H20" s="103"/>
      <c r="I20" s="103"/>
      <c r="J20" s="103"/>
      <c r="K20" s="103"/>
      <c r="L20" s="103"/>
      <c r="M20" s="103"/>
      <c r="N20" s="103"/>
      <c r="O20" s="103"/>
      <c r="P20" s="152">
        <v>1111</v>
      </c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8">
        <f>F20-(G20+H20+J20+K20+M20+N20+P20+Q20+S20+T20+V20+W20+U20+O20+I20+L20+R20+X20)</f>
        <v>0.48999999999978172</v>
      </c>
      <c r="AC20" s="18">
        <f t="shared" si="2"/>
        <v>2499.5100000000002</v>
      </c>
      <c r="AD20" s="21"/>
    </row>
    <row r="21" spans="1:62">
      <c r="A21" s="37">
        <v>17</v>
      </c>
      <c r="B21" s="277"/>
      <c r="C21" s="277"/>
      <c r="D21" s="6" t="s">
        <v>54</v>
      </c>
      <c r="E21" s="6"/>
      <c r="F21" s="41">
        <v>1000</v>
      </c>
      <c r="G21" s="30">
        <v>1000</v>
      </c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>
        <v>500</v>
      </c>
      <c r="T21" s="103"/>
      <c r="U21" s="103"/>
      <c r="V21" s="103"/>
      <c r="W21" s="103"/>
      <c r="X21" s="103"/>
      <c r="Y21" s="103"/>
      <c r="Z21" s="103"/>
      <c r="AA21" s="103"/>
      <c r="AB21" s="18">
        <f>F21-(G21+H21+J21+K21+M21+N21+P21+Q21+S21+T21+V21+W21+U21+O21+I21+L21+R21+X21)</f>
        <v>-500</v>
      </c>
      <c r="AC21" s="18">
        <f t="shared" si="2"/>
        <v>1500</v>
      </c>
      <c r="AD21" s="21"/>
    </row>
    <row r="22" spans="1:62">
      <c r="A22" s="37">
        <v>18</v>
      </c>
      <c r="B22" s="277"/>
      <c r="C22" s="277"/>
      <c r="D22" s="6" t="s">
        <v>55</v>
      </c>
      <c r="E22" s="6"/>
      <c r="F22" s="41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8">
        <f>F22-(G22+H22+J22+K22+M22+N22+P22+Q22+S22+T22+V22+W22+U22+O22+I22+L22+R22+X22)</f>
        <v>0</v>
      </c>
      <c r="AC22" s="18">
        <f t="shared" si="2"/>
        <v>0</v>
      </c>
      <c r="AD22" s="21"/>
      <c r="AG22" s="21"/>
    </row>
    <row r="23" spans="1:62">
      <c r="A23" s="37">
        <v>19</v>
      </c>
      <c r="B23" s="277"/>
      <c r="C23" s="277"/>
      <c r="D23" s="6" t="s">
        <v>56</v>
      </c>
      <c r="E23" s="6"/>
      <c r="F23" s="41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8">
        <f>F23-(G23+H23+J23+K23+M23+N23+P23+Q23+S23+T23+V23+W23+U23+O23+I23+L23+R23+X23)</f>
        <v>0</v>
      </c>
      <c r="AC23" s="18">
        <f t="shared" si="2"/>
        <v>0</v>
      </c>
      <c r="AD23" s="21"/>
      <c r="AF23" t="s">
        <v>491</v>
      </c>
      <c r="AG23" s="21">
        <f>(H42+N42+Q42+T42+W42)</f>
        <v>15100.02</v>
      </c>
    </row>
    <row r="24" spans="1:62">
      <c r="A24" s="37">
        <v>20</v>
      </c>
      <c r="B24" s="6" t="s">
        <v>48</v>
      </c>
      <c r="C24" s="6" t="s">
        <v>46</v>
      </c>
      <c r="D24" s="6" t="s">
        <v>39</v>
      </c>
      <c r="E24" s="6" t="s">
        <v>49</v>
      </c>
      <c r="F24" s="7">
        <v>1500</v>
      </c>
      <c r="G24" s="103"/>
      <c r="H24" s="103"/>
      <c r="I24" s="103"/>
      <c r="J24" s="103">
        <v>1500</v>
      </c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8">
        <f t="shared" ref="AB24:AB41" si="3">F24-(G24+H24+J24+K24+M24+N24+P24+Q24+S24+T24+V24+W24+O24+R24+U24+I24+L24+X24)</f>
        <v>0</v>
      </c>
      <c r="AC24" s="18">
        <f t="shared" si="2"/>
        <v>1500</v>
      </c>
      <c r="AD24" s="21"/>
    </row>
    <row r="25" spans="1:62">
      <c r="A25" s="37">
        <v>21</v>
      </c>
      <c r="B25" s="6" t="s">
        <v>50</v>
      </c>
      <c r="C25" s="6" t="s">
        <v>46</v>
      </c>
      <c r="D25" s="6" t="s">
        <v>33</v>
      </c>
      <c r="E25" s="6" t="s">
        <v>51</v>
      </c>
      <c r="F25" s="7">
        <v>3000</v>
      </c>
      <c r="G25" s="103"/>
      <c r="H25" s="30">
        <v>3000</v>
      </c>
      <c r="I25" s="102" t="s">
        <v>460</v>
      </c>
      <c r="J25" s="103"/>
      <c r="K25" s="103"/>
      <c r="L25" s="103"/>
      <c r="M25" s="103"/>
      <c r="N25" s="103"/>
      <c r="O25" s="103"/>
      <c r="P25" s="152">
        <v>700</v>
      </c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8" t="e">
        <f t="shared" si="3"/>
        <v>#VALUE!</v>
      </c>
      <c r="AC25" s="18">
        <f t="shared" si="2"/>
        <v>3700</v>
      </c>
      <c r="AD25" s="21"/>
    </row>
    <row r="26" spans="1:62">
      <c r="A26" s="37">
        <v>22</v>
      </c>
      <c r="B26" s="6" t="s">
        <v>52</v>
      </c>
      <c r="C26" s="6" t="s">
        <v>46</v>
      </c>
      <c r="D26" s="6" t="s">
        <v>42</v>
      </c>
      <c r="E26" s="6" t="s">
        <v>53</v>
      </c>
      <c r="F26" s="7">
        <v>2500</v>
      </c>
      <c r="G26" s="30">
        <v>932.79</v>
      </c>
      <c r="H26" s="103"/>
      <c r="I26" s="103"/>
      <c r="J26" s="103"/>
      <c r="K26" s="103"/>
      <c r="L26" s="103"/>
      <c r="M26" s="103"/>
      <c r="N26" s="103"/>
      <c r="O26" s="103"/>
      <c r="P26" s="152">
        <v>1217.3399999999999</v>
      </c>
      <c r="Q26" s="103"/>
      <c r="R26" s="103"/>
      <c r="S26" s="103">
        <v>500</v>
      </c>
      <c r="V26" s="103"/>
      <c r="W26" s="103"/>
      <c r="Y26" s="103"/>
      <c r="Z26" s="103"/>
      <c r="AA26" s="103"/>
      <c r="AB26" s="18" t="e">
        <f>F26-(G26+H26+J26+K26+M26+N26+P26+Q26+S26+#REF!+V26+W26+O26+R26+#REF!+I26+L26+U40)</f>
        <v>#REF!</v>
      </c>
      <c r="AC26" s="18">
        <f t="shared" si="2"/>
        <v>2650.13</v>
      </c>
      <c r="AD26" s="21"/>
    </row>
    <row r="27" spans="1:62" s="3" customFormat="1">
      <c r="A27" s="40">
        <v>23</v>
      </c>
      <c r="B27" s="8" t="s">
        <v>66</v>
      </c>
      <c r="C27" s="339" t="s">
        <v>58</v>
      </c>
      <c r="D27" s="8" t="s">
        <v>59</v>
      </c>
      <c r="E27" s="8" t="s">
        <v>60</v>
      </c>
      <c r="F27" s="12">
        <v>2500</v>
      </c>
      <c r="G27" s="103"/>
      <c r="H27" s="30">
        <v>1500</v>
      </c>
      <c r="I27" s="102" t="s">
        <v>461</v>
      </c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30">
        <v>800</v>
      </c>
      <c r="U27" s="102" t="s">
        <v>469</v>
      </c>
      <c r="V27" s="103"/>
      <c r="W27" s="103"/>
      <c r="X27" s="103"/>
      <c r="Y27" s="103"/>
      <c r="Z27" s="103"/>
      <c r="AA27" s="103"/>
      <c r="AB27" s="18" t="e">
        <f>F27-(G27+H27+J27+K27+M27+N27+P27+Q27+S27+T28+V27+W27+O27+R27+U28+I27+L27+X27)</f>
        <v>#VALUE!</v>
      </c>
      <c r="AC27" s="18">
        <f t="shared" si="2"/>
        <v>2300</v>
      </c>
      <c r="AD27" s="21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</row>
    <row r="28" spans="1:62" s="3" customFormat="1">
      <c r="A28" s="40">
        <v>24</v>
      </c>
      <c r="B28" s="8" t="s">
        <v>57</v>
      </c>
      <c r="C28" s="339"/>
      <c r="D28" s="8" t="s">
        <v>35</v>
      </c>
      <c r="E28" s="8"/>
      <c r="F28" s="12">
        <v>1000</v>
      </c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30">
        <v>500</v>
      </c>
      <c r="U28" s="102" t="s">
        <v>468</v>
      </c>
      <c r="V28" s="103"/>
      <c r="W28" s="103"/>
      <c r="X28" s="103"/>
      <c r="Y28" s="103"/>
      <c r="Z28" s="103"/>
      <c r="AA28" s="103"/>
      <c r="AB28" s="18" t="e">
        <f>F28-(G28+H28+J28+K28+M28+N28+P28+Q28+S28+T27+V28+W28+O28+R28+U27+I28+L28+X28)</f>
        <v>#VALUE!</v>
      </c>
      <c r="AC28" s="18">
        <f t="shared" si="2"/>
        <v>500</v>
      </c>
      <c r="AD28" s="21"/>
      <c r="AE28"/>
      <c r="AF28"/>
      <c r="AG28"/>
      <c r="AH28"/>
      <c r="AI28"/>
      <c r="AJ28"/>
      <c r="AK28"/>
      <c r="AL28"/>
      <c r="BA28"/>
      <c r="BB28"/>
      <c r="BC28"/>
      <c r="BD28"/>
      <c r="BE28"/>
      <c r="BF28"/>
      <c r="BG28"/>
      <c r="BH28"/>
      <c r="BI28"/>
      <c r="BJ28"/>
    </row>
    <row r="29" spans="1:62">
      <c r="A29" s="37">
        <v>25</v>
      </c>
      <c r="B29" s="6" t="s">
        <v>61</v>
      </c>
      <c r="C29" s="6" t="s">
        <v>62</v>
      </c>
      <c r="D29" s="6" t="s">
        <v>11</v>
      </c>
      <c r="E29" s="6" t="s">
        <v>63</v>
      </c>
      <c r="F29" s="7">
        <v>2500</v>
      </c>
      <c r="G29" s="152">
        <v>1980.44</v>
      </c>
      <c r="H29" s="103"/>
      <c r="I29" s="103"/>
      <c r="J29" s="103"/>
      <c r="K29" s="103"/>
      <c r="L29" s="103"/>
      <c r="M29" s="103"/>
      <c r="N29" s="103"/>
      <c r="O29" s="103"/>
      <c r="P29" s="103"/>
      <c r="Q29" s="30">
        <v>1800.02</v>
      </c>
      <c r="R29" s="102" t="s">
        <v>466</v>
      </c>
      <c r="S29" s="103"/>
      <c r="T29" s="103"/>
      <c r="U29" s="103"/>
      <c r="V29" s="103"/>
      <c r="W29" s="103"/>
      <c r="X29" s="103"/>
      <c r="Y29" s="103"/>
      <c r="Z29" s="103"/>
      <c r="AA29" s="103"/>
      <c r="AB29" s="18" t="e">
        <f t="shared" si="3"/>
        <v>#VALUE!</v>
      </c>
      <c r="AC29" s="18">
        <f t="shared" si="2"/>
        <v>3780.46</v>
      </c>
      <c r="AD29" s="21"/>
    </row>
    <row r="30" spans="1:62">
      <c r="A30" s="37">
        <v>26</v>
      </c>
      <c r="B30" s="277" t="s">
        <v>64</v>
      </c>
      <c r="C30" s="277" t="s">
        <v>62</v>
      </c>
      <c r="D30" s="6" t="s">
        <v>65</v>
      </c>
      <c r="E30" s="6" t="s">
        <v>67</v>
      </c>
      <c r="F30" s="7">
        <v>1000</v>
      </c>
      <c r="G30" s="152">
        <v>1000</v>
      </c>
      <c r="H30" s="103"/>
      <c r="I30" s="103"/>
      <c r="J30" s="103"/>
      <c r="K30" s="103"/>
      <c r="L30" s="103"/>
      <c r="M30" s="103"/>
      <c r="N30" s="103"/>
      <c r="O30" s="103"/>
      <c r="P30" s="152">
        <v>200</v>
      </c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8">
        <f t="shared" si="3"/>
        <v>-200</v>
      </c>
      <c r="AC30" s="18">
        <f t="shared" si="2"/>
        <v>1200</v>
      </c>
      <c r="AD30" s="21"/>
    </row>
    <row r="31" spans="1:62">
      <c r="A31" s="37">
        <v>27</v>
      </c>
      <c r="B31" s="277"/>
      <c r="C31" s="277"/>
      <c r="D31" s="6" t="s">
        <v>68</v>
      </c>
      <c r="E31" s="6"/>
      <c r="F31" s="7">
        <v>500</v>
      </c>
      <c r="G31" s="152">
        <v>500</v>
      </c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8">
        <f t="shared" si="3"/>
        <v>0</v>
      </c>
      <c r="AC31" s="18">
        <f t="shared" si="2"/>
        <v>500</v>
      </c>
      <c r="AD31" s="21"/>
    </row>
    <row r="32" spans="1:62">
      <c r="A32" s="37">
        <v>28</v>
      </c>
      <c r="B32" s="277"/>
      <c r="C32" s="277"/>
      <c r="D32" s="6" t="s">
        <v>68</v>
      </c>
      <c r="E32" s="6"/>
      <c r="F32" s="7">
        <v>500</v>
      </c>
      <c r="G32" s="103"/>
      <c r="H32" s="103"/>
      <c r="I32" s="103"/>
      <c r="J32" s="103"/>
      <c r="K32" s="103"/>
      <c r="L32" s="103"/>
      <c r="M32" s="103">
        <v>228.9</v>
      </c>
      <c r="N32" s="103"/>
      <c r="O32" s="103"/>
      <c r="P32" s="152">
        <v>500</v>
      </c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8">
        <f t="shared" si="3"/>
        <v>-228.89999999999998</v>
      </c>
      <c r="AC32" s="18">
        <f t="shared" si="2"/>
        <v>728.9</v>
      </c>
      <c r="AD32" s="21"/>
    </row>
    <row r="33" spans="1:30">
      <c r="A33" s="37">
        <v>29</v>
      </c>
      <c r="B33" s="277" t="s">
        <v>69</v>
      </c>
      <c r="C33" s="6"/>
      <c r="D33" s="6"/>
      <c r="E33" s="6" t="s">
        <v>70</v>
      </c>
      <c r="F33" s="7">
        <v>800</v>
      </c>
      <c r="G33" s="152">
        <v>800</v>
      </c>
      <c r="H33" s="103"/>
      <c r="I33" s="103"/>
      <c r="J33" s="103"/>
      <c r="K33" s="103"/>
      <c r="L33" s="103"/>
      <c r="M33" s="103"/>
      <c r="N33" s="103"/>
      <c r="O33" s="103"/>
      <c r="P33" s="152">
        <v>500</v>
      </c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8">
        <f t="shared" si="3"/>
        <v>-500</v>
      </c>
      <c r="AC33" s="18">
        <f t="shared" si="2"/>
        <v>1300</v>
      </c>
      <c r="AD33" s="21"/>
    </row>
    <row r="34" spans="1:30">
      <c r="A34" s="37">
        <v>30</v>
      </c>
      <c r="B34" s="277"/>
      <c r="C34" s="6"/>
      <c r="D34" s="6" t="s">
        <v>35</v>
      </c>
      <c r="E34" s="6"/>
      <c r="F34" s="7">
        <v>500</v>
      </c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8">
        <f t="shared" si="3"/>
        <v>500</v>
      </c>
      <c r="AC34" s="18">
        <f t="shared" si="2"/>
        <v>0</v>
      </c>
      <c r="AD34" s="21"/>
    </row>
    <row r="35" spans="1:30">
      <c r="A35" s="37">
        <v>31</v>
      </c>
      <c r="B35" s="176" t="s">
        <v>206</v>
      </c>
      <c r="C35" s="6" t="s">
        <v>207</v>
      </c>
      <c r="D35" s="6"/>
      <c r="E35" s="6" t="s">
        <v>158</v>
      </c>
      <c r="F35" s="7">
        <v>1500</v>
      </c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8">
        <f t="shared" si="3"/>
        <v>1500</v>
      </c>
      <c r="AC35" s="18">
        <f t="shared" si="2"/>
        <v>0</v>
      </c>
      <c r="AD35" s="21"/>
    </row>
    <row r="36" spans="1:30">
      <c r="A36" s="37">
        <v>32</v>
      </c>
      <c r="B36" s="176" t="s">
        <v>160</v>
      </c>
      <c r="C36" s="6" t="s">
        <v>161</v>
      </c>
      <c r="D36" s="6" t="s">
        <v>11</v>
      </c>
      <c r="E36" s="6" t="s">
        <v>159</v>
      </c>
      <c r="F36" s="7">
        <v>1500</v>
      </c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8">
        <f t="shared" si="3"/>
        <v>1500</v>
      </c>
      <c r="AC36" s="18">
        <f t="shared" si="2"/>
        <v>0</v>
      </c>
      <c r="AD36" s="21"/>
    </row>
    <row r="37" spans="1:30">
      <c r="A37" s="37">
        <v>33</v>
      </c>
      <c r="B37" s="176" t="s">
        <v>204</v>
      </c>
      <c r="C37" s="6" t="s">
        <v>205</v>
      </c>
      <c r="D37" s="6" t="s">
        <v>21</v>
      </c>
      <c r="E37" s="6"/>
      <c r="F37" s="7">
        <v>700</v>
      </c>
      <c r="G37" s="152">
        <v>800</v>
      </c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8">
        <f t="shared" si="3"/>
        <v>-100</v>
      </c>
      <c r="AC37" s="18">
        <f t="shared" si="2"/>
        <v>800</v>
      </c>
      <c r="AD37" s="21"/>
    </row>
    <row r="38" spans="1:30">
      <c r="A38" s="37">
        <v>34</v>
      </c>
      <c r="B38" s="6" t="s">
        <v>71</v>
      </c>
      <c r="C38" s="6"/>
      <c r="D38" s="6" t="s">
        <v>73</v>
      </c>
      <c r="E38" s="6" t="s">
        <v>72</v>
      </c>
      <c r="F38" s="7">
        <v>3000</v>
      </c>
      <c r="G38" s="103"/>
      <c r="H38" s="103">
        <v>1200</v>
      </c>
      <c r="I38" s="102" t="s">
        <v>462</v>
      </c>
      <c r="J38" s="103"/>
      <c r="K38" s="103"/>
      <c r="L38" s="103"/>
      <c r="M38" s="103"/>
      <c r="N38" s="103">
        <v>1000</v>
      </c>
      <c r="O38" s="102" t="s">
        <v>464</v>
      </c>
      <c r="P38" s="103"/>
      <c r="Q38" s="103">
        <v>800</v>
      </c>
      <c r="R38" s="205" t="s">
        <v>465</v>
      </c>
      <c r="S38" s="103"/>
      <c r="T38" s="103"/>
      <c r="U38" s="103"/>
      <c r="V38" s="103"/>
      <c r="W38" s="103"/>
      <c r="X38" s="103"/>
      <c r="Y38" s="103"/>
      <c r="Z38" s="103"/>
      <c r="AA38" s="103"/>
      <c r="AB38" s="18" t="e">
        <f t="shared" si="3"/>
        <v>#VALUE!</v>
      </c>
      <c r="AC38" s="18">
        <f t="shared" si="2"/>
        <v>3000</v>
      </c>
      <c r="AD38" s="21"/>
    </row>
    <row r="39" spans="1:30">
      <c r="A39" s="37">
        <v>35</v>
      </c>
      <c r="B39" s="176" t="s">
        <v>266</v>
      </c>
      <c r="C39" s="6"/>
      <c r="D39" s="6" t="s">
        <v>11</v>
      </c>
      <c r="E39" s="6" t="s">
        <v>259</v>
      </c>
      <c r="F39" s="7">
        <v>1500</v>
      </c>
      <c r="G39" s="103"/>
      <c r="H39" s="103"/>
      <c r="I39" s="103"/>
      <c r="J39" s="103">
        <v>1500</v>
      </c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8">
        <f t="shared" si="3"/>
        <v>0</v>
      </c>
      <c r="AC39" s="18">
        <f t="shared" si="2"/>
        <v>1500</v>
      </c>
      <c r="AD39" s="21"/>
    </row>
    <row r="40" spans="1:30">
      <c r="A40" s="37"/>
      <c r="B40" s="6"/>
      <c r="C40" s="6"/>
      <c r="D40" s="6" t="s">
        <v>11</v>
      </c>
      <c r="E40" s="6" t="s">
        <v>260</v>
      </c>
      <c r="F40" s="7">
        <v>1500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8" t="e">
        <f>F40-(G40+H40+J40+K40+M40+N40+P40+Q40+S40+T40+V40+W40+O40+R40+#REF!+I40+L40+X40)</f>
        <v>#REF!</v>
      </c>
      <c r="AC40" s="18">
        <f t="shared" si="2"/>
        <v>0</v>
      </c>
      <c r="AD40" s="21"/>
    </row>
    <row r="41" spans="1:30">
      <c r="A41" s="37"/>
      <c r="B41" s="6"/>
      <c r="C41" s="6"/>
      <c r="D41" s="6" t="s">
        <v>11</v>
      </c>
      <c r="E41" s="6" t="s">
        <v>261</v>
      </c>
      <c r="F41" s="7">
        <v>1500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8">
        <f t="shared" si="3"/>
        <v>1500</v>
      </c>
      <c r="AC41" s="18">
        <f t="shared" si="2"/>
        <v>0</v>
      </c>
      <c r="AD41" s="21"/>
    </row>
    <row r="42" spans="1:30">
      <c r="A42" s="318" t="s">
        <v>105</v>
      </c>
      <c r="B42" s="324"/>
      <c r="C42" s="324"/>
      <c r="D42" s="324"/>
      <c r="E42" s="324"/>
      <c r="F42" s="28">
        <f>SUM(F4:F41)</f>
        <v>55200</v>
      </c>
      <c r="G42" s="42">
        <f>SUM(G4:G41)</f>
        <v>15446.24</v>
      </c>
      <c r="H42" s="42">
        <f>SUM(H4:H41)</f>
        <v>7200</v>
      </c>
      <c r="I42" s="42"/>
      <c r="J42" s="42">
        <f t="shared" ref="I42:X42" si="4">SUM(J4:J41)</f>
        <v>3000</v>
      </c>
      <c r="K42" s="42">
        <f t="shared" si="4"/>
        <v>0</v>
      </c>
      <c r="L42" s="42">
        <f t="shared" si="4"/>
        <v>0</v>
      </c>
      <c r="M42" s="42">
        <f t="shared" si="4"/>
        <v>228.9</v>
      </c>
      <c r="N42" s="42">
        <f t="shared" si="4"/>
        <v>2500</v>
      </c>
      <c r="O42" s="42">
        <f t="shared" si="4"/>
        <v>0</v>
      </c>
      <c r="P42" s="42">
        <f t="shared" si="4"/>
        <v>6746.9400000000005</v>
      </c>
      <c r="Q42" s="42">
        <f t="shared" si="4"/>
        <v>4100.0200000000004</v>
      </c>
      <c r="R42" s="42">
        <f t="shared" si="4"/>
        <v>0</v>
      </c>
      <c r="S42" s="42">
        <f t="shared" si="4"/>
        <v>1000</v>
      </c>
      <c r="T42" s="42">
        <f t="shared" si="4"/>
        <v>1300</v>
      </c>
      <c r="U42" s="42">
        <f t="shared" si="4"/>
        <v>0</v>
      </c>
      <c r="V42" s="42">
        <f t="shared" si="4"/>
        <v>0</v>
      </c>
      <c r="W42" s="42">
        <f t="shared" si="4"/>
        <v>0</v>
      </c>
      <c r="X42" s="42">
        <f t="shared" si="4"/>
        <v>0</v>
      </c>
      <c r="Y42" s="42"/>
      <c r="Z42" s="42"/>
      <c r="AA42" s="42"/>
      <c r="AB42" s="42" t="e">
        <f>SUM(AB4:AB41)</f>
        <v>#VALUE!</v>
      </c>
      <c r="AC42" s="42">
        <f>SUM(AC4:AC38)</f>
        <v>40022.1</v>
      </c>
    </row>
    <row r="43" spans="1:30">
      <c r="AB43" s="21">
        <f>F42-AC42</f>
        <v>15177.900000000001</v>
      </c>
      <c r="AC43" s="21">
        <f>G42+H42+J42+K42+M42+N42+O42+P42+Q42+R42+S42+T42+U42+V42+W42</f>
        <v>41522.100000000006</v>
      </c>
    </row>
    <row r="45" spans="1:30" ht="24.6">
      <c r="A45" s="334" t="s">
        <v>140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35"/>
      <c r="Q45" s="335"/>
      <c r="R45" s="335"/>
      <c r="S45" s="335"/>
      <c r="T45" s="335"/>
      <c r="U45" s="335"/>
      <c r="V45" s="335"/>
      <c r="W45" s="335"/>
      <c r="X45" s="335"/>
      <c r="Y45" s="335"/>
      <c r="Z45" s="335"/>
      <c r="AA45" s="335"/>
      <c r="AB45" s="335"/>
      <c r="AC45" s="335"/>
    </row>
    <row r="46" spans="1:30" ht="28.8" customHeight="1">
      <c r="A46" s="261" t="s">
        <v>0</v>
      </c>
      <c r="B46" s="261"/>
      <c r="C46" s="261" t="s">
        <v>2</v>
      </c>
      <c r="D46" s="261" t="s">
        <v>8</v>
      </c>
      <c r="E46" s="261" t="s">
        <v>1</v>
      </c>
      <c r="F46" s="262" t="s">
        <v>3</v>
      </c>
      <c r="G46" s="317">
        <v>46216</v>
      </c>
      <c r="H46" s="317"/>
      <c r="I46" s="317"/>
      <c r="J46" s="317">
        <v>46217</v>
      </c>
      <c r="K46" s="317"/>
      <c r="L46" s="317"/>
      <c r="M46" s="317">
        <v>46218</v>
      </c>
      <c r="N46" s="317"/>
      <c r="O46" s="317"/>
      <c r="P46" s="317">
        <v>46219</v>
      </c>
      <c r="Q46" s="317"/>
      <c r="R46" s="317"/>
      <c r="S46" s="317">
        <v>46220</v>
      </c>
      <c r="T46" s="317"/>
      <c r="U46" s="317"/>
      <c r="V46" s="317">
        <v>46221</v>
      </c>
      <c r="W46" s="317"/>
      <c r="X46" s="317"/>
      <c r="Y46" s="317">
        <v>46222</v>
      </c>
      <c r="Z46" s="317"/>
      <c r="AA46" s="317"/>
      <c r="AB46" s="332" t="s">
        <v>94</v>
      </c>
      <c r="AC46" s="326" t="s">
        <v>92</v>
      </c>
    </row>
    <row r="47" spans="1:30">
      <c r="A47" s="261"/>
      <c r="B47" s="261"/>
      <c r="C47" s="261"/>
      <c r="D47" s="261"/>
      <c r="E47" s="261"/>
      <c r="F47" s="262"/>
      <c r="G47" s="17" t="s">
        <v>95</v>
      </c>
      <c r="H47" s="17" t="s">
        <v>96</v>
      </c>
      <c r="I47" s="17" t="s">
        <v>98</v>
      </c>
      <c r="J47" s="17" t="s">
        <v>95</v>
      </c>
      <c r="K47" s="17" t="s">
        <v>96</v>
      </c>
      <c r="L47" s="17" t="s">
        <v>98</v>
      </c>
      <c r="M47" s="17" t="s">
        <v>95</v>
      </c>
      <c r="N47" s="17" t="s">
        <v>96</v>
      </c>
      <c r="O47" s="17" t="s">
        <v>98</v>
      </c>
      <c r="P47" s="17" t="s">
        <v>95</v>
      </c>
      <c r="Q47" s="17" t="s">
        <v>96</v>
      </c>
      <c r="R47" s="17" t="s">
        <v>98</v>
      </c>
      <c r="S47" s="17" t="s">
        <v>95</v>
      </c>
      <c r="T47" s="17" t="s">
        <v>96</v>
      </c>
      <c r="U47" s="17" t="s">
        <v>98</v>
      </c>
      <c r="V47" s="17" t="s">
        <v>95</v>
      </c>
      <c r="W47" s="17" t="s">
        <v>96</v>
      </c>
      <c r="X47" s="17" t="s">
        <v>98</v>
      </c>
      <c r="Y47" s="17" t="s">
        <v>95</v>
      </c>
      <c r="Z47" s="17" t="s">
        <v>96</v>
      </c>
      <c r="AA47" s="17" t="s">
        <v>98</v>
      </c>
      <c r="AB47" s="333"/>
      <c r="AC47" s="327"/>
    </row>
    <row r="48" spans="1:30">
      <c r="A48" s="37">
        <v>1</v>
      </c>
      <c r="B48" s="6" t="s">
        <v>75</v>
      </c>
      <c r="C48" s="6" t="s">
        <v>77</v>
      </c>
      <c r="D48" s="6" t="s">
        <v>76</v>
      </c>
      <c r="E48" s="6" t="s">
        <v>78</v>
      </c>
      <c r="F48" s="7">
        <v>2500</v>
      </c>
      <c r="G48" s="152">
        <v>1919.56</v>
      </c>
      <c r="H48" s="20"/>
      <c r="I48" s="103"/>
      <c r="J48" s="103"/>
      <c r="K48" s="103"/>
      <c r="L48" s="103"/>
      <c r="M48" s="103"/>
      <c r="N48" s="103"/>
      <c r="O48" s="20"/>
      <c r="P48" s="20"/>
      <c r="Q48" s="20"/>
      <c r="R48" s="20"/>
      <c r="S48" s="20"/>
      <c r="T48" s="20"/>
      <c r="U48" s="20"/>
      <c r="V48" s="20"/>
      <c r="W48" s="20"/>
      <c r="X48" s="102"/>
      <c r="Y48" s="20"/>
      <c r="Z48" s="20"/>
      <c r="AA48" s="20"/>
      <c r="AB48" s="20">
        <f t="shared" ref="AB48:AB54" si="5">F48-(G48+H48+J48+K48+M48+N48+P48+Q48+R48+S48+T48+V48+W48)</f>
        <v>580.44000000000005</v>
      </c>
      <c r="AC48" s="20">
        <f t="shared" ref="AC48:AC54" si="6">(G48+H48+J48+K48+M48+N48+P48+Q48+R48+S48+T48+V48+W48)</f>
        <v>1919.56</v>
      </c>
    </row>
    <row r="49" spans="1:35">
      <c r="A49" s="37">
        <v>2</v>
      </c>
      <c r="B49" s="6" t="s">
        <v>79</v>
      </c>
      <c r="C49" s="6" t="s">
        <v>77</v>
      </c>
      <c r="D49" s="6" t="s">
        <v>73</v>
      </c>
      <c r="E49" s="6" t="s">
        <v>74</v>
      </c>
      <c r="F49" s="7">
        <v>1500</v>
      </c>
      <c r="G49" s="20"/>
      <c r="H49" s="20"/>
      <c r="I49" s="103"/>
      <c r="J49" s="103"/>
      <c r="K49" s="103"/>
      <c r="L49" s="103"/>
      <c r="M49" s="103">
        <v>1500</v>
      </c>
      <c r="N49" s="103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30">
        <f t="shared" si="5"/>
        <v>0</v>
      </c>
      <c r="AC49" s="20">
        <f t="shared" si="6"/>
        <v>1500</v>
      </c>
      <c r="AF49" s="328" t="s">
        <v>104</v>
      </c>
      <c r="AG49" s="329"/>
      <c r="AH49" s="329"/>
      <c r="AI49" s="329"/>
    </row>
    <row r="50" spans="1:35">
      <c r="A50" s="330">
        <v>3</v>
      </c>
      <c r="B50" s="277" t="s">
        <v>80</v>
      </c>
      <c r="C50" s="277" t="s">
        <v>77</v>
      </c>
      <c r="D50" s="6" t="s">
        <v>81</v>
      </c>
      <c r="E50" s="6" t="s">
        <v>6</v>
      </c>
      <c r="F50" s="7">
        <v>2000</v>
      </c>
      <c r="G50" s="20"/>
      <c r="H50" s="20"/>
      <c r="I50" s="103"/>
      <c r="J50" s="103">
        <v>1316.66</v>
      </c>
      <c r="K50" s="103"/>
      <c r="L50" s="103"/>
      <c r="M50" s="103"/>
      <c r="N50" s="103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>
        <f t="shared" si="5"/>
        <v>683.33999999999992</v>
      </c>
      <c r="AC50" s="20">
        <f t="shared" si="6"/>
        <v>1316.66</v>
      </c>
      <c r="AF50" s="26" t="s">
        <v>99</v>
      </c>
      <c r="AG50" s="26" t="s">
        <v>100</v>
      </c>
      <c r="AH50" s="26" t="s">
        <v>101</v>
      </c>
      <c r="AI50" s="26" t="s">
        <v>102</v>
      </c>
    </row>
    <row r="51" spans="1:35">
      <c r="A51" s="331"/>
      <c r="B51" s="277"/>
      <c r="C51" s="277"/>
      <c r="D51" s="6" t="s">
        <v>35</v>
      </c>
      <c r="E51" s="6"/>
      <c r="F51" s="7"/>
      <c r="G51" s="20"/>
      <c r="H51" s="20"/>
      <c r="I51" s="103"/>
      <c r="J51" s="103"/>
      <c r="K51" s="103"/>
      <c r="L51" s="103"/>
      <c r="M51" s="103"/>
      <c r="N51" s="103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30">
        <f t="shared" si="5"/>
        <v>0</v>
      </c>
      <c r="AC51" s="20">
        <f t="shared" si="6"/>
        <v>0</v>
      </c>
      <c r="AF51" s="25" t="s">
        <v>95</v>
      </c>
      <c r="AG51" s="13"/>
      <c r="AH51" s="13"/>
      <c r="AI51" s="24">
        <f>(G55+J55+M55+P55+S55+V55)</f>
        <v>10017.58</v>
      </c>
    </row>
    <row r="52" spans="1:35">
      <c r="A52" s="37">
        <v>4</v>
      </c>
      <c r="B52" s="6" t="s">
        <v>82</v>
      </c>
      <c r="C52" s="6" t="s">
        <v>83</v>
      </c>
      <c r="D52" s="6" t="s">
        <v>73</v>
      </c>
      <c r="E52" s="6" t="s">
        <v>84</v>
      </c>
      <c r="F52" s="7">
        <v>1500</v>
      </c>
      <c r="G52" s="152">
        <v>1500</v>
      </c>
      <c r="H52" s="20"/>
      <c r="I52" s="103"/>
      <c r="J52" s="103"/>
      <c r="K52" s="103"/>
      <c r="L52" s="103"/>
      <c r="M52" s="103"/>
      <c r="N52" s="103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>
        <f t="shared" si="5"/>
        <v>0</v>
      </c>
      <c r="AC52" s="20">
        <f t="shared" si="6"/>
        <v>1500</v>
      </c>
      <c r="AF52" s="25" t="s">
        <v>96</v>
      </c>
      <c r="AG52" s="13"/>
      <c r="AH52" s="13"/>
      <c r="AI52" s="24">
        <f>H55+K55+N55+Q55+T55+W55</f>
        <v>0</v>
      </c>
    </row>
    <row r="53" spans="1:35">
      <c r="A53" s="37">
        <v>5</v>
      </c>
      <c r="B53" s="6" t="s">
        <v>85</v>
      </c>
      <c r="C53" s="6" t="s">
        <v>83</v>
      </c>
      <c r="D53" s="6" t="s">
        <v>73</v>
      </c>
      <c r="E53" s="6" t="s">
        <v>86</v>
      </c>
      <c r="F53" s="7">
        <v>1500</v>
      </c>
      <c r="G53" s="218">
        <v>1500</v>
      </c>
      <c r="H53" s="20"/>
      <c r="I53" s="103"/>
      <c r="J53" s="103">
        <v>300</v>
      </c>
      <c r="K53" s="103"/>
      <c r="L53" s="103"/>
      <c r="M53" s="103"/>
      <c r="N53" s="103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 t="e">
        <f>F53-(M53+H53+J53+K53+#REF!+N53+P53+Q53+R53+S53+T53+V53+W53)</f>
        <v>#REF!</v>
      </c>
      <c r="AC53" s="20" t="e">
        <f>(M53+H53+J53+K53+#REF!+N53+P53+Q53+R53+S53+T53+V53+W53)</f>
        <v>#REF!</v>
      </c>
      <c r="AF53" s="25" t="s">
        <v>98</v>
      </c>
      <c r="AG53" s="13"/>
      <c r="AH53" s="13"/>
      <c r="AI53" s="13"/>
    </row>
    <row r="54" spans="1:35">
      <c r="A54" s="37">
        <v>6</v>
      </c>
      <c r="B54" s="6" t="s">
        <v>87</v>
      </c>
      <c r="C54" s="6" t="s">
        <v>88</v>
      </c>
      <c r="D54" s="6" t="s">
        <v>81</v>
      </c>
      <c r="E54" s="6" t="s">
        <v>89</v>
      </c>
      <c r="F54" s="7">
        <v>2000</v>
      </c>
      <c r="G54" s="30">
        <v>1981.36</v>
      </c>
      <c r="H54" s="20"/>
      <c r="I54" s="103"/>
      <c r="J54" s="103"/>
      <c r="K54" s="103"/>
      <c r="L54" s="103"/>
      <c r="M54" s="103"/>
      <c r="N54" s="103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>
        <f t="shared" si="5"/>
        <v>18.6400000000001</v>
      </c>
      <c r="AC54" s="20">
        <f t="shared" si="6"/>
        <v>1981.36</v>
      </c>
    </row>
    <row r="55" spans="1:35">
      <c r="A55" s="318" t="s">
        <v>105</v>
      </c>
      <c r="B55" s="324"/>
      <c r="C55" s="324"/>
      <c r="D55" s="324"/>
      <c r="E55" s="324"/>
      <c r="F55" s="28">
        <f>SUM(F48:F54)</f>
        <v>11000</v>
      </c>
      <c r="G55" s="29">
        <f>SUM(G48:G54)</f>
        <v>6900.9199999999992</v>
      </c>
      <c r="H55" s="29">
        <f>SUM(H48:H54)</f>
        <v>0</v>
      </c>
      <c r="I55" s="29"/>
      <c r="J55" s="29">
        <f t="shared" ref="J55:AC55" si="7">SUM(J48:J54)</f>
        <v>1616.66</v>
      </c>
      <c r="K55" s="29">
        <f t="shared" si="7"/>
        <v>0</v>
      </c>
      <c r="L55" s="29"/>
      <c r="M55" s="29">
        <f t="shared" si="7"/>
        <v>1500</v>
      </c>
      <c r="N55" s="29">
        <f t="shared" si="7"/>
        <v>0</v>
      </c>
      <c r="O55" s="29"/>
      <c r="P55" s="29">
        <f t="shared" si="7"/>
        <v>0</v>
      </c>
      <c r="Q55" s="29">
        <f t="shared" si="7"/>
        <v>0</v>
      </c>
      <c r="R55" s="29">
        <f t="shared" si="7"/>
        <v>0</v>
      </c>
      <c r="S55" s="29">
        <f t="shared" si="7"/>
        <v>0</v>
      </c>
      <c r="T55" s="29">
        <f t="shared" si="7"/>
        <v>0</v>
      </c>
      <c r="U55" s="29"/>
      <c r="V55" s="29">
        <f t="shared" si="7"/>
        <v>0</v>
      </c>
      <c r="W55" s="29">
        <f t="shared" si="7"/>
        <v>0</v>
      </c>
      <c r="X55" s="29"/>
      <c r="Y55" s="29"/>
      <c r="Z55" s="29"/>
      <c r="AA55" s="29"/>
      <c r="AB55" s="43" t="e">
        <f t="shared" si="7"/>
        <v>#REF!</v>
      </c>
      <c r="AC55" s="43" t="e">
        <f t="shared" si="7"/>
        <v>#REF!</v>
      </c>
    </row>
    <row r="59" spans="1:35" ht="24.6">
      <c r="A59" s="325" t="s">
        <v>269</v>
      </c>
      <c r="B59" s="325"/>
      <c r="C59" s="325"/>
      <c r="D59" s="325"/>
      <c r="E59" s="325"/>
      <c r="F59" s="325"/>
      <c r="G59" s="325"/>
      <c r="H59" s="325"/>
      <c r="I59" s="325"/>
      <c r="J59" s="325"/>
      <c r="K59" s="325"/>
      <c r="L59" s="325"/>
      <c r="M59" s="325"/>
      <c r="N59" s="325"/>
      <c r="O59" s="325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</row>
    <row r="60" spans="1:35" ht="28.8" customHeight="1">
      <c r="A60" s="261" t="s">
        <v>0</v>
      </c>
      <c r="B60" s="261"/>
      <c r="C60" s="261" t="s">
        <v>2</v>
      </c>
      <c r="D60" s="261" t="s">
        <v>8</v>
      </c>
      <c r="E60" s="261" t="s">
        <v>1</v>
      </c>
      <c r="F60" s="262" t="s">
        <v>3</v>
      </c>
      <c r="G60" s="31">
        <v>46216</v>
      </c>
      <c r="H60" s="31">
        <v>46217</v>
      </c>
      <c r="I60" s="31">
        <v>46218</v>
      </c>
      <c r="J60" s="31">
        <v>46219</v>
      </c>
      <c r="K60" s="31">
        <v>46220</v>
      </c>
      <c r="L60" s="31">
        <v>46221</v>
      </c>
      <c r="M60" s="31">
        <v>46222</v>
      </c>
      <c r="N60" s="317" t="s">
        <v>94</v>
      </c>
      <c r="O60" s="262" t="s">
        <v>92</v>
      </c>
      <c r="R60" s="58"/>
      <c r="T60" s="58"/>
      <c r="U60" s="58"/>
      <c r="W60" s="58"/>
      <c r="X60" s="58"/>
      <c r="Y60" s="58"/>
      <c r="Z60" s="58"/>
      <c r="AA60" s="58"/>
    </row>
    <row r="61" spans="1:35">
      <c r="A61" s="261"/>
      <c r="B61" s="261"/>
      <c r="C61" s="261"/>
      <c r="D61" s="261"/>
      <c r="E61" s="261"/>
      <c r="F61" s="262"/>
      <c r="G61" s="17" t="s">
        <v>95</v>
      </c>
      <c r="H61" s="17" t="s">
        <v>95</v>
      </c>
      <c r="I61" s="17" t="s">
        <v>95</v>
      </c>
      <c r="J61" s="17" t="s">
        <v>95</v>
      </c>
      <c r="K61" s="17" t="s">
        <v>95</v>
      </c>
      <c r="L61" s="17" t="s">
        <v>95</v>
      </c>
      <c r="M61" s="17" t="s">
        <v>95</v>
      </c>
      <c r="N61" s="317"/>
      <c r="O61" s="262"/>
      <c r="R61" s="59"/>
      <c r="S61" s="59"/>
      <c r="T61" s="59"/>
      <c r="U61" s="59"/>
      <c r="V61" s="59"/>
      <c r="W61" s="59"/>
      <c r="X61" s="59"/>
      <c r="Y61" s="59"/>
      <c r="Z61" s="59"/>
      <c r="AA61" s="59"/>
    </row>
    <row r="62" spans="1:35">
      <c r="A62" s="37">
        <v>1</v>
      </c>
      <c r="B62" s="32" t="s">
        <v>112</v>
      </c>
      <c r="C62" s="315" t="s">
        <v>118</v>
      </c>
      <c r="D62" s="6"/>
      <c r="E62" s="33" t="s">
        <v>106</v>
      </c>
      <c r="F62" s="7"/>
      <c r="G62" s="13"/>
      <c r="H62" s="13"/>
      <c r="I62" s="13"/>
      <c r="J62" s="13"/>
      <c r="K62" s="13"/>
      <c r="L62" s="13"/>
      <c r="M62" s="13"/>
      <c r="N62" s="13"/>
      <c r="O62" s="20">
        <f t="shared" ref="O62:O68" si="8">SUM(G62:N62)</f>
        <v>0</v>
      </c>
      <c r="V62" s="322"/>
      <c r="W62" s="323"/>
      <c r="X62" s="323"/>
      <c r="Y62" s="323"/>
      <c r="Z62" s="323"/>
      <c r="AA62" s="323"/>
      <c r="AB62" s="323"/>
    </row>
    <row r="63" spans="1:35">
      <c r="A63" s="37">
        <v>2</v>
      </c>
      <c r="B63" s="32" t="s">
        <v>113</v>
      </c>
      <c r="C63" s="315"/>
      <c r="D63" s="6"/>
      <c r="E63" s="33" t="s">
        <v>107</v>
      </c>
      <c r="F63" s="7"/>
      <c r="G63" s="13"/>
      <c r="H63" s="13"/>
      <c r="I63" s="13"/>
      <c r="J63" s="13"/>
      <c r="K63" s="13"/>
      <c r="L63" s="13"/>
      <c r="M63" s="13"/>
      <c r="N63" s="13"/>
      <c r="O63" s="20">
        <f t="shared" si="8"/>
        <v>0</v>
      </c>
      <c r="V63" s="158"/>
      <c r="W63" s="158"/>
      <c r="X63" s="158"/>
      <c r="Y63" s="158"/>
      <c r="Z63" s="158"/>
      <c r="AA63" s="158"/>
      <c r="AB63" s="158"/>
    </row>
    <row r="64" spans="1:35">
      <c r="A64" s="37">
        <v>3</v>
      </c>
      <c r="B64" s="32" t="s">
        <v>114</v>
      </c>
      <c r="C64" s="315"/>
      <c r="D64" s="6"/>
      <c r="E64" s="33" t="s">
        <v>108</v>
      </c>
      <c r="F64" s="7"/>
      <c r="G64" s="13"/>
      <c r="H64" s="13"/>
      <c r="I64" s="13"/>
      <c r="J64" s="13"/>
      <c r="K64" s="13"/>
      <c r="L64" s="13"/>
      <c r="M64" s="13"/>
      <c r="N64" s="13"/>
      <c r="O64" s="20">
        <f t="shared" si="8"/>
        <v>0</v>
      </c>
      <c r="V64" s="1"/>
      <c r="W64" s="1"/>
      <c r="X64" s="1"/>
      <c r="Y64" s="1"/>
      <c r="Z64" s="1"/>
      <c r="AA64" s="1"/>
      <c r="AB64" s="71"/>
    </row>
    <row r="65" spans="1:28">
      <c r="A65" s="37">
        <v>4</v>
      </c>
      <c r="B65" s="32" t="s">
        <v>114</v>
      </c>
      <c r="C65" s="315"/>
      <c r="D65" s="6"/>
      <c r="E65" s="33" t="s">
        <v>108</v>
      </c>
      <c r="F65" s="7"/>
      <c r="G65" s="13"/>
      <c r="H65" s="13"/>
      <c r="I65" s="13"/>
      <c r="J65" s="13"/>
      <c r="K65" s="13"/>
      <c r="L65" s="13"/>
      <c r="M65" s="13"/>
      <c r="N65" s="13"/>
      <c r="O65" s="20">
        <f t="shared" si="8"/>
        <v>0</v>
      </c>
      <c r="V65" s="1"/>
      <c r="W65" s="1"/>
      <c r="X65" s="1"/>
      <c r="Y65" s="1"/>
      <c r="Z65" s="1"/>
      <c r="AA65" s="1"/>
      <c r="AB65" s="1"/>
    </row>
    <row r="66" spans="1:28">
      <c r="A66" s="37">
        <v>5</v>
      </c>
      <c r="B66" s="32" t="s">
        <v>115</v>
      </c>
      <c r="C66" s="315"/>
      <c r="D66" s="6"/>
      <c r="E66" s="33" t="s">
        <v>109</v>
      </c>
      <c r="F66" s="7"/>
      <c r="G66" s="13"/>
      <c r="H66" s="13"/>
      <c r="I66" s="13"/>
      <c r="J66" s="13"/>
      <c r="K66" s="13"/>
      <c r="L66" s="13"/>
      <c r="M66" s="13"/>
      <c r="N66" s="13"/>
      <c r="O66" s="20">
        <f t="shared" si="8"/>
        <v>0</v>
      </c>
      <c r="V66" s="1"/>
      <c r="W66" s="1"/>
      <c r="X66" s="1"/>
      <c r="Y66" s="1"/>
      <c r="Z66" s="1"/>
      <c r="AA66" s="1"/>
      <c r="AB66" s="1"/>
    </row>
    <row r="67" spans="1:28">
      <c r="A67" s="37">
        <v>6</v>
      </c>
      <c r="B67" s="32" t="s">
        <v>116</v>
      </c>
      <c r="C67" s="315"/>
      <c r="D67" s="6"/>
      <c r="E67" s="33" t="s">
        <v>110</v>
      </c>
      <c r="F67" s="7"/>
      <c r="G67" s="13">
        <v>9450.11</v>
      </c>
      <c r="H67" s="20"/>
      <c r="I67" s="13"/>
      <c r="J67" s="13"/>
      <c r="K67" s="13"/>
      <c r="L67" s="13"/>
      <c r="M67" s="13"/>
      <c r="N67" s="13"/>
      <c r="O67" s="20">
        <f t="shared" si="8"/>
        <v>9450.11</v>
      </c>
    </row>
    <row r="68" spans="1:28">
      <c r="A68" s="37">
        <v>7</v>
      </c>
      <c r="B68" s="32" t="s">
        <v>117</v>
      </c>
      <c r="C68" s="315"/>
      <c r="D68" s="6"/>
      <c r="E68" s="33" t="s">
        <v>111</v>
      </c>
      <c r="F68" s="7"/>
      <c r="G68" s="13">
        <v>8370.14</v>
      </c>
      <c r="H68" s="13"/>
      <c r="I68" s="13"/>
      <c r="J68" s="13"/>
      <c r="K68" s="13"/>
      <c r="L68" s="13"/>
      <c r="M68" s="13"/>
      <c r="N68" s="13"/>
      <c r="O68" s="20">
        <f t="shared" si="8"/>
        <v>8370.14</v>
      </c>
    </row>
    <row r="69" spans="1:28">
      <c r="A69" s="318" t="s">
        <v>105</v>
      </c>
      <c r="B69" s="324"/>
      <c r="C69" s="324"/>
      <c r="D69" s="324"/>
      <c r="E69" s="324"/>
      <c r="F69" s="36"/>
      <c r="G69" s="13">
        <f>SUM(G62:G68)</f>
        <v>17820.25</v>
      </c>
      <c r="H69" s="20">
        <f>SUM(H62:H68)</f>
        <v>0</v>
      </c>
      <c r="I69" s="13">
        <f>SUM(I62:I68)</f>
        <v>0</v>
      </c>
      <c r="J69" s="13">
        <f t="shared" ref="J69:K69" si="9">SUM(J62:J68)</f>
        <v>0</v>
      </c>
      <c r="K69" s="13">
        <f t="shared" si="9"/>
        <v>0</v>
      </c>
      <c r="L69" s="13">
        <f>SUM(L62:L68)</f>
        <v>0</v>
      </c>
      <c r="M69" s="13">
        <f>SUM(M62:M68)</f>
        <v>0</v>
      </c>
      <c r="N69" s="13">
        <f>SUM(N62:N68)</f>
        <v>0</v>
      </c>
      <c r="O69" s="20">
        <f>SUM(O62:O68)</f>
        <v>17820.25</v>
      </c>
    </row>
    <row r="72" spans="1:28" ht="24.6">
      <c r="A72" s="325" t="s">
        <v>413</v>
      </c>
      <c r="B72" s="325"/>
      <c r="C72" s="325"/>
      <c r="D72" s="325"/>
      <c r="E72" s="325"/>
      <c r="F72" s="325"/>
      <c r="G72" s="325"/>
      <c r="H72" s="325"/>
      <c r="I72" s="325"/>
      <c r="J72" s="325"/>
      <c r="K72" s="325"/>
      <c r="L72" s="325"/>
      <c r="M72" s="325"/>
      <c r="N72" s="325"/>
      <c r="O72" s="325"/>
      <c r="P72" s="325"/>
      <c r="Q72" s="325"/>
      <c r="R72" s="325"/>
      <c r="S72" s="97"/>
      <c r="U72" s="21"/>
    </row>
    <row r="73" spans="1:28">
      <c r="A73" s="261" t="s">
        <v>349</v>
      </c>
      <c r="B73" s="261"/>
      <c r="C73" s="317">
        <v>46216</v>
      </c>
      <c r="D73" s="317"/>
      <c r="E73" s="317">
        <v>46217</v>
      </c>
      <c r="F73" s="317"/>
      <c r="G73" s="317">
        <v>46218</v>
      </c>
      <c r="H73" s="317"/>
      <c r="I73" s="317">
        <v>46219</v>
      </c>
      <c r="J73" s="317"/>
      <c r="K73" s="317">
        <v>46220</v>
      </c>
      <c r="L73" s="317"/>
      <c r="M73" s="317">
        <v>46221</v>
      </c>
      <c r="N73" s="317"/>
      <c r="O73" s="317">
        <v>46222</v>
      </c>
      <c r="P73" s="317"/>
      <c r="Q73" s="13"/>
      <c r="R73" s="13"/>
      <c r="S73" s="97"/>
      <c r="U73" s="21"/>
    </row>
    <row r="74" spans="1:28">
      <c r="A74" s="261"/>
      <c r="B74" s="261"/>
      <c r="C74" s="17" t="s">
        <v>100</v>
      </c>
      <c r="D74" s="17" t="s">
        <v>144</v>
      </c>
      <c r="E74" s="17" t="s">
        <v>100</v>
      </c>
      <c r="F74" s="17" t="s">
        <v>144</v>
      </c>
      <c r="G74" s="17" t="s">
        <v>100</v>
      </c>
      <c r="H74" s="17" t="s">
        <v>144</v>
      </c>
      <c r="I74" s="17" t="s">
        <v>100</v>
      </c>
      <c r="J74" s="17" t="s">
        <v>144</v>
      </c>
      <c r="K74" s="17" t="s">
        <v>100</v>
      </c>
      <c r="L74" s="17" t="s">
        <v>144</v>
      </c>
      <c r="M74" s="17" t="s">
        <v>100</v>
      </c>
      <c r="N74" s="17" t="s">
        <v>144</v>
      </c>
      <c r="O74" s="17" t="s">
        <v>100</v>
      </c>
      <c r="P74" s="17" t="s">
        <v>144</v>
      </c>
      <c r="Q74" s="52" t="s">
        <v>198</v>
      </c>
      <c r="R74" s="61">
        <v>27</v>
      </c>
      <c r="S74" s="97"/>
      <c r="U74" s="21"/>
    </row>
    <row r="75" spans="1:28">
      <c r="A75" s="37">
        <v>1</v>
      </c>
      <c r="B75" s="25" t="s">
        <v>238</v>
      </c>
      <c r="E75" s="23"/>
      <c r="F75" s="13"/>
      <c r="G75" s="137">
        <v>1099.78</v>
      </c>
      <c r="H75" s="48" t="s">
        <v>438</v>
      </c>
      <c r="I75" s="199"/>
      <c r="J75" s="13"/>
      <c r="K75" s="118">
        <v>1200.0039999999999</v>
      </c>
      <c r="L75" s="13" t="s">
        <v>439</v>
      </c>
      <c r="M75" s="6"/>
      <c r="N75" s="13"/>
      <c r="O75" s="13"/>
      <c r="P75" s="13"/>
      <c r="Q75" s="6" t="e">
        <f>O75+M75+K75+I75+#REF!+E75+G75</f>
        <v>#REF!</v>
      </c>
      <c r="R75" s="284"/>
      <c r="S75" s="97"/>
      <c r="U75" s="21"/>
    </row>
    <row r="76" spans="1:28">
      <c r="A76" s="37">
        <v>2</v>
      </c>
      <c r="B76" s="25" t="s">
        <v>221</v>
      </c>
      <c r="C76" s="137">
        <v>659.42</v>
      </c>
      <c r="D76" s="6" t="s">
        <v>442</v>
      </c>
      <c r="E76" s="23"/>
      <c r="F76"/>
      <c r="G76" s="23"/>
      <c r="H76" s="6"/>
      <c r="I76" s="199"/>
      <c r="J76" s="13"/>
      <c r="K76" s="118">
        <v>1000</v>
      </c>
      <c r="L76" s="13" t="s">
        <v>443</v>
      </c>
      <c r="M76" s="13"/>
      <c r="N76" s="13"/>
      <c r="O76" s="13"/>
      <c r="P76" s="13"/>
      <c r="Q76" s="6">
        <f>O76+M76+K76+I76+G76+E76+C76</f>
        <v>1659.42</v>
      </c>
      <c r="R76" s="284"/>
      <c r="S76" s="97"/>
      <c r="U76" s="21"/>
    </row>
    <row r="77" spans="1:28">
      <c r="A77" s="37">
        <v>3</v>
      </c>
      <c r="B77" s="25" t="s">
        <v>222</v>
      </c>
      <c r="C77" s="23"/>
      <c r="D77" s="6"/>
      <c r="E77" s="14">
        <v>600.00400000000002</v>
      </c>
      <c r="F77" s="6" t="s">
        <v>449</v>
      </c>
      <c r="G77" s="137">
        <v>300.00200000000001</v>
      </c>
      <c r="H77" s="6" t="s">
        <v>450</v>
      </c>
      <c r="I77" s="242">
        <v>500.02</v>
      </c>
      <c r="J77" s="13" t="s">
        <v>452</v>
      </c>
      <c r="K77" s="118">
        <v>200.00200000000001</v>
      </c>
      <c r="L77" s="13" t="s">
        <v>454</v>
      </c>
      <c r="M77" s="13"/>
      <c r="N77" s="13"/>
      <c r="O77" s="13"/>
      <c r="P77" s="13"/>
      <c r="Q77" s="6">
        <f>O77+M77+K77+I77+G77+E77+C77</f>
        <v>1600.0279999999998</v>
      </c>
      <c r="R77" s="284"/>
      <c r="S77" s="97"/>
      <c r="U77" s="21"/>
    </row>
    <row r="78" spans="1:28">
      <c r="A78" s="37">
        <v>4</v>
      </c>
      <c r="B78" s="25" t="s">
        <v>202</v>
      </c>
      <c r="C78" s="23"/>
      <c r="D78" s="6"/>
      <c r="E78" s="6"/>
      <c r="F78" s="6"/>
      <c r="G78" s="23"/>
      <c r="H78" s="6"/>
      <c r="I78" s="199"/>
      <c r="J78" s="13"/>
      <c r="K78" s="13"/>
      <c r="L78" s="13"/>
      <c r="M78" s="13"/>
      <c r="N78" s="13"/>
      <c r="O78" s="13"/>
      <c r="P78" s="13"/>
      <c r="Q78" s="6">
        <f>O78+M78+K78+I78+G78+E78+C78</f>
        <v>0</v>
      </c>
      <c r="R78" s="284"/>
      <c r="S78" s="97"/>
      <c r="U78" s="21"/>
    </row>
    <row r="79" spans="1:28">
      <c r="A79" s="37">
        <v>5</v>
      </c>
      <c r="B79" s="25" t="s">
        <v>197</v>
      </c>
      <c r="C79" s="23"/>
      <c r="D79" s="6"/>
      <c r="E79" s="6"/>
      <c r="F79" s="6"/>
      <c r="G79" s="137">
        <v>200</v>
      </c>
      <c r="H79" s="6" t="s">
        <v>440</v>
      </c>
      <c r="I79" s="137">
        <v>400</v>
      </c>
      <c r="J79" s="13" t="s">
        <v>441</v>
      </c>
      <c r="K79" s="13"/>
      <c r="L79" s="13"/>
      <c r="M79" s="13"/>
      <c r="N79" s="13"/>
      <c r="O79" s="13"/>
      <c r="P79" s="13"/>
      <c r="Q79" s="6">
        <f>O79+M79+K79+I79+G79+E79+C79</f>
        <v>600</v>
      </c>
      <c r="R79" s="284"/>
      <c r="S79" s="97"/>
      <c r="U79" s="21"/>
    </row>
    <row r="80" spans="1:28">
      <c r="A80" s="37">
        <v>6</v>
      </c>
      <c r="B80" s="25" t="s">
        <v>203</v>
      </c>
      <c r="C80" s="137">
        <v>535.00199999999995</v>
      </c>
      <c r="D80" s="6" t="s">
        <v>447</v>
      </c>
      <c r="E80" s="14">
        <v>440</v>
      </c>
      <c r="F80" s="6" t="s">
        <v>448</v>
      </c>
      <c r="G80" s="23"/>
      <c r="H80" s="6"/>
      <c r="I80" s="23"/>
      <c r="J80" s="13"/>
      <c r="K80" s="13"/>
      <c r="L80" s="13"/>
      <c r="M80" s="13"/>
      <c r="N80" s="13"/>
      <c r="O80" s="13"/>
      <c r="P80" s="13"/>
      <c r="Q80" s="6">
        <f>O80+M80+K80+I80+G80+E80+C80</f>
        <v>975.00199999999995</v>
      </c>
      <c r="R80" s="284"/>
      <c r="S80" s="97">
        <f>C86+E86+G86+I86+K86+M86+O86</f>
        <v>13948.255999999999</v>
      </c>
      <c r="U80" s="21"/>
    </row>
    <row r="81" spans="1:21">
      <c r="A81" s="37">
        <v>7</v>
      </c>
      <c r="B81" s="98" t="s">
        <v>223</v>
      </c>
      <c r="C81" s="23"/>
      <c r="D81" s="6"/>
      <c r="E81" s="6"/>
      <c r="F81" s="1"/>
      <c r="G81" s="137">
        <v>1000.004</v>
      </c>
      <c r="H81" s="1" t="s">
        <v>451</v>
      </c>
      <c r="I81" s="199"/>
      <c r="J81" s="13"/>
      <c r="K81" s="13"/>
      <c r="L81" s="13"/>
      <c r="M81" s="13"/>
      <c r="N81" s="13"/>
      <c r="O81" s="13"/>
      <c r="P81" s="13"/>
      <c r="Q81" s="6">
        <f t="shared" ref="Q81:Q85" si="10">O81+M81+K81+I81+G81+E81+C81</f>
        <v>1000.004</v>
      </c>
      <c r="R81" s="284"/>
      <c r="S81" s="97">
        <f>S80*27</f>
        <v>376602.91200000001</v>
      </c>
      <c r="U81" s="21"/>
    </row>
    <row r="82" spans="1:21">
      <c r="A82" s="37">
        <v>8</v>
      </c>
      <c r="B82" s="213" t="s">
        <v>272</v>
      </c>
      <c r="C82" s="137">
        <v>535</v>
      </c>
      <c r="D82" s="6" t="s">
        <v>444</v>
      </c>
      <c r="E82" s="139">
        <v>440</v>
      </c>
      <c r="F82" s="139" t="s">
        <v>445</v>
      </c>
      <c r="G82" s="22"/>
      <c r="H82" s="1"/>
      <c r="I82" s="241">
        <v>850.005</v>
      </c>
      <c r="J82" s="13" t="s">
        <v>446</v>
      </c>
      <c r="K82" s="118">
        <v>400</v>
      </c>
      <c r="L82" s="13" t="s">
        <v>453</v>
      </c>
      <c r="M82" s="13"/>
      <c r="N82" s="13"/>
      <c r="O82" s="13"/>
      <c r="P82" s="13"/>
      <c r="Q82" s="6">
        <f t="shared" si="10"/>
        <v>2225.0050000000001</v>
      </c>
      <c r="R82" s="284"/>
      <c r="S82" s="97"/>
      <c r="U82" s="21"/>
    </row>
    <row r="83" spans="1:21">
      <c r="A83" s="37">
        <v>9</v>
      </c>
      <c r="B83" s="213" t="s">
        <v>273</v>
      </c>
      <c r="C83" s="23"/>
      <c r="D83" s="6"/>
      <c r="E83" s="6"/>
      <c r="F83" s="6"/>
      <c r="G83" s="23"/>
      <c r="H83" s="6"/>
      <c r="I83" s="23"/>
      <c r="J83" s="13"/>
      <c r="K83" s="13"/>
      <c r="L83" s="13"/>
      <c r="M83" s="13"/>
      <c r="N83" s="13"/>
      <c r="O83" s="13"/>
      <c r="P83" s="13"/>
      <c r="Q83" s="6">
        <f t="shared" si="10"/>
        <v>0</v>
      </c>
      <c r="R83" s="284"/>
      <c r="S83" s="97"/>
      <c r="U83" s="21"/>
    </row>
    <row r="84" spans="1:21">
      <c r="A84" s="37"/>
      <c r="B84" s="213" t="s">
        <v>420</v>
      </c>
      <c r="C84" s="23"/>
      <c r="D84" s="6"/>
      <c r="E84" s="14">
        <v>1000</v>
      </c>
      <c r="F84" s="6" t="s">
        <v>458</v>
      </c>
      <c r="G84" s="23"/>
      <c r="H84" s="6"/>
      <c r="I84" s="23"/>
      <c r="J84" s="13"/>
      <c r="K84" s="13"/>
      <c r="L84" s="13"/>
      <c r="M84" s="13"/>
      <c r="N84" s="13"/>
      <c r="O84" s="13"/>
      <c r="P84" s="13"/>
      <c r="Q84" s="6"/>
      <c r="R84" s="284"/>
      <c r="S84" s="97"/>
      <c r="U84" s="21"/>
    </row>
    <row r="85" spans="1:21">
      <c r="A85" s="37">
        <v>10</v>
      </c>
      <c r="B85" s="213" t="s">
        <v>274</v>
      </c>
      <c r="C85" s="137">
        <v>838.99900000000002</v>
      </c>
      <c r="D85" s="6" t="s">
        <v>455</v>
      </c>
      <c r="E85" s="23"/>
      <c r="F85" s="13"/>
      <c r="G85" s="137">
        <v>400.005</v>
      </c>
      <c r="H85" s="6" t="s">
        <v>456</v>
      </c>
      <c r="I85" s="118">
        <v>600.00400000000002</v>
      </c>
      <c r="J85" s="13" t="s">
        <v>457</v>
      </c>
      <c r="K85" s="13"/>
      <c r="L85" s="13"/>
      <c r="M85" s="118">
        <v>750.005</v>
      </c>
      <c r="N85" s="13" t="s">
        <v>459</v>
      </c>
      <c r="O85" s="13"/>
      <c r="P85" s="13"/>
      <c r="Q85" s="6">
        <f t="shared" si="10"/>
        <v>2589.0129999999999</v>
      </c>
      <c r="R85" s="284"/>
      <c r="S85" s="97"/>
      <c r="U85" s="21"/>
    </row>
    <row r="86" spans="1:21">
      <c r="A86" s="318" t="s">
        <v>105</v>
      </c>
      <c r="B86" s="318"/>
      <c r="C86" s="27">
        <f>SUM(C75:C85)</f>
        <v>2568.4210000000003</v>
      </c>
      <c r="D86" s="27"/>
      <c r="E86" s="27">
        <f>SUM(E75:E85)</f>
        <v>2480.0039999999999</v>
      </c>
      <c r="F86" s="27"/>
      <c r="G86" s="27">
        <f>SUM(G75:G85)</f>
        <v>2999.7910000000002</v>
      </c>
      <c r="H86" s="27"/>
      <c r="I86" s="27">
        <f>SUM(I75:I85)</f>
        <v>2350.029</v>
      </c>
      <c r="J86" s="27"/>
      <c r="K86" s="27">
        <f>SUM(K75:K85)</f>
        <v>2800.0059999999999</v>
      </c>
      <c r="L86" s="27"/>
      <c r="M86" s="27">
        <f>SUM(M75:M85)</f>
        <v>750.005</v>
      </c>
      <c r="N86" s="27"/>
      <c r="O86" s="27">
        <f>SUM(O75:O85)</f>
        <v>0</v>
      </c>
      <c r="P86" s="27"/>
      <c r="Q86" s="14" t="e">
        <f>SUM(Q75:Q85)</f>
        <v>#REF!</v>
      </c>
      <c r="R86" s="90" t="e">
        <f>Q86*R74</f>
        <v>#REF!</v>
      </c>
      <c r="S86" s="97"/>
      <c r="U86" s="21"/>
    </row>
    <row r="87" spans="1:21">
      <c r="A87" s="318"/>
      <c r="B87" s="318"/>
      <c r="C87" s="29">
        <f>C86*27</f>
        <v>69347.367000000013</v>
      </c>
      <c r="D87" s="152">
        <v>69347.520000000004</v>
      </c>
      <c r="E87" s="29">
        <f>E86*27</f>
        <v>66960.107999999993</v>
      </c>
      <c r="F87" s="152">
        <v>66960.210000000006</v>
      </c>
      <c r="G87" s="29">
        <f>G86*27</f>
        <v>80994.357000000004</v>
      </c>
      <c r="H87" s="152">
        <v>80994.259999999995</v>
      </c>
      <c r="I87" s="29">
        <f>I86*27</f>
        <v>63450.783000000003</v>
      </c>
      <c r="J87" s="152">
        <v>63450.879999999997</v>
      </c>
      <c r="K87" s="29">
        <f>K86*27</f>
        <v>75600.161999999997</v>
      </c>
      <c r="L87" s="152">
        <v>75600.34</v>
      </c>
      <c r="M87" s="29">
        <f>M86*27</f>
        <v>20250.134999999998</v>
      </c>
      <c r="N87" s="152">
        <v>20250.13</v>
      </c>
      <c r="O87" s="29">
        <f>O86*27</f>
        <v>0</v>
      </c>
      <c r="P87" s="153"/>
      <c r="Q87" s="24">
        <f>O87+M87+K87+I87+G87+E87+C87</f>
        <v>376602.91200000001</v>
      </c>
      <c r="R87" s="13"/>
      <c r="S87" s="97"/>
      <c r="U87" s="21"/>
    </row>
    <row r="88" spans="1:21" ht="28.8">
      <c r="A88"/>
      <c r="B88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90"/>
      <c r="P88" s="210" t="s">
        <v>402</v>
      </c>
      <c r="Q88" s="240">
        <f>P87+N87+L87+J87+H87+F87+D87</f>
        <v>376603.34</v>
      </c>
      <c r="R88" s="13"/>
      <c r="S88" s="97"/>
      <c r="U88" s="21"/>
    </row>
    <row r="89" spans="1:21">
      <c r="F89" s="94"/>
      <c r="S89" s="97"/>
      <c r="U89" s="21"/>
    </row>
    <row r="90" spans="1:21">
      <c r="F90" s="94"/>
      <c r="S90" s="97"/>
      <c r="U90" s="21"/>
    </row>
    <row r="91" spans="1:21">
      <c r="S91" s="97"/>
      <c r="U91" s="21"/>
    </row>
    <row r="92" spans="1:21" ht="19.8">
      <c r="B92" s="319" t="s">
        <v>414</v>
      </c>
      <c r="C92" s="320"/>
      <c r="D92" s="320"/>
      <c r="E92" s="320"/>
      <c r="F92" s="320"/>
      <c r="G92" s="320"/>
      <c r="H92" s="320"/>
      <c r="I92" s="320"/>
      <c r="J92" s="320"/>
      <c r="K92" s="320"/>
      <c r="L92" s="320"/>
      <c r="M92" s="320"/>
      <c r="N92" s="320"/>
      <c r="O92" s="320"/>
      <c r="P92" s="321"/>
      <c r="S92" s="97"/>
      <c r="U92" s="21"/>
    </row>
    <row r="93" spans="1:21">
      <c r="B93" s="308">
        <v>46216</v>
      </c>
      <c r="C93" s="312"/>
      <c r="D93" s="308">
        <v>46217</v>
      </c>
      <c r="E93" s="309"/>
      <c r="F93" s="308">
        <v>46218</v>
      </c>
      <c r="G93" s="312"/>
      <c r="H93" s="308">
        <v>46219</v>
      </c>
      <c r="I93" s="309"/>
      <c r="J93" s="308">
        <v>46220</v>
      </c>
      <c r="K93" s="312"/>
      <c r="L93" s="308">
        <v>46221</v>
      </c>
      <c r="M93" s="309"/>
      <c r="N93" s="308">
        <v>46222</v>
      </c>
      <c r="O93" s="312"/>
      <c r="P93" s="315" t="s">
        <v>180</v>
      </c>
      <c r="S93" s="97"/>
      <c r="U93" s="21"/>
    </row>
    <row r="94" spans="1:21">
      <c r="B94" s="313"/>
      <c r="C94" s="314"/>
      <c r="D94" s="310"/>
      <c r="E94" s="311"/>
      <c r="F94" s="313"/>
      <c r="G94" s="314"/>
      <c r="H94" s="310"/>
      <c r="I94" s="311"/>
      <c r="J94" s="313"/>
      <c r="K94" s="314"/>
      <c r="L94" s="310"/>
      <c r="M94" s="311"/>
      <c r="N94" s="313"/>
      <c r="O94" s="314"/>
      <c r="P94" s="315"/>
      <c r="S94" s="97"/>
      <c r="U94" s="21"/>
    </row>
    <row r="95" spans="1:21">
      <c r="B95" s="120" t="s">
        <v>189</v>
      </c>
      <c r="C95" s="120" t="s">
        <v>405</v>
      </c>
      <c r="D95" s="120" t="s">
        <v>189</v>
      </c>
      <c r="E95" s="120" t="s">
        <v>405</v>
      </c>
      <c r="F95" s="120" t="s">
        <v>189</v>
      </c>
      <c r="G95" s="120" t="s">
        <v>405</v>
      </c>
      <c r="H95" s="120" t="s">
        <v>189</v>
      </c>
      <c r="I95" s="120" t="s">
        <v>405</v>
      </c>
      <c r="J95" s="120" t="s">
        <v>189</v>
      </c>
      <c r="K95" s="120" t="s">
        <v>405</v>
      </c>
      <c r="L95" s="120" t="s">
        <v>189</v>
      </c>
      <c r="M95" s="120" t="s">
        <v>405</v>
      </c>
      <c r="N95" s="120" t="s">
        <v>189</v>
      </c>
      <c r="O95" s="120" t="s">
        <v>405</v>
      </c>
      <c r="P95" s="315"/>
    </row>
    <row r="96" spans="1:21">
      <c r="B96" s="103">
        <v>1500</v>
      </c>
      <c r="C96" s="135" t="s">
        <v>418</v>
      </c>
      <c r="D96" s="103"/>
      <c r="E96" s="277"/>
      <c r="F96" s="103"/>
      <c r="G96" s="103"/>
      <c r="H96" s="103"/>
      <c r="I96" s="209"/>
      <c r="J96" s="103"/>
      <c r="K96" s="103"/>
      <c r="L96" s="103"/>
      <c r="M96" s="103"/>
      <c r="N96" s="13"/>
      <c r="O96" s="13"/>
      <c r="P96" s="315"/>
    </row>
    <row r="97" spans="2:23">
      <c r="B97" s="103"/>
      <c r="C97" s="135"/>
      <c r="D97" s="103"/>
      <c r="E97" s="277"/>
      <c r="F97" s="103"/>
      <c r="G97" s="103"/>
      <c r="H97" s="13"/>
      <c r="I97" s="13"/>
      <c r="J97" s="103"/>
      <c r="K97" s="103"/>
      <c r="L97" s="103"/>
      <c r="M97" s="13"/>
      <c r="N97" s="13"/>
      <c r="O97" s="13"/>
      <c r="P97" s="315"/>
    </row>
    <row r="98" spans="2:23">
      <c r="B98" s="103"/>
      <c r="C98" s="103"/>
      <c r="D98" s="103"/>
      <c r="E98" s="277"/>
      <c r="F98" s="103"/>
      <c r="G98" s="103"/>
      <c r="H98" s="13"/>
      <c r="I98" s="13"/>
      <c r="J98" s="13"/>
      <c r="K98" s="13"/>
      <c r="L98" s="103"/>
      <c r="M98" s="103"/>
      <c r="N98" s="13"/>
      <c r="O98" s="13"/>
      <c r="P98" s="315"/>
    </row>
    <row r="99" spans="2:23">
      <c r="B99" s="13"/>
      <c r="C99" s="13"/>
      <c r="D99" s="13"/>
      <c r="E99" s="13"/>
      <c r="F99" s="103"/>
      <c r="G99" s="103"/>
      <c r="H99" s="13"/>
      <c r="I99" s="13"/>
      <c r="J99" s="13"/>
      <c r="K99" s="13"/>
      <c r="L99" s="103"/>
      <c r="M99" s="103"/>
      <c r="N99" s="13"/>
      <c r="O99" s="13"/>
      <c r="P99" s="315"/>
    </row>
    <row r="100" spans="2:23">
      <c r="B100" s="207">
        <f>SUM(B96:B99)</f>
        <v>1500</v>
      </c>
      <c r="C100" s="208"/>
      <c r="D100" s="207">
        <f>SUM(D96:D99)</f>
        <v>0</v>
      </c>
      <c r="E100" s="208"/>
      <c r="F100" s="207">
        <f>SUM(F96:F99)</f>
        <v>0</v>
      </c>
      <c r="G100" s="208"/>
      <c r="H100" s="207">
        <f>SUM(H96:H99)</f>
        <v>0</v>
      </c>
      <c r="I100" s="208"/>
      <c r="J100" s="207">
        <f>SUM(J96:J99)</f>
        <v>0</v>
      </c>
      <c r="K100" s="208"/>
      <c r="L100" s="207">
        <f>SUM(L96:L99)</f>
        <v>0</v>
      </c>
      <c r="M100" s="206"/>
      <c r="N100" s="206"/>
      <c r="O100" s="206"/>
      <c r="P100" s="182">
        <f>SUM(B100:O100)</f>
        <v>1500</v>
      </c>
    </row>
    <row r="103" spans="2:23">
      <c r="F103" s="94"/>
      <c r="S103" s="97"/>
    </row>
    <row r="104" spans="2:23">
      <c r="F104" s="94"/>
      <c r="S104" s="97"/>
    </row>
    <row r="105" spans="2:23" ht="15.6">
      <c r="B105" s="290" t="s">
        <v>415</v>
      </c>
      <c r="C105" s="290"/>
      <c r="D105" s="290"/>
      <c r="E105" s="290"/>
      <c r="F105" s="290"/>
    </row>
    <row r="106" spans="2:23" ht="15.6">
      <c r="B106" s="72" t="s">
        <v>190</v>
      </c>
      <c r="C106" s="290"/>
      <c r="D106" s="290"/>
      <c r="E106" s="290"/>
      <c r="F106" s="290"/>
    </row>
    <row r="107" spans="2:23" ht="43.2" customHeight="1">
      <c r="B107" s="291" t="s">
        <v>409</v>
      </c>
      <c r="C107" s="293">
        <f>G42+J42+M42+P42+S42+V42+G55+J55+M55+P55+S55+V55+Y55</f>
        <v>36439.660000000003</v>
      </c>
      <c r="D107" s="108"/>
      <c r="E107" s="108"/>
      <c r="F107" s="7"/>
      <c r="G107" s="2"/>
      <c r="K107" s="1"/>
      <c r="L107" s="1"/>
    </row>
    <row r="108" spans="2:23" ht="43.2" customHeight="1">
      <c r="B108" s="292"/>
      <c r="C108" s="294"/>
      <c r="D108" s="108"/>
      <c r="E108" s="108"/>
      <c r="F108" s="7"/>
      <c r="G108" s="2"/>
      <c r="H108" s="295" t="s">
        <v>471</v>
      </c>
      <c r="I108" s="296"/>
      <c r="K108" s="297" t="s">
        <v>293</v>
      </c>
      <c r="L108" s="297"/>
      <c r="M108" s="297"/>
    </row>
    <row r="109" spans="2:23" ht="15">
      <c r="B109" s="112" t="s">
        <v>214</v>
      </c>
      <c r="C109" s="113">
        <f>G69+H69+I69+J69+K69+L69+M69</f>
        <v>17820.25</v>
      </c>
      <c r="D109" s="114"/>
      <c r="E109" s="115">
        <f>C109</f>
        <v>17820.25</v>
      </c>
      <c r="F109" s="7"/>
      <c r="H109" s="133" t="s">
        <v>95</v>
      </c>
      <c r="I109" s="134">
        <f>F111</f>
        <v>36439.660000000003</v>
      </c>
      <c r="K109" s="108" t="s">
        <v>234</v>
      </c>
      <c r="L109" s="135">
        <f>C108+E110+C116</f>
        <v>15100.02</v>
      </c>
      <c r="M109" s="110"/>
    </row>
    <row r="110" spans="2:23" ht="15">
      <c r="B110" s="69" t="s">
        <v>268</v>
      </c>
      <c r="C110" s="70"/>
      <c r="D110" s="50"/>
      <c r="E110" s="111"/>
      <c r="F110" s="116"/>
      <c r="H110" s="133" t="s">
        <v>233</v>
      </c>
      <c r="I110" s="134">
        <f>C118</f>
        <v>391703.36000000004</v>
      </c>
      <c r="K110" s="108" t="s">
        <v>235</v>
      </c>
      <c r="L110" s="136" t="e">
        <f>#REF!</f>
        <v>#REF!</v>
      </c>
      <c r="M110" s="108"/>
      <c r="W110" s="1"/>
    </row>
    <row r="111" spans="2:23" ht="15" customHeight="1">
      <c r="B111" s="298" t="s">
        <v>180</v>
      </c>
      <c r="C111" s="299"/>
      <c r="D111" s="299"/>
      <c r="E111" s="300"/>
      <c r="F111" s="304">
        <f>C110+C107</f>
        <v>36439.660000000003</v>
      </c>
      <c r="H111" s="306" t="s">
        <v>138</v>
      </c>
      <c r="I111" s="307">
        <f>SUM(I109:I110)</f>
        <v>428143.02</v>
      </c>
      <c r="K111" s="91" t="s">
        <v>236</v>
      </c>
      <c r="L111" s="103" t="e">
        <f>L109+L110</f>
        <v>#REF!</v>
      </c>
      <c r="M111" s="13"/>
      <c r="W111" s="1"/>
    </row>
    <row r="112" spans="2:23" ht="15.6" customHeight="1">
      <c r="B112" s="301"/>
      <c r="C112" s="302"/>
      <c r="D112" s="302"/>
      <c r="E112" s="303"/>
      <c r="F112" s="305"/>
      <c r="H112" s="306"/>
      <c r="I112" s="307"/>
      <c r="K112" s="1"/>
      <c r="L112" s="1"/>
      <c r="W112" s="1"/>
    </row>
    <row r="113" spans="2:23">
      <c r="I113" s="97"/>
      <c r="K113" s="1"/>
      <c r="L113" s="1"/>
      <c r="W113" s="1"/>
    </row>
    <row r="114" spans="2:23" ht="15.6">
      <c r="B114" s="281" t="s">
        <v>410</v>
      </c>
      <c r="C114" s="281"/>
      <c r="D114" s="281"/>
      <c r="E114" s="281"/>
      <c r="F114" s="281"/>
      <c r="I114" s="97"/>
      <c r="K114" s="1"/>
      <c r="L114" s="1"/>
      <c r="W114" s="1"/>
    </row>
    <row r="115" spans="2:23" ht="15.6">
      <c r="B115" s="86" t="s">
        <v>188</v>
      </c>
      <c r="C115" s="86" t="s">
        <v>189</v>
      </c>
      <c r="D115" s="404" t="s">
        <v>333</v>
      </c>
      <c r="E115" s="405"/>
      <c r="F115" s="406"/>
      <c r="I115" s="97"/>
      <c r="W115" s="1"/>
    </row>
    <row r="116" spans="2:23" ht="30">
      <c r="B116" s="70" t="s">
        <v>473</v>
      </c>
      <c r="C116" s="70">
        <f>H42+K42+N42+Q42+T42+W42+H55+K55+N55+Q55+T55+W55+Z55</f>
        <v>15100.02</v>
      </c>
      <c r="D116" s="426" t="s">
        <v>472</v>
      </c>
      <c r="E116" s="427"/>
      <c r="F116" s="89">
        <v>11</v>
      </c>
    </row>
    <row r="117" spans="2:23" ht="71.400000000000006" customHeight="1">
      <c r="B117" s="70" t="s">
        <v>474</v>
      </c>
      <c r="C117" s="71">
        <f>Q88</f>
        <v>376603.34</v>
      </c>
      <c r="D117" s="424" t="s">
        <v>470</v>
      </c>
      <c r="E117" s="425"/>
      <c r="F117" s="50">
        <v>22</v>
      </c>
      <c r="K117" s="282"/>
      <c r="W117" s="147"/>
    </row>
    <row r="118" spans="2:23" ht="15.6">
      <c r="B118" s="132" t="s">
        <v>180</v>
      </c>
      <c r="C118" s="428">
        <f>C116+C117</f>
        <v>391703.36000000004</v>
      </c>
      <c r="D118" s="429"/>
      <c r="E118" s="429"/>
      <c r="F118" s="430"/>
      <c r="K118" s="283"/>
    </row>
    <row r="122" spans="2:23" ht="21">
      <c r="B122" s="285" t="s">
        <v>416</v>
      </c>
      <c r="C122" s="286"/>
      <c r="D122" s="286"/>
      <c r="E122" s="286"/>
      <c r="F122" s="286"/>
      <c r="G122" s="286"/>
      <c r="H122" s="286"/>
    </row>
    <row r="123" spans="2:23">
      <c r="B123" s="165" t="s">
        <v>296</v>
      </c>
      <c r="C123" s="165" t="s">
        <v>2</v>
      </c>
      <c r="D123" s="165" t="s">
        <v>297</v>
      </c>
      <c r="E123" s="166" t="s">
        <v>298</v>
      </c>
      <c r="F123" s="165" t="s">
        <v>295</v>
      </c>
      <c r="G123" s="165" t="s">
        <v>92</v>
      </c>
      <c r="H123" s="165" t="s">
        <v>299</v>
      </c>
    </row>
    <row r="124" spans="2:23">
      <c r="B124" s="167"/>
      <c r="C124" s="50"/>
      <c r="D124" s="50"/>
      <c r="E124" s="50"/>
      <c r="F124" s="163"/>
      <c r="G124" s="68"/>
      <c r="H124" s="164"/>
    </row>
    <row r="125" spans="2:23">
      <c r="B125" s="168"/>
      <c r="C125" s="50"/>
      <c r="D125" s="50"/>
      <c r="E125" s="50"/>
      <c r="F125" s="163"/>
      <c r="G125" s="68"/>
      <c r="H125" s="164"/>
    </row>
    <row r="126" spans="2:23">
      <c r="B126" s="168"/>
      <c r="C126" s="50"/>
      <c r="D126" s="50"/>
      <c r="E126" s="50"/>
      <c r="F126" s="163"/>
      <c r="G126" s="68"/>
      <c r="H126" s="164"/>
    </row>
    <row r="127" spans="2:23" ht="15" customHeight="1">
      <c r="B127" s="214"/>
      <c r="C127" s="6"/>
      <c r="D127" s="6"/>
      <c r="E127" s="6"/>
      <c r="F127" s="48"/>
      <c r="G127" s="68"/>
      <c r="H127" s="215"/>
    </row>
    <row r="128" spans="2:23">
      <c r="B128" s="168"/>
      <c r="C128" s="50"/>
      <c r="D128" s="50"/>
      <c r="E128" s="50"/>
      <c r="F128" s="163"/>
      <c r="G128" s="68"/>
      <c r="H128" s="164"/>
    </row>
    <row r="129" spans="2:8">
      <c r="B129" s="168"/>
      <c r="C129" s="50"/>
      <c r="D129" s="50"/>
      <c r="E129" s="50"/>
      <c r="F129" s="163"/>
      <c r="G129" s="68"/>
      <c r="H129" s="164"/>
    </row>
    <row r="130" spans="2:8">
      <c r="B130" s="167"/>
      <c r="C130" s="50"/>
      <c r="D130" s="50"/>
      <c r="E130" s="50"/>
      <c r="F130" s="163"/>
      <c r="G130" s="68"/>
      <c r="H130" s="164"/>
    </row>
    <row r="131" spans="2:8">
      <c r="B131" s="167"/>
      <c r="C131" s="50"/>
      <c r="D131" s="50"/>
      <c r="E131" s="50"/>
      <c r="F131" s="163"/>
      <c r="G131" s="68"/>
      <c r="H131" s="164"/>
    </row>
    <row r="132" spans="2:8">
      <c r="B132" s="167"/>
      <c r="C132" s="50"/>
      <c r="D132" s="50"/>
      <c r="E132" s="50"/>
      <c r="F132" s="163"/>
      <c r="G132" s="68"/>
      <c r="H132" s="164"/>
    </row>
    <row r="133" spans="2:8">
      <c r="B133" s="167"/>
      <c r="C133" s="50"/>
      <c r="D133" s="50"/>
      <c r="E133" s="50"/>
      <c r="F133" s="163"/>
      <c r="G133" s="68"/>
      <c r="H133" s="164"/>
    </row>
    <row r="134" spans="2:8">
      <c r="B134" s="167"/>
      <c r="C134" s="50"/>
      <c r="D134" s="50"/>
      <c r="E134" s="50"/>
      <c r="F134" s="163"/>
      <c r="G134" s="68"/>
      <c r="H134" s="164"/>
    </row>
    <row r="135" spans="2:8">
      <c r="B135" s="168"/>
      <c r="C135" s="109"/>
      <c r="D135" s="50"/>
      <c r="E135" s="50"/>
      <c r="F135" s="163"/>
      <c r="G135" s="68"/>
      <c r="H135" s="164"/>
    </row>
    <row r="136" spans="2:8">
      <c r="B136" s="168"/>
      <c r="C136" s="109"/>
      <c r="D136" s="50"/>
      <c r="E136" s="50"/>
      <c r="F136" s="163"/>
      <c r="G136" s="68"/>
      <c r="H136" s="164"/>
    </row>
    <row r="137" spans="2:8">
      <c r="B137" s="167"/>
      <c r="C137" s="50"/>
      <c r="D137" s="50"/>
      <c r="E137" s="50"/>
      <c r="F137" s="163"/>
      <c r="G137" s="68"/>
      <c r="H137" s="164"/>
    </row>
    <row r="138" spans="2:8">
      <c r="B138" s="167"/>
      <c r="C138" s="50"/>
      <c r="D138" s="50"/>
      <c r="E138" s="50"/>
      <c r="F138" s="163"/>
      <c r="G138" s="68"/>
      <c r="H138" s="164"/>
    </row>
    <row r="139" spans="2:8">
      <c r="B139" s="167"/>
      <c r="C139" s="50"/>
      <c r="D139" s="50"/>
      <c r="E139" s="50"/>
      <c r="F139" s="163"/>
      <c r="G139" s="68"/>
      <c r="H139" s="164"/>
    </row>
    <row r="140" spans="2:8">
      <c r="B140" s="167"/>
      <c r="C140" s="50"/>
      <c r="D140" s="50"/>
      <c r="E140" s="50"/>
      <c r="F140" s="163"/>
      <c r="G140" s="68"/>
      <c r="H140" s="164"/>
    </row>
    <row r="141" spans="2:8" ht="21">
      <c r="B141" s="287" t="s">
        <v>138</v>
      </c>
      <c r="C141" s="288"/>
      <c r="D141" s="288"/>
      <c r="E141" s="288"/>
      <c r="F141" s="288"/>
      <c r="G141" s="289"/>
      <c r="H141" s="169">
        <f>SUM(H124:H140)</f>
        <v>0</v>
      </c>
    </row>
    <row r="142" spans="2:8">
      <c r="B142" s="161"/>
    </row>
    <row r="143" spans="2:8">
      <c r="B143" s="161"/>
    </row>
    <row r="144" spans="2:8">
      <c r="B144" s="161"/>
    </row>
    <row r="145" spans="2:16" ht="15.6">
      <c r="B145" s="280" t="s">
        <v>417</v>
      </c>
      <c r="C145" s="280"/>
      <c r="D145" s="280"/>
      <c r="E145" s="280"/>
      <c r="F145" s="280"/>
      <c r="G145" s="280"/>
      <c r="H145" s="280"/>
      <c r="J145" s="411" t="s">
        <v>489</v>
      </c>
      <c r="K145" s="412"/>
      <c r="L145" s="412"/>
      <c r="M145" s="412"/>
      <c r="N145" s="412"/>
      <c r="O145" s="412"/>
      <c r="P145" s="412"/>
    </row>
    <row r="146" spans="2:16" ht="28.8">
      <c r="B146" s="37" t="s">
        <v>296</v>
      </c>
      <c r="C146" s="37" t="s">
        <v>349</v>
      </c>
      <c r="D146" s="37" t="s">
        <v>366</v>
      </c>
      <c r="E146" s="140" t="s">
        <v>364</v>
      </c>
      <c r="F146" s="56" t="s">
        <v>368</v>
      </c>
      <c r="G146" s="141" t="s">
        <v>369</v>
      </c>
      <c r="H146" s="98" t="s">
        <v>370</v>
      </c>
      <c r="J146" s="243" t="s">
        <v>296</v>
      </c>
      <c r="K146" s="243" t="s">
        <v>349</v>
      </c>
      <c r="L146" s="243" t="s">
        <v>366</v>
      </c>
      <c r="M146" s="243" t="s">
        <v>364</v>
      </c>
      <c r="N146" s="243" t="s">
        <v>368</v>
      </c>
      <c r="O146" s="243" t="s">
        <v>476</v>
      </c>
      <c r="P146" s="243" t="s">
        <v>370</v>
      </c>
    </row>
    <row r="147" spans="2:16">
      <c r="B147" s="277" t="s">
        <v>309</v>
      </c>
      <c r="C147" s="6" t="s">
        <v>352</v>
      </c>
      <c r="D147" s="277">
        <v>400</v>
      </c>
      <c r="E147" s="278">
        <f>D147*7</f>
        <v>2800</v>
      </c>
      <c r="F147" s="6"/>
      <c r="G147" s="277">
        <f>F147+F148+F149</f>
        <v>0</v>
      </c>
      <c r="H147" s="277">
        <f>E147-G147</f>
        <v>2800</v>
      </c>
      <c r="J147" s="413" t="s">
        <v>309</v>
      </c>
      <c r="K147" s="245" t="s">
        <v>484</v>
      </c>
      <c r="L147" s="415">
        <v>400</v>
      </c>
      <c r="M147" s="415">
        <v>2800</v>
      </c>
      <c r="N147" s="246">
        <v>1500</v>
      </c>
      <c r="O147" s="415">
        <v>5960</v>
      </c>
      <c r="P147" s="420">
        <v>-3160</v>
      </c>
    </row>
    <row r="148" spans="2:16">
      <c r="B148" s="277"/>
      <c r="C148" s="6" t="s">
        <v>353</v>
      </c>
      <c r="D148" s="277"/>
      <c r="E148" s="278"/>
      <c r="F148" s="6"/>
      <c r="G148" s="277"/>
      <c r="H148" s="277"/>
      <c r="J148" s="414"/>
      <c r="K148" s="245" t="s">
        <v>420</v>
      </c>
      <c r="L148" s="414"/>
      <c r="M148" s="414"/>
      <c r="N148" s="246">
        <v>1668</v>
      </c>
      <c r="O148" s="414"/>
      <c r="P148" s="414"/>
    </row>
    <row r="149" spans="2:16">
      <c r="B149" s="277"/>
      <c r="C149" s="6" t="s">
        <v>354</v>
      </c>
      <c r="D149" s="277"/>
      <c r="E149" s="278"/>
      <c r="F149" s="6"/>
      <c r="G149" s="277"/>
      <c r="H149" s="277"/>
      <c r="J149" s="414"/>
      <c r="K149" s="245" t="s">
        <v>477</v>
      </c>
      <c r="L149" s="414"/>
      <c r="M149" s="414"/>
      <c r="N149" s="246">
        <v>2792</v>
      </c>
      <c r="O149" s="414"/>
      <c r="P149" s="414"/>
    </row>
    <row r="150" spans="2:16">
      <c r="B150" s="277" t="s">
        <v>124</v>
      </c>
      <c r="C150" s="6" t="s">
        <v>355</v>
      </c>
      <c r="D150" s="277">
        <v>550</v>
      </c>
      <c r="E150" s="278">
        <f>D150*7</f>
        <v>3850</v>
      </c>
      <c r="F150" s="6"/>
      <c r="G150" s="277">
        <f>F150+F151</f>
        <v>0</v>
      </c>
      <c r="H150" s="277">
        <f>E150-G150</f>
        <v>3850</v>
      </c>
      <c r="J150" s="244" t="s">
        <v>478</v>
      </c>
      <c r="K150" s="248" t="s">
        <v>483</v>
      </c>
      <c r="L150" s="249"/>
      <c r="M150" s="249"/>
      <c r="N150" s="249"/>
      <c r="O150" s="249"/>
      <c r="P150" s="247"/>
    </row>
    <row r="151" spans="2:16">
      <c r="B151" s="277"/>
      <c r="C151" s="6" t="s">
        <v>354</v>
      </c>
      <c r="D151" s="277"/>
      <c r="E151" s="278"/>
      <c r="F151" s="6"/>
      <c r="G151" s="277"/>
      <c r="H151" s="277"/>
      <c r="J151" s="413" t="s">
        <v>27</v>
      </c>
      <c r="K151" s="245" t="s">
        <v>480</v>
      </c>
      <c r="L151" s="415">
        <v>900</v>
      </c>
      <c r="M151" s="415">
        <v>6300</v>
      </c>
      <c r="N151" s="246">
        <v>45</v>
      </c>
      <c r="O151" s="415">
        <v>2635</v>
      </c>
      <c r="P151" s="416">
        <v>3665</v>
      </c>
    </row>
    <row r="152" spans="2:16">
      <c r="B152" s="277" t="s">
        <v>27</v>
      </c>
      <c r="C152" s="6" t="s">
        <v>202</v>
      </c>
      <c r="D152" s="277">
        <v>500</v>
      </c>
      <c r="E152" s="278">
        <f>500*7</f>
        <v>3500</v>
      </c>
      <c r="F152" s="6"/>
      <c r="G152" s="277">
        <f>F152+F153+F154</f>
        <v>0</v>
      </c>
      <c r="H152" s="279">
        <f>E152-G152</f>
        <v>3500</v>
      </c>
      <c r="J152" s="414"/>
      <c r="K152" s="245" t="s">
        <v>272</v>
      </c>
      <c r="L152" s="414"/>
      <c r="M152" s="414"/>
      <c r="N152" s="246">
        <v>2440</v>
      </c>
      <c r="O152" s="414"/>
      <c r="P152" s="414"/>
    </row>
    <row r="153" spans="2:16" ht="54.6" customHeight="1">
      <c r="B153" s="277"/>
      <c r="C153" s="6" t="s">
        <v>356</v>
      </c>
      <c r="D153" s="277"/>
      <c r="E153" s="278"/>
      <c r="F153" s="6"/>
      <c r="G153" s="277"/>
      <c r="H153" s="279"/>
      <c r="J153" s="414"/>
      <c r="K153" s="245" t="s">
        <v>481</v>
      </c>
      <c r="L153" s="414"/>
      <c r="M153" s="414"/>
      <c r="N153" s="246">
        <v>150</v>
      </c>
      <c r="O153" s="414"/>
      <c r="P153" s="414"/>
    </row>
    <row r="154" spans="2:16">
      <c r="B154" s="277"/>
      <c r="C154" s="6" t="s">
        <v>357</v>
      </c>
      <c r="D154" s="277"/>
      <c r="E154" s="278"/>
      <c r="F154" s="6"/>
      <c r="G154" s="277"/>
      <c r="H154" s="279"/>
      <c r="J154" s="244" t="s">
        <v>482</v>
      </c>
      <c r="K154" s="248" t="s">
        <v>484</v>
      </c>
      <c r="L154" s="249"/>
      <c r="M154" s="249"/>
      <c r="N154" s="249">
        <v>1000</v>
      </c>
      <c r="O154" s="249">
        <v>1000</v>
      </c>
      <c r="P154" s="250">
        <v>-1000</v>
      </c>
    </row>
    <row r="155" spans="2:16">
      <c r="B155" s="6" t="s">
        <v>150</v>
      </c>
      <c r="C155" s="6" t="s">
        <v>358</v>
      </c>
      <c r="D155" s="6">
        <v>400</v>
      </c>
      <c r="E155" s="89">
        <f>400*7</f>
        <v>2800</v>
      </c>
      <c r="F155" s="6"/>
      <c r="G155" s="6">
        <f>F155</f>
        <v>0</v>
      </c>
      <c r="H155" s="6">
        <f>E155-G155</f>
        <v>2800</v>
      </c>
      <c r="J155" s="413" t="s">
        <v>124</v>
      </c>
      <c r="K155" s="245" t="s">
        <v>484</v>
      </c>
      <c r="L155" s="415">
        <v>550</v>
      </c>
      <c r="M155" s="415">
        <v>3850</v>
      </c>
      <c r="N155" s="246">
        <v>810</v>
      </c>
      <c r="O155" s="415">
        <v>4140</v>
      </c>
      <c r="P155" s="420">
        <v>-290</v>
      </c>
    </row>
    <row r="156" spans="2:16">
      <c r="B156" s="6" t="s">
        <v>359</v>
      </c>
      <c r="C156" s="6" t="s">
        <v>360</v>
      </c>
      <c r="D156" s="6">
        <v>400</v>
      </c>
      <c r="E156" s="89">
        <f>400*7</f>
        <v>2800</v>
      </c>
      <c r="F156" s="6"/>
      <c r="G156" s="6">
        <f>F156</f>
        <v>0</v>
      </c>
      <c r="H156" s="6">
        <f>E156-G156</f>
        <v>2800</v>
      </c>
      <c r="J156" s="414"/>
      <c r="K156" s="245" t="s">
        <v>485</v>
      </c>
      <c r="L156" s="414"/>
      <c r="M156" s="414"/>
      <c r="N156" s="246">
        <v>3330</v>
      </c>
      <c r="O156" s="414"/>
      <c r="P156" s="414"/>
    </row>
    <row r="157" spans="2:16">
      <c r="B157" s="6" t="s">
        <v>361</v>
      </c>
      <c r="C157" s="6" t="s">
        <v>197</v>
      </c>
      <c r="D157" s="6"/>
      <c r="E157" s="7"/>
      <c r="F157" s="6"/>
      <c r="G157" s="6">
        <f>F157</f>
        <v>0</v>
      </c>
      <c r="H157" s="6"/>
      <c r="J157" s="244" t="s">
        <v>359</v>
      </c>
      <c r="K157" s="248" t="s">
        <v>486</v>
      </c>
      <c r="L157" s="249">
        <v>400</v>
      </c>
      <c r="M157" s="249">
        <v>2800</v>
      </c>
      <c r="N157" s="249">
        <v>1020</v>
      </c>
      <c r="O157" s="249">
        <v>1020</v>
      </c>
      <c r="P157" s="247">
        <v>1780</v>
      </c>
    </row>
    <row r="158" spans="2:16">
      <c r="B158" s="6"/>
      <c r="C158" s="6" t="s">
        <v>362</v>
      </c>
      <c r="D158" s="6"/>
      <c r="E158" s="7"/>
      <c r="F158" s="6"/>
      <c r="G158" s="6">
        <v>30</v>
      </c>
      <c r="H158" s="6"/>
      <c r="J158" s="244" t="s">
        <v>150</v>
      </c>
      <c r="K158" s="245" t="s">
        <v>487</v>
      </c>
      <c r="L158" s="246">
        <v>400</v>
      </c>
      <c r="M158" s="246">
        <v>2800</v>
      </c>
      <c r="N158" s="246">
        <v>1900</v>
      </c>
      <c r="O158" s="246">
        <v>1900</v>
      </c>
      <c r="P158" s="247">
        <v>900</v>
      </c>
    </row>
    <row r="159" spans="2:16">
      <c r="B159" s="6"/>
      <c r="C159" s="6" t="s">
        <v>252</v>
      </c>
      <c r="D159" s="6"/>
      <c r="E159" s="7"/>
      <c r="F159" s="6"/>
      <c r="G159" s="6"/>
      <c r="H159" s="6"/>
      <c r="J159" s="244" t="s">
        <v>361</v>
      </c>
      <c r="K159" s="245" t="s">
        <v>488</v>
      </c>
      <c r="L159" s="246"/>
      <c r="M159" s="246"/>
      <c r="N159" s="246">
        <v>74</v>
      </c>
      <c r="O159" s="246">
        <v>74</v>
      </c>
      <c r="P159" s="250">
        <v>-74</v>
      </c>
    </row>
    <row r="160" spans="2:16">
      <c r="B160" s="6"/>
      <c r="C160" s="6"/>
      <c r="D160" s="6"/>
      <c r="E160" s="7"/>
      <c r="F160" s="13"/>
      <c r="G160" s="13"/>
      <c r="H160" s="13"/>
      <c r="J160" s="418" t="s">
        <v>365</v>
      </c>
      <c r="K160" s="419"/>
      <c r="L160" s="252"/>
      <c r="M160" s="251">
        <v>18550</v>
      </c>
      <c r="N160" s="251">
        <v>16729</v>
      </c>
      <c r="O160" s="251">
        <v>16729</v>
      </c>
      <c r="P160" s="251">
        <v>1821</v>
      </c>
    </row>
    <row r="161" spans="2:11">
      <c r="B161" s="266" t="s">
        <v>365</v>
      </c>
      <c r="C161" s="266"/>
      <c r="D161" s="6"/>
      <c r="E161" s="178">
        <f>SUM(E147:E160)</f>
        <v>15750</v>
      </c>
      <c r="F161" s="177">
        <f>SUM(F147:F160)</f>
        <v>0</v>
      </c>
      <c r="G161" s="82">
        <f>SUM(G147:G159)</f>
        <v>30</v>
      </c>
      <c r="H161" s="13"/>
    </row>
    <row r="168" spans="2:11">
      <c r="K168">
        <f>SUM(K162:K167)</f>
        <v>0</v>
      </c>
    </row>
    <row r="185" spans="2:7">
      <c r="B185" s="267" t="s">
        <v>427</v>
      </c>
      <c r="C185" s="267"/>
      <c r="D185" s="267"/>
      <c r="E185" s="267"/>
      <c r="F185" s="267"/>
      <c r="G185" s="267"/>
    </row>
    <row r="186" spans="2:7">
      <c r="B186" s="267"/>
      <c r="C186" s="267"/>
      <c r="D186" s="267"/>
      <c r="E186" s="267"/>
      <c r="F186" s="267"/>
      <c r="G186" s="267"/>
    </row>
    <row r="187" spans="2:7" ht="19.8">
      <c r="B187" s="268" t="s">
        <v>374</v>
      </c>
      <c r="C187" s="268"/>
      <c r="D187" s="268"/>
      <c r="E187" s="268"/>
      <c r="F187" s="268"/>
      <c r="G187" s="268"/>
    </row>
    <row r="188" spans="2:7">
      <c r="B188" s="269" t="s">
        <v>0</v>
      </c>
      <c r="C188" s="270"/>
      <c r="D188" s="273" t="s">
        <v>2</v>
      </c>
      <c r="E188" s="273" t="s">
        <v>8</v>
      </c>
      <c r="F188" s="273" t="s">
        <v>1</v>
      </c>
      <c r="G188" s="275" t="s">
        <v>91</v>
      </c>
    </row>
    <row r="189" spans="2:7">
      <c r="B189" s="271"/>
      <c r="C189" s="272"/>
      <c r="D189" s="274"/>
      <c r="E189" s="274"/>
      <c r="F189" s="274"/>
      <c r="G189" s="276"/>
    </row>
    <row r="190" spans="2:7">
      <c r="B190" s="159">
        <v>1</v>
      </c>
      <c r="C190" s="263" t="s">
        <v>4</v>
      </c>
      <c r="D190" s="263" t="s">
        <v>7</v>
      </c>
      <c r="E190" s="9" t="s">
        <v>5</v>
      </c>
      <c r="F190" s="9" t="s">
        <v>6</v>
      </c>
      <c r="G190" s="216">
        <v>1200</v>
      </c>
    </row>
    <row r="191" spans="2:7">
      <c r="B191" s="159">
        <v>2</v>
      </c>
      <c r="C191" s="263"/>
      <c r="D191" s="263"/>
      <c r="E191" s="9" t="s">
        <v>35</v>
      </c>
      <c r="F191" s="9"/>
      <c r="G191" s="216">
        <v>500</v>
      </c>
    </row>
    <row r="192" spans="2:7">
      <c r="B192" s="141">
        <v>3</v>
      </c>
      <c r="C192" s="257" t="s">
        <v>9</v>
      </c>
      <c r="D192" s="257" t="s">
        <v>10</v>
      </c>
      <c r="E192" s="50" t="s">
        <v>11</v>
      </c>
      <c r="F192" s="50" t="s">
        <v>12</v>
      </c>
      <c r="G192" s="217">
        <v>2500</v>
      </c>
    </row>
    <row r="193" spans="2:20">
      <c r="B193" s="141">
        <v>4</v>
      </c>
      <c r="C193" s="257"/>
      <c r="D193" s="257"/>
      <c r="E193" s="50" t="s">
        <v>35</v>
      </c>
      <c r="F193" s="50"/>
      <c r="G193" s="217">
        <v>500</v>
      </c>
    </row>
    <row r="194" spans="2:20">
      <c r="B194" s="141">
        <v>5</v>
      </c>
      <c r="C194" s="50" t="s">
        <v>13</v>
      </c>
      <c r="D194" s="50" t="s">
        <v>10</v>
      </c>
      <c r="E194" s="50" t="s">
        <v>14</v>
      </c>
      <c r="F194" s="50" t="s">
        <v>97</v>
      </c>
      <c r="G194" s="217">
        <v>1500</v>
      </c>
      <c r="T194" s="97"/>
    </row>
    <row r="195" spans="2:20">
      <c r="B195" s="159">
        <v>6</v>
      </c>
      <c r="C195" s="50" t="s">
        <v>211</v>
      </c>
      <c r="D195" s="50" t="s">
        <v>10</v>
      </c>
      <c r="E195" s="50" t="s">
        <v>14</v>
      </c>
      <c r="F195" s="50" t="s">
        <v>17</v>
      </c>
      <c r="G195" s="217">
        <v>1500</v>
      </c>
    </row>
    <row r="196" spans="2:20">
      <c r="B196" s="159">
        <v>7</v>
      </c>
      <c r="C196" s="50" t="s">
        <v>18</v>
      </c>
      <c r="D196" s="50" t="s">
        <v>10</v>
      </c>
      <c r="E196" s="50"/>
      <c r="F196" s="50"/>
      <c r="G196" s="217">
        <v>1500</v>
      </c>
    </row>
    <row r="197" spans="2:20">
      <c r="B197" s="141">
        <v>8</v>
      </c>
      <c r="C197" s="9" t="s">
        <v>19</v>
      </c>
      <c r="D197" s="9" t="s">
        <v>20</v>
      </c>
      <c r="E197" s="9" t="s">
        <v>21</v>
      </c>
      <c r="F197" s="9" t="s">
        <v>22</v>
      </c>
      <c r="G197" s="216">
        <v>700</v>
      </c>
    </row>
    <row r="198" spans="2:20">
      <c r="B198" s="141">
        <v>9</v>
      </c>
      <c r="C198" s="9" t="s">
        <v>23</v>
      </c>
      <c r="D198" s="9" t="s">
        <v>24</v>
      </c>
      <c r="E198" s="9" t="s">
        <v>25</v>
      </c>
      <c r="F198" s="9" t="s">
        <v>26</v>
      </c>
      <c r="G198" s="216">
        <v>1500</v>
      </c>
    </row>
    <row r="199" spans="2:20" ht="28.8">
      <c r="B199" s="141">
        <v>10</v>
      </c>
      <c r="C199" s="257" t="s">
        <v>27</v>
      </c>
      <c r="D199" s="50" t="s">
        <v>28</v>
      </c>
      <c r="E199" s="50" t="s">
        <v>29</v>
      </c>
      <c r="F199" s="50" t="s">
        <v>30</v>
      </c>
      <c r="G199" s="217">
        <v>1500</v>
      </c>
    </row>
    <row r="200" spans="2:20">
      <c r="B200" s="159">
        <v>11</v>
      </c>
      <c r="C200" s="257"/>
      <c r="D200" s="50" t="s">
        <v>34</v>
      </c>
      <c r="E200" s="50" t="s">
        <v>35</v>
      </c>
      <c r="F200" s="50"/>
      <c r="G200" s="160">
        <v>500</v>
      </c>
    </row>
    <row r="201" spans="2:20" ht="28.8">
      <c r="B201" s="159">
        <v>12</v>
      </c>
      <c r="C201" s="50" t="s">
        <v>31</v>
      </c>
      <c r="D201" s="50" t="s">
        <v>28</v>
      </c>
      <c r="E201" s="50" t="s">
        <v>33</v>
      </c>
      <c r="F201" s="50" t="s">
        <v>32</v>
      </c>
      <c r="G201" s="160">
        <v>1500</v>
      </c>
    </row>
    <row r="202" spans="2:20">
      <c r="B202" s="141">
        <v>13</v>
      </c>
      <c r="C202" s="264" t="s">
        <v>36</v>
      </c>
      <c r="D202" s="9" t="s">
        <v>37</v>
      </c>
      <c r="E202" s="9" t="s">
        <v>39</v>
      </c>
      <c r="F202" s="9" t="s">
        <v>38</v>
      </c>
      <c r="G202" s="10">
        <v>2500</v>
      </c>
    </row>
    <row r="203" spans="2:20">
      <c r="B203" s="141">
        <v>14</v>
      </c>
      <c r="C203" s="423"/>
      <c r="D203" s="9" t="s">
        <v>37</v>
      </c>
      <c r="E203" s="9" t="s">
        <v>35</v>
      </c>
      <c r="F203" s="9"/>
      <c r="G203" s="10">
        <v>300</v>
      </c>
    </row>
    <row r="204" spans="2:20">
      <c r="B204" s="141">
        <v>15</v>
      </c>
      <c r="C204" s="265"/>
      <c r="D204" s="9" t="s">
        <v>37</v>
      </c>
      <c r="E204" s="9" t="s">
        <v>422</v>
      </c>
      <c r="F204" s="9" t="s">
        <v>423</v>
      </c>
      <c r="G204" s="10">
        <v>1500</v>
      </c>
    </row>
    <row r="205" spans="2:20" ht="28.8">
      <c r="B205" s="159">
        <v>16</v>
      </c>
      <c r="C205" s="9" t="s">
        <v>40</v>
      </c>
      <c r="D205" s="219" t="s">
        <v>37</v>
      </c>
      <c r="E205" s="219" t="s">
        <v>42</v>
      </c>
      <c r="F205" s="219" t="s">
        <v>41</v>
      </c>
      <c r="G205" s="220" t="s">
        <v>425</v>
      </c>
    </row>
    <row r="206" spans="2:20">
      <c r="B206" s="159">
        <v>17</v>
      </c>
      <c r="C206" s="9" t="s">
        <v>43</v>
      </c>
      <c r="D206" s="9" t="s">
        <v>37</v>
      </c>
      <c r="E206" s="9" t="s">
        <v>33</v>
      </c>
      <c r="F206" s="9" t="s">
        <v>44</v>
      </c>
      <c r="G206" s="10">
        <v>4000</v>
      </c>
    </row>
    <row r="207" spans="2:20">
      <c r="B207" s="141">
        <v>18</v>
      </c>
      <c r="C207" s="257" t="s">
        <v>45</v>
      </c>
      <c r="D207" s="257" t="s">
        <v>46</v>
      </c>
      <c r="E207" s="50" t="s">
        <v>39</v>
      </c>
      <c r="F207" s="50" t="s">
        <v>47</v>
      </c>
      <c r="G207" s="160">
        <v>2500</v>
      </c>
    </row>
    <row r="208" spans="2:20" ht="28.8">
      <c r="B208" s="141">
        <v>19</v>
      </c>
      <c r="C208" s="257"/>
      <c r="D208" s="257"/>
      <c r="E208" s="50" t="s">
        <v>54</v>
      </c>
      <c r="F208" s="50"/>
      <c r="G208" s="188">
        <v>1000</v>
      </c>
    </row>
    <row r="209" spans="2:7" ht="28.8">
      <c r="B209" s="141">
        <v>20</v>
      </c>
      <c r="C209" s="257"/>
      <c r="D209" s="257"/>
      <c r="E209" s="50" t="s">
        <v>55</v>
      </c>
      <c r="F209" s="50"/>
      <c r="G209" s="188"/>
    </row>
    <row r="210" spans="2:7" ht="28.8">
      <c r="B210" s="159">
        <v>21</v>
      </c>
      <c r="C210" s="257"/>
      <c r="D210" s="257"/>
      <c r="E210" s="50" t="s">
        <v>56</v>
      </c>
      <c r="F210" s="50"/>
      <c r="G210" s="188"/>
    </row>
    <row r="211" spans="2:7">
      <c r="B211" s="159">
        <v>22</v>
      </c>
      <c r="C211" s="50" t="s">
        <v>48</v>
      </c>
      <c r="D211" s="50" t="s">
        <v>46</v>
      </c>
      <c r="E211" s="50" t="s">
        <v>39</v>
      </c>
      <c r="F211" s="50" t="s">
        <v>49</v>
      </c>
      <c r="G211" s="160">
        <v>1500</v>
      </c>
    </row>
    <row r="212" spans="2:7">
      <c r="B212" s="141">
        <v>23</v>
      </c>
      <c r="C212" s="50" t="s">
        <v>50</v>
      </c>
      <c r="D212" s="50" t="s">
        <v>46</v>
      </c>
      <c r="E212" s="50" t="s">
        <v>33</v>
      </c>
      <c r="F212" s="50" t="s">
        <v>51</v>
      </c>
      <c r="G212" s="160">
        <v>3000</v>
      </c>
    </row>
    <row r="213" spans="2:7" ht="28.8">
      <c r="B213" s="141">
        <v>24</v>
      </c>
      <c r="C213" s="50" t="s">
        <v>52</v>
      </c>
      <c r="D213" s="50" t="s">
        <v>46</v>
      </c>
      <c r="E213" s="50" t="s">
        <v>42</v>
      </c>
      <c r="F213" s="50" t="s">
        <v>53</v>
      </c>
      <c r="G213" s="160">
        <v>2500</v>
      </c>
    </row>
    <row r="214" spans="2:7">
      <c r="B214" s="141">
        <v>25</v>
      </c>
      <c r="C214" s="9" t="s">
        <v>66</v>
      </c>
      <c r="D214" s="263" t="s">
        <v>58</v>
      </c>
      <c r="E214" s="9" t="s">
        <v>59</v>
      </c>
      <c r="F214" s="9" t="s">
        <v>60</v>
      </c>
      <c r="G214" s="10">
        <v>2500</v>
      </c>
    </row>
    <row r="215" spans="2:7">
      <c r="B215" s="159">
        <v>26</v>
      </c>
      <c r="C215" s="9" t="s">
        <v>57</v>
      </c>
      <c r="D215" s="263"/>
      <c r="E215" s="9" t="s">
        <v>35</v>
      </c>
      <c r="F215" s="9"/>
      <c r="G215" s="10">
        <v>1000</v>
      </c>
    </row>
    <row r="216" spans="2:7">
      <c r="B216" s="159">
        <v>27</v>
      </c>
      <c r="C216" s="50" t="s">
        <v>61</v>
      </c>
      <c r="D216" s="50" t="s">
        <v>62</v>
      </c>
      <c r="E216" s="50" t="s">
        <v>11</v>
      </c>
      <c r="F216" s="50" t="s">
        <v>63</v>
      </c>
      <c r="G216" s="160">
        <v>2500</v>
      </c>
    </row>
    <row r="217" spans="2:7">
      <c r="B217" s="141">
        <v>28</v>
      </c>
      <c r="C217" s="257" t="s">
        <v>64</v>
      </c>
      <c r="D217" s="257" t="s">
        <v>62</v>
      </c>
      <c r="E217" s="50" t="s">
        <v>65</v>
      </c>
      <c r="F217" s="50" t="s">
        <v>67</v>
      </c>
      <c r="G217" s="160">
        <v>1000</v>
      </c>
    </row>
    <row r="218" spans="2:7">
      <c r="B218" s="141">
        <v>29</v>
      </c>
      <c r="C218" s="257"/>
      <c r="D218" s="257"/>
      <c r="E218" s="50" t="s">
        <v>68</v>
      </c>
      <c r="F218" s="50"/>
      <c r="G218" s="160">
        <v>500</v>
      </c>
    </row>
    <row r="219" spans="2:7">
      <c r="B219" s="141">
        <v>30</v>
      </c>
      <c r="C219" s="257"/>
      <c r="D219" s="257"/>
      <c r="E219" s="50" t="s">
        <v>68</v>
      </c>
      <c r="F219" s="50"/>
      <c r="G219" s="160">
        <v>500</v>
      </c>
    </row>
    <row r="220" spans="2:7">
      <c r="B220" s="159">
        <v>31</v>
      </c>
      <c r="C220" s="257" t="s">
        <v>69</v>
      </c>
      <c r="D220" s="50"/>
      <c r="E220" s="50"/>
      <c r="F220" s="50" t="s">
        <v>70</v>
      </c>
      <c r="G220" s="160">
        <v>800</v>
      </c>
    </row>
    <row r="221" spans="2:7">
      <c r="B221" s="159">
        <v>32</v>
      </c>
      <c r="C221" s="257"/>
      <c r="D221" s="50"/>
      <c r="E221" s="50" t="s">
        <v>35</v>
      </c>
      <c r="F221" s="50"/>
      <c r="G221" s="160">
        <v>500</v>
      </c>
    </row>
    <row r="222" spans="2:7">
      <c r="B222" s="221">
        <v>33</v>
      </c>
      <c r="C222" s="222" t="s">
        <v>206</v>
      </c>
      <c r="D222" s="50" t="s">
        <v>207</v>
      </c>
      <c r="E222" s="50"/>
      <c r="F222" s="50" t="s">
        <v>158</v>
      </c>
      <c r="G222" s="160">
        <v>1500</v>
      </c>
    </row>
    <row r="223" spans="2:7">
      <c r="B223" s="221">
        <v>34</v>
      </c>
      <c r="C223" s="222" t="s">
        <v>160</v>
      </c>
      <c r="D223" s="50" t="s">
        <v>161</v>
      </c>
      <c r="E223" s="50" t="s">
        <v>11</v>
      </c>
      <c r="F223" s="50" t="s">
        <v>159</v>
      </c>
      <c r="G223" s="160">
        <v>1500</v>
      </c>
    </row>
    <row r="224" spans="2:7">
      <c r="B224" s="221">
        <v>35</v>
      </c>
      <c r="C224" s="222" t="s">
        <v>204</v>
      </c>
      <c r="D224" s="50" t="s">
        <v>205</v>
      </c>
      <c r="E224" s="50" t="s">
        <v>21</v>
      </c>
      <c r="F224" s="50" t="s">
        <v>421</v>
      </c>
      <c r="G224" s="160">
        <v>700</v>
      </c>
    </row>
    <row r="225" spans="2:7">
      <c r="B225" s="223">
        <v>36</v>
      </c>
      <c r="C225" s="222" t="s">
        <v>71</v>
      </c>
      <c r="D225" s="50"/>
      <c r="E225" s="50" t="s">
        <v>73</v>
      </c>
      <c r="F225" s="50" t="s">
        <v>72</v>
      </c>
      <c r="G225" s="160">
        <v>3000</v>
      </c>
    </row>
    <row r="226" spans="2:7">
      <c r="B226" s="223">
        <v>37</v>
      </c>
      <c r="C226" s="222" t="s">
        <v>266</v>
      </c>
      <c r="D226" s="50"/>
      <c r="E226" s="50" t="s">
        <v>11</v>
      </c>
      <c r="F226" s="50" t="s">
        <v>259</v>
      </c>
      <c r="G226" s="160">
        <v>1500</v>
      </c>
    </row>
    <row r="227" spans="2:7">
      <c r="B227" s="159">
        <v>38</v>
      </c>
      <c r="C227" s="224" t="s">
        <v>426</v>
      </c>
      <c r="D227" s="224" t="s">
        <v>424</v>
      </c>
      <c r="E227" s="224" t="s">
        <v>5</v>
      </c>
      <c r="F227" s="224" t="s">
        <v>147</v>
      </c>
      <c r="G227" s="225">
        <v>800</v>
      </c>
    </row>
    <row r="228" spans="2:7">
      <c r="B228" s="258" t="s">
        <v>105</v>
      </c>
      <c r="C228" s="259"/>
      <c r="D228" s="259"/>
      <c r="E228" s="259"/>
      <c r="F228" s="259"/>
      <c r="G228" s="189">
        <f>SUM(G190:G227)</f>
        <v>52000</v>
      </c>
    </row>
    <row r="229" spans="2:7" ht="19.8">
      <c r="B229" s="260" t="s">
        <v>375</v>
      </c>
      <c r="C229" s="260"/>
      <c r="D229" s="260"/>
      <c r="E229" s="260"/>
      <c r="F229" s="260"/>
      <c r="G229" s="260"/>
    </row>
    <row r="230" spans="2:7">
      <c r="B230" s="261" t="s">
        <v>0</v>
      </c>
      <c r="C230" s="261"/>
      <c r="D230" s="261" t="s">
        <v>2</v>
      </c>
      <c r="E230" s="261" t="s">
        <v>8</v>
      </c>
      <c r="F230" s="261" t="s">
        <v>1</v>
      </c>
      <c r="G230" s="262" t="s">
        <v>3</v>
      </c>
    </row>
    <row r="231" spans="2:7">
      <c r="B231" s="261"/>
      <c r="C231" s="261"/>
      <c r="D231" s="261"/>
      <c r="E231" s="261"/>
      <c r="F231" s="261"/>
      <c r="G231" s="262"/>
    </row>
    <row r="232" spans="2:7">
      <c r="B232" s="141">
        <v>1</v>
      </c>
      <c r="C232" s="50" t="s">
        <v>75</v>
      </c>
      <c r="D232" s="50" t="s">
        <v>77</v>
      </c>
      <c r="E232" s="50" t="s">
        <v>76</v>
      </c>
      <c r="F232" s="50" t="s">
        <v>78</v>
      </c>
      <c r="G232" s="160">
        <v>2500</v>
      </c>
    </row>
    <row r="233" spans="2:7">
      <c r="B233" s="141">
        <v>2</v>
      </c>
      <c r="C233" s="50" t="s">
        <v>79</v>
      </c>
      <c r="D233" s="50" t="s">
        <v>77</v>
      </c>
      <c r="E233" s="50" t="s">
        <v>73</v>
      </c>
      <c r="F233" s="50" t="s">
        <v>74</v>
      </c>
      <c r="G233" s="160">
        <v>1500</v>
      </c>
    </row>
    <row r="234" spans="2:7">
      <c r="B234" s="256">
        <v>3</v>
      </c>
      <c r="C234" s="257" t="s">
        <v>80</v>
      </c>
      <c r="D234" s="257" t="s">
        <v>77</v>
      </c>
      <c r="E234" s="50" t="s">
        <v>81</v>
      </c>
      <c r="F234" s="50" t="s">
        <v>6</v>
      </c>
      <c r="G234" s="160">
        <v>2000</v>
      </c>
    </row>
    <row r="235" spans="2:7">
      <c r="B235" s="256"/>
      <c r="C235" s="257"/>
      <c r="D235" s="257"/>
      <c r="E235" s="50" t="s">
        <v>35</v>
      </c>
      <c r="F235" s="50"/>
      <c r="G235" s="160"/>
    </row>
    <row r="236" spans="2:7">
      <c r="B236" s="141">
        <v>4</v>
      </c>
      <c r="C236" s="50" t="s">
        <v>82</v>
      </c>
      <c r="D236" s="50" t="s">
        <v>83</v>
      </c>
      <c r="E236" s="50" t="s">
        <v>73</v>
      </c>
      <c r="F236" s="50" t="s">
        <v>84</v>
      </c>
      <c r="G236" s="160">
        <v>1500</v>
      </c>
    </row>
    <row r="237" spans="2:7">
      <c r="B237" s="141">
        <v>5</v>
      </c>
      <c r="C237" s="50" t="s">
        <v>85</v>
      </c>
      <c r="D237" s="50" t="s">
        <v>83</v>
      </c>
      <c r="E237" s="50" t="s">
        <v>73</v>
      </c>
      <c r="F237" s="50" t="s">
        <v>86</v>
      </c>
      <c r="G237" s="160">
        <v>1500</v>
      </c>
    </row>
    <row r="238" spans="2:7">
      <c r="B238" s="141">
        <v>6</v>
      </c>
      <c r="C238" s="50" t="s">
        <v>87</v>
      </c>
      <c r="D238" s="50" t="s">
        <v>88</v>
      </c>
      <c r="E238" s="50" t="s">
        <v>81</v>
      </c>
      <c r="F238" s="50" t="s">
        <v>89</v>
      </c>
      <c r="G238" s="160">
        <v>2000</v>
      </c>
    </row>
    <row r="239" spans="2:7">
      <c r="B239" s="258" t="s">
        <v>105</v>
      </c>
      <c r="C239" s="259"/>
      <c r="D239" s="259"/>
      <c r="E239" s="259"/>
      <c r="F239" s="259"/>
      <c r="G239" s="190">
        <f>SUM(G232:G238)</f>
        <v>11000</v>
      </c>
    </row>
  </sheetData>
  <mergeCells count="165">
    <mergeCell ref="J160:K160"/>
    <mergeCell ref="O147:O149"/>
    <mergeCell ref="P147:P149"/>
    <mergeCell ref="J151:J153"/>
    <mergeCell ref="L151:L153"/>
    <mergeCell ref="M151:M153"/>
    <mergeCell ref="O151:O153"/>
    <mergeCell ref="P151:P153"/>
    <mergeCell ref="K117:K118"/>
    <mergeCell ref="B111:E112"/>
    <mergeCell ref="F111:F112"/>
    <mergeCell ref="H111:H112"/>
    <mergeCell ref="J155:J156"/>
    <mergeCell ref="L155:L156"/>
    <mergeCell ref="M155:M156"/>
    <mergeCell ref="O155:O156"/>
    <mergeCell ref="P155:P156"/>
    <mergeCell ref="G150:G151"/>
    <mergeCell ref="H150:H151"/>
    <mergeCell ref="B141:G141"/>
    <mergeCell ref="B145:H145"/>
    <mergeCell ref="J145:P145"/>
    <mergeCell ref="J147:J149"/>
    <mergeCell ref="L147:L149"/>
    <mergeCell ref="M147:M149"/>
    <mergeCell ref="B122:H122"/>
    <mergeCell ref="B188:C189"/>
    <mergeCell ref="D188:D189"/>
    <mergeCell ref="E188:E189"/>
    <mergeCell ref="F188:F189"/>
    <mergeCell ref="G188:G189"/>
    <mergeCell ref="B92:P92"/>
    <mergeCell ref="B93:C94"/>
    <mergeCell ref="D93:E94"/>
    <mergeCell ref="F93:G94"/>
    <mergeCell ref="H93:I94"/>
    <mergeCell ref="J93:K94"/>
    <mergeCell ref="L93:M94"/>
    <mergeCell ref="N93:O94"/>
    <mergeCell ref="P93:P99"/>
    <mergeCell ref="H152:H154"/>
    <mergeCell ref="G147:G149"/>
    <mergeCell ref="H147:H149"/>
    <mergeCell ref="B150:B151"/>
    <mergeCell ref="D117:E117"/>
    <mergeCell ref="D116:E116"/>
    <mergeCell ref="D115:F115"/>
    <mergeCell ref="C118:F118"/>
    <mergeCell ref="D150:D151"/>
    <mergeCell ref="E150:E151"/>
    <mergeCell ref="D214:D215"/>
    <mergeCell ref="C217:C219"/>
    <mergeCell ref="D217:D219"/>
    <mergeCell ref="C220:C221"/>
    <mergeCell ref="C190:C191"/>
    <mergeCell ref="D190:D191"/>
    <mergeCell ref="C192:C193"/>
    <mergeCell ref="D192:D193"/>
    <mergeCell ref="C199:C200"/>
    <mergeCell ref="C202:C204"/>
    <mergeCell ref="B239:F239"/>
    <mergeCell ref="B228:F228"/>
    <mergeCell ref="B230:C231"/>
    <mergeCell ref="D230:D231"/>
    <mergeCell ref="E230:E231"/>
    <mergeCell ref="F230:F231"/>
    <mergeCell ref="E96:E98"/>
    <mergeCell ref="B185:G186"/>
    <mergeCell ref="B234:B235"/>
    <mergeCell ref="C234:C235"/>
    <mergeCell ref="D234:D235"/>
    <mergeCell ref="B187:G187"/>
    <mergeCell ref="B229:G229"/>
    <mergeCell ref="G230:G231"/>
    <mergeCell ref="C207:C210"/>
    <mergeCell ref="D207:D210"/>
    <mergeCell ref="B152:B154"/>
    <mergeCell ref="D152:D154"/>
    <mergeCell ref="E152:E154"/>
    <mergeCell ref="G152:G154"/>
    <mergeCell ref="B161:C161"/>
    <mergeCell ref="B147:B149"/>
    <mergeCell ref="D147:D149"/>
    <mergeCell ref="E147:E149"/>
    <mergeCell ref="I111:I112"/>
    <mergeCell ref="B114:F114"/>
    <mergeCell ref="B105:F105"/>
    <mergeCell ref="C106:F106"/>
    <mergeCell ref="B107:B108"/>
    <mergeCell ref="C107:C108"/>
    <mergeCell ref="H108:I108"/>
    <mergeCell ref="K108:M108"/>
    <mergeCell ref="A72:R72"/>
    <mergeCell ref="R75:R85"/>
    <mergeCell ref="A86:B87"/>
    <mergeCell ref="A73:B74"/>
    <mergeCell ref="C73:D73"/>
    <mergeCell ref="E73:F73"/>
    <mergeCell ref="G73:H73"/>
    <mergeCell ref="I73:J73"/>
    <mergeCell ref="K73:L73"/>
    <mergeCell ref="M73:N73"/>
    <mergeCell ref="O73:P73"/>
    <mergeCell ref="C62:C68"/>
    <mergeCell ref="V62:AB62"/>
    <mergeCell ref="A69:E69"/>
    <mergeCell ref="A59:O59"/>
    <mergeCell ref="A60:B61"/>
    <mergeCell ref="C60:C61"/>
    <mergeCell ref="D60:D61"/>
    <mergeCell ref="E60:E61"/>
    <mergeCell ref="F60:F61"/>
    <mergeCell ref="N60:N61"/>
    <mergeCell ref="O60:O61"/>
    <mergeCell ref="AF49:AI49"/>
    <mergeCell ref="A50:A51"/>
    <mergeCell ref="B50:B51"/>
    <mergeCell ref="C50:C51"/>
    <mergeCell ref="A55:E55"/>
    <mergeCell ref="M46:O46"/>
    <mergeCell ref="P46:R46"/>
    <mergeCell ref="S46:U46"/>
    <mergeCell ref="V46:X46"/>
    <mergeCell ref="Y46:AA46"/>
    <mergeCell ref="AB46:AB47"/>
    <mergeCell ref="B33:B34"/>
    <mergeCell ref="A42:E42"/>
    <mergeCell ref="A45:AC45"/>
    <mergeCell ref="A46:B47"/>
    <mergeCell ref="C46:C47"/>
    <mergeCell ref="D46:D47"/>
    <mergeCell ref="E46:E47"/>
    <mergeCell ref="F46:F47"/>
    <mergeCell ref="G46:I46"/>
    <mergeCell ref="J46:L46"/>
    <mergeCell ref="AC46:AC47"/>
    <mergeCell ref="B16:B17"/>
    <mergeCell ref="B20:B23"/>
    <mergeCell ref="C20:C23"/>
    <mergeCell ref="C27:C28"/>
    <mergeCell ref="B30:B32"/>
    <mergeCell ref="C30:C32"/>
    <mergeCell ref="B6:B7"/>
    <mergeCell ref="C6:C7"/>
    <mergeCell ref="AF6:AI6"/>
    <mergeCell ref="B13:B14"/>
    <mergeCell ref="AG13:AH13"/>
    <mergeCell ref="AG14:AH14"/>
    <mergeCell ref="S2:U2"/>
    <mergeCell ref="V2:X2"/>
    <mergeCell ref="Y2:AA2"/>
    <mergeCell ref="AB2:AB3"/>
    <mergeCell ref="AC2:AC3"/>
    <mergeCell ref="B4:B5"/>
    <mergeCell ref="C4:C5"/>
    <mergeCell ref="A1:AC1"/>
    <mergeCell ref="A2:B3"/>
    <mergeCell ref="C2:C3"/>
    <mergeCell ref="D2:D3"/>
    <mergeCell ref="E2:E3"/>
    <mergeCell ref="F2:F3"/>
    <mergeCell ref="G2:I2"/>
    <mergeCell ref="J2:L2"/>
    <mergeCell ref="M2:O2"/>
    <mergeCell ref="P2:R2"/>
  </mergeCells>
  <conditionalFormatting sqref="AB4:AB18 AB20:AB41">
    <cfRule type="cellIs" dxfId="95" priority="32" operator="lessThan">
      <formula>-1</formula>
    </cfRule>
  </conditionalFormatting>
  <conditionalFormatting sqref="AB42">
    <cfRule type="cellIs" dxfId="94" priority="30" operator="greaterThan">
      <formula>0</formula>
    </cfRule>
  </conditionalFormatting>
  <conditionalFormatting sqref="AB48:AB54">
    <cfRule type="cellIs" dxfId="93" priority="1" operator="lessThan">
      <formula>0</formula>
    </cfRule>
  </conditionalFormatting>
  <conditionalFormatting sqref="AC4">
    <cfRule type="cellIs" dxfId="92" priority="29" operator="greaterThan">
      <formula>$F$4</formula>
    </cfRule>
  </conditionalFormatting>
  <conditionalFormatting sqref="AC5">
    <cfRule type="cellIs" dxfId="91" priority="28" operator="greaterThan">
      <formula>$F$5</formula>
    </cfRule>
  </conditionalFormatting>
  <conditionalFormatting sqref="AC6">
    <cfRule type="cellIs" dxfId="90" priority="2" operator="greaterThan">
      <formula>$F$6</formula>
    </cfRule>
  </conditionalFormatting>
  <conditionalFormatting sqref="AC7">
    <cfRule type="cellIs" dxfId="89" priority="27" operator="greaterThan">
      <formula>$F$7</formula>
    </cfRule>
  </conditionalFormatting>
  <conditionalFormatting sqref="AC8">
    <cfRule type="cellIs" dxfId="88" priority="26" operator="greaterThan">
      <formula>$F$8</formula>
    </cfRule>
  </conditionalFormatting>
  <conditionalFormatting sqref="AC9">
    <cfRule type="cellIs" dxfId="87" priority="25" operator="greaterThan">
      <formula>$F$9</formula>
    </cfRule>
  </conditionalFormatting>
  <conditionalFormatting sqref="AC10">
    <cfRule type="cellIs" dxfId="86" priority="24" operator="greaterThan">
      <formula>$F$10</formula>
    </cfRule>
  </conditionalFormatting>
  <conditionalFormatting sqref="AC11">
    <cfRule type="cellIs" dxfId="85" priority="23" operator="greaterThan">
      <formula>$F$11</formula>
    </cfRule>
  </conditionalFormatting>
  <conditionalFormatting sqref="AC12">
    <cfRule type="cellIs" dxfId="84" priority="22" operator="greaterThan">
      <formula>$F$12</formula>
    </cfRule>
  </conditionalFormatting>
  <conditionalFormatting sqref="AC13">
    <cfRule type="cellIs" dxfId="83" priority="21" operator="greaterThan">
      <formula>$F$13</formula>
    </cfRule>
  </conditionalFormatting>
  <conditionalFormatting sqref="AC14">
    <cfRule type="cellIs" dxfId="82" priority="20" operator="greaterThan">
      <formula>$F$14</formula>
    </cfRule>
  </conditionalFormatting>
  <conditionalFormatting sqref="AC15">
    <cfRule type="cellIs" dxfId="81" priority="19" operator="greaterThan">
      <formula>$F$15</formula>
    </cfRule>
  </conditionalFormatting>
  <conditionalFormatting sqref="AC16:AC17">
    <cfRule type="cellIs" dxfId="80" priority="18" operator="greaterThan">
      <formula>$F$16</formula>
    </cfRule>
  </conditionalFormatting>
  <conditionalFormatting sqref="AC18">
    <cfRule type="cellIs" dxfId="79" priority="17" operator="greaterThan">
      <formula>$F$18</formula>
    </cfRule>
  </conditionalFormatting>
  <conditionalFormatting sqref="AC19">
    <cfRule type="cellIs" dxfId="78" priority="16" operator="greaterThan">
      <formula>$F$19</formula>
    </cfRule>
  </conditionalFormatting>
  <conditionalFormatting sqref="AC20">
    <cfRule type="cellIs" dxfId="77" priority="15" operator="greaterThan">
      <formula>$F$20</formula>
    </cfRule>
  </conditionalFormatting>
  <conditionalFormatting sqref="AC21">
    <cfRule type="cellIs" dxfId="76" priority="14" operator="greaterThan">
      <formula>$F$21</formula>
    </cfRule>
  </conditionalFormatting>
  <conditionalFormatting sqref="AC24">
    <cfRule type="cellIs" dxfId="75" priority="13" operator="greaterThan">
      <formula>$F$24</formula>
    </cfRule>
  </conditionalFormatting>
  <conditionalFormatting sqref="AC25">
    <cfRule type="cellIs" dxfId="74" priority="12" operator="greaterThan">
      <formula>$F$25</formula>
    </cfRule>
  </conditionalFormatting>
  <conditionalFormatting sqref="AC26">
    <cfRule type="cellIs" dxfId="73" priority="11" operator="greaterThan">
      <formula>$F$26</formula>
    </cfRule>
  </conditionalFormatting>
  <conditionalFormatting sqref="AC27">
    <cfRule type="cellIs" dxfId="72" priority="10" operator="greaterThan">
      <formula>$F$27</formula>
    </cfRule>
  </conditionalFormatting>
  <conditionalFormatting sqref="AC28">
    <cfRule type="cellIs" dxfId="71" priority="9" operator="greaterThan">
      <formula>$F$28</formula>
    </cfRule>
  </conditionalFormatting>
  <conditionalFormatting sqref="AC29">
    <cfRule type="cellIs" dxfId="70" priority="8" operator="greaterThan">
      <formula>$F$29</formula>
    </cfRule>
  </conditionalFormatting>
  <conditionalFormatting sqref="AC30">
    <cfRule type="cellIs" dxfId="69" priority="7" operator="greaterThan">
      <formula>$F$30</formula>
    </cfRule>
  </conditionalFormatting>
  <conditionalFormatting sqref="AC31 AC35 AC39">
    <cfRule type="cellIs" dxfId="68" priority="6" operator="greaterThan">
      <formula>$F$31</formula>
    </cfRule>
  </conditionalFormatting>
  <conditionalFormatting sqref="AC32 AC36 AC40">
    <cfRule type="cellIs" dxfId="67" priority="5" operator="greaterThan">
      <formula>$F$32</formula>
    </cfRule>
  </conditionalFormatting>
  <conditionalFormatting sqref="AC33 AC37 AC41">
    <cfRule type="cellIs" dxfId="66" priority="4" operator="greaterThan">
      <formula>$F$33</formula>
    </cfRule>
  </conditionalFormatting>
  <conditionalFormatting sqref="AC34 AC38">
    <cfRule type="cellIs" dxfId="65" priority="3" operator="greaterThan">
      <formula>$F$34</formula>
    </cfRule>
  </conditionalFormatting>
  <conditionalFormatting sqref="AC42">
    <cfRule type="cellIs" dxfId="64" priority="31" operator="lessThan">
      <formula>46700</formula>
    </cfRule>
  </conditionalFormatting>
  <pageMargins left="0.25" right="0.25" top="0.75" bottom="0.75" header="0.3" footer="0.3"/>
  <pageSetup scale="1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FB95-8199-4AC9-9B1B-E82D270CE164}">
  <sheetPr>
    <pageSetUpPr fitToPage="1"/>
  </sheetPr>
  <dimension ref="A1:BJ239"/>
  <sheetViews>
    <sheetView tabSelected="1" zoomScale="56" zoomScaleNormal="60" workbookViewId="0">
      <selection activeCell="G119" sqref="G119"/>
    </sheetView>
  </sheetViews>
  <sheetFormatPr baseColWidth="10" defaultRowHeight="14.4"/>
  <cols>
    <col min="1" max="1" width="4.44140625" style="1" customWidth="1"/>
    <col min="2" max="2" width="34.77734375" style="1" customWidth="1"/>
    <col min="3" max="3" width="36.88671875" style="1" customWidth="1"/>
    <col min="4" max="4" width="32.33203125" style="1" customWidth="1"/>
    <col min="5" max="5" width="19.77734375" style="1" customWidth="1"/>
    <col min="6" max="6" width="21.5546875" style="2" customWidth="1"/>
    <col min="7" max="7" width="20" customWidth="1"/>
    <col min="8" max="8" width="17" customWidth="1"/>
    <col min="9" max="9" width="17" bestFit="1" customWidth="1"/>
    <col min="10" max="10" width="17.21875" customWidth="1"/>
    <col min="11" max="11" width="15.21875" customWidth="1"/>
    <col min="12" max="12" width="24.33203125" bestFit="1" customWidth="1"/>
    <col min="13" max="13" width="16.77734375" customWidth="1"/>
    <col min="14" max="14" width="21.6640625" customWidth="1"/>
    <col min="15" max="15" width="20.88671875" customWidth="1"/>
    <col min="16" max="16" width="19" customWidth="1"/>
    <col min="17" max="17" width="15.6640625" customWidth="1"/>
    <col min="18" max="18" width="14.88671875" customWidth="1"/>
    <col min="19" max="19" width="18.44140625" customWidth="1"/>
    <col min="20" max="20" width="22.21875" customWidth="1"/>
    <col min="21" max="21" width="16.44140625" customWidth="1"/>
    <col min="22" max="22" width="16.6640625" customWidth="1"/>
    <col min="23" max="23" width="17.21875" customWidth="1"/>
    <col min="28" max="28" width="19.109375" bestFit="1" customWidth="1"/>
    <col min="29" max="29" width="18.6640625" customWidth="1"/>
    <col min="30" max="30" width="14.6640625" customWidth="1"/>
    <col min="32" max="32" width="21.33203125" customWidth="1"/>
    <col min="33" max="33" width="16.44140625" customWidth="1"/>
    <col min="34" max="34" width="21" customWidth="1"/>
    <col min="35" max="35" width="18.21875" customWidth="1"/>
    <col min="37" max="37" width="15.6640625" customWidth="1"/>
    <col min="40" max="42" width="13.88671875" customWidth="1"/>
    <col min="43" max="44" width="14.33203125" customWidth="1"/>
    <col min="45" max="46" width="14.77734375" customWidth="1"/>
    <col min="47" max="48" width="18.33203125" customWidth="1"/>
    <col min="50" max="50" width="13.33203125" customWidth="1"/>
    <col min="54" max="54" width="15.5546875" customWidth="1"/>
  </cols>
  <sheetData>
    <row r="1" spans="1:56" ht="24.6">
      <c r="A1" s="451"/>
      <c r="B1" s="452"/>
      <c r="C1" s="452"/>
      <c r="D1" s="452"/>
      <c r="E1" s="452"/>
      <c r="F1" s="453"/>
      <c r="G1" s="448" t="s">
        <v>139</v>
      </c>
      <c r="H1" s="449"/>
      <c r="I1" s="449"/>
      <c r="J1" s="449"/>
      <c r="K1" s="449"/>
      <c r="L1" s="449"/>
      <c r="M1" s="449"/>
      <c r="N1" s="449"/>
      <c r="O1" s="449"/>
      <c r="P1" s="449"/>
      <c r="Q1" s="449"/>
      <c r="R1" s="449"/>
      <c r="S1" s="449"/>
      <c r="T1" s="449"/>
      <c r="U1" s="449"/>
      <c r="V1" s="449"/>
      <c r="W1" s="449"/>
      <c r="X1" s="449"/>
      <c r="Y1" s="449"/>
      <c r="Z1" s="449"/>
      <c r="AA1" s="450"/>
      <c r="AB1" s="447"/>
      <c r="AC1" s="447"/>
    </row>
    <row r="2" spans="1:56" ht="28.8" customHeight="1">
      <c r="A2" s="269" t="s">
        <v>0</v>
      </c>
      <c r="B2" s="270"/>
      <c r="C2" s="273" t="s">
        <v>2</v>
      </c>
      <c r="D2" s="273" t="s">
        <v>8</v>
      </c>
      <c r="E2" s="273" t="s">
        <v>1</v>
      </c>
      <c r="F2" s="326" t="s">
        <v>91</v>
      </c>
      <c r="G2" s="317">
        <v>46223</v>
      </c>
      <c r="H2" s="317"/>
      <c r="I2" s="317"/>
      <c r="J2" s="317">
        <v>46224</v>
      </c>
      <c r="K2" s="317"/>
      <c r="L2" s="317"/>
      <c r="M2" s="317">
        <v>46225</v>
      </c>
      <c r="N2" s="317"/>
      <c r="O2" s="317"/>
      <c r="P2" s="317">
        <v>46226</v>
      </c>
      <c r="Q2" s="317"/>
      <c r="R2" s="317"/>
      <c r="S2" s="317">
        <v>46227</v>
      </c>
      <c r="T2" s="317"/>
      <c r="U2" s="317"/>
      <c r="V2" s="317">
        <v>46228</v>
      </c>
      <c r="W2" s="317"/>
      <c r="X2" s="317"/>
      <c r="Y2" s="317">
        <v>46229</v>
      </c>
      <c r="Z2" s="317"/>
      <c r="AA2" s="317"/>
      <c r="AB2" s="317" t="s">
        <v>94</v>
      </c>
      <c r="AC2" s="262" t="s">
        <v>92</v>
      </c>
    </row>
    <row r="3" spans="1:56">
      <c r="A3" s="271"/>
      <c r="B3" s="272"/>
      <c r="C3" s="274"/>
      <c r="D3" s="274"/>
      <c r="E3" s="274"/>
      <c r="F3" s="327"/>
      <c r="G3" s="17" t="s">
        <v>95</v>
      </c>
      <c r="H3" s="17" t="s">
        <v>96</v>
      </c>
      <c r="I3" s="17" t="s">
        <v>103</v>
      </c>
      <c r="J3" s="17" t="s">
        <v>95</v>
      </c>
      <c r="K3" s="17" t="s">
        <v>96</v>
      </c>
      <c r="L3" s="17" t="s">
        <v>98</v>
      </c>
      <c r="M3" s="17" t="s">
        <v>95</v>
      </c>
      <c r="N3" s="17" t="s">
        <v>96</v>
      </c>
      <c r="O3" s="17" t="s">
        <v>98</v>
      </c>
      <c r="P3" s="17" t="s">
        <v>95</v>
      </c>
      <c r="Q3" s="17" t="s">
        <v>96</v>
      </c>
      <c r="R3" s="17" t="s">
        <v>98</v>
      </c>
      <c r="S3" s="17" t="s">
        <v>95</v>
      </c>
      <c r="T3" s="17" t="s">
        <v>96</v>
      </c>
      <c r="U3" s="17" t="s">
        <v>103</v>
      </c>
      <c r="V3" s="17" t="s">
        <v>95</v>
      </c>
      <c r="W3" s="17" t="s">
        <v>96</v>
      </c>
      <c r="X3" s="17" t="s">
        <v>103</v>
      </c>
      <c r="Y3" s="17" t="s">
        <v>95</v>
      </c>
      <c r="Z3" s="17" t="s">
        <v>96</v>
      </c>
      <c r="AA3" s="17" t="s">
        <v>103</v>
      </c>
      <c r="AB3" s="317"/>
      <c r="AC3" s="262"/>
    </row>
    <row r="4" spans="1:56" s="3" customFormat="1">
      <c r="A4" s="40">
        <v>1</v>
      </c>
      <c r="B4" s="263" t="s">
        <v>4</v>
      </c>
      <c r="C4" s="263" t="s">
        <v>7</v>
      </c>
      <c r="D4" s="9" t="s">
        <v>5</v>
      </c>
      <c r="E4" s="9" t="s">
        <v>6</v>
      </c>
      <c r="F4" s="10">
        <v>1200</v>
      </c>
      <c r="G4" s="19"/>
      <c r="H4" s="19"/>
      <c r="I4" s="454"/>
      <c r="J4" s="19"/>
      <c r="K4" s="19"/>
      <c r="L4" s="19"/>
      <c r="M4" s="19"/>
      <c r="N4" s="19"/>
      <c r="O4" s="454"/>
      <c r="P4" s="19"/>
      <c r="Q4" s="19"/>
      <c r="R4" s="454"/>
      <c r="S4" s="19"/>
      <c r="T4" s="19"/>
      <c r="U4" s="454"/>
      <c r="V4" s="19"/>
      <c r="W4" s="19"/>
      <c r="X4" s="19"/>
      <c r="Y4" s="19"/>
      <c r="Z4" s="19"/>
      <c r="AA4" s="19"/>
      <c r="AB4" s="18">
        <f>F4-(SUM(G4:AA4))</f>
        <v>1200</v>
      </c>
      <c r="AC4" s="18">
        <f t="shared" ref="AC4:AC16" si="0">SUM(G4:X4)</f>
        <v>0</v>
      </c>
      <c r="AD4" s="21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</row>
    <row r="5" spans="1:56" s="3" customFormat="1">
      <c r="A5" s="40">
        <v>2</v>
      </c>
      <c r="B5" s="263"/>
      <c r="C5" s="263"/>
      <c r="D5" s="8" t="s">
        <v>35</v>
      </c>
      <c r="E5" s="8"/>
      <c r="F5" s="12">
        <v>500</v>
      </c>
      <c r="G5" s="103"/>
      <c r="H5" s="103"/>
      <c r="I5" s="455"/>
      <c r="J5" s="103"/>
      <c r="K5" s="103"/>
      <c r="L5" s="103"/>
      <c r="M5" s="103"/>
      <c r="N5" s="103"/>
      <c r="O5" s="455"/>
      <c r="P5" s="103"/>
      <c r="Q5" s="103"/>
      <c r="R5" s="455"/>
      <c r="S5" s="103"/>
      <c r="T5" s="103"/>
      <c r="U5" s="455"/>
      <c r="V5" s="103"/>
      <c r="W5" s="103"/>
      <c r="X5" s="103"/>
      <c r="Y5" s="103"/>
      <c r="Z5" s="103"/>
      <c r="AA5" s="103"/>
      <c r="AB5" s="18">
        <f t="shared" ref="AB5:AB16" si="1">F5-(SUM(G5:AA5))</f>
        <v>500</v>
      </c>
      <c r="AC5" s="18">
        <f t="shared" si="0"/>
        <v>0</v>
      </c>
      <c r="AD5" s="21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56">
      <c r="A6" s="37">
        <v>3</v>
      </c>
      <c r="B6" s="277" t="s">
        <v>9</v>
      </c>
      <c r="C6" s="277" t="s">
        <v>10</v>
      </c>
      <c r="D6" s="6" t="s">
        <v>11</v>
      </c>
      <c r="E6" s="6" t="s">
        <v>12</v>
      </c>
      <c r="F6" s="7">
        <v>2500</v>
      </c>
      <c r="G6" s="103"/>
      <c r="H6" s="103"/>
      <c r="I6" s="455"/>
      <c r="J6" s="103"/>
      <c r="K6" s="103"/>
      <c r="L6" s="103"/>
      <c r="M6" s="66">
        <v>1984.99</v>
      </c>
      <c r="N6" s="103"/>
      <c r="O6" s="455"/>
      <c r="P6" s="103"/>
      <c r="Q6" s="103"/>
      <c r="R6" s="455"/>
      <c r="S6" s="103"/>
      <c r="T6" s="103"/>
      <c r="U6" s="455"/>
      <c r="V6" s="103"/>
      <c r="W6" s="103"/>
      <c r="X6" s="103"/>
      <c r="Y6" s="103"/>
      <c r="Z6" s="103"/>
      <c r="AA6" s="103"/>
      <c r="AB6" s="18">
        <f t="shared" si="1"/>
        <v>515.01</v>
      </c>
      <c r="AC6" s="18">
        <f t="shared" si="0"/>
        <v>1984.99</v>
      </c>
      <c r="AD6" s="21"/>
      <c r="AF6" s="328" t="s">
        <v>264</v>
      </c>
      <c r="AG6" s="329"/>
      <c r="AH6" s="329"/>
      <c r="AI6" s="329"/>
      <c r="AK6" s="44"/>
    </row>
    <row r="7" spans="1:56">
      <c r="A7" s="37">
        <v>4</v>
      </c>
      <c r="B7" s="277"/>
      <c r="C7" s="277"/>
      <c r="D7" s="6" t="s">
        <v>35</v>
      </c>
      <c r="E7" s="6"/>
      <c r="F7" s="7">
        <v>500</v>
      </c>
      <c r="G7" s="103"/>
      <c r="H7" s="103"/>
      <c r="I7" s="455"/>
      <c r="J7" s="103"/>
      <c r="K7" s="103"/>
      <c r="L7" s="103"/>
      <c r="M7" s="103"/>
      <c r="N7" s="103"/>
      <c r="O7" s="455"/>
      <c r="P7" s="103"/>
      <c r="Q7" s="103"/>
      <c r="R7" s="455"/>
      <c r="S7" s="103"/>
      <c r="T7" s="103"/>
      <c r="U7" s="455"/>
      <c r="V7" s="103"/>
      <c r="W7" s="103"/>
      <c r="X7" s="103"/>
      <c r="Y7" s="103"/>
      <c r="Z7" s="103"/>
      <c r="AA7" s="103"/>
      <c r="AB7" s="18">
        <f t="shared" si="1"/>
        <v>500</v>
      </c>
      <c r="AC7" s="18">
        <f t="shared" si="0"/>
        <v>0</v>
      </c>
      <c r="AD7" s="21"/>
      <c r="AF7" s="26" t="s">
        <v>99</v>
      </c>
      <c r="AG7" s="26" t="s">
        <v>100</v>
      </c>
      <c r="AH7" s="26" t="s">
        <v>101</v>
      </c>
      <c r="AI7" s="26" t="s">
        <v>102</v>
      </c>
      <c r="AK7" s="44"/>
    </row>
    <row r="8" spans="1:56">
      <c r="A8" s="37">
        <v>5</v>
      </c>
      <c r="B8" s="6" t="s">
        <v>13</v>
      </c>
      <c r="C8" s="6" t="s">
        <v>10</v>
      </c>
      <c r="D8" s="6" t="s">
        <v>14</v>
      </c>
      <c r="E8" s="6" t="s">
        <v>97</v>
      </c>
      <c r="F8" s="7">
        <v>1500</v>
      </c>
      <c r="G8" s="103"/>
      <c r="H8" s="103"/>
      <c r="I8" s="455"/>
      <c r="J8" s="103"/>
      <c r="K8" s="103"/>
      <c r="L8" s="103"/>
      <c r="M8" s="103"/>
      <c r="N8" s="103"/>
      <c r="O8" s="455"/>
      <c r="P8" s="103"/>
      <c r="Q8" s="103"/>
      <c r="R8" s="455"/>
      <c r="S8" s="103"/>
      <c r="T8" s="103"/>
      <c r="U8" s="455"/>
      <c r="V8" s="103"/>
      <c r="W8" s="103"/>
      <c r="X8" s="103"/>
      <c r="Y8" s="103"/>
      <c r="Z8" s="103"/>
      <c r="AA8" s="103"/>
      <c r="AB8" s="18">
        <f t="shared" si="1"/>
        <v>1500</v>
      </c>
      <c r="AC8" s="18">
        <f t="shared" si="0"/>
        <v>0</v>
      </c>
      <c r="AD8" s="21"/>
      <c r="AF8" s="25" t="s">
        <v>95</v>
      </c>
      <c r="AG8" s="45">
        <f>AI8/AH8</f>
        <v>1498.4242027086063</v>
      </c>
      <c r="AH8" s="23">
        <v>22.89</v>
      </c>
      <c r="AI8" s="46">
        <f>G44+J44+M44+P44+S44+V44</f>
        <v>34298.93</v>
      </c>
    </row>
    <row r="9" spans="1:56">
      <c r="A9" s="37">
        <v>6</v>
      </c>
      <c r="B9" s="6" t="s">
        <v>211</v>
      </c>
      <c r="C9" s="6" t="s">
        <v>10</v>
      </c>
      <c r="D9" s="6" t="s">
        <v>14</v>
      </c>
      <c r="E9" s="6" t="s">
        <v>17</v>
      </c>
      <c r="F9" s="7">
        <v>1500</v>
      </c>
      <c r="G9" s="103"/>
      <c r="H9" s="103"/>
      <c r="I9" s="455"/>
      <c r="J9" s="254">
        <v>1158.2</v>
      </c>
      <c r="K9" s="103"/>
      <c r="L9" s="103"/>
      <c r="M9" s="103"/>
      <c r="N9" s="103"/>
      <c r="O9" s="455"/>
      <c r="P9" s="254">
        <v>350</v>
      </c>
      <c r="Q9" s="103"/>
      <c r="R9" s="455"/>
      <c r="S9" s="254">
        <v>500</v>
      </c>
      <c r="T9" s="103"/>
      <c r="U9" s="455"/>
      <c r="V9" s="103"/>
      <c r="W9" s="103"/>
      <c r="X9" s="103"/>
      <c r="Y9" s="103"/>
      <c r="Z9" s="103"/>
      <c r="AA9" s="103"/>
      <c r="AB9" s="18">
        <f t="shared" si="1"/>
        <v>-508.20000000000005</v>
      </c>
      <c r="AC9" s="18">
        <f t="shared" si="0"/>
        <v>2008.2</v>
      </c>
      <c r="AD9" s="21"/>
      <c r="AF9" s="25" t="s">
        <v>96</v>
      </c>
      <c r="AG9" s="45">
        <f>AI9/AH9</f>
        <v>524.24639580602877</v>
      </c>
      <c r="AH9" s="23">
        <v>22.89</v>
      </c>
      <c r="AI9" s="88">
        <f>H44+K44+N44+Q44+T44+W44+Z44</f>
        <v>12000</v>
      </c>
    </row>
    <row r="10" spans="1:56">
      <c r="A10" s="37">
        <v>7</v>
      </c>
      <c r="B10" s="6" t="s">
        <v>18</v>
      </c>
      <c r="C10" s="6" t="s">
        <v>10</v>
      </c>
      <c r="D10" s="6"/>
      <c r="E10" s="6">
        <v>9391</v>
      </c>
      <c r="F10" s="7">
        <v>1500</v>
      </c>
      <c r="G10" s="103"/>
      <c r="H10" s="103"/>
      <c r="I10" s="455"/>
      <c r="J10" s="254">
        <v>1500</v>
      </c>
      <c r="K10" s="103"/>
      <c r="L10" s="103"/>
      <c r="M10" s="103"/>
      <c r="N10" s="103"/>
      <c r="O10" s="455"/>
      <c r="P10" s="103"/>
      <c r="Q10" s="103"/>
      <c r="R10" s="455"/>
      <c r="S10" s="103"/>
      <c r="T10" s="103"/>
      <c r="U10" s="455"/>
      <c r="V10" s="103"/>
      <c r="W10" s="103"/>
      <c r="X10" s="103"/>
      <c r="Y10" s="103"/>
      <c r="Z10" s="103"/>
      <c r="AA10" s="103"/>
      <c r="AB10" s="18">
        <f t="shared" si="1"/>
        <v>0</v>
      </c>
      <c r="AC10" s="18">
        <f t="shared" si="0"/>
        <v>1500</v>
      </c>
      <c r="AD10" s="21"/>
      <c r="AF10" s="25" t="s">
        <v>103</v>
      </c>
      <c r="AG10" s="23"/>
      <c r="AH10" s="23"/>
      <c r="AI10" s="46">
        <f>R44+U44+O44</f>
        <v>0</v>
      </c>
    </row>
    <row r="11" spans="1:56" s="3" customFormat="1">
      <c r="A11" s="40">
        <v>8</v>
      </c>
      <c r="B11" s="8" t="s">
        <v>19</v>
      </c>
      <c r="C11" s="8" t="s">
        <v>20</v>
      </c>
      <c r="D11" s="8" t="s">
        <v>21</v>
      </c>
      <c r="E11" s="8" t="s">
        <v>22</v>
      </c>
      <c r="F11" s="12">
        <v>700</v>
      </c>
      <c r="G11" s="103"/>
      <c r="H11" s="103"/>
      <c r="I11" s="455"/>
      <c r="J11" s="103"/>
      <c r="K11" s="103"/>
      <c r="L11" s="103"/>
      <c r="M11" s="103"/>
      <c r="N11" s="103"/>
      <c r="O11" s="455"/>
      <c r="P11" s="103"/>
      <c r="Q11" s="103"/>
      <c r="R11" s="455"/>
      <c r="S11" s="103"/>
      <c r="T11" s="103"/>
      <c r="U11" s="455"/>
      <c r="V11" s="103"/>
      <c r="W11" s="103"/>
      <c r="X11" s="103"/>
      <c r="Y11" s="103"/>
      <c r="Z11" s="103"/>
      <c r="AA11" s="103"/>
      <c r="AB11" s="18">
        <f t="shared" si="1"/>
        <v>700</v>
      </c>
      <c r="AC11" s="18">
        <f t="shared" si="0"/>
        <v>0</v>
      </c>
      <c r="AD11" s="21"/>
      <c r="AE11"/>
      <c r="AF11"/>
      <c r="AG11"/>
      <c r="AH11"/>
      <c r="AI11"/>
      <c r="AJ11"/>
      <c r="AK11"/>
      <c r="AL11"/>
      <c r="AM11"/>
      <c r="BC11"/>
    </row>
    <row r="12" spans="1:56" s="3" customFormat="1">
      <c r="A12" s="40">
        <v>9</v>
      </c>
      <c r="B12" s="8" t="s">
        <v>23</v>
      </c>
      <c r="C12" s="8" t="s">
        <v>24</v>
      </c>
      <c r="D12" s="8" t="s">
        <v>25</v>
      </c>
      <c r="E12" s="8" t="s">
        <v>26</v>
      </c>
      <c r="F12" s="12">
        <v>1500</v>
      </c>
      <c r="G12" s="103"/>
      <c r="H12" s="103"/>
      <c r="I12" s="455"/>
      <c r="J12" s="103"/>
      <c r="K12" s="103"/>
      <c r="L12" s="103"/>
      <c r="M12" s="103"/>
      <c r="N12" s="103"/>
      <c r="O12" s="455"/>
      <c r="P12" s="103"/>
      <c r="Q12" s="103"/>
      <c r="R12" s="455"/>
      <c r="S12" s="103"/>
      <c r="T12" s="103"/>
      <c r="U12" s="455"/>
      <c r="V12" s="103"/>
      <c r="W12" s="103"/>
      <c r="X12" s="103"/>
      <c r="Y12" s="103"/>
      <c r="Z12" s="103"/>
      <c r="AA12" s="103"/>
      <c r="AB12" s="18">
        <f t="shared" si="1"/>
        <v>1500</v>
      </c>
      <c r="AC12" s="18">
        <f t="shared" si="0"/>
        <v>0</v>
      </c>
      <c r="AD12" s="21"/>
      <c r="AE12"/>
      <c r="AF12"/>
      <c r="AG12"/>
      <c r="AH12"/>
      <c r="AI12"/>
      <c r="AJ12"/>
      <c r="AK12"/>
      <c r="AL12"/>
      <c r="AM12"/>
      <c r="BC12"/>
    </row>
    <row r="13" spans="1:56">
      <c r="A13" s="37">
        <v>10</v>
      </c>
      <c r="B13" s="277" t="s">
        <v>27</v>
      </c>
      <c r="C13" s="6" t="s">
        <v>28</v>
      </c>
      <c r="D13" s="6" t="s">
        <v>29</v>
      </c>
      <c r="E13" s="6" t="s">
        <v>30</v>
      </c>
      <c r="F13" s="7">
        <v>1500</v>
      </c>
      <c r="G13" s="148">
        <v>1500</v>
      </c>
      <c r="H13" s="103"/>
      <c r="I13" s="455"/>
      <c r="J13" s="103"/>
      <c r="K13" s="103"/>
      <c r="L13" s="103"/>
      <c r="M13" s="103"/>
      <c r="N13" s="103"/>
      <c r="O13" s="455"/>
      <c r="P13" s="103"/>
      <c r="Q13" s="103"/>
      <c r="R13" s="455"/>
      <c r="S13" s="103"/>
      <c r="T13" s="103"/>
      <c r="U13" s="455"/>
      <c r="V13" s="254">
        <v>922.74</v>
      </c>
      <c r="W13" s="103"/>
      <c r="X13" s="103"/>
      <c r="Y13" s="103"/>
      <c r="Z13" s="103"/>
      <c r="AA13" s="103"/>
      <c r="AB13" s="18">
        <f t="shared" si="1"/>
        <v>-922.73999999999978</v>
      </c>
      <c r="AC13" s="18">
        <f t="shared" si="0"/>
        <v>2422.7399999999998</v>
      </c>
      <c r="AD13" s="21"/>
      <c r="AG13" s="340"/>
      <c r="AH13" s="340"/>
      <c r="AI13" s="149"/>
      <c r="AJ13" s="149"/>
      <c r="AK13" s="149"/>
    </row>
    <row r="14" spans="1:56">
      <c r="A14" s="37">
        <v>11</v>
      </c>
      <c r="B14" s="277"/>
      <c r="C14" s="6" t="s">
        <v>34</v>
      </c>
      <c r="D14" s="6" t="s">
        <v>35</v>
      </c>
      <c r="E14" s="6"/>
      <c r="F14" s="7">
        <v>500</v>
      </c>
      <c r="G14" s="103"/>
      <c r="H14" s="103"/>
      <c r="I14" s="455"/>
      <c r="J14" s="103"/>
      <c r="K14" s="103"/>
      <c r="L14" s="103"/>
      <c r="M14" s="103"/>
      <c r="N14" s="103"/>
      <c r="O14" s="455"/>
      <c r="P14" s="103"/>
      <c r="Q14" s="103"/>
      <c r="R14" s="455"/>
      <c r="S14" s="103"/>
      <c r="T14" s="103"/>
      <c r="U14" s="455"/>
      <c r="V14" s="103"/>
      <c r="W14" s="103"/>
      <c r="X14" s="103"/>
      <c r="Y14" s="103"/>
      <c r="Z14" s="103"/>
      <c r="AA14" s="103"/>
      <c r="AB14" s="18">
        <f t="shared" si="1"/>
        <v>500</v>
      </c>
      <c r="AC14" s="18">
        <f t="shared" si="0"/>
        <v>0</v>
      </c>
      <c r="AD14" s="21"/>
      <c r="AG14" s="341" t="s">
        <v>265</v>
      </c>
      <c r="AH14" s="342"/>
      <c r="AI14" s="151"/>
      <c r="AJ14" s="151"/>
      <c r="AK14" s="149"/>
    </row>
    <row r="15" spans="1:56">
      <c r="A15" s="37">
        <v>12</v>
      </c>
      <c r="B15" s="6" t="s">
        <v>31</v>
      </c>
      <c r="C15" s="6" t="s">
        <v>28</v>
      </c>
      <c r="D15" s="6" t="s">
        <v>33</v>
      </c>
      <c r="E15" s="6" t="s">
        <v>32</v>
      </c>
      <c r="F15" s="7">
        <v>1500</v>
      </c>
      <c r="G15" s="103"/>
      <c r="H15" s="254">
        <v>2000</v>
      </c>
      <c r="I15" s="455" t="s">
        <v>494</v>
      </c>
      <c r="J15" s="103"/>
      <c r="K15" s="103"/>
      <c r="L15" s="103"/>
      <c r="M15" s="103"/>
      <c r="N15" s="103"/>
      <c r="O15" s="455"/>
      <c r="P15" s="103"/>
      <c r="Q15" s="103"/>
      <c r="R15" s="455"/>
      <c r="S15" s="103"/>
      <c r="T15" s="103"/>
      <c r="U15" s="455"/>
      <c r="V15" s="254">
        <v>1500</v>
      </c>
      <c r="W15" s="103"/>
      <c r="X15" s="103"/>
      <c r="Y15" s="103"/>
      <c r="Z15" s="103"/>
      <c r="AA15" s="103"/>
      <c r="AB15" s="18">
        <f t="shared" si="1"/>
        <v>-2000</v>
      </c>
      <c r="AC15" s="18">
        <f t="shared" si="0"/>
        <v>3500</v>
      </c>
      <c r="AD15" s="21"/>
      <c r="AG15" s="141" t="s">
        <v>95</v>
      </c>
      <c r="AH15" s="101">
        <f>AI8+AI53</f>
        <v>43986.14</v>
      </c>
      <c r="AI15" s="150"/>
      <c r="AJ15" s="149"/>
      <c r="AK15" s="150"/>
    </row>
    <row r="16" spans="1:56" s="3" customFormat="1">
      <c r="A16" s="40">
        <v>13</v>
      </c>
      <c r="B16" s="336" t="s">
        <v>36</v>
      </c>
      <c r="C16" s="8" t="s">
        <v>37</v>
      </c>
      <c r="D16" s="8" t="s">
        <v>39</v>
      </c>
      <c r="E16" s="8" t="s">
        <v>38</v>
      </c>
      <c r="F16" s="12">
        <v>2500</v>
      </c>
      <c r="G16" s="254">
        <v>1510</v>
      </c>
      <c r="H16" s="103"/>
      <c r="I16" s="455"/>
      <c r="J16" s="103"/>
      <c r="K16" s="103"/>
      <c r="L16" s="103"/>
      <c r="M16" s="66">
        <v>1084.02</v>
      </c>
      <c r="N16" s="103"/>
      <c r="O16" s="455"/>
      <c r="P16" s="103"/>
      <c r="Q16" s="103"/>
      <c r="R16" s="455"/>
      <c r="S16" s="103"/>
      <c r="T16" s="103"/>
      <c r="U16" s="455"/>
      <c r="V16" s="103"/>
      <c r="W16" s="103"/>
      <c r="X16" s="103"/>
      <c r="Y16" s="103"/>
      <c r="Z16" s="103"/>
      <c r="AA16" s="103"/>
      <c r="AB16" s="18">
        <f t="shared" si="1"/>
        <v>-94.019999999999982</v>
      </c>
      <c r="AC16" s="18">
        <f t="shared" si="0"/>
        <v>2594.02</v>
      </c>
      <c r="AD16" s="21"/>
      <c r="AE16"/>
      <c r="AF16"/>
      <c r="AG16" s="141" t="s">
        <v>96</v>
      </c>
      <c r="AH16" s="99">
        <f>AI9+AI54</f>
        <v>12000</v>
      </c>
      <c r="AI16" s="149"/>
      <c r="AJ16" s="149"/>
      <c r="AK16" s="149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</row>
    <row r="17" spans="1:62" s="3" customFormat="1">
      <c r="A17" s="40"/>
      <c r="B17" s="337"/>
      <c r="C17" s="8"/>
      <c r="D17" s="8"/>
      <c r="E17" s="8" t="s">
        <v>423</v>
      </c>
      <c r="F17" s="12">
        <v>1500</v>
      </c>
      <c r="G17" s="103"/>
      <c r="H17" s="103"/>
      <c r="I17" s="456"/>
      <c r="J17" s="103"/>
      <c r="K17" s="103"/>
      <c r="L17" s="103"/>
      <c r="M17" s="66">
        <v>860.27</v>
      </c>
      <c r="N17" s="103"/>
      <c r="O17" s="455"/>
      <c r="P17" s="103"/>
      <c r="Q17" s="103"/>
      <c r="R17" s="455"/>
      <c r="S17" s="103"/>
      <c r="T17" s="103"/>
      <c r="U17" s="455"/>
      <c r="V17" s="254">
        <v>500</v>
      </c>
      <c r="W17" s="103"/>
      <c r="X17" s="103"/>
      <c r="Y17" s="103"/>
      <c r="Z17" s="103"/>
      <c r="AA17" s="103"/>
      <c r="AB17" s="18">
        <f>F17-(SUM(G17:AA17))</f>
        <v>139.73000000000002</v>
      </c>
      <c r="AC17" s="18"/>
      <c r="AD17" s="21"/>
      <c r="AE17"/>
      <c r="AF17"/>
      <c r="AG17" s="141"/>
      <c r="AH17" s="99"/>
      <c r="AI17" s="149"/>
      <c r="AJ17" s="149"/>
      <c r="AK17" s="149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</row>
    <row r="18" spans="1:62" s="3" customFormat="1">
      <c r="A18" s="40"/>
      <c r="B18" s="338"/>
      <c r="C18" s="8" t="s">
        <v>37</v>
      </c>
      <c r="D18" s="8" t="s">
        <v>35</v>
      </c>
      <c r="E18" s="8"/>
      <c r="F18" s="12">
        <v>300</v>
      </c>
      <c r="G18" s="103"/>
      <c r="H18" s="103"/>
      <c r="I18" s="457"/>
      <c r="J18" s="103"/>
      <c r="K18" s="103"/>
      <c r="L18" s="103"/>
      <c r="M18" s="66">
        <v>300</v>
      </c>
      <c r="N18" s="103"/>
      <c r="O18" s="455"/>
      <c r="P18" s="103"/>
      <c r="Q18" s="103"/>
      <c r="R18" s="455"/>
      <c r="S18" s="103"/>
      <c r="T18" s="103"/>
      <c r="U18" s="455"/>
      <c r="V18" s="103"/>
      <c r="W18" s="103"/>
      <c r="X18" s="103"/>
      <c r="Y18" s="103"/>
      <c r="Z18" s="103"/>
      <c r="AA18" s="103"/>
      <c r="AB18" s="18">
        <f>F18-(SUM(G18:AA18))</f>
        <v>0</v>
      </c>
      <c r="AC18" s="18"/>
      <c r="AD18" s="21"/>
      <c r="AE18"/>
      <c r="AF18"/>
      <c r="AG18" s="141" t="s">
        <v>98</v>
      </c>
      <c r="AH18" s="24">
        <f>AI10+AI55</f>
        <v>0</v>
      </c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</row>
    <row r="19" spans="1:62" s="3" customFormat="1">
      <c r="A19" s="40">
        <v>14</v>
      </c>
      <c r="B19" s="8" t="s">
        <v>40</v>
      </c>
      <c r="C19" s="8" t="s">
        <v>37</v>
      </c>
      <c r="D19" s="8" t="s">
        <v>42</v>
      </c>
      <c r="E19" s="8" t="s">
        <v>41</v>
      </c>
      <c r="F19" s="12">
        <v>2500</v>
      </c>
      <c r="G19"/>
      <c r="H19" s="103"/>
      <c r="I19" s="458"/>
      <c r="J19" s="103"/>
      <c r="K19" s="103"/>
      <c r="L19" s="103"/>
      <c r="M19" s="103"/>
      <c r="N19" s="103"/>
      <c r="O19" s="455"/>
      <c r="P19" s="103"/>
      <c r="Q19" s="103"/>
      <c r="R19" s="455"/>
      <c r="S19" s="103"/>
      <c r="T19" s="103"/>
      <c r="U19" s="455"/>
      <c r="V19" s="103"/>
      <c r="W19" s="103"/>
      <c r="X19" s="103"/>
      <c r="Y19" s="103"/>
      <c r="Z19" s="103"/>
      <c r="AA19" s="103"/>
      <c r="AB19" s="18">
        <f t="shared" ref="AB19" si="2">F19-(SUM(G19:AA19))</f>
        <v>2500</v>
      </c>
      <c r="AC19" s="18">
        <f>SUM(H19:X19)</f>
        <v>0</v>
      </c>
      <c r="AD19" s="21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</row>
    <row r="20" spans="1:62" s="3" customFormat="1">
      <c r="A20" s="40">
        <v>15</v>
      </c>
      <c r="B20" s="8" t="s">
        <v>43</v>
      </c>
      <c r="C20" s="8" t="s">
        <v>37</v>
      </c>
      <c r="D20" s="8" t="s">
        <v>33</v>
      </c>
      <c r="E20" s="8" t="s">
        <v>44</v>
      </c>
      <c r="F20" s="12">
        <v>4000</v>
      </c>
      <c r="H20" s="254">
        <v>2500</v>
      </c>
      <c r="I20" s="455" t="s">
        <v>495</v>
      </c>
      <c r="J20" s="103"/>
      <c r="K20" s="103"/>
      <c r="L20" s="103"/>
      <c r="M20" s="103"/>
      <c r="N20" s="103"/>
      <c r="O20" s="455"/>
      <c r="P20" s="103"/>
      <c r="Q20" s="254">
        <v>1500</v>
      </c>
      <c r="R20" s="455" t="s">
        <v>499</v>
      </c>
      <c r="S20" s="103"/>
      <c r="T20" s="103"/>
      <c r="U20" s="455"/>
      <c r="V20" s="103"/>
      <c r="W20" s="103"/>
      <c r="X20" s="103"/>
      <c r="Y20" s="103"/>
      <c r="Z20" s="103"/>
      <c r="AA20" s="103"/>
      <c r="AB20" s="18">
        <f>F20-(SUM(G20:AA20))</f>
        <v>0</v>
      </c>
      <c r="AC20" s="18">
        <f>SUM(H20:X20)</f>
        <v>4000</v>
      </c>
      <c r="AD20" s="21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</row>
    <row r="21" spans="1:62">
      <c r="A21" s="37">
        <v>16</v>
      </c>
      <c r="B21" s="277" t="s">
        <v>45</v>
      </c>
      <c r="C21" s="277" t="s">
        <v>46</v>
      </c>
      <c r="D21" s="6" t="s">
        <v>39</v>
      </c>
      <c r="E21" s="6" t="s">
        <v>47</v>
      </c>
      <c r="F21" s="7">
        <v>2500</v>
      </c>
      <c r="G21" s="254">
        <v>1397</v>
      </c>
      <c r="H21" s="103"/>
      <c r="I21" s="455"/>
      <c r="J21" s="103"/>
      <c r="K21" s="103"/>
      <c r="L21" s="103"/>
      <c r="M21" s="103"/>
      <c r="N21" s="103"/>
      <c r="O21" s="455"/>
      <c r="P21" s="254">
        <v>1102</v>
      </c>
      <c r="Q21" s="103"/>
      <c r="R21" s="455"/>
      <c r="S21" s="103"/>
      <c r="T21" s="103"/>
      <c r="U21" s="455"/>
      <c r="V21" s="103"/>
      <c r="W21" s="103"/>
      <c r="X21" s="103"/>
      <c r="Y21" s="103"/>
      <c r="Z21" s="103"/>
      <c r="AA21" s="103"/>
      <c r="AB21" s="18">
        <f t="shared" ref="AB21:AB44" si="3">F21-(SUM(G21:AA21))</f>
        <v>1</v>
      </c>
      <c r="AC21" s="18">
        <f t="shared" ref="AC21:AC43" si="4">SUM(G21:X21)</f>
        <v>2499</v>
      </c>
      <c r="AD21" s="21"/>
    </row>
    <row r="22" spans="1:62">
      <c r="A22" s="37">
        <v>17</v>
      </c>
      <c r="B22" s="277"/>
      <c r="C22" s="277"/>
      <c r="D22" s="6" t="s">
        <v>54</v>
      </c>
      <c r="E22" s="6"/>
      <c r="F22" s="41">
        <v>1000</v>
      </c>
      <c r="G22" s="254">
        <v>1000</v>
      </c>
      <c r="H22" s="103"/>
      <c r="I22" s="455"/>
      <c r="J22" s="103"/>
      <c r="K22" s="103"/>
      <c r="L22" s="103"/>
      <c r="M22" s="103"/>
      <c r="N22" s="103"/>
      <c r="O22" s="455"/>
      <c r="P22" s="103"/>
      <c r="Q22" s="103"/>
      <c r="R22" s="455"/>
      <c r="S22" s="103"/>
      <c r="T22" s="103"/>
      <c r="U22" s="455"/>
      <c r="V22" s="103"/>
      <c r="W22" s="103"/>
      <c r="X22" s="103"/>
      <c r="Y22" s="103"/>
      <c r="Z22" s="103"/>
      <c r="AA22" s="103"/>
      <c r="AB22" s="18">
        <f t="shared" si="3"/>
        <v>0</v>
      </c>
      <c r="AC22" s="18">
        <f t="shared" si="4"/>
        <v>1000</v>
      </c>
      <c r="AD22" s="21"/>
    </row>
    <row r="23" spans="1:62">
      <c r="A23" s="37">
        <v>18</v>
      </c>
      <c r="B23" s="277"/>
      <c r="C23" s="277"/>
      <c r="D23" s="6" t="s">
        <v>55</v>
      </c>
      <c r="E23" s="6"/>
      <c r="F23" s="41"/>
      <c r="G23" s="103"/>
      <c r="H23" s="103"/>
      <c r="I23" s="455"/>
      <c r="J23" s="103"/>
      <c r="K23" s="103"/>
      <c r="L23" s="103"/>
      <c r="M23" s="103"/>
      <c r="N23" s="103"/>
      <c r="O23" s="455"/>
      <c r="P23" s="103"/>
      <c r="Q23" s="103"/>
      <c r="R23" s="455"/>
      <c r="S23" s="103"/>
      <c r="T23" s="103"/>
      <c r="U23" s="455"/>
      <c r="V23" s="103"/>
      <c r="W23" s="103"/>
      <c r="X23" s="103"/>
      <c r="Y23" s="103"/>
      <c r="Z23" s="103"/>
      <c r="AA23" s="103"/>
      <c r="AB23" s="18">
        <f t="shared" si="3"/>
        <v>0</v>
      </c>
      <c r="AC23" s="18">
        <f t="shared" si="4"/>
        <v>0</v>
      </c>
      <c r="AD23" s="21"/>
      <c r="AG23" s="21">
        <f>G44+J44+M44+P44+S44+V44</f>
        <v>34298.93</v>
      </c>
    </row>
    <row r="24" spans="1:62">
      <c r="A24" s="37">
        <v>19</v>
      </c>
      <c r="B24" s="277"/>
      <c r="C24" s="277"/>
      <c r="D24" s="6" t="s">
        <v>56</v>
      </c>
      <c r="E24" s="6"/>
      <c r="F24" s="41"/>
      <c r="G24" s="103"/>
      <c r="H24" s="103"/>
      <c r="I24" s="455"/>
      <c r="J24" s="103"/>
      <c r="K24" s="103"/>
      <c r="L24" s="103"/>
      <c r="M24" s="103"/>
      <c r="N24" s="103"/>
      <c r="O24" s="455"/>
      <c r="P24" s="103"/>
      <c r="Q24" s="103"/>
      <c r="R24" s="455"/>
      <c r="S24" s="103"/>
      <c r="T24" s="103"/>
      <c r="U24" s="455"/>
      <c r="V24" s="103"/>
      <c r="W24" s="103"/>
      <c r="X24" s="103"/>
      <c r="Y24" s="103"/>
      <c r="Z24" s="103"/>
      <c r="AA24" s="103"/>
      <c r="AB24" s="18">
        <f t="shared" si="3"/>
        <v>0</v>
      </c>
      <c r="AC24" s="18">
        <f t="shared" si="4"/>
        <v>0</v>
      </c>
      <c r="AD24" s="21"/>
    </row>
    <row r="25" spans="1:62">
      <c r="A25" s="37">
        <v>20</v>
      </c>
      <c r="B25" s="6" t="s">
        <v>48</v>
      </c>
      <c r="C25" s="6" t="s">
        <v>46</v>
      </c>
      <c r="D25" s="6" t="s">
        <v>39</v>
      </c>
      <c r="E25" s="6" t="s">
        <v>49</v>
      </c>
      <c r="F25" s="7">
        <v>1500</v>
      </c>
      <c r="G25" s="254">
        <v>1487</v>
      </c>
      <c r="H25" s="103"/>
      <c r="I25" s="455"/>
      <c r="J25" s="103"/>
      <c r="K25" s="103"/>
      <c r="L25" s="103"/>
      <c r="M25" s="103"/>
      <c r="N25" s="103"/>
      <c r="O25" s="455"/>
      <c r="P25" s="103"/>
      <c r="Q25" s="103"/>
      <c r="R25" s="455"/>
      <c r="S25" s="103"/>
      <c r="T25" s="103"/>
      <c r="U25" s="455"/>
      <c r="V25" s="103"/>
      <c r="W25" s="103"/>
      <c r="X25" s="103"/>
      <c r="Y25" s="103"/>
      <c r="Z25" s="103"/>
      <c r="AA25" s="103"/>
      <c r="AB25" s="18">
        <f t="shared" si="3"/>
        <v>13</v>
      </c>
      <c r="AC25" s="18">
        <f t="shared" si="4"/>
        <v>1487</v>
      </c>
      <c r="AD25" s="21"/>
    </row>
    <row r="26" spans="1:62">
      <c r="A26" s="37">
        <v>21</v>
      </c>
      <c r="B26" s="6" t="s">
        <v>50</v>
      </c>
      <c r="C26" s="6" t="s">
        <v>46</v>
      </c>
      <c r="D26" s="6" t="s">
        <v>33</v>
      </c>
      <c r="E26" s="6" t="s">
        <v>51</v>
      </c>
      <c r="F26" s="7">
        <v>3000</v>
      </c>
      <c r="G26" s="254">
        <v>3000</v>
      </c>
      <c r="H26" s="103"/>
      <c r="I26" s="455"/>
      <c r="J26" s="103"/>
      <c r="K26" s="103"/>
      <c r="L26" s="103"/>
      <c r="M26" s="103"/>
      <c r="N26" s="103"/>
      <c r="O26" s="455"/>
      <c r="P26" s="254">
        <v>1000</v>
      </c>
      <c r="Q26" s="103"/>
      <c r="R26" s="455"/>
      <c r="S26" s="103"/>
      <c r="T26" s="103"/>
      <c r="U26" s="455"/>
      <c r="V26" s="103"/>
      <c r="W26" s="103"/>
      <c r="X26" s="103"/>
      <c r="Y26" s="103"/>
      <c r="Z26" s="103"/>
      <c r="AA26" s="103"/>
      <c r="AB26" s="18">
        <f t="shared" si="3"/>
        <v>-1000</v>
      </c>
      <c r="AC26" s="18">
        <f t="shared" si="4"/>
        <v>4000</v>
      </c>
      <c r="AD26" s="21"/>
    </row>
    <row r="27" spans="1:62">
      <c r="A27" s="37">
        <v>22</v>
      </c>
      <c r="B27" s="6" t="s">
        <v>52</v>
      </c>
      <c r="C27" s="6" t="s">
        <v>46</v>
      </c>
      <c r="D27" s="6" t="s">
        <v>42</v>
      </c>
      <c r="E27" s="6" t="s">
        <v>53</v>
      </c>
      <c r="F27" s="7">
        <v>2500</v>
      </c>
      <c r="G27" s="254">
        <v>1262.22</v>
      </c>
      <c r="H27" s="103"/>
      <c r="I27" s="455"/>
      <c r="J27" s="103"/>
      <c r="K27" s="103"/>
      <c r="L27" s="103"/>
      <c r="M27" s="103"/>
      <c r="N27" s="103"/>
      <c r="O27" s="455"/>
      <c r="P27" s="254">
        <v>847</v>
      </c>
      <c r="Q27" s="103"/>
      <c r="R27" s="455"/>
      <c r="S27" s="103"/>
      <c r="T27" s="103"/>
      <c r="U27" s="455"/>
      <c r="V27" s="103"/>
      <c r="W27" s="103"/>
      <c r="Y27" s="103"/>
      <c r="Z27" s="103"/>
      <c r="AA27" s="103"/>
      <c r="AB27" s="18">
        <f t="shared" si="3"/>
        <v>390.77999999999975</v>
      </c>
      <c r="AC27" s="18">
        <f t="shared" si="4"/>
        <v>2109.2200000000003</v>
      </c>
      <c r="AD27" s="21"/>
    </row>
    <row r="28" spans="1:62" s="3" customFormat="1">
      <c r="A28" s="40">
        <v>23</v>
      </c>
      <c r="B28" s="8" t="s">
        <v>66</v>
      </c>
      <c r="C28" s="339" t="s">
        <v>58</v>
      </c>
      <c r="D28" s="8" t="s">
        <v>59</v>
      </c>
      <c r="E28" s="8" t="s">
        <v>60</v>
      </c>
      <c r="F28" s="12">
        <v>2500</v>
      </c>
      <c r="G28" s="103"/>
      <c r="H28" s="103"/>
      <c r="I28" s="455"/>
      <c r="J28" s="103"/>
      <c r="K28" s="103"/>
      <c r="L28" s="103"/>
      <c r="M28" s="103"/>
      <c r="N28" s="254">
        <v>1000</v>
      </c>
      <c r="O28" s="455" t="s">
        <v>497</v>
      </c>
      <c r="P28" s="103"/>
      <c r="Q28" s="103"/>
      <c r="R28" s="455"/>
      <c r="S28" s="103"/>
      <c r="T28" s="254">
        <v>500</v>
      </c>
      <c r="U28" s="455" t="s">
        <v>501</v>
      </c>
      <c r="V28" s="103"/>
      <c r="W28" s="103"/>
      <c r="X28" s="103"/>
      <c r="Y28" s="103"/>
      <c r="Z28" s="103"/>
      <c r="AA28" s="103"/>
      <c r="AB28" s="18">
        <f t="shared" si="3"/>
        <v>1000</v>
      </c>
      <c r="AC28" s="18">
        <f t="shared" si="4"/>
        <v>1500</v>
      </c>
      <c r="AD28" s="21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</row>
    <row r="29" spans="1:62" s="3" customFormat="1">
      <c r="A29" s="40">
        <v>24</v>
      </c>
      <c r="B29" s="8" t="s">
        <v>57</v>
      </c>
      <c r="C29" s="339"/>
      <c r="D29" s="8" t="s">
        <v>35</v>
      </c>
      <c r="E29" s="8"/>
      <c r="F29" s="12">
        <v>1000</v>
      </c>
      <c r="G29" s="103"/>
      <c r="H29" s="103"/>
      <c r="I29" s="455"/>
      <c r="J29" s="103"/>
      <c r="K29" s="103"/>
      <c r="L29" s="103"/>
      <c r="M29" s="103"/>
      <c r="N29" s="103"/>
      <c r="O29" s="455"/>
      <c r="P29" s="103"/>
      <c r="Q29" s="103"/>
      <c r="R29" s="455"/>
      <c r="S29" s="103"/>
      <c r="T29" s="103"/>
      <c r="U29" s="455"/>
      <c r="V29" s="103"/>
      <c r="W29" s="103"/>
      <c r="X29" s="103"/>
      <c r="Y29" s="103"/>
      <c r="Z29" s="103"/>
      <c r="AA29" s="103"/>
      <c r="AB29" s="18">
        <f t="shared" si="3"/>
        <v>1000</v>
      </c>
      <c r="AC29" s="18">
        <f t="shared" si="4"/>
        <v>0</v>
      </c>
      <c r="AD29" s="21"/>
      <c r="AE29"/>
      <c r="AF29"/>
      <c r="AG29"/>
      <c r="AH29"/>
      <c r="AI29"/>
      <c r="AJ29"/>
      <c r="AK29"/>
      <c r="AL29"/>
      <c r="BA29"/>
      <c r="BB29"/>
      <c r="BC29"/>
      <c r="BD29"/>
      <c r="BE29"/>
      <c r="BF29"/>
      <c r="BG29"/>
      <c r="BH29"/>
      <c r="BI29"/>
      <c r="BJ29"/>
    </row>
    <row r="30" spans="1:62">
      <c r="A30" s="37">
        <v>25</v>
      </c>
      <c r="B30" s="6" t="s">
        <v>61</v>
      </c>
      <c r="C30" s="6" t="s">
        <v>62</v>
      </c>
      <c r="D30" s="6" t="s">
        <v>11</v>
      </c>
      <c r="E30" s="6" t="s">
        <v>63</v>
      </c>
      <c r="F30" s="7">
        <v>2500</v>
      </c>
      <c r="G30" s="254">
        <v>2109</v>
      </c>
      <c r="H30" s="103"/>
      <c r="I30" s="455"/>
      <c r="J30" s="103"/>
      <c r="K30" s="103"/>
      <c r="L30" s="103"/>
      <c r="M30" s="66">
        <v>1924.49</v>
      </c>
      <c r="N30" s="103"/>
      <c r="O30" s="455"/>
      <c r="P30" s="103"/>
      <c r="Q30" s="103"/>
      <c r="R30" s="455"/>
      <c r="S30" s="103"/>
      <c r="T30" s="103"/>
      <c r="U30" s="455"/>
      <c r="V30" s="103"/>
      <c r="W30" s="103"/>
      <c r="X30" s="103"/>
      <c r="Y30" s="103"/>
      <c r="Z30" s="103"/>
      <c r="AA30" s="103"/>
      <c r="AB30" s="18">
        <f t="shared" si="3"/>
        <v>-1533.4899999999998</v>
      </c>
      <c r="AC30" s="18">
        <f t="shared" si="4"/>
        <v>4033.49</v>
      </c>
      <c r="AD30" s="21"/>
    </row>
    <row r="31" spans="1:62">
      <c r="A31" s="37">
        <v>26</v>
      </c>
      <c r="B31" s="277" t="s">
        <v>64</v>
      </c>
      <c r="C31" s="277" t="s">
        <v>62</v>
      </c>
      <c r="D31" s="6" t="s">
        <v>65</v>
      </c>
      <c r="E31" s="6" t="s">
        <v>67</v>
      </c>
      <c r="F31" s="7">
        <v>1000</v>
      </c>
      <c r="G31" s="254">
        <v>1000</v>
      </c>
      <c r="H31" s="103"/>
      <c r="I31" s="455"/>
      <c r="J31" s="103"/>
      <c r="K31" s="103"/>
      <c r="L31" s="103"/>
      <c r="M31" s="103"/>
      <c r="N31" s="103"/>
      <c r="O31" s="455"/>
      <c r="P31" s="103"/>
      <c r="Q31" s="103"/>
      <c r="R31" s="455"/>
      <c r="S31" s="254">
        <v>200</v>
      </c>
      <c r="T31" s="103"/>
      <c r="U31" s="455"/>
      <c r="V31" s="47"/>
      <c r="W31" s="103"/>
      <c r="X31" s="103"/>
      <c r="Y31" s="103"/>
      <c r="Z31" s="103"/>
      <c r="AA31" s="103"/>
      <c r="AB31" s="18">
        <f t="shared" si="3"/>
        <v>-200</v>
      </c>
      <c r="AC31" s="18">
        <f t="shared" si="4"/>
        <v>1200</v>
      </c>
      <c r="AD31" s="21"/>
    </row>
    <row r="32" spans="1:62">
      <c r="A32" s="37">
        <v>27</v>
      </c>
      <c r="B32" s="277"/>
      <c r="C32" s="277"/>
      <c r="D32" s="6" t="s">
        <v>68</v>
      </c>
      <c r="E32" s="6"/>
      <c r="F32" s="7">
        <v>500</v>
      </c>
      <c r="G32" s="254">
        <v>500</v>
      </c>
      <c r="H32" s="103"/>
      <c r="I32" s="455"/>
      <c r="J32" s="103"/>
      <c r="K32" s="103"/>
      <c r="L32" s="103"/>
      <c r="M32" s="103"/>
      <c r="N32" s="103"/>
      <c r="O32" s="455"/>
      <c r="P32" s="103"/>
      <c r="Q32" s="103"/>
      <c r="R32" s="455"/>
      <c r="S32" s="103"/>
      <c r="T32" s="103"/>
      <c r="U32" s="455"/>
      <c r="V32" s="103"/>
      <c r="W32" s="103"/>
      <c r="X32" s="103"/>
      <c r="Y32" s="103"/>
      <c r="Z32" s="103"/>
      <c r="AA32" s="103"/>
      <c r="AB32" s="18">
        <f t="shared" si="3"/>
        <v>0</v>
      </c>
      <c r="AC32" s="18">
        <f t="shared" si="4"/>
        <v>500</v>
      </c>
      <c r="AD32" s="21"/>
    </row>
    <row r="33" spans="1:30">
      <c r="A33" s="37">
        <v>28</v>
      </c>
      <c r="B33" s="277"/>
      <c r="C33" s="277"/>
      <c r="D33" s="6" t="s">
        <v>68</v>
      </c>
      <c r="E33" s="6"/>
      <c r="F33" s="7">
        <v>500</v>
      </c>
      <c r="G33" s="103"/>
      <c r="H33" s="103"/>
      <c r="I33" s="455"/>
      <c r="J33" s="103"/>
      <c r="K33" s="103"/>
      <c r="L33" s="103"/>
      <c r="M33" s="103"/>
      <c r="N33" s="103"/>
      <c r="O33" s="455"/>
      <c r="P33" s="103"/>
      <c r="Q33" s="103"/>
      <c r="R33" s="455"/>
      <c r="S33" s="103"/>
      <c r="T33" s="103"/>
      <c r="U33" s="455"/>
      <c r="V33" s="103"/>
      <c r="W33" s="103"/>
      <c r="X33" s="103"/>
      <c r="Y33" s="103"/>
      <c r="Z33" s="103"/>
      <c r="AA33" s="103"/>
      <c r="AB33" s="18">
        <f t="shared" si="3"/>
        <v>500</v>
      </c>
      <c r="AC33" s="18">
        <f t="shared" si="4"/>
        <v>0</v>
      </c>
      <c r="AD33" s="21"/>
    </row>
    <row r="34" spans="1:30">
      <c r="A34" s="37">
        <v>29</v>
      </c>
      <c r="B34" s="277" t="s">
        <v>69</v>
      </c>
      <c r="C34" s="6"/>
      <c r="D34" s="6"/>
      <c r="E34" s="6" t="s">
        <v>70</v>
      </c>
      <c r="F34" s="7">
        <v>800</v>
      </c>
      <c r="G34" s="254">
        <v>800</v>
      </c>
      <c r="H34" s="103"/>
      <c r="I34" s="455"/>
      <c r="J34" s="103"/>
      <c r="K34" s="103"/>
      <c r="L34" s="103"/>
      <c r="M34" s="103"/>
      <c r="N34" s="103"/>
      <c r="O34" s="455"/>
      <c r="P34" s="103"/>
      <c r="Q34" s="103"/>
      <c r="R34" s="455"/>
      <c r="S34" s="103"/>
      <c r="T34" s="103"/>
      <c r="U34" s="455"/>
      <c r="V34" s="103"/>
      <c r="W34" s="103"/>
      <c r="X34" s="103"/>
      <c r="Y34" s="103"/>
      <c r="Z34" s="103"/>
      <c r="AA34" s="103"/>
      <c r="AB34" s="18">
        <f t="shared" si="3"/>
        <v>0</v>
      </c>
      <c r="AC34" s="18">
        <f t="shared" si="4"/>
        <v>800</v>
      </c>
      <c r="AD34" s="21"/>
    </row>
    <row r="35" spans="1:30">
      <c r="A35" s="37">
        <v>30</v>
      </c>
      <c r="B35" s="277"/>
      <c r="C35" s="6"/>
      <c r="D35" s="6" t="s">
        <v>35</v>
      </c>
      <c r="E35" s="6"/>
      <c r="F35" s="7">
        <v>500</v>
      </c>
      <c r="G35" s="103"/>
      <c r="H35" s="103"/>
      <c r="I35" s="455"/>
      <c r="J35" s="103"/>
      <c r="K35" s="103"/>
      <c r="L35" s="103"/>
      <c r="M35" s="103"/>
      <c r="N35" s="103"/>
      <c r="O35" s="455"/>
      <c r="P35" s="103"/>
      <c r="Q35" s="103"/>
      <c r="R35" s="455"/>
      <c r="S35" s="103"/>
      <c r="T35" s="103"/>
      <c r="U35" s="455"/>
      <c r="V35" s="103"/>
      <c r="W35" s="103"/>
      <c r="X35" s="103"/>
      <c r="Y35" s="103"/>
      <c r="Z35" s="103"/>
      <c r="AA35" s="103"/>
      <c r="AB35" s="18">
        <f t="shared" si="3"/>
        <v>500</v>
      </c>
      <c r="AC35" s="18">
        <f t="shared" si="4"/>
        <v>0</v>
      </c>
      <c r="AD35" s="21"/>
    </row>
    <row r="36" spans="1:30">
      <c r="A36" s="37">
        <v>31</v>
      </c>
      <c r="B36" s="176" t="s">
        <v>206</v>
      </c>
      <c r="C36" s="6" t="s">
        <v>207</v>
      </c>
      <c r="D36" s="6"/>
      <c r="E36" s="6" t="s">
        <v>158</v>
      </c>
      <c r="F36" s="7">
        <v>1500</v>
      </c>
      <c r="G36" s="103"/>
      <c r="H36" s="103"/>
      <c r="I36" s="455"/>
      <c r="J36" s="254">
        <v>850</v>
      </c>
      <c r="K36" s="103"/>
      <c r="L36" s="103"/>
      <c r="M36" s="103"/>
      <c r="N36" s="103"/>
      <c r="O36" s="455"/>
      <c r="P36" s="103"/>
      <c r="Q36" s="103"/>
      <c r="R36" s="455"/>
      <c r="S36" s="103"/>
      <c r="T36" s="103"/>
      <c r="U36" s="455"/>
      <c r="V36" s="254">
        <v>650</v>
      </c>
      <c r="W36" s="103"/>
      <c r="X36" s="103"/>
      <c r="Y36" s="103"/>
      <c r="Z36" s="103"/>
      <c r="AA36" s="103"/>
      <c r="AB36" s="18">
        <f t="shared" si="3"/>
        <v>0</v>
      </c>
      <c r="AC36" s="18">
        <f t="shared" si="4"/>
        <v>1500</v>
      </c>
      <c r="AD36" s="21"/>
    </row>
    <row r="37" spans="1:30">
      <c r="A37" s="37">
        <v>32</v>
      </c>
      <c r="B37" s="176" t="s">
        <v>160</v>
      </c>
      <c r="C37" s="6" t="s">
        <v>161</v>
      </c>
      <c r="D37" s="6" t="s">
        <v>11</v>
      </c>
      <c r="E37" s="6" t="s">
        <v>159</v>
      </c>
      <c r="F37" s="7">
        <v>1500</v>
      </c>
      <c r="G37" s="103"/>
      <c r="H37" s="103"/>
      <c r="I37" s="455"/>
      <c r="J37" s="103"/>
      <c r="K37" s="103"/>
      <c r="L37" s="103"/>
      <c r="M37" s="103"/>
      <c r="N37" s="103"/>
      <c r="O37" s="455"/>
      <c r="P37" s="103"/>
      <c r="Q37" s="103"/>
      <c r="R37" s="455"/>
      <c r="S37" s="103"/>
      <c r="T37" s="103"/>
      <c r="U37" s="455"/>
      <c r="V37" s="103"/>
      <c r="W37" s="103"/>
      <c r="X37" s="103"/>
      <c r="Y37" s="103"/>
      <c r="Z37" s="103"/>
      <c r="AA37" s="103"/>
      <c r="AB37" s="18">
        <f t="shared" si="3"/>
        <v>1500</v>
      </c>
      <c r="AC37" s="18">
        <f t="shared" si="4"/>
        <v>0</v>
      </c>
      <c r="AD37" s="21"/>
    </row>
    <row r="38" spans="1:30">
      <c r="A38" s="37">
        <v>33</v>
      </c>
      <c r="B38" s="176" t="s">
        <v>204</v>
      </c>
      <c r="C38" s="6" t="s">
        <v>205</v>
      </c>
      <c r="D38" s="6" t="s">
        <v>21</v>
      </c>
      <c r="E38" s="6"/>
      <c r="F38" s="7">
        <v>700</v>
      </c>
      <c r="G38" s="103"/>
      <c r="H38" s="103"/>
      <c r="I38" s="455"/>
      <c r="J38" s="103"/>
      <c r="K38" s="103"/>
      <c r="L38" s="103"/>
      <c r="M38" s="66">
        <v>700</v>
      </c>
      <c r="N38" s="103"/>
      <c r="O38" s="455"/>
      <c r="P38" s="103"/>
      <c r="Q38" s="103"/>
      <c r="R38" s="455"/>
      <c r="S38" s="103"/>
      <c r="T38" s="103"/>
      <c r="U38" s="455"/>
      <c r="V38" s="103"/>
      <c r="W38" s="103"/>
      <c r="X38" s="103"/>
      <c r="Y38" s="103"/>
      <c r="Z38" s="103"/>
      <c r="AA38" s="103"/>
      <c r="AB38" s="18">
        <f t="shared" si="3"/>
        <v>0</v>
      </c>
      <c r="AC38" s="18">
        <f t="shared" si="4"/>
        <v>700</v>
      </c>
      <c r="AD38" s="21"/>
    </row>
    <row r="39" spans="1:30">
      <c r="A39" s="37">
        <v>34</v>
      </c>
      <c r="B39" s="6" t="s">
        <v>71</v>
      </c>
      <c r="C39" s="6"/>
      <c r="D39" s="6" t="s">
        <v>73</v>
      </c>
      <c r="E39" s="6" t="s">
        <v>72</v>
      </c>
      <c r="F39" s="7">
        <v>3000</v>
      </c>
      <c r="H39" s="254">
        <v>1200</v>
      </c>
      <c r="I39" s="455" t="s">
        <v>496</v>
      </c>
      <c r="J39" s="103"/>
      <c r="K39" s="103"/>
      <c r="L39" s="103"/>
      <c r="M39" s="103"/>
      <c r="N39" s="254">
        <v>800</v>
      </c>
      <c r="O39" s="455" t="s">
        <v>498</v>
      </c>
      <c r="P39" s="103"/>
      <c r="Q39" s="254">
        <v>1000</v>
      </c>
      <c r="R39" s="459" t="s">
        <v>500</v>
      </c>
      <c r="S39" s="103"/>
      <c r="T39" s="103"/>
      <c r="U39" s="455"/>
      <c r="V39" s="103"/>
      <c r="W39" s="103"/>
      <c r="X39" s="103"/>
      <c r="Y39" s="103"/>
      <c r="Z39" s="103"/>
      <c r="AA39" s="103"/>
      <c r="AB39" s="18">
        <f t="shared" si="3"/>
        <v>0</v>
      </c>
      <c r="AC39" s="18">
        <f>SUM(H39:X39)</f>
        <v>3000</v>
      </c>
      <c r="AD39" s="21"/>
    </row>
    <row r="40" spans="1:30">
      <c r="A40" s="37"/>
      <c r="B40" s="176" t="s">
        <v>266</v>
      </c>
      <c r="C40" s="6"/>
      <c r="D40" s="6" t="s">
        <v>11</v>
      </c>
      <c r="E40" s="6" t="s">
        <v>259</v>
      </c>
      <c r="F40" s="7">
        <v>1500</v>
      </c>
      <c r="G40" s="103"/>
      <c r="H40" s="103"/>
      <c r="I40" s="455"/>
      <c r="J40" s="103"/>
      <c r="K40" s="103"/>
      <c r="L40" s="103"/>
      <c r="M40" s="103"/>
      <c r="N40" s="103"/>
      <c r="O40" s="455"/>
      <c r="P40" s="103"/>
      <c r="Q40" s="103"/>
      <c r="R40" s="455"/>
      <c r="S40" s="103"/>
      <c r="T40" s="103"/>
      <c r="U40" s="455"/>
      <c r="V40" s="103"/>
      <c r="W40" s="103"/>
      <c r="X40" s="103"/>
      <c r="Y40" s="103"/>
      <c r="Z40" s="103"/>
      <c r="AA40" s="103"/>
      <c r="AB40" s="18">
        <f t="shared" si="3"/>
        <v>1500</v>
      </c>
      <c r="AC40" s="18">
        <f t="shared" si="4"/>
        <v>0</v>
      </c>
      <c r="AD40" s="21"/>
    </row>
    <row r="41" spans="1:30">
      <c r="A41" s="37"/>
      <c r="B41" s="6"/>
      <c r="C41" s="6"/>
      <c r="D41" s="6" t="s">
        <v>11</v>
      </c>
      <c r="E41" s="6" t="s">
        <v>260</v>
      </c>
      <c r="F41" s="7">
        <v>1500</v>
      </c>
      <c r="G41" s="103"/>
      <c r="H41" s="103"/>
      <c r="I41" s="455"/>
      <c r="J41" s="103"/>
      <c r="K41" s="103"/>
      <c r="L41" s="103"/>
      <c r="M41" s="103"/>
      <c r="N41" s="103"/>
      <c r="O41" s="455"/>
      <c r="P41" s="103"/>
      <c r="Q41" s="103"/>
      <c r="R41" s="455"/>
      <c r="S41" s="103"/>
      <c r="T41" s="254">
        <v>1500</v>
      </c>
      <c r="U41" s="455" t="s">
        <v>502</v>
      </c>
      <c r="V41" s="103"/>
      <c r="W41" s="103"/>
      <c r="X41" s="103"/>
      <c r="Y41" s="103"/>
      <c r="Z41" s="103"/>
      <c r="AA41" s="103"/>
      <c r="AB41" s="18">
        <f t="shared" si="3"/>
        <v>0</v>
      </c>
      <c r="AC41" s="18">
        <f t="shared" si="4"/>
        <v>1500</v>
      </c>
      <c r="AD41" s="21"/>
    </row>
    <row r="42" spans="1:30">
      <c r="A42" s="37"/>
      <c r="B42" s="6"/>
      <c r="C42" s="6"/>
      <c r="D42" s="6" t="s">
        <v>11</v>
      </c>
      <c r="E42" s="6" t="s">
        <v>261</v>
      </c>
      <c r="F42" s="7">
        <v>1500</v>
      </c>
      <c r="G42" s="103"/>
      <c r="H42" s="103"/>
      <c r="I42" s="455"/>
      <c r="J42" s="103"/>
      <c r="K42" s="103"/>
      <c r="L42" s="103"/>
      <c r="M42" s="103"/>
      <c r="N42" s="103"/>
      <c r="O42" s="455"/>
      <c r="P42" s="103"/>
      <c r="Q42" s="103"/>
      <c r="R42" s="455"/>
      <c r="S42" s="103"/>
      <c r="T42" s="103"/>
      <c r="U42" s="455"/>
      <c r="V42" s="103"/>
      <c r="W42" s="103"/>
      <c r="X42" s="103"/>
      <c r="Y42" s="103"/>
      <c r="Z42" s="103"/>
      <c r="AA42" s="103"/>
      <c r="AB42" s="18">
        <f t="shared" si="3"/>
        <v>1500</v>
      </c>
      <c r="AC42" s="18">
        <f t="shared" si="4"/>
        <v>0</v>
      </c>
      <c r="AD42" s="21"/>
    </row>
    <row r="43" spans="1:30">
      <c r="A43" s="37"/>
      <c r="B43" s="6" t="s">
        <v>490</v>
      </c>
      <c r="C43" s="6"/>
      <c r="D43" s="6"/>
      <c r="E43" s="6" t="s">
        <v>147</v>
      </c>
      <c r="F43" s="7">
        <v>800</v>
      </c>
      <c r="G43" s="103"/>
      <c r="H43" s="103"/>
      <c r="I43" s="455"/>
      <c r="J43" s="103"/>
      <c r="K43" s="103"/>
      <c r="L43" s="103"/>
      <c r="M43" s="66">
        <v>800</v>
      </c>
      <c r="N43" s="103"/>
      <c r="O43" s="455"/>
      <c r="P43" s="103"/>
      <c r="Q43" s="103"/>
      <c r="R43" s="455"/>
      <c r="S43" s="103"/>
      <c r="T43" s="103"/>
      <c r="U43" s="455"/>
      <c r="V43" s="103"/>
      <c r="W43" s="103"/>
      <c r="X43" s="103"/>
      <c r="Y43" s="103"/>
      <c r="Z43" s="103"/>
      <c r="AA43" s="103"/>
      <c r="AB43" s="18">
        <f t="shared" si="3"/>
        <v>0</v>
      </c>
      <c r="AC43" s="18">
        <f t="shared" si="4"/>
        <v>800</v>
      </c>
      <c r="AD43" s="21"/>
    </row>
    <row r="44" spans="1:30">
      <c r="A44" s="318" t="s">
        <v>105</v>
      </c>
      <c r="B44" s="324"/>
      <c r="C44" s="324"/>
      <c r="D44" s="324"/>
      <c r="E44" s="324"/>
      <c r="F44" s="28">
        <f>SUM(F4:F43)</f>
        <v>57500</v>
      </c>
      <c r="G44" s="42">
        <f>SUM(G4:G43)</f>
        <v>15565.22</v>
      </c>
      <c r="H44" s="42">
        <f>SUM(H4:H43)</f>
        <v>5700</v>
      </c>
      <c r="I44" s="42">
        <f t="shared" ref="I44:AA44" si="5">SUM(I4:I43)</f>
        <v>0</v>
      </c>
      <c r="J44" s="42">
        <f t="shared" si="5"/>
        <v>3508.2</v>
      </c>
      <c r="K44" s="42">
        <f t="shared" si="5"/>
        <v>0</v>
      </c>
      <c r="L44" s="42">
        <f t="shared" si="5"/>
        <v>0</v>
      </c>
      <c r="M44" s="42">
        <f t="shared" si="5"/>
        <v>7653.77</v>
      </c>
      <c r="N44" s="42">
        <f t="shared" si="5"/>
        <v>1800</v>
      </c>
      <c r="O44" s="42">
        <f t="shared" si="5"/>
        <v>0</v>
      </c>
      <c r="P44" s="42">
        <f t="shared" si="5"/>
        <v>3299</v>
      </c>
      <c r="Q44" s="42">
        <f t="shared" si="5"/>
        <v>2500</v>
      </c>
      <c r="R44" s="42">
        <f t="shared" si="5"/>
        <v>0</v>
      </c>
      <c r="S44" s="42">
        <f t="shared" si="5"/>
        <v>700</v>
      </c>
      <c r="T44" s="42">
        <f t="shared" si="5"/>
        <v>2000</v>
      </c>
      <c r="U44" s="42">
        <f t="shared" si="5"/>
        <v>0</v>
      </c>
      <c r="V44" s="42">
        <f t="shared" si="5"/>
        <v>3572.74</v>
      </c>
      <c r="W44" s="42">
        <f t="shared" si="5"/>
        <v>0</v>
      </c>
      <c r="X44" s="42">
        <f t="shared" si="5"/>
        <v>0</v>
      </c>
      <c r="Y44" s="42">
        <f t="shared" si="5"/>
        <v>0</v>
      </c>
      <c r="Z44" s="42">
        <f t="shared" si="5"/>
        <v>0</v>
      </c>
      <c r="AA44" s="42">
        <f t="shared" si="5"/>
        <v>0</v>
      </c>
      <c r="AB44" s="42">
        <f>SUM(AB4:AB42)</f>
        <v>11201.07</v>
      </c>
      <c r="AC44" s="42">
        <f>SUM(AC4:AC39)</f>
        <v>42338.66</v>
      </c>
    </row>
    <row r="45" spans="1:30">
      <c r="H45">
        <v>14</v>
      </c>
      <c r="J45">
        <v>3</v>
      </c>
      <c r="M45">
        <v>9</v>
      </c>
      <c r="P45">
        <v>6</v>
      </c>
      <c r="T45">
        <v>4</v>
      </c>
      <c r="V45">
        <v>4</v>
      </c>
      <c r="AB45" s="21">
        <f>F44-AC44</f>
        <v>15161.339999999997</v>
      </c>
      <c r="AC45" s="21">
        <f>G44+H44+J44+K44+M44+N44+O44+P44+Q44+R44+S44+T44+U44+V44+W44</f>
        <v>46298.93</v>
      </c>
    </row>
    <row r="47" spans="1:30" ht="24.6">
      <c r="A47" s="334" t="s">
        <v>140</v>
      </c>
      <c r="B47" s="335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35"/>
      <c r="Q47" s="335"/>
      <c r="R47" s="335"/>
      <c r="S47" s="335"/>
      <c r="T47" s="335"/>
      <c r="U47" s="335"/>
      <c r="V47" s="335"/>
      <c r="W47" s="335"/>
      <c r="X47" s="335"/>
      <c r="Y47" s="335"/>
      <c r="Z47" s="335"/>
      <c r="AA47" s="335"/>
      <c r="AB47" s="335"/>
      <c r="AC47" s="335"/>
    </row>
    <row r="48" spans="1:30" ht="28.8" customHeight="1">
      <c r="A48" s="261" t="s">
        <v>0</v>
      </c>
      <c r="B48" s="261"/>
      <c r="C48" s="261" t="s">
        <v>2</v>
      </c>
      <c r="D48" s="261" t="s">
        <v>8</v>
      </c>
      <c r="E48" s="261" t="s">
        <v>1</v>
      </c>
      <c r="F48" s="262" t="s">
        <v>3</v>
      </c>
      <c r="G48" s="317">
        <f>G2</f>
        <v>46223</v>
      </c>
      <c r="H48" s="317"/>
      <c r="I48" s="317"/>
      <c r="J48" s="317">
        <f t="shared" ref="J48:AA48" si="6">J2</f>
        <v>46224</v>
      </c>
      <c r="K48" s="317"/>
      <c r="L48" s="317"/>
      <c r="M48" s="317">
        <f t="shared" ref="M48:AA48" si="7">M2</f>
        <v>46225</v>
      </c>
      <c r="N48" s="317"/>
      <c r="O48" s="317"/>
      <c r="P48" s="317">
        <f t="shared" ref="P48:AA48" si="8">P2</f>
        <v>46226</v>
      </c>
      <c r="Q48" s="317"/>
      <c r="R48" s="317"/>
      <c r="S48" s="317">
        <f t="shared" ref="S48:AA48" si="9">S2</f>
        <v>46227</v>
      </c>
      <c r="T48" s="317"/>
      <c r="U48" s="317"/>
      <c r="V48" s="317">
        <f t="shared" ref="V48:AA48" si="10">V2</f>
        <v>46228</v>
      </c>
      <c r="W48" s="317"/>
      <c r="X48" s="317"/>
      <c r="Y48" s="317">
        <f t="shared" ref="Y48:AA48" si="11">Y2</f>
        <v>46229</v>
      </c>
      <c r="Z48" s="317"/>
      <c r="AA48" s="317"/>
      <c r="AB48" s="332" t="s">
        <v>94</v>
      </c>
      <c r="AC48" s="326" t="s">
        <v>92</v>
      </c>
    </row>
    <row r="49" spans="1:35">
      <c r="A49" s="261"/>
      <c r="B49" s="261"/>
      <c r="C49" s="261"/>
      <c r="D49" s="261"/>
      <c r="E49" s="261"/>
      <c r="F49" s="262"/>
      <c r="G49" s="17" t="s">
        <v>95</v>
      </c>
      <c r="H49" s="17" t="s">
        <v>96</v>
      </c>
      <c r="I49" s="17" t="s">
        <v>98</v>
      </c>
      <c r="J49" s="17" t="s">
        <v>95</v>
      </c>
      <c r="K49" s="17" t="s">
        <v>96</v>
      </c>
      <c r="L49" s="17" t="s">
        <v>98</v>
      </c>
      <c r="M49" s="17" t="s">
        <v>95</v>
      </c>
      <c r="N49" s="17" t="s">
        <v>96</v>
      </c>
      <c r="O49" s="17" t="s">
        <v>98</v>
      </c>
      <c r="P49" s="17" t="s">
        <v>95</v>
      </c>
      <c r="Q49" s="17" t="s">
        <v>96</v>
      </c>
      <c r="R49" s="17" t="s">
        <v>98</v>
      </c>
      <c r="S49" s="17" t="s">
        <v>95</v>
      </c>
      <c r="T49" s="17" t="s">
        <v>96</v>
      </c>
      <c r="U49" s="17" t="s">
        <v>98</v>
      </c>
      <c r="V49" s="17" t="s">
        <v>95</v>
      </c>
      <c r="W49" s="17" t="s">
        <v>96</v>
      </c>
      <c r="X49" s="17" t="s">
        <v>98</v>
      </c>
      <c r="Y49" s="17" t="s">
        <v>95</v>
      </c>
      <c r="Z49" s="17" t="s">
        <v>96</v>
      </c>
      <c r="AA49" s="17" t="s">
        <v>98</v>
      </c>
      <c r="AB49" s="333"/>
      <c r="AC49" s="327"/>
    </row>
    <row r="50" spans="1:35">
      <c r="A50" s="37">
        <v>1</v>
      </c>
      <c r="B50" s="6" t="s">
        <v>75</v>
      </c>
      <c r="C50" s="6" t="s">
        <v>77</v>
      </c>
      <c r="D50" s="6" t="s">
        <v>76</v>
      </c>
      <c r="E50" s="6" t="s">
        <v>78</v>
      </c>
      <c r="F50" s="7">
        <v>2500</v>
      </c>
      <c r="G50" s="254">
        <v>2149.96</v>
      </c>
      <c r="H50" s="20"/>
      <c r="I50" s="103"/>
      <c r="J50" s="103"/>
      <c r="K50" s="103"/>
      <c r="L50" s="103"/>
      <c r="M50" s="103"/>
      <c r="N50" s="103"/>
      <c r="O50" s="20"/>
      <c r="P50" s="103"/>
      <c r="Q50" s="20"/>
      <c r="R50" s="20"/>
      <c r="S50" s="254">
        <v>386.67</v>
      </c>
      <c r="T50" s="20"/>
      <c r="U50" s="20"/>
      <c r="V50" s="20"/>
      <c r="W50" s="20"/>
      <c r="X50" s="102"/>
      <c r="Y50" s="20"/>
      <c r="Z50" s="20"/>
      <c r="AA50" s="20"/>
      <c r="AB50" s="20">
        <f>F50-(SUM(G50:AA50))</f>
        <v>-36.630000000000109</v>
      </c>
      <c r="AC50" s="20">
        <f>SUM(G50:AA50)</f>
        <v>2536.63</v>
      </c>
    </row>
    <row r="51" spans="1:35">
      <c r="A51" s="37">
        <v>2</v>
      </c>
      <c r="B51" s="6" t="s">
        <v>79</v>
      </c>
      <c r="C51" s="6" t="s">
        <v>77</v>
      </c>
      <c r="D51" s="6" t="s">
        <v>73</v>
      </c>
      <c r="E51" s="6" t="s">
        <v>74</v>
      </c>
      <c r="F51" s="7">
        <v>1500</v>
      </c>
      <c r="G51" s="20"/>
      <c r="H51" s="20"/>
      <c r="I51" s="103"/>
      <c r="J51" s="103"/>
      <c r="K51" s="103"/>
      <c r="L51" s="103"/>
      <c r="M51" s="66">
        <v>1500</v>
      </c>
      <c r="N51" s="103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>
        <f t="shared" ref="AB51:AB57" si="12">F51-(SUM(G51:AA51))</f>
        <v>0</v>
      </c>
      <c r="AC51" s="20">
        <f t="shared" ref="AC51:AC57" si="13">SUM(G51:AA51)</f>
        <v>1500</v>
      </c>
      <c r="AD51">
        <v>8</v>
      </c>
      <c r="AF51" s="328" t="s">
        <v>104</v>
      </c>
      <c r="AG51" s="329"/>
      <c r="AH51" s="329"/>
      <c r="AI51" s="329"/>
    </row>
    <row r="52" spans="1:35">
      <c r="A52" s="330">
        <v>3</v>
      </c>
      <c r="B52" s="108" t="s">
        <v>80</v>
      </c>
      <c r="C52" s="108" t="s">
        <v>77</v>
      </c>
      <c r="D52" s="6" t="s">
        <v>81</v>
      </c>
      <c r="E52" s="6" t="s">
        <v>6</v>
      </c>
      <c r="F52" s="7">
        <v>2000</v>
      </c>
      <c r="G52" s="20"/>
      <c r="H52" s="20"/>
      <c r="I52" s="103"/>
      <c r="J52" s="254">
        <v>1121.3399999999999</v>
      </c>
      <c r="K52" s="103"/>
      <c r="L52" s="103"/>
      <c r="N52" s="103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>
        <f t="shared" si="12"/>
        <v>878.66000000000008</v>
      </c>
      <c r="AC52" s="20">
        <f t="shared" si="13"/>
        <v>1121.3399999999999</v>
      </c>
      <c r="AF52" s="26" t="s">
        <v>99</v>
      </c>
      <c r="AG52" s="26" t="s">
        <v>100</v>
      </c>
      <c r="AH52" s="26" t="s">
        <v>101</v>
      </c>
      <c r="AI52" s="26" t="s">
        <v>102</v>
      </c>
    </row>
    <row r="53" spans="1:35">
      <c r="A53" s="331"/>
      <c r="B53" s="108" t="s">
        <v>80</v>
      </c>
      <c r="C53" s="108" t="s">
        <v>77</v>
      </c>
      <c r="D53" s="6" t="s">
        <v>35</v>
      </c>
      <c r="E53" s="6"/>
      <c r="F53" s="7">
        <v>300</v>
      </c>
      <c r="G53" s="20"/>
      <c r="H53" s="20"/>
      <c r="I53" s="103"/>
      <c r="J53" s="254">
        <v>228.9</v>
      </c>
      <c r="K53" s="103"/>
      <c r="L53" s="103"/>
      <c r="N53" s="103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>
        <f t="shared" si="12"/>
        <v>71.099999999999994</v>
      </c>
      <c r="AC53" s="20">
        <f t="shared" si="13"/>
        <v>228.9</v>
      </c>
      <c r="AF53" s="25" t="s">
        <v>95</v>
      </c>
      <c r="AG53" s="13"/>
      <c r="AH53" s="13"/>
      <c r="AI53" s="24">
        <f>(G58+J58+M58+P58+S58+V58)</f>
        <v>9687.2100000000009</v>
      </c>
    </row>
    <row r="54" spans="1:35">
      <c r="A54" s="37">
        <v>4</v>
      </c>
      <c r="B54" s="6" t="s">
        <v>82</v>
      </c>
      <c r="C54" s="6" t="s">
        <v>83</v>
      </c>
      <c r="D54" s="6" t="s">
        <v>73</v>
      </c>
      <c r="E54" s="6" t="s">
        <v>84</v>
      </c>
      <c r="F54" s="7">
        <v>1500</v>
      </c>
      <c r="G54" s="254">
        <v>1500</v>
      </c>
      <c r="H54" s="20"/>
      <c r="I54" s="103"/>
      <c r="K54" s="103"/>
      <c r="L54" s="103"/>
      <c r="M54" s="103"/>
      <c r="N54" s="103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>
        <f t="shared" si="12"/>
        <v>0</v>
      </c>
      <c r="AC54" s="20">
        <f t="shared" si="13"/>
        <v>1500</v>
      </c>
      <c r="AF54" s="25" t="s">
        <v>96</v>
      </c>
      <c r="AG54" s="13"/>
      <c r="AH54" s="13"/>
      <c r="AI54" s="24">
        <f>H58+K58+N58+Q58+T58+W58</f>
        <v>0</v>
      </c>
    </row>
    <row r="55" spans="1:35">
      <c r="A55" s="37">
        <v>5</v>
      </c>
      <c r="B55" s="6" t="s">
        <v>85</v>
      </c>
      <c r="C55" s="6" t="s">
        <v>83</v>
      </c>
      <c r="D55" s="6" t="s">
        <v>73</v>
      </c>
      <c r="E55" s="6" t="s">
        <v>86</v>
      </c>
      <c r="F55" s="7">
        <v>1500</v>
      </c>
      <c r="G55" s="255">
        <v>1500.28</v>
      </c>
      <c r="H55" s="20"/>
      <c r="I55" s="103"/>
      <c r="J55" s="103"/>
      <c r="K55" s="103"/>
      <c r="L55" s="103"/>
      <c r="M55" s="103"/>
      <c r="N55" s="103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>
        <f t="shared" si="12"/>
        <v>-0.27999999999997272</v>
      </c>
      <c r="AC55" s="20">
        <f t="shared" si="13"/>
        <v>1500.28</v>
      </c>
      <c r="AF55" s="25" t="s">
        <v>98</v>
      </c>
      <c r="AG55" s="13"/>
      <c r="AH55" s="13"/>
      <c r="AI55" s="13"/>
    </row>
    <row r="56" spans="1:35">
      <c r="A56" s="37">
        <v>6</v>
      </c>
      <c r="B56" s="6" t="s">
        <v>87</v>
      </c>
      <c r="C56" s="6" t="s">
        <v>88</v>
      </c>
      <c r="D56" s="6" t="s">
        <v>81</v>
      </c>
      <c r="E56" s="6" t="s">
        <v>89</v>
      </c>
      <c r="F56" s="7">
        <v>2000</v>
      </c>
      <c r="G56" s="20"/>
      <c r="H56" s="20"/>
      <c r="I56" s="103"/>
      <c r="J56" s="254">
        <v>1300.06</v>
      </c>
      <c r="K56" s="103"/>
      <c r="L56" s="103"/>
      <c r="M56" s="103"/>
      <c r="N56" s="103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>
        <f t="shared" si="12"/>
        <v>699.94</v>
      </c>
      <c r="AC56" s="20">
        <f t="shared" si="13"/>
        <v>1300.06</v>
      </c>
    </row>
    <row r="57" spans="1:35">
      <c r="A57" s="37"/>
      <c r="B57" s="6" t="s">
        <v>77</v>
      </c>
      <c r="C57" s="6"/>
      <c r="D57" s="6" t="s">
        <v>35</v>
      </c>
      <c r="E57" s="6"/>
      <c r="F57" s="7"/>
      <c r="G57" s="20"/>
      <c r="H57" s="20"/>
      <c r="I57" s="103"/>
      <c r="J57" s="103"/>
      <c r="K57" s="103"/>
      <c r="L57" s="103"/>
      <c r="N57" s="103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>
        <f t="shared" si="12"/>
        <v>0</v>
      </c>
      <c r="AC57" s="20">
        <f t="shared" si="13"/>
        <v>0</v>
      </c>
    </row>
    <row r="58" spans="1:35">
      <c r="A58" s="318" t="s">
        <v>105</v>
      </c>
      <c r="B58" s="324"/>
      <c r="C58" s="324"/>
      <c r="D58" s="324"/>
      <c r="E58" s="324"/>
      <c r="F58" s="28">
        <f>SUM(F50:F56)</f>
        <v>11300</v>
      </c>
      <c r="G58" s="29">
        <f>SUM(G50:G56)</f>
        <v>5150.24</v>
      </c>
      <c r="H58" s="29">
        <f>SUM(H50:H56)</f>
        <v>0</v>
      </c>
      <c r="I58" s="29"/>
      <c r="J58" s="29">
        <f t="shared" ref="J58:AC58" si="14">SUM(J50:J56)</f>
        <v>2650.3</v>
      </c>
      <c r="K58" s="29">
        <f t="shared" si="14"/>
        <v>0</v>
      </c>
      <c r="L58" s="29"/>
      <c r="M58" s="29">
        <f t="shared" si="14"/>
        <v>1500</v>
      </c>
      <c r="N58" s="29">
        <f t="shared" si="14"/>
        <v>0</v>
      </c>
      <c r="O58" s="29"/>
      <c r="P58" s="29">
        <f t="shared" si="14"/>
        <v>0</v>
      </c>
      <c r="Q58" s="29">
        <f t="shared" si="14"/>
        <v>0</v>
      </c>
      <c r="R58" s="29">
        <f t="shared" si="14"/>
        <v>0</v>
      </c>
      <c r="S58" s="29">
        <f t="shared" si="14"/>
        <v>386.67</v>
      </c>
      <c r="T58" s="29">
        <f t="shared" si="14"/>
        <v>0</v>
      </c>
      <c r="U58" s="29"/>
      <c r="V58" s="29">
        <f t="shared" si="14"/>
        <v>0</v>
      </c>
      <c r="W58" s="29">
        <f t="shared" si="14"/>
        <v>0</v>
      </c>
      <c r="X58" s="29"/>
      <c r="Y58" s="29"/>
      <c r="Z58" s="29"/>
      <c r="AA58" s="29"/>
      <c r="AB58" s="43">
        <f t="shared" si="14"/>
        <v>1612.79</v>
      </c>
      <c r="AC58" s="43">
        <f t="shared" si="14"/>
        <v>9687.2099999999991</v>
      </c>
    </row>
    <row r="62" spans="1:35" ht="24.6">
      <c r="A62" s="325" t="s">
        <v>269</v>
      </c>
      <c r="B62" s="325"/>
      <c r="C62" s="325"/>
      <c r="D62" s="325"/>
      <c r="E62" s="325"/>
      <c r="F62" s="325"/>
      <c r="G62" s="325"/>
      <c r="H62" s="325"/>
      <c r="I62" s="325"/>
      <c r="J62" s="325"/>
      <c r="K62" s="325"/>
      <c r="L62" s="325"/>
      <c r="M62" s="325"/>
      <c r="N62" s="325"/>
      <c r="O62" s="325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</row>
    <row r="63" spans="1:35" ht="28.8" customHeight="1">
      <c r="A63" s="261" t="s">
        <v>0</v>
      </c>
      <c r="B63" s="261"/>
      <c r="C63" s="261" t="s">
        <v>2</v>
      </c>
      <c r="D63" s="261" t="s">
        <v>8</v>
      </c>
      <c r="E63" s="261" t="s">
        <v>1</v>
      </c>
      <c r="F63" s="262" t="s">
        <v>3</v>
      </c>
      <c r="G63" s="31">
        <v>46216</v>
      </c>
      <c r="H63" s="31">
        <v>46217</v>
      </c>
      <c r="I63" s="31">
        <v>46218</v>
      </c>
      <c r="J63" s="31">
        <v>46219</v>
      </c>
      <c r="K63" s="31">
        <v>46220</v>
      </c>
      <c r="L63" s="31">
        <v>46221</v>
      </c>
      <c r="M63" s="31">
        <v>46222</v>
      </c>
      <c r="N63" s="317" t="s">
        <v>94</v>
      </c>
      <c r="O63" s="262" t="s">
        <v>92</v>
      </c>
      <c r="R63" s="58"/>
      <c r="T63" s="58"/>
      <c r="U63" s="58"/>
      <c r="W63" s="58"/>
      <c r="X63" s="58"/>
      <c r="Y63" s="58"/>
      <c r="Z63" s="58"/>
      <c r="AA63" s="58"/>
    </row>
    <row r="64" spans="1:35">
      <c r="A64" s="261"/>
      <c r="B64" s="261"/>
      <c r="C64" s="261"/>
      <c r="D64" s="261"/>
      <c r="E64" s="261"/>
      <c r="F64" s="262"/>
      <c r="G64" s="17" t="s">
        <v>95</v>
      </c>
      <c r="H64" s="17" t="s">
        <v>95</v>
      </c>
      <c r="I64" s="17" t="s">
        <v>95</v>
      </c>
      <c r="J64" s="17" t="s">
        <v>95</v>
      </c>
      <c r="K64" s="17" t="s">
        <v>95</v>
      </c>
      <c r="L64" s="17" t="s">
        <v>95</v>
      </c>
      <c r="M64" s="17" t="s">
        <v>95</v>
      </c>
      <c r="N64" s="317"/>
      <c r="O64" s="262"/>
      <c r="R64" s="59"/>
      <c r="S64" s="59"/>
      <c r="T64" s="59"/>
      <c r="U64" s="59"/>
      <c r="V64" s="59"/>
      <c r="W64" s="59"/>
      <c r="X64" s="59"/>
      <c r="Y64" s="59"/>
      <c r="Z64" s="59"/>
      <c r="AA64" s="59"/>
    </row>
    <row r="65" spans="1:28">
      <c r="A65" s="37">
        <v>1</v>
      </c>
      <c r="B65" s="32" t="s">
        <v>112</v>
      </c>
      <c r="C65" s="315" t="s">
        <v>118</v>
      </c>
      <c r="D65" s="6"/>
      <c r="E65" s="33" t="s">
        <v>106</v>
      </c>
      <c r="F65" s="7"/>
      <c r="G65" s="13"/>
      <c r="H65" s="13"/>
      <c r="I65" s="13"/>
      <c r="J65" s="13"/>
      <c r="K65" s="13"/>
      <c r="L65" s="13"/>
      <c r="M65" s="13"/>
      <c r="N65" s="13"/>
      <c r="O65" s="20">
        <f t="shared" ref="O65:O71" si="15">SUM(G65:N65)</f>
        <v>0</v>
      </c>
      <c r="V65" s="322"/>
      <c r="W65" s="323"/>
      <c r="X65" s="323"/>
      <c r="Y65" s="323"/>
      <c r="Z65" s="323"/>
      <c r="AA65" s="323"/>
      <c r="AB65" s="323"/>
    </row>
    <row r="66" spans="1:28">
      <c r="A66" s="37">
        <v>2</v>
      </c>
      <c r="B66" s="32" t="s">
        <v>113</v>
      </c>
      <c r="C66" s="315"/>
      <c r="D66" s="6"/>
      <c r="E66" s="33" t="s">
        <v>107</v>
      </c>
      <c r="F66" s="7"/>
      <c r="G66" s="13"/>
      <c r="H66" s="13"/>
      <c r="I66" s="13"/>
      <c r="J66" s="13"/>
      <c r="K66" s="13"/>
      <c r="L66" s="13"/>
      <c r="M66" s="13"/>
      <c r="N66" s="13"/>
      <c r="O66" s="20">
        <f t="shared" si="15"/>
        <v>0</v>
      </c>
      <c r="V66" s="158"/>
      <c r="W66" s="158"/>
      <c r="X66" s="158"/>
      <c r="Y66" s="158"/>
      <c r="Z66" s="158"/>
      <c r="AA66" s="158"/>
      <c r="AB66" s="158"/>
    </row>
    <row r="67" spans="1:28">
      <c r="A67" s="37">
        <v>3</v>
      </c>
      <c r="B67" s="32" t="s">
        <v>114</v>
      </c>
      <c r="C67" s="315"/>
      <c r="D67" s="6"/>
      <c r="E67" s="33" t="s">
        <v>108</v>
      </c>
      <c r="F67" s="7"/>
      <c r="G67" s="13"/>
      <c r="H67" s="13"/>
      <c r="I67" s="13"/>
      <c r="J67" s="13"/>
      <c r="K67" s="13"/>
      <c r="L67" s="13"/>
      <c r="M67" s="13"/>
      <c r="N67" s="13"/>
      <c r="O67" s="20">
        <f t="shared" si="15"/>
        <v>0</v>
      </c>
      <c r="V67" s="1"/>
      <c r="W67" s="1"/>
      <c r="X67" s="1"/>
      <c r="Y67" s="1"/>
      <c r="Z67" s="1"/>
      <c r="AA67" s="1"/>
      <c r="AB67" s="71"/>
    </row>
    <row r="68" spans="1:28">
      <c r="A68" s="37">
        <v>4</v>
      </c>
      <c r="B68" s="32" t="s">
        <v>114</v>
      </c>
      <c r="C68" s="315"/>
      <c r="D68" s="6"/>
      <c r="E68" s="33" t="s">
        <v>108</v>
      </c>
      <c r="F68" s="7"/>
      <c r="G68" s="13"/>
      <c r="H68" s="13"/>
      <c r="I68" s="13"/>
      <c r="J68" s="13"/>
      <c r="K68" s="13"/>
      <c r="L68" s="13"/>
      <c r="M68" s="13"/>
      <c r="N68" s="13"/>
      <c r="O68" s="20">
        <f t="shared" si="15"/>
        <v>0</v>
      </c>
      <c r="V68" s="1"/>
      <c r="W68" s="1"/>
      <c r="X68" s="1"/>
      <c r="Y68" s="1"/>
      <c r="Z68" s="1"/>
      <c r="AA68" s="1"/>
      <c r="AB68" s="1"/>
    </row>
    <row r="69" spans="1:28">
      <c r="A69" s="37">
        <v>5</v>
      </c>
      <c r="B69" s="32" t="s">
        <v>115</v>
      </c>
      <c r="C69" s="315"/>
      <c r="D69" s="6"/>
      <c r="E69" s="33" t="s">
        <v>109</v>
      </c>
      <c r="F69" s="7"/>
      <c r="G69" s="13"/>
      <c r="H69" s="13"/>
      <c r="I69" s="13"/>
      <c r="J69" s="13"/>
      <c r="K69" s="13"/>
      <c r="L69" s="13"/>
      <c r="M69" s="13"/>
      <c r="N69" s="13"/>
      <c r="O69" s="20">
        <f t="shared" si="15"/>
        <v>0</v>
      </c>
      <c r="V69" s="1"/>
      <c r="W69" s="1"/>
      <c r="X69" s="1"/>
      <c r="Y69" s="1"/>
      <c r="Z69" s="1"/>
      <c r="AA69" s="1"/>
      <c r="AB69" s="1"/>
    </row>
    <row r="70" spans="1:28">
      <c r="A70" s="37">
        <v>6</v>
      </c>
      <c r="B70" s="32" t="s">
        <v>116</v>
      </c>
      <c r="C70" s="315"/>
      <c r="D70" s="6"/>
      <c r="E70" s="33" t="s">
        <v>110</v>
      </c>
      <c r="F70" s="7"/>
      <c r="G70" s="13"/>
      <c r="H70" s="20"/>
      <c r="I70" s="13"/>
      <c r="J70" s="13"/>
      <c r="K70" s="13"/>
      <c r="L70" s="13"/>
      <c r="M70" s="13"/>
      <c r="N70" s="13"/>
      <c r="O70" s="20">
        <f t="shared" si="15"/>
        <v>0</v>
      </c>
    </row>
    <row r="71" spans="1:28">
      <c r="A71" s="37">
        <v>7</v>
      </c>
      <c r="B71" s="32" t="s">
        <v>117</v>
      </c>
      <c r="C71" s="315"/>
      <c r="D71" s="6"/>
      <c r="E71" s="33" t="s">
        <v>111</v>
      </c>
      <c r="F71" s="7"/>
      <c r="G71" s="13"/>
      <c r="H71" s="13"/>
      <c r="I71" s="13"/>
      <c r="J71" s="13"/>
      <c r="K71" s="13"/>
      <c r="L71" s="13"/>
      <c r="M71" s="13"/>
      <c r="N71" s="13"/>
      <c r="O71" s="20">
        <f t="shared" si="15"/>
        <v>0</v>
      </c>
    </row>
    <row r="72" spans="1:28">
      <c r="A72" s="318" t="s">
        <v>105</v>
      </c>
      <c r="B72" s="324"/>
      <c r="C72" s="324"/>
      <c r="D72" s="324"/>
      <c r="E72" s="324"/>
      <c r="F72" s="36"/>
      <c r="G72" s="13">
        <f>SUM(G65:G71)</f>
        <v>0</v>
      </c>
      <c r="H72" s="20">
        <f>SUM(H65:H71)</f>
        <v>0</v>
      </c>
      <c r="I72" s="13">
        <f>SUM(I65:I71)</f>
        <v>0</v>
      </c>
      <c r="J72" s="13">
        <f t="shared" ref="J72:K72" si="16">SUM(J65:J71)</f>
        <v>0</v>
      </c>
      <c r="K72" s="13">
        <f t="shared" si="16"/>
        <v>0</v>
      </c>
      <c r="L72" s="13">
        <f>SUM(L65:L71)</f>
        <v>0</v>
      </c>
      <c r="M72" s="13">
        <f>SUM(M65:M71)</f>
        <v>0</v>
      </c>
      <c r="N72" s="13">
        <f>SUM(N65:N71)</f>
        <v>0</v>
      </c>
      <c r="O72" s="20">
        <f>SUM(O65:O71)</f>
        <v>0</v>
      </c>
    </row>
    <row r="75" spans="1:28" ht="24.6">
      <c r="A75" s="325" t="s">
        <v>505</v>
      </c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5"/>
      <c r="Q75" s="325"/>
      <c r="R75" s="325"/>
      <c r="S75" s="97"/>
      <c r="U75" s="21"/>
    </row>
    <row r="76" spans="1:28">
      <c r="A76" s="261" t="s">
        <v>349</v>
      </c>
      <c r="B76" s="261"/>
      <c r="C76" s="317">
        <v>46223</v>
      </c>
      <c r="D76" s="317"/>
      <c r="E76" s="317">
        <v>46224</v>
      </c>
      <c r="F76" s="317"/>
      <c r="G76" s="317">
        <v>46225</v>
      </c>
      <c r="H76" s="317"/>
      <c r="I76" s="317">
        <v>46226</v>
      </c>
      <c r="J76" s="317"/>
      <c r="K76" s="317">
        <v>46227</v>
      </c>
      <c r="L76" s="317"/>
      <c r="M76" s="317">
        <v>46228</v>
      </c>
      <c r="N76" s="317"/>
      <c r="O76" s="317">
        <v>46229</v>
      </c>
      <c r="P76" s="317"/>
      <c r="Q76" s="13"/>
      <c r="R76" s="13"/>
      <c r="S76" s="97"/>
      <c r="U76" s="21"/>
    </row>
    <row r="77" spans="1:28">
      <c r="A77" s="261"/>
      <c r="B77" s="261"/>
      <c r="C77" s="17" t="s">
        <v>100</v>
      </c>
      <c r="D77" s="17" t="s">
        <v>144</v>
      </c>
      <c r="E77" s="17" t="s">
        <v>100</v>
      </c>
      <c r="F77" s="17" t="s">
        <v>144</v>
      </c>
      <c r="G77" s="17" t="s">
        <v>100</v>
      </c>
      <c r="H77" s="17" t="s">
        <v>144</v>
      </c>
      <c r="I77" s="17" t="s">
        <v>100</v>
      </c>
      <c r="J77" s="17" t="s">
        <v>144</v>
      </c>
      <c r="K77" s="17" t="s">
        <v>100</v>
      </c>
      <c r="L77" s="17" t="s">
        <v>144</v>
      </c>
      <c r="M77" s="17" t="s">
        <v>100</v>
      </c>
      <c r="N77" s="17" t="s">
        <v>144</v>
      </c>
      <c r="O77" s="17" t="s">
        <v>100</v>
      </c>
      <c r="P77" s="17" t="s">
        <v>144</v>
      </c>
      <c r="Q77" s="52" t="s">
        <v>198</v>
      </c>
      <c r="R77" s="61">
        <v>27</v>
      </c>
      <c r="S77" s="97"/>
      <c r="U77" s="21"/>
    </row>
    <row r="78" spans="1:28">
      <c r="A78" s="37">
        <v>1</v>
      </c>
      <c r="B78" s="25" t="s">
        <v>238</v>
      </c>
      <c r="C78" s="23"/>
      <c r="D78" s="154"/>
      <c r="E78" s="6">
        <v>960</v>
      </c>
      <c r="F78" s="6" t="s">
        <v>511</v>
      </c>
      <c r="G78" s="6"/>
      <c r="H78" s="6"/>
      <c r="I78" s="199">
        <v>950</v>
      </c>
      <c r="J78" s="6" t="s">
        <v>520</v>
      </c>
      <c r="K78" s="6">
        <v>40</v>
      </c>
      <c r="L78" s="6" t="s">
        <v>524</v>
      </c>
      <c r="M78" s="6">
        <v>920</v>
      </c>
      <c r="N78" s="6" t="s">
        <v>527</v>
      </c>
      <c r="O78" s="6"/>
      <c r="P78" s="6"/>
      <c r="Q78" s="6">
        <f t="shared" ref="Q78:Q87" si="17">O78+M78+K78+I78+G78+E78+C78</f>
        <v>2870</v>
      </c>
      <c r="R78" s="284"/>
      <c r="S78" s="97"/>
      <c r="U78" s="21"/>
    </row>
    <row r="79" spans="1:28">
      <c r="A79" s="37">
        <v>2</v>
      </c>
      <c r="B79" s="25" t="s">
        <v>221</v>
      </c>
      <c r="C79" s="6">
        <v>545</v>
      </c>
      <c r="D79" s="6" t="s">
        <v>492</v>
      </c>
      <c r="E79" s="6"/>
      <c r="F79" s="6"/>
      <c r="G79" s="6"/>
      <c r="H79" s="6"/>
      <c r="I79" s="199"/>
      <c r="J79" s="6"/>
      <c r="K79" s="6"/>
      <c r="L79" s="6"/>
      <c r="M79" s="6"/>
      <c r="N79" s="6"/>
      <c r="O79" s="6"/>
      <c r="P79" s="6"/>
      <c r="Q79" s="6">
        <f t="shared" si="17"/>
        <v>545</v>
      </c>
      <c r="R79" s="284"/>
      <c r="S79" s="97"/>
      <c r="U79" s="21"/>
    </row>
    <row r="80" spans="1:28">
      <c r="A80" s="37">
        <v>3</v>
      </c>
      <c r="B80" s="25" t="s">
        <v>222</v>
      </c>
      <c r="C80" s="6">
        <v>800</v>
      </c>
      <c r="D80" s="6" t="s">
        <v>493</v>
      </c>
      <c r="E80" s="6"/>
      <c r="F80" s="6"/>
      <c r="G80" s="6">
        <v>800</v>
      </c>
      <c r="H80" s="6" t="s">
        <v>517</v>
      </c>
      <c r="I80" s="199"/>
      <c r="J80" s="6"/>
      <c r="K80" s="6"/>
      <c r="L80" s="6"/>
      <c r="M80" s="6"/>
      <c r="N80" s="6"/>
      <c r="O80" s="6"/>
      <c r="P80" s="6"/>
      <c r="Q80" s="6">
        <f t="shared" si="17"/>
        <v>1600</v>
      </c>
      <c r="R80" s="284"/>
      <c r="S80" s="97"/>
      <c r="U80" s="21"/>
    </row>
    <row r="81" spans="1:21">
      <c r="A81" s="37">
        <v>4</v>
      </c>
      <c r="B81" s="25" t="s">
        <v>202</v>
      </c>
      <c r="C81" s="6">
        <v>500</v>
      </c>
      <c r="D81" s="6" t="s">
        <v>508</v>
      </c>
      <c r="E81" s="6"/>
      <c r="F81" s="6"/>
      <c r="G81" s="6"/>
      <c r="H81" s="6"/>
      <c r="I81" s="199">
        <v>270</v>
      </c>
      <c r="J81" s="6" t="s">
        <v>518</v>
      </c>
      <c r="K81" s="6"/>
      <c r="L81" s="6"/>
      <c r="M81" s="6"/>
      <c r="N81" s="6"/>
      <c r="O81" s="6"/>
      <c r="P81" s="6"/>
      <c r="Q81" s="6">
        <f t="shared" si="17"/>
        <v>770</v>
      </c>
      <c r="R81" s="284"/>
      <c r="S81" s="97"/>
      <c r="U81" s="21"/>
    </row>
    <row r="82" spans="1:21">
      <c r="A82" s="37">
        <v>5</v>
      </c>
      <c r="B82" s="25" t="s">
        <v>197</v>
      </c>
      <c r="C82" s="6">
        <v>455</v>
      </c>
      <c r="D82" s="6" t="s">
        <v>506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f t="shared" si="17"/>
        <v>455</v>
      </c>
      <c r="R82" s="284"/>
      <c r="S82" s="97"/>
      <c r="U82" s="21"/>
    </row>
    <row r="83" spans="1:21">
      <c r="A83" s="37">
        <v>6</v>
      </c>
      <c r="B83" s="25" t="s">
        <v>203</v>
      </c>
      <c r="C83" s="6"/>
      <c r="D83" s="6"/>
      <c r="E83" s="6">
        <v>400</v>
      </c>
      <c r="F83" s="6" t="s">
        <v>513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f t="shared" si="17"/>
        <v>400</v>
      </c>
      <c r="R83" s="284"/>
      <c r="S83" s="97"/>
      <c r="U83" s="21"/>
    </row>
    <row r="84" spans="1:21">
      <c r="A84" s="37">
        <v>7</v>
      </c>
      <c r="B84" s="98" t="s">
        <v>223</v>
      </c>
      <c r="C84" s="6">
        <v>450</v>
      </c>
      <c r="D84" s="6" t="s">
        <v>509</v>
      </c>
      <c r="E84" s="6"/>
      <c r="F84" s="6"/>
      <c r="G84" s="6">
        <v>300</v>
      </c>
      <c r="H84" s="6" t="s">
        <v>515</v>
      </c>
      <c r="I84" s="199">
        <v>400</v>
      </c>
      <c r="J84" s="6" t="s">
        <v>521</v>
      </c>
      <c r="K84" s="6">
        <v>800</v>
      </c>
      <c r="L84" s="6" t="s">
        <v>526</v>
      </c>
      <c r="M84" s="6"/>
      <c r="N84" s="6"/>
      <c r="O84" s="6"/>
      <c r="P84" s="6"/>
      <c r="Q84" s="6">
        <f t="shared" si="17"/>
        <v>1950</v>
      </c>
      <c r="R84" s="284"/>
      <c r="S84" s="97"/>
      <c r="U84" s="21"/>
    </row>
    <row r="85" spans="1:21">
      <c r="A85" s="37">
        <v>8</v>
      </c>
      <c r="B85" s="213" t="s">
        <v>272</v>
      </c>
      <c r="C85" s="6">
        <v>600</v>
      </c>
      <c r="D85" s="6" t="s">
        <v>507</v>
      </c>
      <c r="E85" s="6">
        <v>800</v>
      </c>
      <c r="F85" s="6" t="s">
        <v>512</v>
      </c>
      <c r="G85" s="6">
        <v>800</v>
      </c>
      <c r="H85" s="6" t="s">
        <v>516</v>
      </c>
      <c r="I85" s="6">
        <v>180</v>
      </c>
      <c r="J85" s="6" t="s">
        <v>519</v>
      </c>
      <c r="K85" s="6">
        <v>532</v>
      </c>
      <c r="L85" s="6" t="s">
        <v>525</v>
      </c>
      <c r="M85" s="6"/>
      <c r="N85" s="6"/>
      <c r="O85" s="6"/>
      <c r="P85" s="6"/>
      <c r="Q85" s="6">
        <f t="shared" si="17"/>
        <v>2912</v>
      </c>
      <c r="R85" s="284"/>
      <c r="S85" s="97"/>
      <c r="U85" s="21"/>
    </row>
    <row r="86" spans="1:21">
      <c r="A86" s="37">
        <v>9</v>
      </c>
      <c r="B86" s="213" t="s">
        <v>273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>
        <f t="shared" si="17"/>
        <v>0</v>
      </c>
      <c r="R86" s="284"/>
      <c r="S86" s="97"/>
      <c r="U86" s="21"/>
    </row>
    <row r="87" spans="1:21">
      <c r="A87" s="37">
        <v>10</v>
      </c>
      <c r="B87" s="213" t="s">
        <v>274</v>
      </c>
      <c r="C87" s="6">
        <v>400</v>
      </c>
      <c r="D87" s="6" t="s">
        <v>510</v>
      </c>
      <c r="E87" s="6">
        <v>200</v>
      </c>
      <c r="F87" s="6" t="s">
        <v>514</v>
      </c>
      <c r="G87" s="6"/>
      <c r="H87" s="6"/>
      <c r="I87" s="6">
        <v>550</v>
      </c>
      <c r="J87" s="6" t="s">
        <v>522</v>
      </c>
      <c r="K87" s="6">
        <v>2040</v>
      </c>
      <c r="L87" s="6" t="s">
        <v>523</v>
      </c>
      <c r="M87" s="6"/>
      <c r="N87" s="6"/>
      <c r="O87" s="6"/>
      <c r="P87" s="6"/>
      <c r="Q87" s="6">
        <f t="shared" si="17"/>
        <v>3190</v>
      </c>
      <c r="R87" s="284"/>
      <c r="S87" s="97"/>
      <c r="U87" s="21"/>
    </row>
    <row r="88" spans="1:21">
      <c r="A88" s="318" t="s">
        <v>105</v>
      </c>
      <c r="B88" s="318"/>
      <c r="C88" s="27">
        <f>SUM(C78:C87)</f>
        <v>3750</v>
      </c>
      <c r="D88" s="27"/>
      <c r="E88" s="27">
        <f>SUM(E78:E87)</f>
        <v>2360</v>
      </c>
      <c r="F88" s="27"/>
      <c r="G88" s="27">
        <f>SUM(G78:G87)</f>
        <v>1900</v>
      </c>
      <c r="H88" s="27"/>
      <c r="I88" s="27">
        <f>SUM(I78:I87)</f>
        <v>2350</v>
      </c>
      <c r="J88" s="27"/>
      <c r="K88" s="27">
        <f>SUM(K78:K87)</f>
        <v>3412</v>
      </c>
      <c r="L88" s="27"/>
      <c r="M88" s="27">
        <f>SUM(M78:M87)</f>
        <v>920</v>
      </c>
      <c r="N88" s="27"/>
      <c r="O88" s="27">
        <f>SUM(O78:O87)</f>
        <v>0</v>
      </c>
      <c r="P88" s="27"/>
      <c r="Q88" s="14">
        <f>SUM(Q78:Q87)</f>
        <v>14692</v>
      </c>
      <c r="R88" s="90">
        <f>Q88*R77</f>
        <v>396684</v>
      </c>
      <c r="S88" s="97"/>
      <c r="U88" s="21"/>
    </row>
    <row r="89" spans="1:21">
      <c r="A89" s="318"/>
      <c r="B89" s="318"/>
      <c r="C89" s="29">
        <f>C88*27</f>
        <v>101250</v>
      </c>
      <c r="D89" s="152">
        <v>101251.46</v>
      </c>
      <c r="E89" s="29">
        <f>E88*27</f>
        <v>63720</v>
      </c>
      <c r="F89" s="152">
        <v>63725.33</v>
      </c>
      <c r="G89" s="29">
        <f>G88*27</f>
        <v>51300</v>
      </c>
      <c r="H89" s="152">
        <v>51300.3</v>
      </c>
      <c r="I89" s="29">
        <f>I88*27</f>
        <v>63450</v>
      </c>
      <c r="J89" s="152">
        <v>63450.41</v>
      </c>
      <c r="K89" s="29">
        <f>K88*27</f>
        <v>92124</v>
      </c>
      <c r="L89" s="152">
        <v>93744.5</v>
      </c>
      <c r="M89" s="29">
        <f>M88*27</f>
        <v>24840</v>
      </c>
      <c r="N89" s="152">
        <v>24840.1</v>
      </c>
      <c r="O89" s="29">
        <f>O88*27</f>
        <v>0</v>
      </c>
      <c r="P89" s="153"/>
      <c r="Q89" s="24">
        <f>O89+M89+K89+I89+G89+E89+C89</f>
        <v>396684</v>
      </c>
      <c r="R89" s="13"/>
      <c r="S89" s="97"/>
      <c r="U89" s="21"/>
    </row>
    <row r="90" spans="1:21" ht="28.8">
      <c r="A90"/>
      <c r="B90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90"/>
      <c r="P90" s="210" t="s">
        <v>402</v>
      </c>
      <c r="Q90" s="204">
        <f>P89+N89+L89+J89+H89+F89+D89</f>
        <v>398312.10000000003</v>
      </c>
      <c r="R90" s="13"/>
      <c r="S90" s="97"/>
      <c r="U90" s="21"/>
    </row>
    <row r="91" spans="1:21">
      <c r="F91" s="94"/>
      <c r="S91" s="97"/>
      <c r="U91" s="21"/>
    </row>
    <row r="92" spans="1:21">
      <c r="F92" s="94"/>
      <c r="S92" s="97"/>
      <c r="U92" s="21"/>
    </row>
    <row r="93" spans="1:21">
      <c r="S93" s="97"/>
      <c r="U93" s="21"/>
    </row>
    <row r="94" spans="1:21" ht="19.8">
      <c r="B94" s="319" t="s">
        <v>532</v>
      </c>
      <c r="C94" s="320"/>
      <c r="D94" s="320"/>
      <c r="E94" s="320"/>
      <c r="F94" s="320"/>
      <c r="G94" s="320"/>
      <c r="H94" s="320"/>
      <c r="I94" s="320"/>
      <c r="J94" s="320"/>
      <c r="K94" s="320"/>
      <c r="L94" s="320"/>
      <c r="M94" s="320"/>
      <c r="N94" s="320"/>
      <c r="O94" s="320"/>
      <c r="P94" s="321"/>
      <c r="S94" s="97"/>
      <c r="U94" s="21"/>
    </row>
    <row r="95" spans="1:21">
      <c r="B95" s="308">
        <v>46223</v>
      </c>
      <c r="C95" s="312"/>
      <c r="D95" s="308">
        <v>46224</v>
      </c>
      <c r="E95" s="312"/>
      <c r="F95" s="308">
        <v>46225</v>
      </c>
      <c r="G95" s="312"/>
      <c r="H95" s="308">
        <v>46226</v>
      </c>
      <c r="I95" s="312"/>
      <c r="J95" s="308">
        <v>46227</v>
      </c>
      <c r="K95" s="312"/>
      <c r="L95" s="308">
        <v>46228</v>
      </c>
      <c r="M95" s="312"/>
      <c r="N95" s="308">
        <v>46229</v>
      </c>
      <c r="O95" s="312"/>
      <c r="P95" s="315" t="s">
        <v>180</v>
      </c>
      <c r="S95" s="97"/>
      <c r="U95" s="21"/>
    </row>
    <row r="96" spans="1:21">
      <c r="B96" s="313"/>
      <c r="C96" s="314"/>
      <c r="D96" s="313"/>
      <c r="E96" s="314"/>
      <c r="F96" s="313"/>
      <c r="G96" s="314"/>
      <c r="H96" s="313"/>
      <c r="I96" s="314"/>
      <c r="J96" s="313"/>
      <c r="K96" s="314"/>
      <c r="L96" s="313"/>
      <c r="M96" s="314"/>
      <c r="N96" s="313"/>
      <c r="O96" s="314"/>
      <c r="P96" s="315"/>
      <c r="S96" s="97"/>
      <c r="U96" s="21"/>
    </row>
    <row r="97" spans="2:23">
      <c r="B97" s="120" t="s">
        <v>189</v>
      </c>
      <c r="C97" s="120" t="s">
        <v>405</v>
      </c>
      <c r="D97" s="120" t="s">
        <v>189</v>
      </c>
      <c r="E97" s="120" t="s">
        <v>405</v>
      </c>
      <c r="F97" s="120" t="s">
        <v>189</v>
      </c>
      <c r="G97" s="120" t="s">
        <v>405</v>
      </c>
      <c r="H97" s="120" t="s">
        <v>189</v>
      </c>
      <c r="I97" s="120" t="s">
        <v>405</v>
      </c>
      <c r="J97" s="120" t="s">
        <v>189</v>
      </c>
      <c r="K97" s="120" t="s">
        <v>405</v>
      </c>
      <c r="L97" s="120" t="s">
        <v>189</v>
      </c>
      <c r="M97" s="120" t="s">
        <v>405</v>
      </c>
      <c r="N97" s="120" t="s">
        <v>189</v>
      </c>
      <c r="O97" s="120" t="s">
        <v>405</v>
      </c>
      <c r="P97" s="315"/>
    </row>
    <row r="98" spans="2:23">
      <c r="B98" s="103">
        <v>2000</v>
      </c>
      <c r="C98" s="135" t="s">
        <v>494</v>
      </c>
      <c r="D98" s="103"/>
      <c r="E98" s="108"/>
      <c r="F98" s="103">
        <v>1000</v>
      </c>
      <c r="G98" s="103" t="s">
        <v>497</v>
      </c>
      <c r="H98" s="103">
        <v>1500</v>
      </c>
      <c r="I98" s="209" t="s">
        <v>499</v>
      </c>
      <c r="J98" s="103">
        <v>500</v>
      </c>
      <c r="K98" s="103" t="s">
        <v>501</v>
      </c>
      <c r="L98" s="103"/>
      <c r="M98" s="103"/>
      <c r="N98" s="13"/>
      <c r="O98" s="13"/>
      <c r="P98" s="315"/>
    </row>
    <row r="99" spans="2:23">
      <c r="B99" s="103">
        <v>2500</v>
      </c>
      <c r="C99" s="135" t="s">
        <v>495</v>
      </c>
      <c r="D99" s="103"/>
      <c r="E99" s="108"/>
      <c r="F99" s="103">
        <v>800</v>
      </c>
      <c r="G99" s="103" t="s">
        <v>498</v>
      </c>
      <c r="H99" s="13">
        <v>1000</v>
      </c>
      <c r="I99" s="13" t="s">
        <v>500</v>
      </c>
      <c r="J99" s="103">
        <v>1500</v>
      </c>
      <c r="K99" s="103" t="s">
        <v>502</v>
      </c>
      <c r="L99" s="103"/>
      <c r="M99" s="13"/>
      <c r="N99" s="13"/>
      <c r="O99" s="13"/>
      <c r="P99" s="315"/>
    </row>
    <row r="100" spans="2:23">
      <c r="B100" s="103">
        <v>1200</v>
      </c>
      <c r="C100" s="103" t="s">
        <v>496</v>
      </c>
      <c r="D100" s="103"/>
      <c r="E100" s="108"/>
      <c r="F100" s="103"/>
      <c r="G100" s="103"/>
      <c r="H100" s="13"/>
      <c r="I100" s="13"/>
      <c r="J100" s="13"/>
      <c r="K100" s="13"/>
      <c r="L100" s="103"/>
      <c r="M100" s="103"/>
      <c r="N100" s="13"/>
      <c r="O100" s="13"/>
      <c r="P100" s="315"/>
    </row>
    <row r="101" spans="2:23">
      <c r="B101" s="13"/>
      <c r="C101" s="13"/>
      <c r="D101" s="13"/>
      <c r="E101" s="13"/>
      <c r="F101" s="103"/>
      <c r="G101" s="103"/>
      <c r="H101" s="13"/>
      <c r="I101" s="13"/>
      <c r="J101" s="13"/>
      <c r="K101" s="13"/>
      <c r="L101" s="103"/>
      <c r="M101" s="103"/>
      <c r="N101" s="13"/>
      <c r="O101" s="13"/>
      <c r="P101" s="315"/>
    </row>
    <row r="102" spans="2:23">
      <c r="B102" s="207">
        <f>SUM(B98:B101)</f>
        <v>5700</v>
      </c>
      <c r="C102" s="208"/>
      <c r="D102" s="207">
        <f>SUM(D98:D101)</f>
        <v>0</v>
      </c>
      <c r="E102" s="208"/>
      <c r="F102" s="207">
        <f>SUM(F98:F101)</f>
        <v>1800</v>
      </c>
      <c r="G102" s="208"/>
      <c r="H102" s="207">
        <f>SUM(H98:H101)</f>
        <v>2500</v>
      </c>
      <c r="I102" s="208"/>
      <c r="J102" s="207">
        <f>SUM(J98:J101)</f>
        <v>2000</v>
      </c>
      <c r="K102" s="208"/>
      <c r="L102" s="207">
        <f>SUM(L98:L101)</f>
        <v>0</v>
      </c>
      <c r="M102" s="206"/>
      <c r="N102" s="206"/>
      <c r="O102" s="206"/>
      <c r="P102" s="182">
        <f>SUM(B102:O102)</f>
        <v>12000</v>
      </c>
    </row>
    <row r="105" spans="2:23">
      <c r="F105" s="94"/>
      <c r="S105" s="97"/>
    </row>
    <row r="106" spans="2:23">
      <c r="F106" s="94"/>
      <c r="S106" s="97"/>
    </row>
    <row r="107" spans="2:23" ht="15.6">
      <c r="B107" s="290" t="s">
        <v>415</v>
      </c>
      <c r="C107" s="290"/>
      <c r="D107" s="290"/>
      <c r="E107" s="290"/>
      <c r="F107" s="290"/>
    </row>
    <row r="108" spans="2:23" ht="15.6">
      <c r="B108" s="72" t="s">
        <v>190</v>
      </c>
      <c r="C108" s="290"/>
      <c r="D108" s="290"/>
      <c r="E108" s="290"/>
      <c r="F108" s="290"/>
    </row>
    <row r="109" spans="2:23" ht="43.2" customHeight="1">
      <c r="B109" s="291" t="s">
        <v>503</v>
      </c>
      <c r="C109" s="293">
        <f>G44+J44+M44+P44+S44+V44+G58+J58+M58+P58+S58+V58+Y58</f>
        <v>43986.14</v>
      </c>
      <c r="D109" s="108"/>
      <c r="E109" s="108"/>
      <c r="F109" s="7"/>
      <c r="G109" s="2"/>
      <c r="K109" s="1"/>
      <c r="L109" s="1"/>
    </row>
    <row r="110" spans="2:23" ht="43.2" customHeight="1">
      <c r="B110" s="292"/>
      <c r="C110" s="294"/>
      <c r="D110" s="108"/>
      <c r="E110" s="108"/>
      <c r="F110" s="7"/>
      <c r="G110" s="2"/>
      <c r="H110" s="295" t="s">
        <v>294</v>
      </c>
      <c r="I110" s="296"/>
      <c r="K110" s="297" t="s">
        <v>293</v>
      </c>
      <c r="L110" s="297"/>
      <c r="M110" s="297"/>
    </row>
    <row r="111" spans="2:23" ht="15">
      <c r="B111" s="112" t="s">
        <v>214</v>
      </c>
      <c r="C111" s="113">
        <f>G72+H72+I72+J72+K72+L72+M72</f>
        <v>0</v>
      </c>
      <c r="D111" s="114"/>
      <c r="E111" s="115">
        <f>C111</f>
        <v>0</v>
      </c>
      <c r="F111" s="7"/>
      <c r="H111" s="133" t="s">
        <v>95</v>
      </c>
      <c r="I111" s="134">
        <f>F113</f>
        <v>43986.14</v>
      </c>
      <c r="K111" s="108" t="s">
        <v>234</v>
      </c>
      <c r="L111" s="135">
        <f>C110+E112+C118</f>
        <v>12000</v>
      </c>
      <c r="M111" s="110"/>
    </row>
    <row r="112" spans="2:23" ht="15">
      <c r="B112" s="69" t="s">
        <v>268</v>
      </c>
      <c r="C112" s="70"/>
      <c r="D112" s="50"/>
      <c r="E112" s="111"/>
      <c r="F112" s="116"/>
      <c r="H112" s="133" t="s">
        <v>233</v>
      </c>
      <c r="I112" s="134">
        <f>C120</f>
        <v>410312.1</v>
      </c>
      <c r="K112" s="108" t="s">
        <v>235</v>
      </c>
      <c r="L112" s="136" t="e">
        <f>#REF!</f>
        <v>#REF!</v>
      </c>
      <c r="M112" s="108"/>
      <c r="W112" s="1"/>
    </row>
    <row r="113" spans="2:23" ht="15" customHeight="1">
      <c r="B113" s="298" t="s">
        <v>180</v>
      </c>
      <c r="C113" s="299"/>
      <c r="D113" s="299"/>
      <c r="E113" s="300"/>
      <c r="F113" s="304">
        <f>C112+C109</f>
        <v>43986.14</v>
      </c>
      <c r="H113" s="306" t="s">
        <v>138</v>
      </c>
      <c r="I113" s="307">
        <f>SUM(I111:I112)</f>
        <v>454298.24</v>
      </c>
      <c r="K113" s="91" t="s">
        <v>236</v>
      </c>
      <c r="L113" s="103" t="e">
        <f>L111+L112</f>
        <v>#REF!</v>
      </c>
      <c r="M113" s="13"/>
      <c r="W113" s="1"/>
    </row>
    <row r="114" spans="2:23" ht="15.6" customHeight="1">
      <c r="B114" s="301"/>
      <c r="C114" s="302"/>
      <c r="D114" s="302"/>
      <c r="E114" s="303"/>
      <c r="F114" s="305"/>
      <c r="H114" s="306"/>
      <c r="I114" s="307"/>
      <c r="K114" s="1"/>
      <c r="L114" s="1"/>
      <c r="W114" s="1"/>
    </row>
    <row r="115" spans="2:23">
      <c r="I115" s="97"/>
      <c r="K115" s="1"/>
      <c r="L115" s="1"/>
      <c r="W115" s="1"/>
    </row>
    <row r="116" spans="2:23" ht="15.6">
      <c r="B116" s="281" t="s">
        <v>504</v>
      </c>
      <c r="C116" s="281"/>
      <c r="D116" s="281"/>
      <c r="E116" s="281"/>
      <c r="F116" s="281"/>
      <c r="I116" s="97"/>
      <c r="K116" s="1"/>
      <c r="L116" s="1"/>
      <c r="W116" s="1"/>
    </row>
    <row r="117" spans="2:23" ht="15.6">
      <c r="B117" s="86" t="s">
        <v>188</v>
      </c>
      <c r="C117" s="86" t="s">
        <v>189</v>
      </c>
      <c r="D117" s="404" t="s">
        <v>333</v>
      </c>
      <c r="E117" s="405"/>
      <c r="F117" s="406"/>
      <c r="I117" s="97"/>
      <c r="W117" s="1"/>
    </row>
    <row r="118" spans="2:23" ht="43.2">
      <c r="B118" s="131" t="s">
        <v>503</v>
      </c>
      <c r="C118" s="70">
        <f>H44+K44+N44+Q44+T44+W44+H58+K58+N58+Q58+T58+W58+Z58</f>
        <v>12000</v>
      </c>
      <c r="D118" s="50" t="s">
        <v>529</v>
      </c>
      <c r="E118" s="50">
        <v>9</v>
      </c>
      <c r="F118" s="7"/>
    </row>
    <row r="119" spans="2:23" ht="117" customHeight="1">
      <c r="B119" s="70" t="s">
        <v>530</v>
      </c>
      <c r="C119" s="462">
        <f>D89+F89+H892+H89+J89+L89+N89+P89</f>
        <v>398312.1</v>
      </c>
      <c r="D119" s="109" t="s">
        <v>531</v>
      </c>
      <c r="E119" s="50">
        <v>27</v>
      </c>
      <c r="F119" s="7"/>
    </row>
    <row r="120" spans="2:23" ht="15.6">
      <c r="B120" s="132" t="s">
        <v>180</v>
      </c>
      <c r="C120" s="74">
        <f>C118+C119</f>
        <v>410312.1</v>
      </c>
      <c r="D120" s="284"/>
      <c r="E120" s="284"/>
      <c r="F120" s="7"/>
      <c r="K120" s="253"/>
      <c r="W120" s="147"/>
    </row>
    <row r="124" spans="2:23" ht="21">
      <c r="B124" s="285" t="s">
        <v>528</v>
      </c>
      <c r="C124" s="286"/>
      <c r="D124" s="286"/>
      <c r="E124" s="286"/>
      <c r="F124" s="286"/>
      <c r="G124" s="286"/>
      <c r="H124" s="286"/>
    </row>
    <row r="125" spans="2:23">
      <c r="B125" s="165" t="s">
        <v>296</v>
      </c>
      <c r="C125" s="165" t="s">
        <v>2</v>
      </c>
      <c r="D125" s="165" t="s">
        <v>297</v>
      </c>
      <c r="E125" s="166" t="s">
        <v>298</v>
      </c>
      <c r="F125" s="165" t="s">
        <v>295</v>
      </c>
      <c r="G125" s="165" t="s">
        <v>92</v>
      </c>
      <c r="H125" s="165" t="s">
        <v>299</v>
      </c>
    </row>
    <row r="126" spans="2:23">
      <c r="B126" s="460" t="str" cm="1">
        <f t="array" ref="B126:H134">_xlfn._xlws.FILTER(_xlfn.CHOOSECOLS(_xlfn.VSTACK(B3:AC43, B50:AC100), 1, 2, 3, 4, 5, 28, 27), _xlfn.VSTACK(AB3:AB43, AB50:AB100) &lt; 0, "Sin excedidos")</f>
        <v>JUAN CARLOS NAZAR CHAVEZ</v>
      </c>
      <c r="C126" s="50" t="str">
        <v xml:space="preserve">MAQUINARIA </v>
      </c>
      <c r="D126" s="50" t="str">
        <v>DODGE RAM 700</v>
      </c>
      <c r="E126" s="50" t="str">
        <v>PCW9238</v>
      </c>
      <c r="F126" s="163">
        <v>1500</v>
      </c>
      <c r="G126" s="68">
        <v>2008.2</v>
      </c>
      <c r="H126" s="164">
        <v>-508.20000000000005</v>
      </c>
    </row>
    <row r="127" spans="2:23">
      <c r="B127" s="460" t="str">
        <v>DIEGO CARREOLA</v>
      </c>
      <c r="C127" s="50" t="str">
        <v>BACHEO TOLUCA Y C. VICENTE LOMBARDO</v>
      </c>
      <c r="D127" s="50" t="str">
        <v xml:space="preserve"> MITSUBISHI L1200</v>
      </c>
      <c r="E127" s="50" t="str">
        <v>NYZ829C</v>
      </c>
      <c r="F127" s="163">
        <v>1500</v>
      </c>
      <c r="G127" s="68">
        <v>2422.7399999999998</v>
      </c>
      <c r="H127" s="164">
        <v>-922.73999999999978</v>
      </c>
    </row>
    <row r="128" spans="2:23">
      <c r="B128" s="460" t="str">
        <v>TOMAS ARANDA PROSPERO</v>
      </c>
      <c r="C128" s="50" t="str">
        <v>BACHEO TOLUCA Y C. VICENTE LOMBARDO</v>
      </c>
      <c r="D128" s="50" t="str">
        <v>DODGE RAM 4000 (3/2)</v>
      </c>
      <c r="E128" s="50" t="str">
        <v>LF05470</v>
      </c>
      <c r="F128" s="163">
        <v>1500</v>
      </c>
      <c r="G128" s="68">
        <v>3500</v>
      </c>
      <c r="H128" s="164">
        <v>-2000</v>
      </c>
    </row>
    <row r="129" spans="2:8" ht="15" customHeight="1">
      <c r="B129" s="461" t="str">
        <v>JAVIER PEREZ DÍAZ</v>
      </c>
      <c r="C129" s="6" t="str">
        <v>OBRA MÉXICO TOLUCA</v>
      </c>
      <c r="D129" s="6" t="str">
        <v>MITSUBISHI 1200</v>
      </c>
      <c r="E129" s="6" t="str">
        <v>MHL758A</v>
      </c>
      <c r="F129" s="48">
        <v>2500</v>
      </c>
      <c r="G129" s="68">
        <v>2594.02</v>
      </c>
      <c r="H129" s="215">
        <v>-94.019999999999982</v>
      </c>
    </row>
    <row r="130" spans="2:8">
      <c r="B130" s="460" t="str">
        <v>CARMELO ALVAREZ ANICETO</v>
      </c>
      <c r="C130" s="50" t="str">
        <v xml:space="preserve">LERMA TENANGO </v>
      </c>
      <c r="D130" s="50" t="str">
        <v>DODGE RAM 4000 (3/2)</v>
      </c>
      <c r="E130" s="50" t="str">
        <v>LH49746</v>
      </c>
      <c r="F130" s="163">
        <v>3000</v>
      </c>
      <c r="G130" s="68">
        <v>4000</v>
      </c>
      <c r="H130" s="164">
        <v>-1000</v>
      </c>
    </row>
    <row r="131" spans="2:8">
      <c r="B131" s="460" t="str">
        <v>CLEMENTE SANABRIA</v>
      </c>
      <c r="C131" s="50" t="str">
        <v xml:space="preserve">TRANSPORTES FLOTILLA </v>
      </c>
      <c r="D131" s="50" t="str">
        <v>RAM 1200</v>
      </c>
      <c r="E131" s="50" t="str">
        <v>LHB184D</v>
      </c>
      <c r="F131" s="163">
        <v>2500</v>
      </c>
      <c r="G131" s="68">
        <v>4033.49</v>
      </c>
      <c r="H131" s="164">
        <v>-1533.4899999999998</v>
      </c>
    </row>
    <row r="132" spans="2:8">
      <c r="B132" s="460" t="str">
        <v>BRYAN GABRIEL CHAVEZ ALVAREZ</v>
      </c>
      <c r="C132" s="50" t="str">
        <v xml:space="preserve">TRANSPORTES FLOTILLA </v>
      </c>
      <c r="D132" s="50" t="str">
        <v>CHEVROLET TORNADO</v>
      </c>
      <c r="E132" s="50" t="str">
        <v>NUZ948C</v>
      </c>
      <c r="F132" s="163">
        <v>1000</v>
      </c>
      <c r="G132" s="68">
        <v>1200</v>
      </c>
      <c r="H132" s="164">
        <v>-200</v>
      </c>
    </row>
    <row r="133" spans="2:8">
      <c r="B133" s="460" t="str">
        <v>CARLOS REYES TRUJANO</v>
      </c>
      <c r="C133" s="50" t="str">
        <v>MINA TABERNILLAS</v>
      </c>
      <c r="D133" s="50" t="str">
        <v>TOYOTA TACOMA</v>
      </c>
      <c r="E133" s="50" t="str">
        <v>33K849</v>
      </c>
      <c r="F133" s="163">
        <v>2500</v>
      </c>
      <c r="G133" s="68">
        <v>2536.63</v>
      </c>
      <c r="H133" s="164">
        <v>-36.630000000000109</v>
      </c>
    </row>
    <row r="134" spans="2:8">
      <c r="B134" s="460" t="str">
        <v>ISAAC GONZALEZ GONZALEZ</v>
      </c>
      <c r="C134" s="50" t="str">
        <v>MINA ZUMPAHUACAN</v>
      </c>
      <c r="D134" s="50" t="str">
        <v>MITSUBISHI L200</v>
      </c>
      <c r="E134" s="50" t="str">
        <v>NYZ839C</v>
      </c>
      <c r="F134" s="163">
        <v>1500</v>
      </c>
      <c r="G134" s="68">
        <v>1500.28</v>
      </c>
      <c r="H134" s="164">
        <v>-0.27999999999997272</v>
      </c>
    </row>
    <row r="135" spans="2:8">
      <c r="B135" s="460"/>
      <c r="C135" s="50"/>
      <c r="D135" s="50"/>
      <c r="E135" s="50"/>
      <c r="F135" s="163"/>
      <c r="G135" s="68"/>
      <c r="H135" s="164"/>
    </row>
    <row r="136" spans="2:8">
      <c r="B136" s="460"/>
      <c r="C136" s="50"/>
      <c r="D136" s="50"/>
      <c r="E136" s="50"/>
      <c r="F136" s="163"/>
      <c r="G136" s="68"/>
      <c r="H136" s="164"/>
    </row>
    <row r="137" spans="2:8">
      <c r="B137" s="460"/>
      <c r="C137" s="109"/>
      <c r="D137" s="50"/>
      <c r="E137" s="50"/>
      <c r="F137" s="163"/>
      <c r="G137" s="68"/>
      <c r="H137" s="164"/>
    </row>
    <row r="138" spans="2:8">
      <c r="B138" s="460"/>
      <c r="C138" s="109"/>
      <c r="D138" s="50"/>
      <c r="E138" s="50"/>
      <c r="F138" s="163"/>
      <c r="G138" s="68"/>
      <c r="H138" s="164"/>
    </row>
    <row r="139" spans="2:8">
      <c r="B139" s="460"/>
      <c r="C139" s="50"/>
      <c r="D139" s="50"/>
      <c r="E139" s="50"/>
      <c r="F139" s="163"/>
      <c r="G139" s="68"/>
      <c r="H139" s="164"/>
    </row>
    <row r="140" spans="2:8">
      <c r="B140" s="460"/>
      <c r="C140" s="50"/>
      <c r="D140" s="50"/>
      <c r="E140" s="50"/>
      <c r="F140" s="163"/>
      <c r="G140" s="68"/>
      <c r="H140" s="164"/>
    </row>
    <row r="141" spans="2:8">
      <c r="B141" s="460"/>
      <c r="C141" s="50"/>
      <c r="D141" s="50"/>
      <c r="E141" s="50"/>
      <c r="F141" s="163"/>
      <c r="G141" s="68"/>
      <c r="H141" s="164"/>
    </row>
    <row r="142" spans="2:8">
      <c r="B142" s="460"/>
      <c r="C142" s="50"/>
      <c r="D142" s="50"/>
      <c r="E142" s="50"/>
      <c r="F142" s="163"/>
      <c r="G142" s="68"/>
      <c r="H142" s="164"/>
    </row>
    <row r="143" spans="2:8" ht="21">
      <c r="B143" s="287" t="s">
        <v>138</v>
      </c>
      <c r="C143" s="288"/>
      <c r="D143" s="288"/>
      <c r="E143" s="288"/>
      <c r="F143" s="288"/>
      <c r="G143" s="289"/>
      <c r="H143" s="169">
        <f>SUM(H126:H142)</f>
        <v>-6295.3599999999988</v>
      </c>
    </row>
    <row r="144" spans="2:8">
      <c r="B144" s="161"/>
    </row>
    <row r="145" spans="2:10">
      <c r="B145" s="161"/>
    </row>
    <row r="146" spans="2:10">
      <c r="B146" s="161"/>
    </row>
    <row r="147" spans="2:10">
      <c r="B147" s="280" t="s">
        <v>417</v>
      </c>
      <c r="C147" s="280"/>
      <c r="D147" s="280"/>
      <c r="E147" s="280"/>
      <c r="F147" s="280"/>
      <c r="G147" s="280"/>
      <c r="H147" s="280"/>
    </row>
    <row r="148" spans="2:10" ht="28.8">
      <c r="B148" s="37" t="s">
        <v>296</v>
      </c>
      <c r="C148" s="37" t="s">
        <v>349</v>
      </c>
      <c r="D148" s="37" t="s">
        <v>366</v>
      </c>
      <c r="E148" s="140" t="s">
        <v>364</v>
      </c>
      <c r="F148" s="56" t="s">
        <v>368</v>
      </c>
      <c r="G148" s="141" t="s">
        <v>369</v>
      </c>
      <c r="H148" s="98" t="s">
        <v>370</v>
      </c>
    </row>
    <row r="149" spans="2:10">
      <c r="B149" s="277" t="s">
        <v>309</v>
      </c>
      <c r="C149" s="6" t="s">
        <v>352</v>
      </c>
      <c r="D149" s="277">
        <v>400</v>
      </c>
      <c r="E149" s="278">
        <f>D149*7</f>
        <v>2800</v>
      </c>
      <c r="F149" s="6"/>
      <c r="G149" s="277">
        <f>F149+F150+F151</f>
        <v>0</v>
      </c>
      <c r="H149" s="277">
        <f>E149-G149</f>
        <v>2800</v>
      </c>
    </row>
    <row r="150" spans="2:10">
      <c r="B150" s="277"/>
      <c r="C150" s="6" t="s">
        <v>353</v>
      </c>
      <c r="D150" s="277"/>
      <c r="E150" s="278"/>
      <c r="F150" s="6"/>
      <c r="G150" s="277"/>
      <c r="H150" s="277"/>
    </row>
    <row r="151" spans="2:10">
      <c r="B151" s="277"/>
      <c r="C151" s="6" t="s">
        <v>354</v>
      </c>
      <c r="D151" s="277"/>
      <c r="E151" s="278"/>
      <c r="F151" s="6"/>
      <c r="G151" s="277"/>
      <c r="H151" s="277"/>
    </row>
    <row r="152" spans="2:10">
      <c r="B152" s="277" t="s">
        <v>124</v>
      </c>
      <c r="C152" s="6" t="s">
        <v>355</v>
      </c>
      <c r="D152" s="277">
        <v>550</v>
      </c>
      <c r="E152" s="278">
        <f>D152*7</f>
        <v>3850</v>
      </c>
      <c r="F152" s="6"/>
      <c r="G152" s="277">
        <f>F152+F153</f>
        <v>0</v>
      </c>
      <c r="H152" s="277">
        <f>E152-G152</f>
        <v>3850</v>
      </c>
    </row>
    <row r="153" spans="2:10">
      <c r="B153" s="277"/>
      <c r="C153" s="6" t="s">
        <v>354</v>
      </c>
      <c r="D153" s="277"/>
      <c r="E153" s="278"/>
      <c r="F153" s="6"/>
      <c r="G153" s="277"/>
      <c r="H153" s="277"/>
    </row>
    <row r="154" spans="2:10">
      <c r="B154" s="277" t="s">
        <v>27</v>
      </c>
      <c r="C154" s="6" t="s">
        <v>202</v>
      </c>
      <c r="D154" s="277">
        <v>500</v>
      </c>
      <c r="E154" s="278">
        <f>500*7</f>
        <v>3500</v>
      </c>
      <c r="F154" s="6"/>
      <c r="G154" s="277">
        <f>F154+F155+F156</f>
        <v>0</v>
      </c>
      <c r="H154" s="279">
        <f>E154-G154</f>
        <v>3500</v>
      </c>
      <c r="J154" s="180"/>
    </row>
    <row r="155" spans="2:10" ht="54.6" customHeight="1">
      <c r="B155" s="277"/>
      <c r="C155" s="6" t="s">
        <v>356</v>
      </c>
      <c r="D155" s="277"/>
      <c r="E155" s="278"/>
      <c r="F155" s="6"/>
      <c r="G155" s="277"/>
      <c r="H155" s="279"/>
    </row>
    <row r="156" spans="2:10">
      <c r="B156" s="277"/>
      <c r="C156" s="6" t="s">
        <v>357</v>
      </c>
      <c r="D156" s="277"/>
      <c r="E156" s="278"/>
      <c r="F156" s="6"/>
      <c r="G156" s="277"/>
      <c r="H156" s="279"/>
    </row>
    <row r="157" spans="2:10">
      <c r="B157" s="6" t="s">
        <v>150</v>
      </c>
      <c r="C157" s="6" t="s">
        <v>358</v>
      </c>
      <c r="D157" s="6">
        <v>400</v>
      </c>
      <c r="E157" s="89">
        <f>400*7</f>
        <v>2800</v>
      </c>
      <c r="F157" s="6"/>
      <c r="G157" s="6">
        <f>F157</f>
        <v>0</v>
      </c>
      <c r="H157" s="6">
        <f>E157-G157</f>
        <v>2800</v>
      </c>
    </row>
    <row r="158" spans="2:10">
      <c r="B158" s="6" t="s">
        <v>359</v>
      </c>
      <c r="C158" s="6" t="s">
        <v>360</v>
      </c>
      <c r="D158" s="6">
        <v>400</v>
      </c>
      <c r="E158" s="89">
        <f>400*7</f>
        <v>2800</v>
      </c>
      <c r="F158" s="6"/>
      <c r="G158" s="6">
        <f>F158</f>
        <v>0</v>
      </c>
      <c r="H158" s="6">
        <f>E158-G158</f>
        <v>2800</v>
      </c>
    </row>
    <row r="159" spans="2:10">
      <c r="B159" s="6" t="s">
        <v>361</v>
      </c>
      <c r="C159" s="6" t="s">
        <v>197</v>
      </c>
      <c r="D159" s="6"/>
      <c r="E159" s="7"/>
      <c r="F159" s="6"/>
      <c r="G159" s="6">
        <f>F159</f>
        <v>0</v>
      </c>
      <c r="H159" s="6"/>
    </row>
    <row r="160" spans="2:10">
      <c r="B160" s="6"/>
      <c r="C160" s="6" t="s">
        <v>362</v>
      </c>
      <c r="D160" s="6"/>
      <c r="E160" s="7"/>
      <c r="F160" s="6"/>
      <c r="G160" s="6">
        <v>30</v>
      </c>
      <c r="H160" s="6"/>
    </row>
    <row r="161" spans="2:11">
      <c r="B161" s="6"/>
      <c r="C161" s="6" t="s">
        <v>252</v>
      </c>
      <c r="D161" s="6"/>
      <c r="E161" s="7"/>
      <c r="F161" s="6"/>
      <c r="G161" s="6"/>
      <c r="H161" s="6"/>
    </row>
    <row r="162" spans="2:11">
      <c r="B162" s="6"/>
      <c r="C162" s="6"/>
      <c r="D162" s="6"/>
      <c r="E162" s="7"/>
      <c r="F162" s="13"/>
      <c r="G162" s="13"/>
      <c r="H162" s="13"/>
    </row>
    <row r="163" spans="2:11">
      <c r="B163" s="266" t="s">
        <v>365</v>
      </c>
      <c r="C163" s="266"/>
      <c r="D163" s="6"/>
      <c r="E163" s="178">
        <f>SUM(E149:E162)</f>
        <v>15750</v>
      </c>
      <c r="F163" s="177">
        <f>SUM(F149:F162)</f>
        <v>0</v>
      </c>
      <c r="G163" s="82">
        <f>SUM(G149:G161)</f>
        <v>30</v>
      </c>
      <c r="H163" s="13"/>
    </row>
    <row r="170" spans="2:11">
      <c r="K170">
        <f>SUM(K164:K169)</f>
        <v>0</v>
      </c>
    </row>
    <row r="187" spans="2:7">
      <c r="B187" s="267" t="s">
        <v>376</v>
      </c>
      <c r="C187" s="267"/>
      <c r="D187" s="267"/>
      <c r="E187" s="267"/>
      <c r="F187" s="267"/>
      <c r="G187" s="267"/>
    </row>
    <row r="188" spans="2:7">
      <c r="B188" s="267"/>
      <c r="C188" s="267"/>
      <c r="D188" s="267"/>
      <c r="E188" s="267"/>
      <c r="F188" s="267"/>
      <c r="G188" s="267"/>
    </row>
    <row r="189" spans="2:7" ht="19.8">
      <c r="B189" s="268" t="s">
        <v>374</v>
      </c>
      <c r="C189" s="268"/>
      <c r="D189" s="268"/>
      <c r="E189" s="268"/>
      <c r="F189" s="268"/>
      <c r="G189" s="268"/>
    </row>
    <row r="190" spans="2:7">
      <c r="B190" s="269" t="s">
        <v>0</v>
      </c>
      <c r="C190" s="270"/>
      <c r="D190" s="273" t="s">
        <v>2</v>
      </c>
      <c r="E190" s="273" t="s">
        <v>8</v>
      </c>
      <c r="F190" s="273" t="s">
        <v>1</v>
      </c>
      <c r="G190" s="275" t="s">
        <v>91</v>
      </c>
    </row>
    <row r="191" spans="2:7">
      <c r="B191" s="271"/>
      <c r="C191" s="272"/>
      <c r="D191" s="274"/>
      <c r="E191" s="274"/>
      <c r="F191" s="274"/>
      <c r="G191" s="276"/>
    </row>
    <row r="192" spans="2:7">
      <c r="B192" s="159">
        <v>1</v>
      </c>
      <c r="C192" s="263" t="s">
        <v>4</v>
      </c>
      <c r="D192" s="263" t="s">
        <v>7</v>
      </c>
      <c r="E192" s="9" t="s">
        <v>5</v>
      </c>
      <c r="F192" s="9" t="s">
        <v>6</v>
      </c>
      <c r="G192" s="216">
        <v>1200</v>
      </c>
    </row>
    <row r="193" spans="2:20">
      <c r="B193" s="159">
        <v>2</v>
      </c>
      <c r="C193" s="263"/>
      <c r="D193" s="263"/>
      <c r="E193" s="9" t="s">
        <v>35</v>
      </c>
      <c r="F193" s="9"/>
      <c r="G193" s="216">
        <v>500</v>
      </c>
    </row>
    <row r="194" spans="2:20">
      <c r="B194" s="141">
        <v>3</v>
      </c>
      <c r="C194" s="257" t="s">
        <v>9</v>
      </c>
      <c r="D194" s="257" t="s">
        <v>10</v>
      </c>
      <c r="E194" s="50" t="s">
        <v>11</v>
      </c>
      <c r="F194" s="50" t="s">
        <v>12</v>
      </c>
      <c r="G194" s="217">
        <v>2500</v>
      </c>
    </row>
    <row r="195" spans="2:20">
      <c r="B195" s="141">
        <v>4</v>
      </c>
      <c r="C195" s="257"/>
      <c r="D195" s="257"/>
      <c r="E195" s="50" t="s">
        <v>35</v>
      </c>
      <c r="F195" s="50"/>
      <c r="G195" s="217">
        <v>500</v>
      </c>
    </row>
    <row r="196" spans="2:20">
      <c r="B196" s="141">
        <v>5</v>
      </c>
      <c r="C196" s="50" t="s">
        <v>13</v>
      </c>
      <c r="D196" s="50" t="s">
        <v>10</v>
      </c>
      <c r="E196" s="50" t="s">
        <v>14</v>
      </c>
      <c r="F196" s="50" t="s">
        <v>97</v>
      </c>
      <c r="G196" s="217">
        <v>1500</v>
      </c>
      <c r="T196" s="97"/>
    </row>
    <row r="197" spans="2:20">
      <c r="B197" s="141">
        <v>6</v>
      </c>
      <c r="C197" s="50" t="s">
        <v>211</v>
      </c>
      <c r="D197" s="50" t="s">
        <v>10</v>
      </c>
      <c r="E197" s="50" t="s">
        <v>14</v>
      </c>
      <c r="F197" s="50" t="s">
        <v>17</v>
      </c>
      <c r="G197" s="217">
        <v>1500</v>
      </c>
    </row>
    <row r="198" spans="2:20">
      <c r="B198" s="141">
        <v>7</v>
      </c>
      <c r="C198" s="50" t="s">
        <v>18</v>
      </c>
      <c r="D198" s="50" t="s">
        <v>10</v>
      </c>
      <c r="E198" s="50"/>
      <c r="F198" s="50"/>
      <c r="G198" s="217">
        <v>1500</v>
      </c>
    </row>
    <row r="199" spans="2:20">
      <c r="B199" s="159">
        <v>8</v>
      </c>
      <c r="C199" s="9" t="s">
        <v>19</v>
      </c>
      <c r="D199" s="9" t="s">
        <v>20</v>
      </c>
      <c r="E199" s="9" t="s">
        <v>21</v>
      </c>
      <c r="F199" s="9" t="s">
        <v>22</v>
      </c>
      <c r="G199" s="216">
        <v>700</v>
      </c>
    </row>
    <row r="200" spans="2:20">
      <c r="B200" s="159">
        <v>9</v>
      </c>
      <c r="C200" s="9" t="s">
        <v>23</v>
      </c>
      <c r="D200" s="9" t="s">
        <v>24</v>
      </c>
      <c r="E200" s="9" t="s">
        <v>25</v>
      </c>
      <c r="F200" s="9" t="s">
        <v>26</v>
      </c>
      <c r="G200" s="216">
        <v>1500</v>
      </c>
    </row>
    <row r="201" spans="2:20" ht="28.8">
      <c r="B201" s="141">
        <v>10</v>
      </c>
      <c r="C201" s="257" t="s">
        <v>27</v>
      </c>
      <c r="D201" s="50" t="s">
        <v>28</v>
      </c>
      <c r="E201" s="50" t="s">
        <v>29</v>
      </c>
      <c r="F201" s="50" t="s">
        <v>30</v>
      </c>
      <c r="G201" s="217">
        <v>1500</v>
      </c>
    </row>
    <row r="202" spans="2:20">
      <c r="B202" s="141">
        <v>11</v>
      </c>
      <c r="C202" s="257"/>
      <c r="D202" s="50" t="s">
        <v>34</v>
      </c>
      <c r="E202" s="50" t="s">
        <v>35</v>
      </c>
      <c r="F202" s="50"/>
      <c r="G202" s="160">
        <v>500</v>
      </c>
    </row>
    <row r="203" spans="2:20" ht="28.8">
      <c r="B203" s="141">
        <v>12</v>
      </c>
      <c r="C203" s="50" t="s">
        <v>31</v>
      </c>
      <c r="D203" s="50" t="s">
        <v>28</v>
      </c>
      <c r="E203" s="50" t="s">
        <v>33</v>
      </c>
      <c r="F203" s="50" t="s">
        <v>32</v>
      </c>
      <c r="G203" s="160">
        <v>1500</v>
      </c>
    </row>
    <row r="204" spans="2:20">
      <c r="B204" s="159">
        <v>13</v>
      </c>
      <c r="C204" s="264" t="s">
        <v>36</v>
      </c>
      <c r="D204" s="9" t="s">
        <v>37</v>
      </c>
      <c r="E204" s="9" t="s">
        <v>39</v>
      </c>
      <c r="F204" s="9" t="s">
        <v>38</v>
      </c>
      <c r="G204" s="10">
        <v>2500</v>
      </c>
    </row>
    <row r="205" spans="2:20">
      <c r="B205" s="159">
        <v>14</v>
      </c>
      <c r="C205" s="265"/>
      <c r="D205" s="9" t="s">
        <v>37</v>
      </c>
      <c r="E205" s="9" t="s">
        <v>35</v>
      </c>
      <c r="F205" s="9"/>
      <c r="G205" s="10">
        <v>300</v>
      </c>
    </row>
    <row r="206" spans="2:20" ht="28.8">
      <c r="B206" s="159">
        <v>15</v>
      </c>
      <c r="C206" s="9" t="s">
        <v>40</v>
      </c>
      <c r="D206" s="9" t="s">
        <v>37</v>
      </c>
      <c r="E206" s="9" t="s">
        <v>42</v>
      </c>
      <c r="F206" s="9" t="s">
        <v>41</v>
      </c>
      <c r="G206" s="10">
        <v>2500</v>
      </c>
    </row>
    <row r="207" spans="2:20">
      <c r="B207" s="159">
        <v>16</v>
      </c>
      <c r="C207" s="9" t="s">
        <v>43</v>
      </c>
      <c r="D207" s="9" t="s">
        <v>37</v>
      </c>
      <c r="E207" s="9" t="s">
        <v>33</v>
      </c>
      <c r="F207" s="9" t="s">
        <v>44</v>
      </c>
      <c r="G207" s="10">
        <v>4000</v>
      </c>
    </row>
    <row r="208" spans="2:20">
      <c r="B208" s="141">
        <v>17</v>
      </c>
      <c r="C208" s="257" t="s">
        <v>45</v>
      </c>
      <c r="D208" s="257" t="s">
        <v>46</v>
      </c>
      <c r="E208" s="50" t="s">
        <v>39</v>
      </c>
      <c r="F208" s="50" t="s">
        <v>47</v>
      </c>
      <c r="G208" s="160">
        <v>2500</v>
      </c>
    </row>
    <row r="209" spans="2:7" ht="28.8">
      <c r="B209" s="141">
        <v>18</v>
      </c>
      <c r="C209" s="257"/>
      <c r="D209" s="257"/>
      <c r="E209" s="50" t="s">
        <v>54</v>
      </c>
      <c r="F209" s="50"/>
      <c r="G209" s="188">
        <v>1000</v>
      </c>
    </row>
    <row r="210" spans="2:7" ht="28.8">
      <c r="B210" s="141">
        <v>19</v>
      </c>
      <c r="C210" s="257"/>
      <c r="D210" s="257"/>
      <c r="E210" s="50" t="s">
        <v>55</v>
      </c>
      <c r="F210" s="50"/>
      <c r="G210" s="188"/>
    </row>
    <row r="211" spans="2:7" ht="28.8">
      <c r="B211" s="141">
        <v>20</v>
      </c>
      <c r="C211" s="257"/>
      <c r="D211" s="257"/>
      <c r="E211" s="50" t="s">
        <v>56</v>
      </c>
      <c r="F211" s="50"/>
      <c r="G211" s="188"/>
    </row>
    <row r="212" spans="2:7">
      <c r="B212" s="141">
        <v>21</v>
      </c>
      <c r="C212" s="50" t="s">
        <v>48</v>
      </c>
      <c r="D212" s="50" t="s">
        <v>46</v>
      </c>
      <c r="E212" s="50" t="s">
        <v>39</v>
      </c>
      <c r="F212" s="50" t="s">
        <v>49</v>
      </c>
      <c r="G212" s="160">
        <v>1500</v>
      </c>
    </row>
    <row r="213" spans="2:7">
      <c r="B213" s="141">
        <v>22</v>
      </c>
      <c r="C213" s="50" t="s">
        <v>50</v>
      </c>
      <c r="D213" s="50" t="s">
        <v>46</v>
      </c>
      <c r="E213" s="50" t="s">
        <v>33</v>
      </c>
      <c r="F213" s="50" t="s">
        <v>51</v>
      </c>
      <c r="G213" s="160">
        <v>3000</v>
      </c>
    </row>
    <row r="214" spans="2:7" ht="28.8">
      <c r="B214" s="141">
        <v>23</v>
      </c>
      <c r="C214" s="50" t="s">
        <v>52</v>
      </c>
      <c r="D214" s="50" t="s">
        <v>46</v>
      </c>
      <c r="E214" s="50" t="s">
        <v>42</v>
      </c>
      <c r="F214" s="50" t="s">
        <v>53</v>
      </c>
      <c r="G214" s="160">
        <v>2500</v>
      </c>
    </row>
    <row r="215" spans="2:7">
      <c r="B215" s="159">
        <v>24</v>
      </c>
      <c r="C215" s="9" t="s">
        <v>66</v>
      </c>
      <c r="D215" s="263" t="s">
        <v>58</v>
      </c>
      <c r="E215" s="9" t="s">
        <v>59</v>
      </c>
      <c r="F215" s="9" t="s">
        <v>60</v>
      </c>
      <c r="G215" s="10">
        <v>2500</v>
      </c>
    </row>
    <row r="216" spans="2:7">
      <c r="B216" s="159">
        <v>25</v>
      </c>
      <c r="C216" s="9" t="s">
        <v>57</v>
      </c>
      <c r="D216" s="263"/>
      <c r="E216" s="9" t="s">
        <v>35</v>
      </c>
      <c r="F216" s="9"/>
      <c r="G216" s="10">
        <v>1000</v>
      </c>
    </row>
    <row r="217" spans="2:7">
      <c r="B217" s="141">
        <v>26</v>
      </c>
      <c r="C217" s="50" t="s">
        <v>61</v>
      </c>
      <c r="D217" s="50" t="s">
        <v>62</v>
      </c>
      <c r="E217" s="50" t="s">
        <v>11</v>
      </c>
      <c r="F217" s="50" t="s">
        <v>63</v>
      </c>
      <c r="G217" s="160">
        <v>2500</v>
      </c>
    </row>
    <row r="218" spans="2:7">
      <c r="B218" s="141">
        <v>27</v>
      </c>
      <c r="C218" s="257" t="s">
        <v>64</v>
      </c>
      <c r="D218" s="257" t="s">
        <v>62</v>
      </c>
      <c r="E218" s="50" t="s">
        <v>65</v>
      </c>
      <c r="F218" s="50" t="s">
        <v>67</v>
      </c>
      <c r="G218" s="160">
        <v>1000</v>
      </c>
    </row>
    <row r="219" spans="2:7">
      <c r="B219" s="141">
        <v>28</v>
      </c>
      <c r="C219" s="257"/>
      <c r="D219" s="257"/>
      <c r="E219" s="50" t="s">
        <v>68</v>
      </c>
      <c r="F219" s="50"/>
      <c r="G219" s="160">
        <v>500</v>
      </c>
    </row>
    <row r="220" spans="2:7">
      <c r="B220" s="141">
        <v>29</v>
      </c>
      <c r="C220" s="257"/>
      <c r="D220" s="257"/>
      <c r="E220" s="50" t="s">
        <v>68</v>
      </c>
      <c r="F220" s="50"/>
      <c r="G220" s="160">
        <v>500</v>
      </c>
    </row>
    <row r="221" spans="2:7">
      <c r="B221" s="141">
        <v>30</v>
      </c>
      <c r="C221" s="257" t="s">
        <v>69</v>
      </c>
      <c r="D221" s="50"/>
      <c r="E221" s="50"/>
      <c r="F221" s="50" t="s">
        <v>70</v>
      </c>
      <c r="G221" s="160">
        <v>800</v>
      </c>
    </row>
    <row r="222" spans="2:7">
      <c r="B222" s="141">
        <v>31</v>
      </c>
      <c r="C222" s="257"/>
      <c r="D222" s="50"/>
      <c r="E222" s="50" t="s">
        <v>35</v>
      </c>
      <c r="F222" s="50"/>
      <c r="G222" s="160">
        <v>500</v>
      </c>
    </row>
    <row r="223" spans="2:7">
      <c r="B223" s="141">
        <v>32</v>
      </c>
      <c r="C223" s="184" t="s">
        <v>206</v>
      </c>
      <c r="D223" s="50" t="s">
        <v>207</v>
      </c>
      <c r="E223" s="50"/>
      <c r="F223" s="50" t="s">
        <v>158</v>
      </c>
      <c r="G223" s="160">
        <v>1500</v>
      </c>
    </row>
    <row r="224" spans="2:7">
      <c r="B224" s="141">
        <v>33</v>
      </c>
      <c r="C224" s="184" t="s">
        <v>160</v>
      </c>
      <c r="D224" s="50" t="s">
        <v>161</v>
      </c>
      <c r="E224" s="50" t="s">
        <v>11</v>
      </c>
      <c r="F224" s="50" t="s">
        <v>159</v>
      </c>
      <c r="G224" s="160">
        <v>1500</v>
      </c>
    </row>
    <row r="225" spans="2:7">
      <c r="B225" s="141">
        <v>34</v>
      </c>
      <c r="C225" s="184" t="s">
        <v>204</v>
      </c>
      <c r="D225" s="50" t="s">
        <v>205</v>
      </c>
      <c r="E225" s="50" t="s">
        <v>21</v>
      </c>
      <c r="F225" s="50"/>
      <c r="G225" s="160">
        <v>700</v>
      </c>
    </row>
    <row r="226" spans="2:7">
      <c r="B226" s="141">
        <v>35</v>
      </c>
      <c r="C226" s="50" t="s">
        <v>71</v>
      </c>
      <c r="D226" s="50"/>
      <c r="E226" s="50" t="s">
        <v>73</v>
      </c>
      <c r="F226" s="50" t="s">
        <v>72</v>
      </c>
      <c r="G226" s="160">
        <v>3000</v>
      </c>
    </row>
    <row r="227" spans="2:7">
      <c r="B227" s="141">
        <v>36</v>
      </c>
      <c r="C227" s="184" t="s">
        <v>266</v>
      </c>
      <c r="D227" s="50"/>
      <c r="E227" s="50" t="s">
        <v>11</v>
      </c>
      <c r="F227" s="50" t="s">
        <v>259</v>
      </c>
      <c r="G227" s="160">
        <v>1500</v>
      </c>
    </row>
    <row r="228" spans="2:7">
      <c r="B228" s="258" t="s">
        <v>105</v>
      </c>
      <c r="C228" s="259"/>
      <c r="D228" s="259"/>
      <c r="E228" s="259"/>
      <c r="F228" s="259"/>
      <c r="G228" s="189">
        <f>SUM(G192:G227)</f>
        <v>52200</v>
      </c>
    </row>
    <row r="229" spans="2:7" ht="19.8">
      <c r="B229" s="260" t="s">
        <v>375</v>
      </c>
      <c r="C229" s="260"/>
      <c r="D229" s="260"/>
      <c r="E229" s="260"/>
      <c r="F229" s="260"/>
      <c r="G229" s="260"/>
    </row>
    <row r="230" spans="2:7">
      <c r="B230" s="261" t="s">
        <v>0</v>
      </c>
      <c r="C230" s="261"/>
      <c r="D230" s="261" t="s">
        <v>2</v>
      </c>
      <c r="E230" s="261" t="s">
        <v>8</v>
      </c>
      <c r="F230" s="261" t="s">
        <v>1</v>
      </c>
      <c r="G230" s="262" t="s">
        <v>3</v>
      </c>
    </row>
    <row r="231" spans="2:7">
      <c r="B231" s="261"/>
      <c r="C231" s="261"/>
      <c r="D231" s="261"/>
      <c r="E231" s="261"/>
      <c r="F231" s="261"/>
      <c r="G231" s="262"/>
    </row>
    <row r="232" spans="2:7">
      <c r="B232" s="141">
        <v>1</v>
      </c>
      <c r="C232" s="50" t="s">
        <v>75</v>
      </c>
      <c r="D232" s="50" t="s">
        <v>77</v>
      </c>
      <c r="E232" s="50" t="s">
        <v>76</v>
      </c>
      <c r="F232" s="50" t="s">
        <v>78</v>
      </c>
      <c r="G232" s="160">
        <v>2500</v>
      </c>
    </row>
    <row r="233" spans="2:7">
      <c r="B233" s="141">
        <v>2</v>
      </c>
      <c r="C233" s="50" t="s">
        <v>79</v>
      </c>
      <c r="D233" s="50" t="s">
        <v>77</v>
      </c>
      <c r="E233" s="50" t="s">
        <v>73</v>
      </c>
      <c r="F233" s="50" t="s">
        <v>74</v>
      </c>
      <c r="G233" s="160">
        <v>1500</v>
      </c>
    </row>
    <row r="234" spans="2:7">
      <c r="B234" s="256">
        <v>3</v>
      </c>
      <c r="C234" s="257" t="s">
        <v>80</v>
      </c>
      <c r="D234" s="257" t="s">
        <v>77</v>
      </c>
      <c r="E234" s="50" t="s">
        <v>81</v>
      </c>
      <c r="F234" s="50" t="s">
        <v>6</v>
      </c>
      <c r="G234" s="160">
        <v>2000</v>
      </c>
    </row>
    <row r="235" spans="2:7">
      <c r="B235" s="256"/>
      <c r="C235" s="257"/>
      <c r="D235" s="257"/>
      <c r="E235" s="50" t="s">
        <v>35</v>
      </c>
      <c r="F235" s="50"/>
      <c r="G235" s="160"/>
    </row>
    <row r="236" spans="2:7">
      <c r="B236" s="141">
        <v>4</v>
      </c>
      <c r="C236" s="50" t="s">
        <v>82</v>
      </c>
      <c r="D236" s="50" t="s">
        <v>83</v>
      </c>
      <c r="E236" s="50" t="s">
        <v>73</v>
      </c>
      <c r="F236" s="50" t="s">
        <v>84</v>
      </c>
      <c r="G236" s="160">
        <v>1500</v>
      </c>
    </row>
    <row r="237" spans="2:7">
      <c r="B237" s="141">
        <v>5</v>
      </c>
      <c r="C237" s="50" t="s">
        <v>85</v>
      </c>
      <c r="D237" s="50" t="s">
        <v>83</v>
      </c>
      <c r="E237" s="50" t="s">
        <v>73</v>
      </c>
      <c r="F237" s="50" t="s">
        <v>86</v>
      </c>
      <c r="G237" s="160">
        <v>1500</v>
      </c>
    </row>
    <row r="238" spans="2:7">
      <c r="B238" s="141">
        <v>6</v>
      </c>
      <c r="C238" s="50" t="s">
        <v>87</v>
      </c>
      <c r="D238" s="50" t="s">
        <v>88</v>
      </c>
      <c r="E238" s="50" t="s">
        <v>81</v>
      </c>
      <c r="F238" s="50" t="s">
        <v>89</v>
      </c>
      <c r="G238" s="160">
        <v>2000</v>
      </c>
    </row>
    <row r="239" spans="2:7">
      <c r="B239" s="258" t="s">
        <v>105</v>
      </c>
      <c r="C239" s="259"/>
      <c r="D239" s="259"/>
      <c r="E239" s="259"/>
      <c r="F239" s="259"/>
      <c r="G239" s="190">
        <f>SUM(G232:G238)</f>
        <v>11000</v>
      </c>
    </row>
  </sheetData>
  <mergeCells count="143">
    <mergeCell ref="S2:U2"/>
    <mergeCell ref="V2:X2"/>
    <mergeCell ref="Y2:AA2"/>
    <mergeCell ref="AB2:AB3"/>
    <mergeCell ref="AC2:AC3"/>
    <mergeCell ref="B4:B5"/>
    <mergeCell ref="C4:C5"/>
    <mergeCell ref="A2:B3"/>
    <mergeCell ref="C2:C3"/>
    <mergeCell ref="D2:D3"/>
    <mergeCell ref="E2:E3"/>
    <mergeCell ref="F2:F3"/>
    <mergeCell ref="G2:I2"/>
    <mergeCell ref="J2:L2"/>
    <mergeCell ref="M2:O2"/>
    <mergeCell ref="P2:R2"/>
    <mergeCell ref="G1:AA1"/>
    <mergeCell ref="A1:F1"/>
    <mergeCell ref="B16:B18"/>
    <mergeCell ref="B21:B24"/>
    <mergeCell ref="C21:C24"/>
    <mergeCell ref="C28:C29"/>
    <mergeCell ref="B31:B33"/>
    <mergeCell ref="C31:C33"/>
    <mergeCell ref="B6:B7"/>
    <mergeCell ref="C6:C7"/>
    <mergeCell ref="AF6:AI6"/>
    <mergeCell ref="B13:B14"/>
    <mergeCell ref="AG13:AH13"/>
    <mergeCell ref="AG14:AH14"/>
    <mergeCell ref="B34:B35"/>
    <mergeCell ref="A44:E44"/>
    <mergeCell ref="A47:AC47"/>
    <mergeCell ref="A48:B49"/>
    <mergeCell ref="C48:C49"/>
    <mergeCell ref="D48:D49"/>
    <mergeCell ref="E48:E49"/>
    <mergeCell ref="F48:F49"/>
    <mergeCell ref="G48:I48"/>
    <mergeCell ref="J48:L48"/>
    <mergeCell ref="AF51:AI51"/>
    <mergeCell ref="A52:A53"/>
    <mergeCell ref="A58:E58"/>
    <mergeCell ref="M48:O48"/>
    <mergeCell ref="P48:R48"/>
    <mergeCell ref="S48:U48"/>
    <mergeCell ref="V48:X48"/>
    <mergeCell ref="Y48:AA48"/>
    <mergeCell ref="AB48:AB49"/>
    <mergeCell ref="A62:O62"/>
    <mergeCell ref="A63:B64"/>
    <mergeCell ref="C63:C64"/>
    <mergeCell ref="D63:D64"/>
    <mergeCell ref="E63:E64"/>
    <mergeCell ref="F63:F64"/>
    <mergeCell ref="N63:N64"/>
    <mergeCell ref="O63:O64"/>
    <mergeCell ref="AC48:AC49"/>
    <mergeCell ref="C65:C71"/>
    <mergeCell ref="V65:AB65"/>
    <mergeCell ref="A72:E72"/>
    <mergeCell ref="A75:R75"/>
    <mergeCell ref="A76:B77"/>
    <mergeCell ref="C76:D76"/>
    <mergeCell ref="E76:F76"/>
    <mergeCell ref="G76:H76"/>
    <mergeCell ref="I76:J76"/>
    <mergeCell ref="K76:L76"/>
    <mergeCell ref="L95:M96"/>
    <mergeCell ref="N95:O96"/>
    <mergeCell ref="P95:P101"/>
    <mergeCell ref="B107:F107"/>
    <mergeCell ref="M76:N76"/>
    <mergeCell ref="O76:P76"/>
    <mergeCell ref="R78:R87"/>
    <mergeCell ref="A88:B89"/>
    <mergeCell ref="B94:P94"/>
    <mergeCell ref="B95:C96"/>
    <mergeCell ref="D95:E96"/>
    <mergeCell ref="F95:G96"/>
    <mergeCell ref="H95:I96"/>
    <mergeCell ref="J95:K96"/>
    <mergeCell ref="B116:F116"/>
    <mergeCell ref="D120:E120"/>
    <mergeCell ref="B124:H124"/>
    <mergeCell ref="B143:G143"/>
    <mergeCell ref="C108:F108"/>
    <mergeCell ref="B109:B110"/>
    <mergeCell ref="C109:C110"/>
    <mergeCell ref="H110:I110"/>
    <mergeCell ref="K110:M110"/>
    <mergeCell ref="B113:E114"/>
    <mergeCell ref="F113:F114"/>
    <mergeCell ref="H113:H114"/>
    <mergeCell ref="I113:I114"/>
    <mergeCell ref="D117:F117"/>
    <mergeCell ref="H152:H153"/>
    <mergeCell ref="B154:B156"/>
    <mergeCell ref="D154:D156"/>
    <mergeCell ref="E154:E156"/>
    <mergeCell ref="G154:G156"/>
    <mergeCell ref="H154:H156"/>
    <mergeCell ref="B147:H147"/>
    <mergeCell ref="B149:B151"/>
    <mergeCell ref="D149:D151"/>
    <mergeCell ref="E149:E151"/>
    <mergeCell ref="G149:G151"/>
    <mergeCell ref="H149:H151"/>
    <mergeCell ref="B163:C163"/>
    <mergeCell ref="B187:G188"/>
    <mergeCell ref="B189:G189"/>
    <mergeCell ref="B190:C191"/>
    <mergeCell ref="D190:D191"/>
    <mergeCell ref="E190:E191"/>
    <mergeCell ref="F190:F191"/>
    <mergeCell ref="G190:G191"/>
    <mergeCell ref="B152:B153"/>
    <mergeCell ref="D152:D153"/>
    <mergeCell ref="E152:E153"/>
    <mergeCell ref="G152:G153"/>
    <mergeCell ref="C208:C211"/>
    <mergeCell ref="D208:D211"/>
    <mergeCell ref="D215:D216"/>
    <mergeCell ref="C218:C220"/>
    <mergeCell ref="D218:D220"/>
    <mergeCell ref="C221:C222"/>
    <mergeCell ref="C192:C193"/>
    <mergeCell ref="D192:D193"/>
    <mergeCell ref="C194:C195"/>
    <mergeCell ref="D194:D195"/>
    <mergeCell ref="C201:C202"/>
    <mergeCell ref="C204:C205"/>
    <mergeCell ref="B234:B235"/>
    <mergeCell ref="C234:C235"/>
    <mergeCell ref="D234:D235"/>
    <mergeCell ref="B239:F239"/>
    <mergeCell ref="B228:F228"/>
    <mergeCell ref="B229:G229"/>
    <mergeCell ref="B230:C231"/>
    <mergeCell ref="D230:D231"/>
    <mergeCell ref="E230:E231"/>
    <mergeCell ref="F230:F231"/>
    <mergeCell ref="G230:G231"/>
  </mergeCells>
  <conditionalFormatting sqref="AB4:AB43">
    <cfRule type="cellIs" dxfId="63" priority="32" operator="lessThan">
      <formula>-1</formula>
    </cfRule>
  </conditionalFormatting>
  <conditionalFormatting sqref="AB44">
    <cfRule type="cellIs" dxfId="62" priority="30" operator="greaterThan">
      <formula>0</formula>
    </cfRule>
  </conditionalFormatting>
  <conditionalFormatting sqref="AB50:AB57">
    <cfRule type="cellIs" dxfId="61" priority="1" operator="lessThan">
      <formula>0</formula>
    </cfRule>
  </conditionalFormatting>
  <conditionalFormatting sqref="AC4">
    <cfRule type="cellIs" dxfId="60" priority="29" operator="greaterThan">
      <formula>$F$4</formula>
    </cfRule>
  </conditionalFormatting>
  <conditionalFormatting sqref="AC5">
    <cfRule type="cellIs" dxfId="59" priority="28" operator="greaterThan">
      <formula>$F$5</formula>
    </cfRule>
  </conditionalFormatting>
  <conditionalFormatting sqref="AC6">
    <cfRule type="cellIs" dxfId="58" priority="2" operator="greaterThan">
      <formula>$F$6</formula>
    </cfRule>
  </conditionalFormatting>
  <conditionalFormatting sqref="AC7">
    <cfRule type="cellIs" dxfId="57" priority="27" operator="greaterThan">
      <formula>$F$7</formula>
    </cfRule>
  </conditionalFormatting>
  <conditionalFormatting sqref="AC8">
    <cfRule type="cellIs" dxfId="56" priority="26" operator="greaterThan">
      <formula>$F$8</formula>
    </cfRule>
  </conditionalFormatting>
  <conditionalFormatting sqref="AC9">
    <cfRule type="cellIs" dxfId="55" priority="25" operator="greaterThan">
      <formula>$F$9</formula>
    </cfRule>
  </conditionalFormatting>
  <conditionalFormatting sqref="AC10">
    <cfRule type="cellIs" dxfId="54" priority="24" operator="greaterThan">
      <formula>$F$10</formula>
    </cfRule>
  </conditionalFormatting>
  <conditionalFormatting sqref="AC11">
    <cfRule type="cellIs" dxfId="53" priority="23" operator="greaterThan">
      <formula>$F$11</formula>
    </cfRule>
  </conditionalFormatting>
  <conditionalFormatting sqref="AC12">
    <cfRule type="cellIs" dxfId="52" priority="22" operator="greaterThan">
      <formula>$F$12</formula>
    </cfRule>
  </conditionalFormatting>
  <conditionalFormatting sqref="AC13">
    <cfRule type="cellIs" dxfId="51" priority="21" operator="greaterThan">
      <formula>$F$13</formula>
    </cfRule>
  </conditionalFormatting>
  <conditionalFormatting sqref="AC14">
    <cfRule type="cellIs" dxfId="50" priority="20" operator="greaterThan">
      <formula>$F$14</formula>
    </cfRule>
  </conditionalFormatting>
  <conditionalFormatting sqref="AC15">
    <cfRule type="cellIs" dxfId="49" priority="19" operator="greaterThan">
      <formula>$F$15</formula>
    </cfRule>
  </conditionalFormatting>
  <conditionalFormatting sqref="AC16:AC18">
    <cfRule type="cellIs" dxfId="48" priority="18" operator="greaterThan">
      <formula>$F$16</formula>
    </cfRule>
  </conditionalFormatting>
  <conditionalFormatting sqref="AC19">
    <cfRule type="cellIs" dxfId="47" priority="17" operator="greaterThan">
      <formula>$F$19</formula>
    </cfRule>
  </conditionalFormatting>
  <conditionalFormatting sqref="AC20">
    <cfRule type="cellIs" dxfId="46" priority="16" operator="greaterThan">
      <formula>$F$20</formula>
    </cfRule>
  </conditionalFormatting>
  <conditionalFormatting sqref="AC21">
    <cfRule type="cellIs" dxfId="45" priority="15" operator="greaterThan">
      <formula>$F$21</formula>
    </cfRule>
  </conditionalFormatting>
  <conditionalFormatting sqref="AC22">
    <cfRule type="cellIs" dxfId="44" priority="14" operator="greaterThan">
      <formula>$F$22</formula>
    </cfRule>
  </conditionalFormatting>
  <conditionalFormatting sqref="AC25">
    <cfRule type="cellIs" dxfId="43" priority="13" operator="greaterThan">
      <formula>$F$25</formula>
    </cfRule>
  </conditionalFormatting>
  <conditionalFormatting sqref="AC26">
    <cfRule type="cellIs" dxfId="42" priority="12" operator="greaterThan">
      <formula>$F$26</formula>
    </cfRule>
  </conditionalFormatting>
  <conditionalFormatting sqref="AC27">
    <cfRule type="cellIs" dxfId="41" priority="11" operator="greaterThan">
      <formula>$F$27</formula>
    </cfRule>
  </conditionalFormatting>
  <conditionalFormatting sqref="AC28">
    <cfRule type="cellIs" dxfId="40" priority="10" operator="greaterThan">
      <formula>$F$28</formula>
    </cfRule>
  </conditionalFormatting>
  <conditionalFormatting sqref="AC29">
    <cfRule type="cellIs" dxfId="39" priority="9" operator="greaterThan">
      <formula>$F$29</formula>
    </cfRule>
  </conditionalFormatting>
  <conditionalFormatting sqref="AC30">
    <cfRule type="cellIs" dxfId="38" priority="8" operator="greaterThan">
      <formula>$F$30</formula>
    </cfRule>
  </conditionalFormatting>
  <conditionalFormatting sqref="AC31">
    <cfRule type="cellIs" dxfId="37" priority="7" operator="greaterThan">
      <formula>$F$31</formula>
    </cfRule>
  </conditionalFormatting>
  <conditionalFormatting sqref="AC32 AC36 AC40">
    <cfRule type="cellIs" dxfId="36" priority="6" operator="greaterThan">
      <formula>$F$32</formula>
    </cfRule>
  </conditionalFormatting>
  <conditionalFormatting sqref="AC33 AC37 AC41">
    <cfRule type="cellIs" dxfId="35" priority="5" operator="greaterThan">
      <formula>$F$33</formula>
    </cfRule>
  </conditionalFormatting>
  <conditionalFormatting sqref="AC34 AC38 AC42:AC43">
    <cfRule type="cellIs" dxfId="34" priority="4" operator="greaterThan">
      <formula>$F$34</formula>
    </cfRule>
  </conditionalFormatting>
  <conditionalFormatting sqref="AC35 AC39">
    <cfRule type="cellIs" dxfId="33" priority="3" operator="greaterThan">
      <formula>$F$35</formula>
    </cfRule>
  </conditionalFormatting>
  <conditionalFormatting sqref="AC44">
    <cfRule type="cellIs" dxfId="32" priority="31" operator="lessThan">
      <formula>46700</formula>
    </cfRule>
  </conditionalFormatting>
  <pageMargins left="0.25" right="0.25" top="0.75" bottom="0.75" header="0.3" footer="0.3"/>
  <pageSetup scale="13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1C1DC-A151-47F5-B13E-B7116EAE0FB3}">
  <dimension ref="D7:U22"/>
  <sheetViews>
    <sheetView topLeftCell="C1" zoomScale="83" workbookViewId="0">
      <selection activeCell="D7" sqref="D7:U22"/>
    </sheetView>
  </sheetViews>
  <sheetFormatPr baseColWidth="10" defaultRowHeight="14.4"/>
  <cols>
    <col min="5" max="5" width="28.88671875" customWidth="1"/>
    <col min="6" max="6" width="11.6640625" bestFit="1" customWidth="1"/>
    <col min="8" max="8" width="11.6640625" bestFit="1" customWidth="1"/>
    <col min="10" max="10" width="11.6640625" bestFit="1" customWidth="1"/>
    <col min="12" max="12" width="11.6640625" bestFit="1" customWidth="1"/>
    <col min="14" max="14" width="11.6640625" bestFit="1" customWidth="1"/>
    <col min="16" max="16" width="11.6640625" bestFit="1" customWidth="1"/>
    <col min="18" max="18" width="12.44140625" bestFit="1" customWidth="1"/>
    <col min="19" max="19" width="11.6640625" bestFit="1" customWidth="1"/>
    <col min="20" max="20" width="13.6640625" customWidth="1"/>
    <col min="21" max="21" width="16.44140625" customWidth="1"/>
  </cols>
  <sheetData>
    <row r="7" spans="4:21" ht="24.6">
      <c r="D7" s="325" t="s">
        <v>396</v>
      </c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</row>
    <row r="8" spans="4:21">
      <c r="D8" s="261" t="s">
        <v>0</v>
      </c>
      <c r="E8" s="261"/>
      <c r="F8" s="317">
        <v>46209</v>
      </c>
      <c r="G8" s="317"/>
      <c r="H8" s="317">
        <v>46210</v>
      </c>
      <c r="I8" s="317"/>
      <c r="J8" s="317">
        <v>46211</v>
      </c>
      <c r="K8" s="317"/>
      <c r="L8" s="317">
        <v>46212</v>
      </c>
      <c r="M8" s="317"/>
      <c r="N8" s="317">
        <v>46213</v>
      </c>
      <c r="O8" s="317"/>
      <c r="P8" s="317">
        <v>46214</v>
      </c>
      <c r="Q8" s="317"/>
      <c r="R8" s="317">
        <v>46215</v>
      </c>
      <c r="S8" s="317"/>
      <c r="T8" s="13"/>
      <c r="U8" s="13"/>
    </row>
    <row r="9" spans="4:21">
      <c r="D9" s="261"/>
      <c r="E9" s="261"/>
      <c r="F9" s="17" t="s">
        <v>100</v>
      </c>
      <c r="G9" s="17" t="s">
        <v>144</v>
      </c>
      <c r="H9" s="17" t="s">
        <v>100</v>
      </c>
      <c r="I9" s="17" t="s">
        <v>144</v>
      </c>
      <c r="J9" s="17" t="s">
        <v>100</v>
      </c>
      <c r="K9" s="17" t="s">
        <v>144</v>
      </c>
      <c r="L9" s="17" t="s">
        <v>100</v>
      </c>
      <c r="M9" s="17" t="s">
        <v>144</v>
      </c>
      <c r="N9" s="17" t="s">
        <v>100</v>
      </c>
      <c r="O9" s="17" t="s">
        <v>144</v>
      </c>
      <c r="P9" s="17" t="s">
        <v>100</v>
      </c>
      <c r="Q9" s="17" t="s">
        <v>144</v>
      </c>
      <c r="R9" s="17" t="s">
        <v>100</v>
      </c>
      <c r="S9" s="17" t="s">
        <v>144</v>
      </c>
      <c r="T9" s="52" t="s">
        <v>198</v>
      </c>
      <c r="U9" s="61">
        <v>27</v>
      </c>
    </row>
    <row r="10" spans="4:21">
      <c r="D10" s="37">
        <v>1</v>
      </c>
      <c r="E10" s="23" t="s">
        <v>238</v>
      </c>
      <c r="F10" s="155">
        <v>715</v>
      </c>
      <c r="G10" s="203" t="s">
        <v>278</v>
      </c>
      <c r="H10" s="156">
        <v>100</v>
      </c>
      <c r="I10" s="118" t="s">
        <v>398</v>
      </c>
      <c r="J10" s="157">
        <v>600</v>
      </c>
      <c r="K10" s="118" t="s">
        <v>282</v>
      </c>
      <c r="L10" s="89"/>
      <c r="M10" s="13"/>
      <c r="N10" s="13"/>
      <c r="O10" s="13"/>
      <c r="P10" s="6"/>
      <c r="Q10" s="13"/>
      <c r="R10" s="13"/>
      <c r="S10" s="13"/>
      <c r="T10" s="6">
        <f t="shared" ref="T10:T15" si="0">R10+P10+N10+L10+J10+H10+F10</f>
        <v>1415</v>
      </c>
      <c r="U10" s="284"/>
    </row>
    <row r="11" spans="4:21">
      <c r="D11" s="37">
        <v>2</v>
      </c>
      <c r="E11" s="23" t="s">
        <v>221</v>
      </c>
      <c r="F11" s="23"/>
      <c r="G11" s="23"/>
      <c r="H11" s="108">
        <v>800</v>
      </c>
      <c r="I11" s="138" t="s">
        <v>397</v>
      </c>
      <c r="J11" s="6"/>
      <c r="K11" s="13"/>
      <c r="L11" s="89"/>
      <c r="M11" s="13"/>
      <c r="N11" s="13">
        <v>668.2</v>
      </c>
      <c r="O11" s="118" t="s">
        <v>288</v>
      </c>
      <c r="P11" s="13"/>
      <c r="Q11" s="13"/>
      <c r="R11" s="13"/>
      <c r="S11" s="13"/>
      <c r="T11" s="6">
        <f t="shared" si="0"/>
        <v>1468.2</v>
      </c>
      <c r="U11" s="284"/>
    </row>
    <row r="12" spans="4:21">
      <c r="D12" s="37">
        <v>3</v>
      </c>
      <c r="E12" s="23" t="s">
        <v>222</v>
      </c>
      <c r="F12" s="23">
        <v>300</v>
      </c>
      <c r="G12" s="137" t="s">
        <v>275</v>
      </c>
      <c r="H12" s="13">
        <v>300</v>
      </c>
      <c r="I12" s="118" t="s">
        <v>280</v>
      </c>
      <c r="J12" s="6">
        <v>300</v>
      </c>
      <c r="K12" s="118" t="s">
        <v>284</v>
      </c>
      <c r="L12" s="89">
        <v>600</v>
      </c>
      <c r="M12" s="118" t="s">
        <v>400</v>
      </c>
      <c r="N12" s="13">
        <v>1000</v>
      </c>
      <c r="O12" s="118" t="s">
        <v>289</v>
      </c>
      <c r="P12" s="13"/>
      <c r="Q12" s="13"/>
      <c r="R12" s="13"/>
      <c r="S12" s="13"/>
      <c r="T12" s="6">
        <f t="shared" si="0"/>
        <v>2500</v>
      </c>
      <c r="U12" s="284"/>
    </row>
    <row r="13" spans="4:21">
      <c r="D13" s="37">
        <v>4</v>
      </c>
      <c r="E13" s="23" t="s">
        <v>202</v>
      </c>
      <c r="F13" s="155">
        <v>285</v>
      </c>
      <c r="G13" s="137" t="s">
        <v>277</v>
      </c>
      <c r="H13" s="153">
        <v>800</v>
      </c>
      <c r="I13" s="118" t="s">
        <v>281</v>
      </c>
      <c r="J13" s="6"/>
      <c r="K13" s="13"/>
      <c r="L13" s="89"/>
      <c r="M13" s="13"/>
      <c r="N13" s="13"/>
      <c r="O13" s="13"/>
      <c r="P13" s="13"/>
      <c r="Q13" s="13"/>
      <c r="R13" s="13"/>
      <c r="S13" s="13"/>
      <c r="T13" s="6">
        <f t="shared" si="0"/>
        <v>1085</v>
      </c>
      <c r="U13" s="284"/>
    </row>
    <row r="14" spans="4:21">
      <c r="D14" s="37">
        <v>5</v>
      </c>
      <c r="E14" s="23" t="s">
        <v>197</v>
      </c>
      <c r="F14" s="155">
        <v>233</v>
      </c>
      <c r="G14" s="137" t="s">
        <v>276</v>
      </c>
      <c r="H14" s="13"/>
      <c r="I14" s="13"/>
      <c r="J14" s="13"/>
      <c r="K14" s="13"/>
      <c r="L14" s="155">
        <v>400</v>
      </c>
      <c r="M14" s="118" t="s">
        <v>287</v>
      </c>
      <c r="N14" s="13"/>
      <c r="O14" s="13"/>
      <c r="P14" s="13"/>
      <c r="Q14" s="13"/>
      <c r="R14" s="13"/>
      <c r="S14" s="13"/>
      <c r="T14" s="6">
        <f t="shared" si="0"/>
        <v>633</v>
      </c>
      <c r="U14" s="284"/>
    </row>
    <row r="15" spans="4:21">
      <c r="D15" s="37">
        <v>6</v>
      </c>
      <c r="E15" s="23" t="s">
        <v>203</v>
      </c>
      <c r="F15" s="23"/>
      <c r="G15" s="23"/>
      <c r="H15" s="13"/>
      <c r="I15" s="13"/>
      <c r="J15" s="13"/>
      <c r="K15" s="13"/>
      <c r="L15" s="23"/>
      <c r="M15" s="13"/>
      <c r="N15" s="13">
        <v>95</v>
      </c>
      <c r="O15" s="153" t="s">
        <v>290</v>
      </c>
      <c r="P15" s="13"/>
      <c r="Q15" s="13"/>
      <c r="R15" s="13"/>
      <c r="S15" s="13"/>
      <c r="T15" s="6">
        <f t="shared" si="0"/>
        <v>95</v>
      </c>
      <c r="U15" s="284"/>
    </row>
    <row r="16" spans="4:21">
      <c r="D16" s="37">
        <v>7</v>
      </c>
      <c r="E16" s="92" t="s">
        <v>223</v>
      </c>
      <c r="F16" s="23">
        <v>600</v>
      </c>
      <c r="G16" s="137" t="s">
        <v>279</v>
      </c>
      <c r="H16" s="6"/>
      <c r="J16" s="6">
        <v>700</v>
      </c>
      <c r="K16" s="138" t="s">
        <v>283</v>
      </c>
      <c r="L16" s="89"/>
      <c r="M16" s="13"/>
      <c r="N16" s="13"/>
      <c r="O16" s="13"/>
      <c r="P16" s="13">
        <v>500</v>
      </c>
      <c r="Q16" s="118" t="s">
        <v>291</v>
      </c>
      <c r="R16" s="13">
        <v>300</v>
      </c>
      <c r="S16" s="118" t="s">
        <v>292</v>
      </c>
      <c r="T16" s="6">
        <f t="shared" ref="T16:T19" si="1">R16+P16+N16+L16+J16+H16+F16</f>
        <v>2100</v>
      </c>
      <c r="U16" s="284"/>
    </row>
    <row r="17" spans="4:21">
      <c r="D17" s="37">
        <v>8</v>
      </c>
      <c r="E17" s="202" t="s">
        <v>272</v>
      </c>
      <c r="F17" s="13"/>
      <c r="G17" s="13"/>
      <c r="J17" s="1">
        <v>860</v>
      </c>
      <c r="K17" s="138" t="s">
        <v>399</v>
      </c>
      <c r="L17" s="22"/>
      <c r="M17" s="13"/>
      <c r="N17" s="13">
        <v>820</v>
      </c>
      <c r="O17" s="153" t="s">
        <v>290</v>
      </c>
      <c r="P17" s="13"/>
      <c r="Q17" s="13"/>
      <c r="R17" s="13"/>
      <c r="S17" s="13"/>
      <c r="T17" s="6">
        <f t="shared" si="1"/>
        <v>1680</v>
      </c>
      <c r="U17" s="284"/>
    </row>
    <row r="18" spans="4:21">
      <c r="D18" s="37">
        <v>9</v>
      </c>
      <c r="E18" s="202" t="s">
        <v>273</v>
      </c>
      <c r="F18" s="13"/>
      <c r="G18" s="13"/>
      <c r="H18" s="13"/>
      <c r="I18" s="13"/>
      <c r="J18" s="13"/>
      <c r="K18" s="13"/>
      <c r="L18" s="23">
        <v>100</v>
      </c>
      <c r="M18" s="118" t="s">
        <v>286</v>
      </c>
      <c r="N18" s="13"/>
      <c r="O18" s="13"/>
      <c r="P18" s="13"/>
      <c r="Q18" s="13"/>
      <c r="R18" s="13"/>
      <c r="S18" s="13"/>
      <c r="T18" s="6">
        <f t="shared" si="1"/>
        <v>100</v>
      </c>
      <c r="U18" s="284"/>
    </row>
    <row r="19" spans="4:21">
      <c r="D19" s="37">
        <v>10</v>
      </c>
      <c r="E19" s="202" t="s">
        <v>274</v>
      </c>
      <c r="F19" s="13"/>
      <c r="G19" s="13"/>
      <c r="H19" s="13"/>
      <c r="I19" s="13"/>
      <c r="J19" s="13"/>
      <c r="K19" s="13"/>
      <c r="L19" s="13"/>
      <c r="M19" s="13"/>
      <c r="N19" s="13">
        <v>200</v>
      </c>
      <c r="O19" s="118" t="s">
        <v>401</v>
      </c>
      <c r="P19" s="13"/>
      <c r="Q19" s="13"/>
      <c r="R19" s="13"/>
      <c r="S19" s="13"/>
      <c r="T19" s="6">
        <f t="shared" si="1"/>
        <v>200</v>
      </c>
      <c r="U19" s="284"/>
    </row>
    <row r="20" spans="4:21">
      <c r="D20" s="318" t="s">
        <v>105</v>
      </c>
      <c r="E20" s="318"/>
      <c r="F20" s="27">
        <f>SUM(F10:F19)</f>
        <v>2133</v>
      </c>
      <c r="G20" s="27"/>
      <c r="H20" s="27">
        <f>SUM(H10:H19)</f>
        <v>2000</v>
      </c>
      <c r="I20" s="27"/>
      <c r="J20" s="27">
        <f>SUM(J10:J19)</f>
        <v>2460</v>
      </c>
      <c r="K20" s="27"/>
      <c r="L20" s="27">
        <f>SUM(L10:L19)</f>
        <v>1100</v>
      </c>
      <c r="M20" s="27"/>
      <c r="N20" s="27">
        <f>SUM(N10:N19)</f>
        <v>2783.2</v>
      </c>
      <c r="O20" s="27"/>
      <c r="P20" s="27">
        <f>SUM(P10:P19)</f>
        <v>500</v>
      </c>
      <c r="Q20" s="27"/>
      <c r="R20" s="27">
        <f>SUM(R10:R19)</f>
        <v>300</v>
      </c>
      <c r="S20" s="27"/>
      <c r="T20" s="14">
        <f>SUM(T10:T19)</f>
        <v>11276.2</v>
      </c>
      <c r="U20" s="90">
        <f>T20*U9</f>
        <v>304457.40000000002</v>
      </c>
    </row>
    <row r="21" spans="4:21">
      <c r="D21" s="318"/>
      <c r="E21" s="318"/>
      <c r="F21" s="29">
        <f>F20*27</f>
        <v>57591</v>
      </c>
      <c r="G21" s="152">
        <v>57591.3</v>
      </c>
      <c r="H21" s="29">
        <f>H20*27</f>
        <v>54000</v>
      </c>
      <c r="I21" s="152">
        <v>54000.42</v>
      </c>
      <c r="J21" s="29">
        <f>J20*27</f>
        <v>66420</v>
      </c>
      <c r="K21" s="152">
        <v>66406.509999999995</v>
      </c>
      <c r="L21" s="29">
        <f>L20*27</f>
        <v>29700</v>
      </c>
      <c r="M21" s="152">
        <v>29701.98</v>
      </c>
      <c r="N21" s="29">
        <f>N20*27</f>
        <v>75146.399999999994</v>
      </c>
      <c r="O21" s="152">
        <v>75148.429999999993</v>
      </c>
      <c r="P21" s="29">
        <f>P20*27</f>
        <v>13500</v>
      </c>
      <c r="Q21" s="152">
        <v>13500.06</v>
      </c>
      <c r="R21" s="29">
        <f>R20*27</f>
        <v>8100</v>
      </c>
      <c r="S21" s="153">
        <v>8100.05</v>
      </c>
      <c r="T21" s="24">
        <f>R21+P21+N21+L21+J21+H21+F21</f>
        <v>304457.40000000002</v>
      </c>
      <c r="U21" s="13"/>
    </row>
    <row r="22" spans="4:21"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90"/>
      <c r="S22" s="13" t="s">
        <v>402</v>
      </c>
      <c r="T22" s="204">
        <f>S21+Q21+O21+M21+K21+I21+G21</f>
        <v>304448.74999999994</v>
      </c>
      <c r="U22" s="13"/>
    </row>
  </sheetData>
  <mergeCells count="11">
    <mergeCell ref="D7:U7"/>
    <mergeCell ref="D8:E9"/>
    <mergeCell ref="R8:S8"/>
    <mergeCell ref="U10:U19"/>
    <mergeCell ref="D20:E21"/>
    <mergeCell ref="F8:G8"/>
    <mergeCell ref="H8:I8"/>
    <mergeCell ref="J8:K8"/>
    <mergeCell ref="L8:M8"/>
    <mergeCell ref="N8:O8"/>
    <mergeCell ref="P8:Q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AAFE1-B401-414F-82ED-367700834F54}">
  <dimension ref="A1:T46"/>
  <sheetViews>
    <sheetView topLeftCell="B1" zoomScale="72" workbookViewId="0">
      <selection activeCell="D8" sqref="D8"/>
    </sheetView>
  </sheetViews>
  <sheetFormatPr baseColWidth="10" defaultRowHeight="14.4"/>
  <cols>
    <col min="1" max="1" width="3.6640625" style="1" customWidth="1"/>
    <col min="2" max="2" width="34.77734375" style="1" customWidth="1"/>
    <col min="3" max="3" width="36.88671875" style="1" customWidth="1"/>
    <col min="4" max="4" width="28.44140625" style="1" customWidth="1"/>
    <col min="5" max="5" width="19.77734375" style="1" customWidth="1"/>
    <col min="6" max="6" width="21.5546875" style="2" customWidth="1"/>
  </cols>
  <sheetData>
    <row r="1" spans="1:20" ht="24.6">
      <c r="A1" s="343" t="s">
        <v>93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</row>
    <row r="2" spans="1:20" ht="28.8">
      <c r="A2" s="261" t="s">
        <v>0</v>
      </c>
      <c r="B2" s="261"/>
      <c r="C2" s="15" t="s">
        <v>2</v>
      </c>
      <c r="D2" s="15" t="s">
        <v>8</v>
      </c>
      <c r="E2" s="15" t="s">
        <v>1</v>
      </c>
      <c r="F2" s="16" t="s">
        <v>91</v>
      </c>
      <c r="G2" s="368">
        <v>46195</v>
      </c>
      <c r="H2" s="370"/>
      <c r="I2" s="368">
        <v>46196</v>
      </c>
      <c r="J2" s="370"/>
      <c r="K2" s="368">
        <v>46197</v>
      </c>
      <c r="L2" s="370"/>
      <c r="M2" s="368">
        <v>46198</v>
      </c>
      <c r="N2" s="370"/>
      <c r="O2" s="368">
        <v>46199</v>
      </c>
      <c r="P2" s="370"/>
      <c r="Q2" s="368">
        <v>46200</v>
      </c>
      <c r="R2" s="370"/>
      <c r="S2" s="17" t="s">
        <v>94</v>
      </c>
      <c r="T2" s="16" t="s">
        <v>92</v>
      </c>
    </row>
    <row r="3" spans="1:20">
      <c r="A3" s="15"/>
      <c r="B3" s="15"/>
      <c r="C3" s="15"/>
      <c r="D3" s="15"/>
      <c r="E3" s="15"/>
      <c r="F3" s="16"/>
      <c r="G3" s="17" t="s">
        <v>95</v>
      </c>
      <c r="H3" s="17" t="s">
        <v>96</v>
      </c>
      <c r="I3" s="17" t="s">
        <v>95</v>
      </c>
      <c r="J3" s="17" t="s">
        <v>96</v>
      </c>
      <c r="K3" s="17" t="s">
        <v>95</v>
      </c>
      <c r="L3" s="17" t="s">
        <v>96</v>
      </c>
      <c r="M3" s="17" t="s">
        <v>95</v>
      </c>
      <c r="N3" s="17" t="s">
        <v>96</v>
      </c>
      <c r="O3" s="17" t="s">
        <v>95</v>
      </c>
      <c r="P3" s="17" t="s">
        <v>96</v>
      </c>
      <c r="Q3" s="17" t="s">
        <v>95</v>
      </c>
      <c r="R3" s="17" t="s">
        <v>96</v>
      </c>
      <c r="S3" s="17"/>
      <c r="T3" s="16"/>
    </row>
    <row r="4" spans="1:20" s="3" customFormat="1">
      <c r="A4" s="8">
        <v>1</v>
      </c>
      <c r="B4" s="263" t="s">
        <v>4</v>
      </c>
      <c r="C4" s="263" t="s">
        <v>7</v>
      </c>
      <c r="D4" s="9" t="s">
        <v>5</v>
      </c>
      <c r="E4" s="9" t="s">
        <v>6</v>
      </c>
      <c r="F4" s="10">
        <v>1200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8">
        <f t="shared" ref="S4:S20" si="0">F4-(G4+I4+K4+M4+O4+R4)</f>
        <v>1200</v>
      </c>
      <c r="T4" s="11">
        <f>SUM(G4:R4)</f>
        <v>0</v>
      </c>
    </row>
    <row r="5" spans="1:20" s="3" customFormat="1">
      <c r="A5" s="8">
        <v>2</v>
      </c>
      <c r="B5" s="263"/>
      <c r="C5" s="263"/>
      <c r="D5" s="8" t="s">
        <v>35</v>
      </c>
      <c r="E5" s="8"/>
      <c r="F5" s="12">
        <v>500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8">
        <f t="shared" si="0"/>
        <v>500</v>
      </c>
      <c r="T5" s="11">
        <f t="shared" ref="T5:T34" si="1">SUM(G5:R5)</f>
        <v>0</v>
      </c>
    </row>
    <row r="6" spans="1:20">
      <c r="A6" s="6">
        <v>3</v>
      </c>
      <c r="B6" s="277" t="s">
        <v>9</v>
      </c>
      <c r="C6" s="277" t="s">
        <v>10</v>
      </c>
      <c r="D6" s="6" t="s">
        <v>11</v>
      </c>
      <c r="E6" s="6" t="s">
        <v>12</v>
      </c>
      <c r="F6" s="7">
        <v>2500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18">
        <f t="shared" si="0"/>
        <v>2500</v>
      </c>
      <c r="T6" s="11">
        <f t="shared" si="1"/>
        <v>0</v>
      </c>
    </row>
    <row r="7" spans="1:20">
      <c r="A7" s="6">
        <v>4</v>
      </c>
      <c r="B7" s="277"/>
      <c r="C7" s="277"/>
      <c r="D7" s="6" t="s">
        <v>35</v>
      </c>
      <c r="E7" s="6"/>
      <c r="F7" s="7">
        <v>500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18">
        <f t="shared" si="0"/>
        <v>500</v>
      </c>
      <c r="T7" s="11">
        <f t="shared" si="1"/>
        <v>0</v>
      </c>
    </row>
    <row r="8" spans="1:20">
      <c r="A8" s="6">
        <v>5</v>
      </c>
      <c r="B8" s="6" t="s">
        <v>13</v>
      </c>
      <c r="C8" s="6" t="s">
        <v>10</v>
      </c>
      <c r="D8" s="6" t="s">
        <v>14</v>
      </c>
      <c r="E8" s="6" t="s">
        <v>15</v>
      </c>
      <c r="F8" s="7">
        <v>1500</v>
      </c>
      <c r="G8" s="20">
        <v>1000</v>
      </c>
      <c r="H8" s="20"/>
      <c r="I8" s="20"/>
      <c r="J8" s="20"/>
      <c r="K8" s="20">
        <v>1000</v>
      </c>
      <c r="L8" s="20"/>
      <c r="M8" s="20"/>
      <c r="N8" s="20"/>
      <c r="O8" s="20"/>
      <c r="P8" s="20"/>
      <c r="Q8" s="20"/>
      <c r="R8" s="20"/>
      <c r="S8" s="18">
        <f t="shared" si="0"/>
        <v>-500</v>
      </c>
      <c r="T8" s="11">
        <f t="shared" si="1"/>
        <v>2000</v>
      </c>
    </row>
    <row r="9" spans="1:20">
      <c r="A9" s="6">
        <v>6</v>
      </c>
      <c r="B9" s="6" t="s">
        <v>16</v>
      </c>
      <c r="C9" s="6" t="s">
        <v>10</v>
      </c>
      <c r="D9" s="6" t="s">
        <v>14</v>
      </c>
      <c r="E9" s="6" t="s">
        <v>17</v>
      </c>
      <c r="F9" s="7">
        <v>1500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18">
        <f t="shared" si="0"/>
        <v>1500</v>
      </c>
      <c r="T9" s="11">
        <f t="shared" si="1"/>
        <v>0</v>
      </c>
    </row>
    <row r="10" spans="1:20">
      <c r="A10" s="6">
        <v>7</v>
      </c>
      <c r="B10" s="14" t="s">
        <v>18</v>
      </c>
      <c r="C10" s="6" t="s">
        <v>10</v>
      </c>
      <c r="D10" s="6"/>
      <c r="E10" s="6"/>
      <c r="F10" s="7">
        <v>1500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18">
        <f t="shared" si="0"/>
        <v>1500</v>
      </c>
      <c r="T10" s="11">
        <f t="shared" si="1"/>
        <v>0</v>
      </c>
    </row>
    <row r="11" spans="1:20" s="3" customFormat="1">
      <c r="A11" s="8">
        <v>8</v>
      </c>
      <c r="B11" s="8" t="s">
        <v>19</v>
      </c>
      <c r="C11" s="8" t="s">
        <v>20</v>
      </c>
      <c r="D11" s="8" t="s">
        <v>21</v>
      </c>
      <c r="E11" s="8" t="s">
        <v>22</v>
      </c>
      <c r="F11" s="12">
        <v>700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8">
        <f t="shared" si="0"/>
        <v>700</v>
      </c>
      <c r="T11" s="11">
        <f t="shared" si="1"/>
        <v>0</v>
      </c>
    </row>
    <row r="12" spans="1:20" s="3" customFormat="1">
      <c r="A12" s="8">
        <v>9</v>
      </c>
      <c r="B12" s="8" t="s">
        <v>23</v>
      </c>
      <c r="C12" s="8" t="s">
        <v>24</v>
      </c>
      <c r="D12" s="8" t="s">
        <v>25</v>
      </c>
      <c r="E12" s="8" t="s">
        <v>26</v>
      </c>
      <c r="F12" s="12">
        <v>1500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8">
        <f t="shared" si="0"/>
        <v>1500</v>
      </c>
      <c r="T12" s="11">
        <f t="shared" si="1"/>
        <v>0</v>
      </c>
    </row>
    <row r="13" spans="1:20">
      <c r="A13" s="6">
        <v>10</v>
      </c>
      <c r="B13" s="277" t="s">
        <v>27</v>
      </c>
      <c r="C13" s="6" t="s">
        <v>28</v>
      </c>
      <c r="D13" s="6" t="s">
        <v>29</v>
      </c>
      <c r="E13" s="6" t="s">
        <v>30</v>
      </c>
      <c r="F13" s="7">
        <v>1500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18">
        <f t="shared" si="0"/>
        <v>1500</v>
      </c>
      <c r="T13" s="11">
        <f t="shared" si="1"/>
        <v>0</v>
      </c>
    </row>
    <row r="14" spans="1:20">
      <c r="A14" s="6">
        <v>11</v>
      </c>
      <c r="B14" s="277"/>
      <c r="C14" s="6" t="s">
        <v>34</v>
      </c>
      <c r="D14" s="6" t="s">
        <v>35</v>
      </c>
      <c r="E14" s="6"/>
      <c r="F14" s="7">
        <v>500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18">
        <f t="shared" si="0"/>
        <v>500</v>
      </c>
      <c r="T14" s="11">
        <f t="shared" si="1"/>
        <v>0</v>
      </c>
    </row>
    <row r="15" spans="1:20">
      <c r="A15" s="6">
        <v>12</v>
      </c>
      <c r="B15" s="6" t="s">
        <v>31</v>
      </c>
      <c r="C15" s="6" t="s">
        <v>28</v>
      </c>
      <c r="D15" s="6" t="s">
        <v>33</v>
      </c>
      <c r="E15" s="6" t="s">
        <v>32</v>
      </c>
      <c r="F15" s="7">
        <v>1500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18">
        <f t="shared" si="0"/>
        <v>1500</v>
      </c>
      <c r="T15" s="11">
        <f t="shared" si="1"/>
        <v>0</v>
      </c>
    </row>
    <row r="16" spans="1:20" s="3" customFormat="1">
      <c r="A16" s="8">
        <v>13</v>
      </c>
      <c r="B16" s="8" t="s">
        <v>36</v>
      </c>
      <c r="C16" s="8" t="s">
        <v>37</v>
      </c>
      <c r="D16" s="8" t="s">
        <v>39</v>
      </c>
      <c r="E16" s="8" t="s">
        <v>38</v>
      </c>
      <c r="F16" s="12">
        <v>2500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8">
        <f t="shared" si="0"/>
        <v>2500</v>
      </c>
      <c r="T16" s="11">
        <f t="shared" si="1"/>
        <v>0</v>
      </c>
    </row>
    <row r="17" spans="1:20" s="3" customFormat="1">
      <c r="A17" s="8">
        <v>14</v>
      </c>
      <c r="B17" s="8" t="s">
        <v>40</v>
      </c>
      <c r="C17" s="8" t="s">
        <v>37</v>
      </c>
      <c r="D17" s="8" t="s">
        <v>42</v>
      </c>
      <c r="E17" s="8" t="s">
        <v>41</v>
      </c>
      <c r="F17" s="12">
        <v>2500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8">
        <f t="shared" si="0"/>
        <v>2500</v>
      </c>
      <c r="T17" s="11">
        <f t="shared" si="1"/>
        <v>0</v>
      </c>
    </row>
    <row r="18" spans="1:20" s="3" customFormat="1">
      <c r="A18" s="8">
        <v>15</v>
      </c>
      <c r="B18" s="8" t="s">
        <v>43</v>
      </c>
      <c r="C18" s="8" t="s">
        <v>37</v>
      </c>
      <c r="D18" s="8" t="s">
        <v>33</v>
      </c>
      <c r="E18" s="8" t="s">
        <v>44</v>
      </c>
      <c r="F18" s="12">
        <v>4000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8">
        <f t="shared" si="0"/>
        <v>4000</v>
      </c>
      <c r="T18" s="11">
        <f t="shared" si="1"/>
        <v>0</v>
      </c>
    </row>
    <row r="19" spans="1:20">
      <c r="A19" s="6">
        <v>16</v>
      </c>
      <c r="B19" s="277" t="s">
        <v>45</v>
      </c>
      <c r="C19" s="277" t="s">
        <v>46</v>
      </c>
      <c r="D19" s="6" t="s">
        <v>39</v>
      </c>
      <c r="E19" s="6" t="s">
        <v>47</v>
      </c>
      <c r="F19" s="7">
        <v>2500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18">
        <f t="shared" si="0"/>
        <v>2500</v>
      </c>
      <c r="T19" s="11">
        <f t="shared" si="1"/>
        <v>0</v>
      </c>
    </row>
    <row r="20" spans="1:20">
      <c r="A20" s="6">
        <v>17</v>
      </c>
      <c r="B20" s="277"/>
      <c r="C20" s="277"/>
      <c r="D20" s="6" t="s">
        <v>54</v>
      </c>
      <c r="E20" s="6"/>
      <c r="F20" s="435">
        <v>1000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432">
        <f t="shared" si="0"/>
        <v>1000</v>
      </c>
      <c r="T20" s="11">
        <f t="shared" si="1"/>
        <v>0</v>
      </c>
    </row>
    <row r="21" spans="1:20">
      <c r="A21" s="6">
        <v>18</v>
      </c>
      <c r="B21" s="277"/>
      <c r="C21" s="277"/>
      <c r="D21" s="6" t="s">
        <v>55</v>
      </c>
      <c r="E21" s="6"/>
      <c r="F21" s="435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433"/>
      <c r="T21" s="11">
        <f t="shared" si="1"/>
        <v>0</v>
      </c>
    </row>
    <row r="22" spans="1:20">
      <c r="A22" s="6">
        <v>19</v>
      </c>
      <c r="B22" s="277"/>
      <c r="C22" s="277"/>
      <c r="D22" s="6" t="s">
        <v>56</v>
      </c>
      <c r="E22" s="6"/>
      <c r="F22" s="435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434"/>
      <c r="T22" s="11">
        <f t="shared" si="1"/>
        <v>0</v>
      </c>
    </row>
    <row r="23" spans="1:20">
      <c r="A23" s="6">
        <v>20</v>
      </c>
      <c r="B23" s="6" t="s">
        <v>48</v>
      </c>
      <c r="C23" s="6" t="s">
        <v>46</v>
      </c>
      <c r="D23" s="6" t="s">
        <v>39</v>
      </c>
      <c r="E23" s="6" t="s">
        <v>49</v>
      </c>
      <c r="F23" s="7">
        <v>1500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18">
        <f t="shared" ref="S23:S34" si="2">F23-(G23+I23+K23+M23+O23+R23)</f>
        <v>1500</v>
      </c>
      <c r="T23" s="11">
        <f t="shared" si="1"/>
        <v>0</v>
      </c>
    </row>
    <row r="24" spans="1:20">
      <c r="A24" s="6">
        <v>21</v>
      </c>
      <c r="B24" s="6" t="s">
        <v>50</v>
      </c>
      <c r="C24" s="6" t="s">
        <v>46</v>
      </c>
      <c r="D24" s="6" t="s">
        <v>33</v>
      </c>
      <c r="E24" s="6" t="s">
        <v>51</v>
      </c>
      <c r="F24" s="7">
        <v>3000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18">
        <f t="shared" si="2"/>
        <v>3000</v>
      </c>
      <c r="T24" s="11">
        <f t="shared" si="1"/>
        <v>0</v>
      </c>
    </row>
    <row r="25" spans="1:20">
      <c r="A25" s="6">
        <v>22</v>
      </c>
      <c r="B25" s="6" t="s">
        <v>52</v>
      </c>
      <c r="C25" s="6" t="s">
        <v>46</v>
      </c>
      <c r="D25" s="6" t="s">
        <v>42</v>
      </c>
      <c r="E25" s="6" t="s">
        <v>53</v>
      </c>
      <c r="F25" s="7">
        <v>2500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18">
        <f t="shared" si="2"/>
        <v>2500</v>
      </c>
      <c r="T25" s="11">
        <f t="shared" si="1"/>
        <v>0</v>
      </c>
    </row>
    <row r="26" spans="1:20" s="3" customFormat="1">
      <c r="A26" s="8">
        <v>23</v>
      </c>
      <c r="B26" s="8" t="s">
        <v>66</v>
      </c>
      <c r="C26" s="339" t="s">
        <v>58</v>
      </c>
      <c r="D26" s="8" t="s">
        <v>59</v>
      </c>
      <c r="E26" s="8" t="s">
        <v>60</v>
      </c>
      <c r="F26" s="12">
        <v>2500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8">
        <f t="shared" si="2"/>
        <v>2500</v>
      </c>
      <c r="T26" s="11">
        <f t="shared" si="1"/>
        <v>0</v>
      </c>
    </row>
    <row r="27" spans="1:20" s="3" customFormat="1">
      <c r="A27" s="8">
        <v>24</v>
      </c>
      <c r="B27" s="8" t="s">
        <v>57</v>
      </c>
      <c r="C27" s="339"/>
      <c r="D27" s="8" t="s">
        <v>35</v>
      </c>
      <c r="E27" s="8"/>
      <c r="F27" s="12">
        <v>500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8">
        <f t="shared" si="2"/>
        <v>500</v>
      </c>
      <c r="T27" s="11">
        <f t="shared" si="1"/>
        <v>0</v>
      </c>
    </row>
    <row r="28" spans="1:20">
      <c r="A28" s="6">
        <v>25</v>
      </c>
      <c r="B28" s="6" t="s">
        <v>61</v>
      </c>
      <c r="C28" s="6" t="s">
        <v>62</v>
      </c>
      <c r="D28" s="6" t="s">
        <v>11</v>
      </c>
      <c r="E28" s="6" t="s">
        <v>63</v>
      </c>
      <c r="F28" s="7">
        <v>2500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18">
        <f t="shared" si="2"/>
        <v>2500</v>
      </c>
      <c r="T28" s="11">
        <f t="shared" si="1"/>
        <v>0</v>
      </c>
    </row>
    <row r="29" spans="1:20">
      <c r="A29" s="6">
        <v>26</v>
      </c>
      <c r="B29" s="277" t="s">
        <v>64</v>
      </c>
      <c r="C29" s="277" t="s">
        <v>62</v>
      </c>
      <c r="D29" s="6" t="s">
        <v>65</v>
      </c>
      <c r="E29" s="6" t="s">
        <v>67</v>
      </c>
      <c r="F29" s="7">
        <v>1000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18">
        <f t="shared" si="2"/>
        <v>1000</v>
      </c>
      <c r="T29" s="11">
        <f t="shared" si="1"/>
        <v>0</v>
      </c>
    </row>
    <row r="30" spans="1:20">
      <c r="A30" s="6">
        <v>27</v>
      </c>
      <c r="B30" s="277"/>
      <c r="C30" s="277"/>
      <c r="D30" s="6" t="s">
        <v>68</v>
      </c>
      <c r="E30" s="6"/>
      <c r="F30" s="7">
        <v>500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18">
        <f t="shared" si="2"/>
        <v>500</v>
      </c>
      <c r="T30" s="11">
        <f t="shared" si="1"/>
        <v>0</v>
      </c>
    </row>
    <row r="31" spans="1:20">
      <c r="A31" s="6">
        <v>28</v>
      </c>
      <c r="B31" s="277"/>
      <c r="C31" s="277"/>
      <c r="D31" s="6" t="s">
        <v>68</v>
      </c>
      <c r="E31" s="6"/>
      <c r="F31" s="7">
        <v>500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18">
        <f t="shared" si="2"/>
        <v>500</v>
      </c>
      <c r="T31" s="11">
        <f t="shared" si="1"/>
        <v>0</v>
      </c>
    </row>
    <row r="32" spans="1:20">
      <c r="A32" s="6">
        <v>29</v>
      </c>
      <c r="B32" s="277" t="s">
        <v>69</v>
      </c>
      <c r="C32" s="6"/>
      <c r="D32" s="6"/>
      <c r="E32" s="6" t="s">
        <v>70</v>
      </c>
      <c r="F32" s="7">
        <v>800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18">
        <f t="shared" si="2"/>
        <v>800</v>
      </c>
      <c r="T32" s="11">
        <f t="shared" si="1"/>
        <v>0</v>
      </c>
    </row>
    <row r="33" spans="1:20">
      <c r="A33" s="6">
        <v>30</v>
      </c>
      <c r="B33" s="277"/>
      <c r="C33" s="6"/>
      <c r="D33" s="6" t="s">
        <v>35</v>
      </c>
      <c r="E33" s="6"/>
      <c r="F33" s="7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18">
        <f t="shared" si="2"/>
        <v>0</v>
      </c>
      <c r="T33" s="11">
        <f t="shared" si="1"/>
        <v>0</v>
      </c>
    </row>
    <row r="34" spans="1:20">
      <c r="A34" s="6">
        <v>31</v>
      </c>
      <c r="B34" s="6" t="s">
        <v>71</v>
      </c>
      <c r="C34" s="6"/>
      <c r="D34" s="6" t="s">
        <v>73</v>
      </c>
      <c r="E34" s="6" t="s">
        <v>72</v>
      </c>
      <c r="F34" s="7">
        <v>3000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18">
        <f t="shared" si="2"/>
        <v>3000</v>
      </c>
      <c r="T34" s="11">
        <f t="shared" si="1"/>
        <v>0</v>
      </c>
    </row>
    <row r="35" spans="1:20">
      <c r="F35" s="2">
        <f>SUM(F4:F34)</f>
        <v>45700</v>
      </c>
    </row>
    <row r="38" spans="1:20" ht="24.6">
      <c r="A38" s="343" t="s">
        <v>90</v>
      </c>
      <c r="B38" s="343"/>
      <c r="C38" s="343"/>
      <c r="D38" s="343"/>
      <c r="E38" s="343"/>
      <c r="F38" s="343"/>
    </row>
    <row r="39" spans="1:20">
      <c r="A39" s="436" t="s">
        <v>0</v>
      </c>
      <c r="B39" s="436"/>
      <c r="C39" s="4" t="s">
        <v>2</v>
      </c>
      <c r="D39" s="4" t="s">
        <v>8</v>
      </c>
      <c r="E39" s="4" t="s">
        <v>1</v>
      </c>
      <c r="F39" s="5" t="s">
        <v>3</v>
      </c>
    </row>
    <row r="40" spans="1:20">
      <c r="A40" s="6">
        <v>1</v>
      </c>
      <c r="B40" s="6" t="s">
        <v>75</v>
      </c>
      <c r="C40" s="6" t="s">
        <v>77</v>
      </c>
      <c r="D40" s="6" t="s">
        <v>76</v>
      </c>
      <c r="E40" s="6" t="s">
        <v>78</v>
      </c>
      <c r="F40" s="7">
        <v>2500</v>
      </c>
    </row>
    <row r="41" spans="1:20">
      <c r="A41" s="6">
        <v>2</v>
      </c>
      <c r="B41" s="6" t="s">
        <v>79</v>
      </c>
      <c r="C41" s="6" t="s">
        <v>77</v>
      </c>
      <c r="D41" s="6" t="s">
        <v>73</v>
      </c>
      <c r="E41" s="6" t="s">
        <v>74</v>
      </c>
      <c r="F41" s="7">
        <v>1500</v>
      </c>
    </row>
    <row r="42" spans="1:20">
      <c r="A42" s="6">
        <v>3</v>
      </c>
      <c r="B42" s="6" t="s">
        <v>80</v>
      </c>
      <c r="C42" s="6" t="s">
        <v>77</v>
      </c>
      <c r="D42" s="6" t="s">
        <v>81</v>
      </c>
      <c r="E42" s="6" t="s">
        <v>6</v>
      </c>
      <c r="F42" s="7">
        <v>2000</v>
      </c>
    </row>
    <row r="43" spans="1:20">
      <c r="A43" s="6">
        <v>4</v>
      </c>
      <c r="B43" s="6" t="s">
        <v>82</v>
      </c>
      <c r="C43" s="6" t="s">
        <v>83</v>
      </c>
      <c r="D43" s="6" t="s">
        <v>73</v>
      </c>
      <c r="E43" s="6" t="s">
        <v>84</v>
      </c>
      <c r="F43" s="7">
        <v>1500</v>
      </c>
    </row>
    <row r="44" spans="1:20">
      <c r="A44" s="6">
        <v>5</v>
      </c>
      <c r="B44" s="6" t="s">
        <v>85</v>
      </c>
      <c r="C44" s="6" t="s">
        <v>83</v>
      </c>
      <c r="D44" s="6" t="s">
        <v>73</v>
      </c>
      <c r="E44" s="6" t="s">
        <v>86</v>
      </c>
      <c r="F44" s="7">
        <v>1500</v>
      </c>
    </row>
    <row r="45" spans="1:20">
      <c r="A45" s="6">
        <v>6</v>
      </c>
      <c r="B45" s="6" t="s">
        <v>87</v>
      </c>
      <c r="C45" s="6" t="s">
        <v>88</v>
      </c>
      <c r="D45" s="6" t="s">
        <v>81</v>
      </c>
      <c r="E45" s="6" t="s">
        <v>89</v>
      </c>
      <c r="F45" s="7">
        <v>2000</v>
      </c>
    </row>
    <row r="46" spans="1:20">
      <c r="A46" s="431"/>
      <c r="B46" s="431"/>
      <c r="C46" s="431"/>
      <c r="D46" s="431"/>
      <c r="E46" s="431"/>
      <c r="F46" s="2">
        <f>SUM(F40:F45)</f>
        <v>11000</v>
      </c>
    </row>
  </sheetData>
  <mergeCells count="24">
    <mergeCell ref="B29:B31"/>
    <mergeCell ref="A39:B39"/>
    <mergeCell ref="A38:F38"/>
    <mergeCell ref="B6:B7"/>
    <mergeCell ref="K2:L2"/>
    <mergeCell ref="M2:N2"/>
    <mergeCell ref="B13:B14"/>
    <mergeCell ref="B19:B22"/>
    <mergeCell ref="O2:P2"/>
    <mergeCell ref="Q2:R2"/>
    <mergeCell ref="A2:B2"/>
    <mergeCell ref="A46:E46"/>
    <mergeCell ref="A1:T1"/>
    <mergeCell ref="S20:S22"/>
    <mergeCell ref="G2:H2"/>
    <mergeCell ref="I2:J2"/>
    <mergeCell ref="B32:B33"/>
    <mergeCell ref="F20:F22"/>
    <mergeCell ref="C19:C22"/>
    <mergeCell ref="C6:C7"/>
    <mergeCell ref="C26:C27"/>
    <mergeCell ref="C29:C31"/>
    <mergeCell ref="B4:B5"/>
    <mergeCell ref="C4:C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F31C1-F4F0-42F3-968A-C025EE683DEA}">
  <sheetPr>
    <pageSetUpPr fitToPage="1"/>
  </sheetPr>
  <dimension ref="F2:X42"/>
  <sheetViews>
    <sheetView topLeftCell="M36" zoomScale="65" workbookViewId="0">
      <selection activeCell="X44" sqref="X44:AC96"/>
    </sheetView>
  </sheetViews>
  <sheetFormatPr baseColWidth="10" defaultRowHeight="14.4"/>
  <cols>
    <col min="6" max="6" width="16.21875" customWidth="1"/>
    <col min="9" max="9" width="18.21875" customWidth="1"/>
    <col min="11" max="11" width="14.44140625" customWidth="1"/>
    <col min="12" max="12" width="19.44140625" customWidth="1"/>
    <col min="21" max="21" width="15.6640625" customWidth="1"/>
    <col min="25" max="25" width="21" customWidth="1"/>
    <col min="26" max="26" width="18.21875" customWidth="1"/>
    <col min="27" max="27" width="19.44140625" customWidth="1"/>
    <col min="28" max="28" width="13.77734375" customWidth="1"/>
  </cols>
  <sheetData>
    <row r="2" spans="6:12">
      <c r="F2" s="443" t="s">
        <v>363</v>
      </c>
      <c r="G2" s="443"/>
      <c r="H2" s="443"/>
      <c r="I2" s="443"/>
      <c r="J2" s="443"/>
      <c r="K2" s="443"/>
      <c r="L2" s="443"/>
    </row>
    <row r="3" spans="6:12" ht="28.8">
      <c r="F3" s="141" t="s">
        <v>296</v>
      </c>
      <c r="G3" s="141" t="s">
        <v>349</v>
      </c>
      <c r="H3" s="141" t="s">
        <v>366</v>
      </c>
      <c r="I3" s="162" t="s">
        <v>364</v>
      </c>
      <c r="J3" s="181" t="s">
        <v>368</v>
      </c>
      <c r="K3" s="141" t="s">
        <v>369</v>
      </c>
      <c r="L3" s="98" t="s">
        <v>370</v>
      </c>
    </row>
    <row r="4" spans="6:12" ht="28.8">
      <c r="F4" s="257" t="s">
        <v>309</v>
      </c>
      <c r="G4" s="50" t="s">
        <v>352</v>
      </c>
      <c r="H4" s="257">
        <v>400</v>
      </c>
      <c r="I4" s="444">
        <f>H4*7</f>
        <v>2800</v>
      </c>
      <c r="J4" s="50">
        <v>1163.2660000000001</v>
      </c>
      <c r="K4" s="257">
        <f>J4+J5+J6</f>
        <v>1753.2660000000001</v>
      </c>
      <c r="L4" s="257">
        <f>I4-K4</f>
        <v>1046.7339999999999</v>
      </c>
    </row>
    <row r="5" spans="6:12" ht="28.8">
      <c r="F5" s="257"/>
      <c r="G5" s="50" t="s">
        <v>353</v>
      </c>
      <c r="H5" s="257"/>
      <c r="I5" s="444"/>
      <c r="J5" s="50">
        <v>590</v>
      </c>
      <c r="K5" s="257"/>
      <c r="L5" s="257"/>
    </row>
    <row r="6" spans="6:12" ht="28.8">
      <c r="F6" s="257"/>
      <c r="G6" s="50" t="s">
        <v>354</v>
      </c>
      <c r="H6" s="257"/>
      <c r="I6" s="444"/>
      <c r="J6" s="50"/>
      <c r="K6" s="257"/>
      <c r="L6" s="257"/>
    </row>
    <row r="7" spans="6:12" ht="28.8">
      <c r="F7" s="257" t="s">
        <v>124</v>
      </c>
      <c r="G7" s="50" t="s">
        <v>355</v>
      </c>
      <c r="H7" s="257">
        <v>550</v>
      </c>
      <c r="I7" s="444">
        <f>H7*7</f>
        <v>3850</v>
      </c>
      <c r="J7" s="50">
        <v>553</v>
      </c>
      <c r="K7" s="257">
        <f>J7+J8</f>
        <v>753</v>
      </c>
      <c r="L7" s="257">
        <f>I7-K7</f>
        <v>3097</v>
      </c>
    </row>
    <row r="8" spans="6:12" ht="28.8">
      <c r="F8" s="257"/>
      <c r="G8" s="50" t="s">
        <v>354</v>
      </c>
      <c r="H8" s="257"/>
      <c r="I8" s="444"/>
      <c r="J8" s="50">
        <v>200</v>
      </c>
      <c r="K8" s="257"/>
      <c r="L8" s="257"/>
    </row>
    <row r="9" spans="6:12">
      <c r="F9" s="257" t="s">
        <v>27</v>
      </c>
      <c r="G9" s="50" t="s">
        <v>202</v>
      </c>
      <c r="H9" s="257">
        <v>500</v>
      </c>
      <c r="I9" s="444">
        <f>500*7</f>
        <v>3500</v>
      </c>
      <c r="J9" s="50">
        <v>420</v>
      </c>
      <c r="K9" s="257">
        <f>J9+J10+J11</f>
        <v>4349.49</v>
      </c>
      <c r="L9" s="445">
        <f>I9-K9</f>
        <v>-849.48999999999978</v>
      </c>
    </row>
    <row r="10" spans="6:12">
      <c r="F10" s="257"/>
      <c r="G10" s="50" t="s">
        <v>356</v>
      </c>
      <c r="H10" s="257"/>
      <c r="I10" s="444"/>
      <c r="J10" s="50">
        <v>1774.49</v>
      </c>
      <c r="K10" s="257"/>
      <c r="L10" s="445"/>
    </row>
    <row r="11" spans="6:12">
      <c r="F11" s="257"/>
      <c r="G11" s="50" t="s">
        <v>357</v>
      </c>
      <c r="H11" s="257"/>
      <c r="I11" s="444"/>
      <c r="J11" s="50">
        <v>2155</v>
      </c>
      <c r="K11" s="257"/>
      <c r="L11" s="445"/>
    </row>
    <row r="12" spans="6:12" ht="43.2">
      <c r="F12" s="50" t="s">
        <v>150</v>
      </c>
      <c r="G12" s="50" t="s">
        <v>358</v>
      </c>
      <c r="H12" s="50">
        <v>400</v>
      </c>
      <c r="I12" s="183">
        <f>400*7</f>
        <v>2800</v>
      </c>
      <c r="J12" s="50">
        <v>2078</v>
      </c>
      <c r="K12" s="50">
        <f>J12</f>
        <v>2078</v>
      </c>
      <c r="L12" s="50">
        <f>I12-K12</f>
        <v>722</v>
      </c>
    </row>
    <row r="13" spans="6:12" ht="28.8">
      <c r="F13" s="50" t="s">
        <v>359</v>
      </c>
      <c r="G13" s="50" t="s">
        <v>360</v>
      </c>
      <c r="H13" s="50">
        <v>400</v>
      </c>
      <c r="I13" s="183">
        <f>400*7</f>
        <v>2800</v>
      </c>
      <c r="J13" s="50">
        <v>2657</v>
      </c>
      <c r="K13" s="50">
        <f>J13</f>
        <v>2657</v>
      </c>
      <c r="L13" s="50">
        <f>I13-K13</f>
        <v>143</v>
      </c>
    </row>
    <row r="14" spans="6:12" ht="28.8">
      <c r="F14" s="50" t="s">
        <v>361</v>
      </c>
      <c r="G14" s="50" t="s">
        <v>197</v>
      </c>
      <c r="H14" s="50"/>
      <c r="I14" s="160"/>
      <c r="J14" s="50">
        <v>339</v>
      </c>
      <c r="K14" s="50">
        <f>J14</f>
        <v>339</v>
      </c>
      <c r="L14" s="50"/>
    </row>
    <row r="15" spans="6:12">
      <c r="F15" s="50"/>
      <c r="G15" s="50" t="s">
        <v>362</v>
      </c>
      <c r="H15" s="50"/>
      <c r="I15" s="160"/>
      <c r="J15" s="50">
        <v>30</v>
      </c>
      <c r="K15" s="50">
        <v>30</v>
      </c>
      <c r="L15" s="50"/>
    </row>
    <row r="16" spans="6:12" ht="28.8">
      <c r="F16" s="50"/>
      <c r="G16" s="50" t="s">
        <v>252</v>
      </c>
      <c r="H16" s="50"/>
      <c r="I16" s="160"/>
      <c r="J16" s="50"/>
      <c r="K16" s="50"/>
      <c r="L16" s="50"/>
    </row>
    <row r="17" spans="6:24">
      <c r="F17" s="50"/>
      <c r="G17" s="50"/>
      <c r="H17" s="50"/>
      <c r="I17" s="160"/>
      <c r="J17" s="91"/>
      <c r="K17" s="91"/>
      <c r="L17" s="91"/>
    </row>
    <row r="18" spans="6:24">
      <c r="F18" s="446" t="s">
        <v>365</v>
      </c>
      <c r="G18" s="446"/>
      <c r="H18" s="50"/>
      <c r="I18" s="185">
        <f>SUM(I4:I17)</f>
        <v>15750</v>
      </c>
      <c r="J18" s="186">
        <f>SUM(J4:J17)</f>
        <v>11959.756000000001</v>
      </c>
      <c r="K18" s="187">
        <f>SUM(K4:K16)</f>
        <v>11959.755999999999</v>
      </c>
      <c r="L18" s="91"/>
    </row>
    <row r="26" spans="6:24" ht="24.6">
      <c r="F26" s="343" t="s">
        <v>146</v>
      </c>
      <c r="G26" s="325"/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325"/>
      <c r="S26" s="325"/>
      <c r="T26" s="325"/>
      <c r="U26" s="325"/>
      <c r="V26" s="57"/>
      <c r="W26" s="57"/>
      <c r="X26" s="57"/>
    </row>
    <row r="27" spans="6:24">
      <c r="F27" s="261" t="s">
        <v>0</v>
      </c>
      <c r="G27" s="261"/>
      <c r="H27" s="261" t="s">
        <v>2</v>
      </c>
      <c r="I27" s="261" t="s">
        <v>8</v>
      </c>
      <c r="J27" s="261" t="s">
        <v>122</v>
      </c>
      <c r="K27" s="262" t="s">
        <v>91</v>
      </c>
      <c r="L27" s="31">
        <v>46195</v>
      </c>
      <c r="M27" s="31">
        <v>46196</v>
      </c>
      <c r="N27" s="31">
        <v>46197</v>
      </c>
      <c r="O27" s="31">
        <v>46198</v>
      </c>
      <c r="P27" s="31">
        <v>46199</v>
      </c>
      <c r="Q27" s="31">
        <v>46200</v>
      </c>
      <c r="R27" s="31">
        <v>46201</v>
      </c>
      <c r="S27" s="364" t="s">
        <v>137</v>
      </c>
      <c r="T27" s="364" t="s">
        <v>136</v>
      </c>
      <c r="U27" s="317" t="s">
        <v>102</v>
      </c>
    </row>
    <row r="28" spans="6:24">
      <c r="F28" s="261"/>
      <c r="G28" s="261"/>
      <c r="H28" s="261"/>
      <c r="I28" s="261"/>
      <c r="J28" s="261"/>
      <c r="K28" s="262"/>
      <c r="L28" s="17"/>
      <c r="M28" s="17"/>
      <c r="N28" s="17"/>
      <c r="O28" s="17"/>
      <c r="P28" s="17"/>
      <c r="Q28" s="17"/>
      <c r="R28" s="17"/>
      <c r="S28" s="364"/>
      <c r="T28" s="364"/>
      <c r="U28" s="317"/>
    </row>
    <row r="29" spans="6:24">
      <c r="F29" s="261" t="s">
        <v>371</v>
      </c>
      <c r="G29" s="261"/>
      <c r="H29" s="261"/>
      <c r="I29" s="261"/>
      <c r="J29" s="261"/>
      <c r="K29" s="261"/>
      <c r="L29" s="17" t="s">
        <v>372</v>
      </c>
      <c r="M29" s="17" t="s">
        <v>373</v>
      </c>
      <c r="N29" s="17"/>
      <c r="O29" s="17"/>
      <c r="P29" s="17"/>
      <c r="Q29" s="17"/>
      <c r="R29" s="17"/>
      <c r="S29" s="52"/>
      <c r="T29" s="52"/>
      <c r="U29" s="17"/>
    </row>
    <row r="30" spans="6:24" ht="27.6">
      <c r="F30" s="277">
        <v>1</v>
      </c>
      <c r="G30" s="257" t="s">
        <v>124</v>
      </c>
      <c r="H30" s="257" t="s">
        <v>125</v>
      </c>
      <c r="I30" s="51" t="s">
        <v>126</v>
      </c>
      <c r="J30" s="6"/>
      <c r="K30" s="48"/>
      <c r="L30" s="6"/>
      <c r="M30" s="6"/>
      <c r="N30" s="6"/>
      <c r="O30" s="6"/>
      <c r="P30" s="6"/>
      <c r="Q30" s="6"/>
      <c r="R30" s="6"/>
      <c r="S30" s="6">
        <f t="shared" ref="S30:S40" si="0">SUM(L30:R30)</f>
        <v>0</v>
      </c>
      <c r="T30" s="20">
        <v>27</v>
      </c>
      <c r="U30" s="24">
        <f>S30*T30</f>
        <v>0</v>
      </c>
    </row>
    <row r="31" spans="6:24" ht="27.6">
      <c r="F31" s="277"/>
      <c r="G31" s="257"/>
      <c r="H31" s="257"/>
      <c r="I31" s="51" t="s">
        <v>127</v>
      </c>
      <c r="J31" s="6"/>
      <c r="K31" s="48"/>
      <c r="L31" s="6"/>
      <c r="M31" s="6"/>
      <c r="N31" s="6"/>
      <c r="O31" s="6"/>
      <c r="P31" s="6"/>
      <c r="Q31" s="6"/>
      <c r="R31" s="6"/>
      <c r="S31" s="6">
        <f t="shared" si="0"/>
        <v>0</v>
      </c>
      <c r="T31" s="20">
        <v>27</v>
      </c>
      <c r="U31" s="24">
        <f t="shared" ref="U31:U40" si="1">S31*T31</f>
        <v>0</v>
      </c>
    </row>
    <row r="32" spans="6:24" ht="69">
      <c r="F32" s="277"/>
      <c r="G32" s="257"/>
      <c r="H32" s="257"/>
      <c r="I32" s="51" t="s">
        <v>128</v>
      </c>
      <c r="J32" s="6"/>
      <c r="K32" s="48"/>
      <c r="L32" s="6">
        <v>100</v>
      </c>
      <c r="M32" s="6"/>
      <c r="N32" s="6"/>
      <c r="O32" s="6"/>
      <c r="P32" s="6"/>
      <c r="Q32" s="6"/>
      <c r="R32" s="6"/>
      <c r="S32" s="6">
        <f t="shared" si="0"/>
        <v>100</v>
      </c>
      <c r="T32" s="20">
        <v>27</v>
      </c>
      <c r="U32" s="24">
        <f t="shared" si="1"/>
        <v>2700</v>
      </c>
    </row>
    <row r="33" spans="6:21" ht="41.4">
      <c r="F33" s="277"/>
      <c r="G33" s="257"/>
      <c r="H33" s="257"/>
      <c r="I33" s="51" t="s">
        <v>129</v>
      </c>
      <c r="J33" s="6"/>
      <c r="K33" s="48"/>
      <c r="L33" s="6">
        <v>50</v>
      </c>
      <c r="M33" s="6"/>
      <c r="N33" s="6"/>
      <c r="O33" s="6"/>
      <c r="P33" s="6"/>
      <c r="Q33" s="6"/>
      <c r="R33" s="6"/>
      <c r="S33" s="6">
        <f t="shared" si="0"/>
        <v>50</v>
      </c>
      <c r="T33" s="20">
        <v>27</v>
      </c>
      <c r="U33" s="24">
        <f t="shared" si="1"/>
        <v>1350</v>
      </c>
    </row>
    <row r="34" spans="6:21" ht="41.4">
      <c r="F34" s="277"/>
      <c r="G34" s="257"/>
      <c r="H34" s="257"/>
      <c r="I34" s="51" t="s">
        <v>130</v>
      </c>
      <c r="J34" s="6"/>
      <c r="K34" s="48"/>
      <c r="L34" s="6"/>
      <c r="M34" s="6"/>
      <c r="N34" s="6"/>
      <c r="O34" s="6"/>
      <c r="P34" s="6"/>
      <c r="Q34" s="6"/>
      <c r="R34" s="6"/>
      <c r="S34" s="6">
        <f t="shared" si="0"/>
        <v>0</v>
      </c>
      <c r="T34" s="20">
        <v>27</v>
      </c>
      <c r="U34" s="24">
        <f t="shared" si="1"/>
        <v>0</v>
      </c>
    </row>
    <row r="35" spans="6:21" ht="41.4">
      <c r="F35" s="277"/>
      <c r="G35" s="257"/>
      <c r="H35" s="257"/>
      <c r="I35" s="51" t="s">
        <v>131</v>
      </c>
      <c r="J35" s="6"/>
      <c r="K35" s="48"/>
      <c r="L35" s="6"/>
      <c r="M35" s="6"/>
      <c r="N35" s="6"/>
      <c r="O35" s="6"/>
      <c r="P35" s="6"/>
      <c r="Q35" s="6"/>
      <c r="R35" s="6"/>
      <c r="S35" s="6">
        <f t="shared" si="0"/>
        <v>0</v>
      </c>
      <c r="T35" s="20">
        <v>27</v>
      </c>
      <c r="U35" s="24">
        <f t="shared" si="1"/>
        <v>0</v>
      </c>
    </row>
    <row r="36" spans="6:21" ht="27.6">
      <c r="F36" s="277"/>
      <c r="G36" s="257"/>
      <c r="H36" s="257"/>
      <c r="I36" s="51" t="s">
        <v>132</v>
      </c>
      <c r="J36" s="6"/>
      <c r="K36" s="48"/>
      <c r="L36" s="6"/>
      <c r="M36" s="6"/>
      <c r="N36" s="6"/>
      <c r="O36" s="6"/>
      <c r="P36" s="6"/>
      <c r="Q36" s="6"/>
      <c r="R36" s="6"/>
      <c r="S36" s="6">
        <f t="shared" si="0"/>
        <v>0</v>
      </c>
      <c r="T36" s="20">
        <v>27</v>
      </c>
      <c r="U36" s="24">
        <f t="shared" si="1"/>
        <v>0</v>
      </c>
    </row>
    <row r="37" spans="6:21" ht="57.6">
      <c r="F37" s="277"/>
      <c r="G37" s="257"/>
      <c r="H37" s="257"/>
      <c r="I37" s="50" t="s">
        <v>133</v>
      </c>
      <c r="J37" s="6"/>
      <c r="K37" s="48"/>
      <c r="L37" s="6"/>
      <c r="M37" s="6"/>
      <c r="N37" s="6"/>
      <c r="O37" s="6"/>
      <c r="P37" s="6"/>
      <c r="Q37" s="6"/>
      <c r="R37" s="6"/>
      <c r="S37" s="6">
        <f t="shared" si="0"/>
        <v>0</v>
      </c>
      <c r="T37" s="20">
        <v>27</v>
      </c>
      <c r="U37" s="24">
        <f t="shared" si="1"/>
        <v>0</v>
      </c>
    </row>
    <row r="38" spans="6:21" ht="57.6">
      <c r="F38" s="277"/>
      <c r="G38" s="257"/>
      <c r="H38" s="257"/>
      <c r="I38" s="50" t="s">
        <v>133</v>
      </c>
      <c r="J38" s="6"/>
      <c r="K38" s="48"/>
      <c r="L38" s="6"/>
      <c r="M38" s="6"/>
      <c r="N38" s="6"/>
      <c r="O38" s="6"/>
      <c r="P38" s="6"/>
      <c r="Q38" s="6"/>
      <c r="R38" s="6"/>
      <c r="S38" s="6">
        <f t="shared" si="0"/>
        <v>0</v>
      </c>
      <c r="T38" s="20">
        <v>27</v>
      </c>
      <c r="U38" s="24">
        <f t="shared" si="1"/>
        <v>0</v>
      </c>
    </row>
    <row r="39" spans="6:21" ht="28.8">
      <c r="F39" s="277"/>
      <c r="G39" s="257"/>
      <c r="H39" s="257"/>
      <c r="I39" s="50" t="s">
        <v>134</v>
      </c>
      <c r="J39" s="6"/>
      <c r="K39" s="48"/>
      <c r="L39" s="6"/>
      <c r="M39" s="6"/>
      <c r="N39" s="6"/>
      <c r="O39" s="6"/>
      <c r="P39" s="6"/>
      <c r="Q39" s="6"/>
      <c r="R39" s="6"/>
      <c r="S39" s="6">
        <f t="shared" si="0"/>
        <v>0</v>
      </c>
      <c r="T39" s="20">
        <v>27</v>
      </c>
      <c r="U39" s="24">
        <f t="shared" si="1"/>
        <v>0</v>
      </c>
    </row>
    <row r="40" spans="6:21" ht="57.6">
      <c r="F40" s="277"/>
      <c r="G40" s="257"/>
      <c r="H40" s="257"/>
      <c r="I40" s="50" t="s">
        <v>135</v>
      </c>
      <c r="J40" s="6"/>
      <c r="K40" s="48"/>
      <c r="L40" s="6"/>
      <c r="M40" s="6"/>
      <c r="N40" s="6"/>
      <c r="O40" s="6"/>
      <c r="P40" s="6"/>
      <c r="Q40" s="6"/>
      <c r="R40" s="6"/>
      <c r="S40" s="6">
        <f t="shared" si="0"/>
        <v>0</v>
      </c>
      <c r="T40" s="20">
        <v>27</v>
      </c>
      <c r="U40" s="24">
        <f t="shared" si="1"/>
        <v>0</v>
      </c>
    </row>
    <row r="41" spans="6:21">
      <c r="F41" s="437" t="s">
        <v>138</v>
      </c>
      <c r="G41" s="438"/>
      <c r="H41" s="438"/>
      <c r="I41" s="438"/>
      <c r="J41" s="438"/>
      <c r="K41" s="439"/>
      <c r="L41" s="6">
        <f>SUM(L30:L40)</f>
        <v>150</v>
      </c>
      <c r="M41" s="6">
        <f t="shared" ref="M41:R41" si="2">SUM(M30:M40)</f>
        <v>0</v>
      </c>
      <c r="N41" s="53">
        <f t="shared" si="2"/>
        <v>0</v>
      </c>
      <c r="O41" s="6">
        <f t="shared" si="2"/>
        <v>0</v>
      </c>
      <c r="P41" s="6">
        <f t="shared" si="2"/>
        <v>0</v>
      </c>
      <c r="Q41" s="6">
        <f t="shared" si="2"/>
        <v>0</v>
      </c>
      <c r="R41" s="6">
        <f t="shared" si="2"/>
        <v>0</v>
      </c>
      <c r="S41" s="87">
        <f>SUM(S30:S40)</f>
        <v>150</v>
      </c>
      <c r="T41" s="13"/>
      <c r="U41" s="182">
        <f>SUM(U30:U40)</f>
        <v>4050</v>
      </c>
    </row>
    <row r="42" spans="6:21">
      <c r="F42" s="440"/>
      <c r="G42" s="441"/>
      <c r="H42" s="441"/>
      <c r="I42" s="441"/>
      <c r="J42" s="441"/>
      <c r="K42" s="442"/>
      <c r="L42" s="54">
        <f>L41*27</f>
        <v>4050</v>
      </c>
      <c r="M42" s="54">
        <f t="shared" ref="M42:R42" si="3">M41*27</f>
        <v>0</v>
      </c>
      <c r="N42" s="54">
        <f t="shared" si="3"/>
        <v>0</v>
      </c>
      <c r="O42" s="54">
        <f t="shared" si="3"/>
        <v>0</v>
      </c>
      <c r="P42" s="54">
        <f t="shared" si="3"/>
        <v>0</v>
      </c>
      <c r="Q42" s="54">
        <f t="shared" si="3"/>
        <v>0</v>
      </c>
      <c r="R42" s="54">
        <f t="shared" si="3"/>
        <v>0</v>
      </c>
      <c r="S42" s="54">
        <f>SUM(L42:R42)</f>
        <v>4050</v>
      </c>
      <c r="T42" s="13"/>
      <c r="U42" s="182">
        <f>S42*T40</f>
        <v>109350</v>
      </c>
    </row>
  </sheetData>
  <mergeCells count="31">
    <mergeCell ref="H9:H11"/>
    <mergeCell ref="I9:I11"/>
    <mergeCell ref="K9:K11"/>
    <mergeCell ref="L9:L11"/>
    <mergeCell ref="F18:G18"/>
    <mergeCell ref="F26:U26"/>
    <mergeCell ref="F41:K42"/>
    <mergeCell ref="F2:L2"/>
    <mergeCell ref="F4:F6"/>
    <mergeCell ref="H4:H6"/>
    <mergeCell ref="I4:I6"/>
    <mergeCell ref="K4:K6"/>
    <mergeCell ref="L4:L6"/>
    <mergeCell ref="F7:F8"/>
    <mergeCell ref="H7:H8"/>
    <mergeCell ref="F29:K29"/>
    <mergeCell ref="I7:I8"/>
    <mergeCell ref="K7:K8"/>
    <mergeCell ref="L7:L8"/>
    <mergeCell ref="F9:F11"/>
    <mergeCell ref="F30:F40"/>
    <mergeCell ref="G30:G40"/>
    <mergeCell ref="H30:H40"/>
    <mergeCell ref="S27:S28"/>
    <mergeCell ref="T27:T28"/>
    <mergeCell ref="U27:U28"/>
    <mergeCell ref="F27:G28"/>
    <mergeCell ref="H27:H28"/>
    <mergeCell ref="I27:I28"/>
    <mergeCell ref="J27:J28"/>
    <mergeCell ref="K27:K28"/>
  </mergeCells>
  <pageMargins left="0.7" right="0.7" top="0.75" bottom="0.75" header="0.3" footer="0.3"/>
  <pageSetup paperSize="9" scale="62" fitToWidth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8CD22-2D44-467A-885D-5A997641116D}">
  <sheetPr>
    <pageSetUpPr fitToPage="1"/>
  </sheetPr>
  <dimension ref="A1:BJ238"/>
  <sheetViews>
    <sheetView topLeftCell="B164" zoomScale="56" zoomScaleNormal="85" workbookViewId="0">
      <selection activeCell="D153" sqref="D153:D155"/>
    </sheetView>
  </sheetViews>
  <sheetFormatPr baseColWidth="10" defaultRowHeight="14.4"/>
  <cols>
    <col min="1" max="1" width="4.44140625" style="1" customWidth="1"/>
    <col min="2" max="2" width="34.77734375" style="1" customWidth="1"/>
    <col min="3" max="3" width="36.88671875" style="1" customWidth="1"/>
    <col min="4" max="4" width="32.33203125" style="1" customWidth="1"/>
    <col min="5" max="5" width="19.77734375" style="1" customWidth="1"/>
    <col min="6" max="6" width="21.5546875" style="2" customWidth="1"/>
    <col min="7" max="7" width="20" customWidth="1"/>
    <col min="8" max="8" width="17" customWidth="1"/>
    <col min="9" max="9" width="15.6640625" customWidth="1"/>
    <col min="10" max="10" width="17.21875" customWidth="1"/>
    <col min="11" max="11" width="15.21875" customWidth="1"/>
    <col min="12" max="12" width="16.5546875" customWidth="1"/>
    <col min="13" max="13" width="16.77734375" customWidth="1"/>
    <col min="14" max="14" width="21.6640625" customWidth="1"/>
    <col min="15" max="15" width="20.88671875" customWidth="1"/>
    <col min="16" max="16" width="19" customWidth="1"/>
    <col min="17" max="17" width="15.6640625" customWidth="1"/>
    <col min="18" max="18" width="14.88671875" customWidth="1"/>
    <col min="19" max="19" width="18.44140625" customWidth="1"/>
    <col min="20" max="20" width="22.21875" customWidth="1"/>
    <col min="21" max="21" width="16.44140625" customWidth="1"/>
    <col min="22" max="22" width="16.6640625" customWidth="1"/>
    <col min="23" max="23" width="17.21875" customWidth="1"/>
    <col min="28" max="28" width="19.109375" bestFit="1" customWidth="1"/>
    <col min="29" max="29" width="18.6640625" customWidth="1"/>
    <col min="30" max="30" width="14.6640625" customWidth="1"/>
    <col min="32" max="32" width="21.33203125" customWidth="1"/>
    <col min="33" max="33" width="16.44140625" customWidth="1"/>
    <col min="34" max="34" width="21" customWidth="1"/>
    <col min="35" max="35" width="18.21875" customWidth="1"/>
    <col min="37" max="37" width="15.6640625" customWidth="1"/>
    <col min="40" max="42" width="13.88671875" customWidth="1"/>
    <col min="43" max="44" width="14.33203125" customWidth="1"/>
    <col min="45" max="46" width="14.77734375" customWidth="1"/>
    <col min="47" max="48" width="18.33203125" customWidth="1"/>
    <col min="50" max="50" width="13.33203125" customWidth="1"/>
    <col min="54" max="54" width="15.5546875" customWidth="1"/>
  </cols>
  <sheetData>
    <row r="1" spans="1:56" ht="24.6">
      <c r="A1" s="325" t="s">
        <v>139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</row>
    <row r="2" spans="1:56" ht="28.8" customHeight="1">
      <c r="A2" s="269" t="s">
        <v>0</v>
      </c>
      <c r="B2" s="270"/>
      <c r="C2" s="273" t="s">
        <v>2</v>
      </c>
      <c r="D2" s="273" t="s">
        <v>8</v>
      </c>
      <c r="E2" s="273" t="s">
        <v>1</v>
      </c>
      <c r="F2" s="326" t="s">
        <v>91</v>
      </c>
      <c r="G2" s="317">
        <v>46216</v>
      </c>
      <c r="H2" s="317"/>
      <c r="I2" s="317"/>
      <c r="J2" s="317">
        <v>46217</v>
      </c>
      <c r="K2" s="317"/>
      <c r="L2" s="317"/>
      <c r="M2" s="317">
        <v>46218</v>
      </c>
      <c r="N2" s="317"/>
      <c r="O2" s="317"/>
      <c r="P2" s="317">
        <v>46219</v>
      </c>
      <c r="Q2" s="317"/>
      <c r="R2" s="317"/>
      <c r="S2" s="317">
        <v>46220</v>
      </c>
      <c r="T2" s="317"/>
      <c r="U2" s="317"/>
      <c r="V2" s="317">
        <v>46221</v>
      </c>
      <c r="W2" s="317"/>
      <c r="X2" s="317"/>
      <c r="Y2" s="317">
        <v>46222</v>
      </c>
      <c r="Z2" s="317"/>
      <c r="AA2" s="317"/>
      <c r="AB2" s="317" t="s">
        <v>94</v>
      </c>
      <c r="AC2" s="262" t="s">
        <v>92</v>
      </c>
    </row>
    <row r="3" spans="1:56">
      <c r="A3" s="271"/>
      <c r="B3" s="272"/>
      <c r="C3" s="274"/>
      <c r="D3" s="274"/>
      <c r="E3" s="274"/>
      <c r="F3" s="327"/>
      <c r="G3" s="17" t="s">
        <v>95</v>
      </c>
      <c r="H3" s="17" t="s">
        <v>96</v>
      </c>
      <c r="I3" s="17" t="s">
        <v>103</v>
      </c>
      <c r="J3" s="17" t="s">
        <v>95</v>
      </c>
      <c r="K3" s="17" t="s">
        <v>96</v>
      </c>
      <c r="L3" s="17" t="s">
        <v>98</v>
      </c>
      <c r="M3" s="17" t="s">
        <v>95</v>
      </c>
      <c r="N3" s="17" t="s">
        <v>96</v>
      </c>
      <c r="O3" s="17" t="s">
        <v>98</v>
      </c>
      <c r="P3" s="17" t="s">
        <v>95</v>
      </c>
      <c r="Q3" s="17" t="s">
        <v>96</v>
      </c>
      <c r="R3" s="17" t="s">
        <v>98</v>
      </c>
      <c r="S3" s="17" t="s">
        <v>95</v>
      </c>
      <c r="T3" s="17" t="s">
        <v>96</v>
      </c>
      <c r="U3" s="17" t="s">
        <v>103</v>
      </c>
      <c r="V3" s="17" t="s">
        <v>95</v>
      </c>
      <c r="W3" s="17" t="s">
        <v>96</v>
      </c>
      <c r="X3" s="17" t="s">
        <v>103</v>
      </c>
      <c r="Y3" s="17" t="s">
        <v>95</v>
      </c>
      <c r="Z3" s="17" t="s">
        <v>96</v>
      </c>
      <c r="AA3" s="17" t="s">
        <v>103</v>
      </c>
      <c r="AB3" s="317"/>
      <c r="AC3" s="262"/>
    </row>
    <row r="4" spans="1:56" s="3" customFormat="1">
      <c r="A4" s="40">
        <v>1</v>
      </c>
      <c r="B4" s="263" t="s">
        <v>4</v>
      </c>
      <c r="C4" s="263" t="s">
        <v>7</v>
      </c>
      <c r="D4" s="9" t="s">
        <v>5</v>
      </c>
      <c r="E4" s="9" t="s">
        <v>6</v>
      </c>
      <c r="F4" s="10">
        <v>1200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8">
        <f t="shared" ref="AB4:AB18" si="0">F4-(G4+H4+J4+K4+M4+N4+P4+Q4+S4+T4+V4+W4+U4+O4+I4+L4+R4+X4)</f>
        <v>1200</v>
      </c>
      <c r="AC4" s="18">
        <f t="shared" ref="AC4:AC16" si="1">SUM(G4:X4)</f>
        <v>0</v>
      </c>
      <c r="AD4" s="21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</row>
    <row r="5" spans="1:56" s="3" customFormat="1">
      <c r="A5" s="40">
        <v>2</v>
      </c>
      <c r="B5" s="263"/>
      <c r="C5" s="263"/>
      <c r="D5" s="8" t="s">
        <v>35</v>
      </c>
      <c r="E5" s="8"/>
      <c r="F5" s="12">
        <v>500</v>
      </c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8">
        <f t="shared" si="0"/>
        <v>500</v>
      </c>
      <c r="AC5" s="18">
        <f t="shared" si="1"/>
        <v>0</v>
      </c>
      <c r="AD5" s="21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56">
      <c r="A6" s="37">
        <v>3</v>
      </c>
      <c r="B6" s="277" t="s">
        <v>9</v>
      </c>
      <c r="C6" s="277" t="s">
        <v>10</v>
      </c>
      <c r="D6" s="6" t="s">
        <v>11</v>
      </c>
      <c r="E6" s="6" t="s">
        <v>12</v>
      </c>
      <c r="F6" s="7">
        <v>2500</v>
      </c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8">
        <f t="shared" si="0"/>
        <v>2500</v>
      </c>
      <c r="AC6" s="18">
        <f t="shared" si="1"/>
        <v>0</v>
      </c>
      <c r="AD6" s="21"/>
      <c r="AF6" s="328" t="s">
        <v>264</v>
      </c>
      <c r="AG6" s="329"/>
      <c r="AH6" s="329"/>
      <c r="AI6" s="329"/>
      <c r="AK6" s="44"/>
    </row>
    <row r="7" spans="1:56">
      <c r="A7" s="37">
        <v>4</v>
      </c>
      <c r="B7" s="277"/>
      <c r="C7" s="277"/>
      <c r="D7" s="6" t="s">
        <v>35</v>
      </c>
      <c r="E7" s="6"/>
      <c r="F7" s="7">
        <v>500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8">
        <f t="shared" si="0"/>
        <v>500</v>
      </c>
      <c r="AC7" s="18">
        <f t="shared" si="1"/>
        <v>0</v>
      </c>
      <c r="AD7" s="21"/>
      <c r="AF7" s="26" t="s">
        <v>99</v>
      </c>
      <c r="AG7" s="26" t="s">
        <v>100</v>
      </c>
      <c r="AH7" s="26" t="s">
        <v>101</v>
      </c>
      <c r="AI7" s="26" t="s">
        <v>102</v>
      </c>
      <c r="AK7" s="44"/>
    </row>
    <row r="8" spans="1:56">
      <c r="A8" s="37">
        <v>5</v>
      </c>
      <c r="B8" s="6" t="s">
        <v>13</v>
      </c>
      <c r="C8" s="6" t="s">
        <v>10</v>
      </c>
      <c r="D8" s="6" t="s">
        <v>14</v>
      </c>
      <c r="E8" s="6" t="s">
        <v>97</v>
      </c>
      <c r="F8" s="7">
        <v>1500</v>
      </c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8">
        <f t="shared" si="0"/>
        <v>1500</v>
      </c>
      <c r="AC8" s="18">
        <f t="shared" si="1"/>
        <v>0</v>
      </c>
      <c r="AD8" s="21"/>
      <c r="AF8" s="25" t="s">
        <v>95</v>
      </c>
      <c r="AG8" s="45">
        <f>AI8/AH8</f>
        <v>0</v>
      </c>
      <c r="AH8" s="23">
        <v>22.89</v>
      </c>
      <c r="AI8" s="46">
        <f>G42+J42+M42+P42+S42+V42</f>
        <v>0</v>
      </c>
    </row>
    <row r="9" spans="1:56">
      <c r="A9" s="37">
        <v>6</v>
      </c>
      <c r="B9" s="6" t="s">
        <v>211</v>
      </c>
      <c r="C9" s="6" t="s">
        <v>10</v>
      </c>
      <c r="D9" s="6" t="s">
        <v>14</v>
      </c>
      <c r="E9" s="6" t="s">
        <v>17</v>
      </c>
      <c r="F9" s="7">
        <v>1500</v>
      </c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8">
        <f t="shared" si="0"/>
        <v>1500</v>
      </c>
      <c r="AC9" s="18">
        <f t="shared" si="1"/>
        <v>0</v>
      </c>
      <c r="AD9" s="21"/>
      <c r="AF9" s="25" t="s">
        <v>96</v>
      </c>
      <c r="AG9" s="45">
        <f>AI9/AH9</f>
        <v>0</v>
      </c>
      <c r="AH9" s="23">
        <v>22.89</v>
      </c>
      <c r="AI9" s="88">
        <f>H42+K42+N42+Q42+T42+W42+Z42</f>
        <v>0</v>
      </c>
    </row>
    <row r="10" spans="1:56">
      <c r="A10" s="37">
        <v>7</v>
      </c>
      <c r="B10" s="6" t="s">
        <v>18</v>
      </c>
      <c r="C10" s="6" t="s">
        <v>10</v>
      </c>
      <c r="D10" s="6"/>
      <c r="E10" s="6"/>
      <c r="F10" s="7">
        <v>1500</v>
      </c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8">
        <f t="shared" si="0"/>
        <v>1500</v>
      </c>
      <c r="AC10" s="18">
        <f t="shared" si="1"/>
        <v>0</v>
      </c>
      <c r="AD10" s="21"/>
      <c r="AF10" s="25" t="s">
        <v>103</v>
      </c>
      <c r="AG10" s="23"/>
      <c r="AH10" s="23"/>
      <c r="AI10" s="46">
        <f>R42+U42+O42</f>
        <v>0</v>
      </c>
    </row>
    <row r="11" spans="1:56" s="3" customFormat="1">
      <c r="A11" s="40">
        <v>8</v>
      </c>
      <c r="B11" s="8" t="s">
        <v>19</v>
      </c>
      <c r="C11" s="8" t="s">
        <v>20</v>
      </c>
      <c r="D11" s="8" t="s">
        <v>21</v>
      </c>
      <c r="E11" s="8" t="s">
        <v>22</v>
      </c>
      <c r="F11" s="12">
        <v>700</v>
      </c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8">
        <f t="shared" si="0"/>
        <v>700</v>
      </c>
      <c r="AC11" s="18">
        <f t="shared" si="1"/>
        <v>0</v>
      </c>
      <c r="AD11" s="21"/>
      <c r="AE11"/>
      <c r="AF11"/>
      <c r="AG11"/>
      <c r="AH11"/>
      <c r="AI11"/>
      <c r="AJ11"/>
      <c r="AK11"/>
      <c r="AL11"/>
      <c r="AM11"/>
      <c r="BC11"/>
    </row>
    <row r="12" spans="1:56" s="3" customFormat="1">
      <c r="A12" s="40">
        <v>9</v>
      </c>
      <c r="B12" s="8" t="s">
        <v>23</v>
      </c>
      <c r="C12" s="8" t="s">
        <v>24</v>
      </c>
      <c r="D12" s="8" t="s">
        <v>25</v>
      </c>
      <c r="E12" s="8" t="s">
        <v>26</v>
      </c>
      <c r="F12" s="12">
        <v>1500</v>
      </c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8">
        <f t="shared" si="0"/>
        <v>1500</v>
      </c>
      <c r="AC12" s="18">
        <f t="shared" si="1"/>
        <v>0</v>
      </c>
      <c r="AD12" s="21"/>
      <c r="AE12"/>
      <c r="AF12"/>
      <c r="AG12"/>
      <c r="AH12"/>
      <c r="AI12"/>
      <c r="AJ12"/>
      <c r="AK12"/>
      <c r="AL12"/>
      <c r="AM12"/>
      <c r="BC12"/>
    </row>
    <row r="13" spans="1:56">
      <c r="A13" s="37">
        <v>10</v>
      </c>
      <c r="B13" s="277" t="s">
        <v>27</v>
      </c>
      <c r="C13" s="6" t="s">
        <v>28</v>
      </c>
      <c r="D13" s="6" t="s">
        <v>29</v>
      </c>
      <c r="E13" s="6" t="s">
        <v>30</v>
      </c>
      <c r="F13" s="7">
        <v>1500</v>
      </c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8">
        <f t="shared" si="0"/>
        <v>1500</v>
      </c>
      <c r="AC13" s="18">
        <f t="shared" si="1"/>
        <v>0</v>
      </c>
      <c r="AD13" s="21"/>
      <c r="AG13" s="340"/>
      <c r="AH13" s="340"/>
      <c r="AI13" s="149"/>
      <c r="AJ13" s="149"/>
      <c r="AK13" s="149"/>
    </row>
    <row r="14" spans="1:56">
      <c r="A14" s="37">
        <v>11</v>
      </c>
      <c r="B14" s="277"/>
      <c r="C14" s="6" t="s">
        <v>34</v>
      </c>
      <c r="D14" s="6" t="s">
        <v>35</v>
      </c>
      <c r="E14" s="6"/>
      <c r="F14" s="7">
        <v>500</v>
      </c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8">
        <f t="shared" si="0"/>
        <v>500</v>
      </c>
      <c r="AC14" s="18">
        <f t="shared" si="1"/>
        <v>0</v>
      </c>
      <c r="AD14" s="21"/>
      <c r="AG14" s="341" t="s">
        <v>265</v>
      </c>
      <c r="AH14" s="342"/>
      <c r="AI14" s="151"/>
      <c r="AJ14" s="151"/>
      <c r="AK14" s="149"/>
    </row>
    <row r="15" spans="1:56">
      <c r="A15" s="37">
        <v>12</v>
      </c>
      <c r="B15" s="6" t="s">
        <v>31</v>
      </c>
      <c r="C15" s="6" t="s">
        <v>28</v>
      </c>
      <c r="D15" s="6" t="s">
        <v>33</v>
      </c>
      <c r="E15" s="6" t="s">
        <v>32</v>
      </c>
      <c r="F15" s="7">
        <v>1500</v>
      </c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8">
        <f t="shared" si="0"/>
        <v>1500</v>
      </c>
      <c r="AC15" s="18">
        <f t="shared" si="1"/>
        <v>0</v>
      </c>
      <c r="AD15" s="21"/>
      <c r="AG15" s="141" t="s">
        <v>95</v>
      </c>
      <c r="AH15" s="101">
        <f>AI8+AI51</f>
        <v>0</v>
      </c>
      <c r="AI15" s="150"/>
      <c r="AJ15" s="149"/>
      <c r="AK15" s="150"/>
    </row>
    <row r="16" spans="1:56" s="3" customFormat="1">
      <c r="A16" s="40">
        <v>13</v>
      </c>
      <c r="B16" s="336" t="s">
        <v>36</v>
      </c>
      <c r="C16" s="8" t="s">
        <v>37</v>
      </c>
      <c r="D16" s="8" t="s">
        <v>39</v>
      </c>
      <c r="E16" s="8" t="s">
        <v>38</v>
      </c>
      <c r="F16" s="12">
        <v>2500</v>
      </c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8">
        <f t="shared" si="0"/>
        <v>2500</v>
      </c>
      <c r="AC16" s="18">
        <f t="shared" si="1"/>
        <v>0</v>
      </c>
      <c r="AD16" s="21"/>
      <c r="AE16"/>
      <c r="AF16"/>
      <c r="AG16" s="141" t="s">
        <v>96</v>
      </c>
      <c r="AH16" s="99">
        <f>AI9+AI52</f>
        <v>0</v>
      </c>
      <c r="AI16" s="149"/>
      <c r="AJ16" s="149"/>
      <c r="AK16" s="149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</row>
    <row r="17" spans="1:62" s="3" customFormat="1">
      <c r="A17" s="40"/>
      <c r="B17" s="338"/>
      <c r="C17" s="8" t="s">
        <v>37</v>
      </c>
      <c r="D17" s="8" t="s">
        <v>35</v>
      </c>
      <c r="E17" s="8"/>
      <c r="F17" s="12">
        <v>300</v>
      </c>
      <c r="G17" s="103"/>
      <c r="H17" s="103"/>
      <c r="I17" s="211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8">
        <f t="shared" si="0"/>
        <v>300</v>
      </c>
      <c r="AC17" s="18"/>
      <c r="AD17" s="21"/>
      <c r="AE17"/>
      <c r="AF17"/>
      <c r="AG17" s="141" t="s">
        <v>98</v>
      </c>
      <c r="AH17" s="24">
        <f>AI10+AI53</f>
        <v>0</v>
      </c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</row>
    <row r="18" spans="1:62" s="3" customFormat="1">
      <c r="A18" s="40">
        <v>14</v>
      </c>
      <c r="B18" s="8" t="s">
        <v>40</v>
      </c>
      <c r="C18" s="8" t="s">
        <v>37</v>
      </c>
      <c r="D18" s="8" t="s">
        <v>42</v>
      </c>
      <c r="E18" s="8" t="s">
        <v>41</v>
      </c>
      <c r="F18" s="12">
        <v>2500</v>
      </c>
      <c r="G18"/>
      <c r="H18" s="103"/>
      <c r="I18" s="212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8">
        <f t="shared" si="0"/>
        <v>2500</v>
      </c>
      <c r="AC18" s="18">
        <f>SUM(H18:X18)</f>
        <v>0</v>
      </c>
      <c r="AD18" s="21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</row>
    <row r="19" spans="1:62" s="3" customFormat="1">
      <c r="A19" s="40">
        <v>15</v>
      </c>
      <c r="B19" s="8" t="s">
        <v>43</v>
      </c>
      <c r="C19" s="8" t="s">
        <v>37</v>
      </c>
      <c r="D19" s="8" t="s">
        <v>33</v>
      </c>
      <c r="E19" s="8" t="s">
        <v>44</v>
      </c>
      <c r="F19" s="12">
        <v>4000</v>
      </c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C19" s="18">
        <f t="shared" ref="AC19:AC41" si="2">SUM(G19:X19)</f>
        <v>0</v>
      </c>
      <c r="AD19" s="21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</row>
    <row r="20" spans="1:62">
      <c r="A20" s="37">
        <v>16</v>
      </c>
      <c r="B20" s="277" t="s">
        <v>45</v>
      </c>
      <c r="C20" s="277" t="s">
        <v>46</v>
      </c>
      <c r="D20" s="6" t="s">
        <v>39</v>
      </c>
      <c r="E20" s="6" t="s">
        <v>47</v>
      </c>
      <c r="F20" s="7">
        <v>2500</v>
      </c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8">
        <f>F20-(G20+H20+J20+K20+M20+N20+P20+Q20+S20+T20+V20+W20+U20+O20+I20+L20+R20+X20)</f>
        <v>2500</v>
      </c>
      <c r="AC20" s="18">
        <f t="shared" si="2"/>
        <v>0</v>
      </c>
      <c r="AD20" s="21"/>
    </row>
    <row r="21" spans="1:62">
      <c r="A21" s="37">
        <v>17</v>
      </c>
      <c r="B21" s="277"/>
      <c r="C21" s="277"/>
      <c r="D21" s="6" t="s">
        <v>54</v>
      </c>
      <c r="E21" s="6"/>
      <c r="F21" s="41">
        <v>1000</v>
      </c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8">
        <f>F21-(G21+H21+J21+K21+M21+N21+P21+Q21+S21+T21+V21+W21+U21+O21+I21+L21+R21+X21)</f>
        <v>1000</v>
      </c>
      <c r="AC21" s="18">
        <f t="shared" si="2"/>
        <v>0</v>
      </c>
      <c r="AD21" s="21"/>
    </row>
    <row r="22" spans="1:62">
      <c r="A22" s="37">
        <v>18</v>
      </c>
      <c r="B22" s="277"/>
      <c r="C22" s="277"/>
      <c r="D22" s="6" t="s">
        <v>55</v>
      </c>
      <c r="E22" s="6"/>
      <c r="F22" s="41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8">
        <f>F22-(G22+H22+J22+K22+M22+N22+P22+Q22+S22+T22+V22+W22+U22+O22+I22+L22+R22+X22)</f>
        <v>0</v>
      </c>
      <c r="AC22" s="18">
        <f t="shared" si="2"/>
        <v>0</v>
      </c>
      <c r="AD22" s="21"/>
      <c r="AG22" s="21"/>
    </row>
    <row r="23" spans="1:62">
      <c r="A23" s="37">
        <v>19</v>
      </c>
      <c r="B23" s="277"/>
      <c r="C23" s="277"/>
      <c r="D23" s="6" t="s">
        <v>56</v>
      </c>
      <c r="E23" s="6"/>
      <c r="F23" s="41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8">
        <f>F23-(G23+H23+J23+K23+M23+N23+P23+Q23+S23+T23+V23+W23+U23+O23+I23+L23+R23+X23)</f>
        <v>0</v>
      </c>
      <c r="AC23" s="18">
        <f t="shared" si="2"/>
        <v>0</v>
      </c>
      <c r="AD23" s="21"/>
    </row>
    <row r="24" spans="1:62">
      <c r="A24" s="37">
        <v>20</v>
      </c>
      <c r="B24" s="6" t="s">
        <v>48</v>
      </c>
      <c r="C24" s="6" t="s">
        <v>46</v>
      </c>
      <c r="D24" s="6" t="s">
        <v>39</v>
      </c>
      <c r="E24" s="6" t="s">
        <v>49</v>
      </c>
      <c r="F24" s="7">
        <v>1500</v>
      </c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8">
        <f t="shared" ref="AB24:AB41" si="3">F24-(G24+H24+J24+K24+M24+N24+P24+Q24+S24+T24+V24+W24+O24+R24+U24+I24+L24+X24)</f>
        <v>1500</v>
      </c>
      <c r="AC24" s="18">
        <f t="shared" si="2"/>
        <v>0</v>
      </c>
      <c r="AD24" s="21"/>
    </row>
    <row r="25" spans="1:62">
      <c r="A25" s="37">
        <v>21</v>
      </c>
      <c r="B25" s="6" t="s">
        <v>50</v>
      </c>
      <c r="C25" s="6" t="s">
        <v>46</v>
      </c>
      <c r="D25" s="6" t="s">
        <v>33</v>
      </c>
      <c r="E25" s="6" t="s">
        <v>51</v>
      </c>
      <c r="F25" s="7">
        <v>3000</v>
      </c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8">
        <f t="shared" si="3"/>
        <v>3000</v>
      </c>
      <c r="AC25" s="18">
        <f t="shared" si="2"/>
        <v>0</v>
      </c>
      <c r="AD25" s="21"/>
    </row>
    <row r="26" spans="1:62">
      <c r="A26" s="37">
        <v>22</v>
      </c>
      <c r="B26" s="6" t="s">
        <v>52</v>
      </c>
      <c r="C26" s="6" t="s">
        <v>46</v>
      </c>
      <c r="D26" s="6" t="s">
        <v>42</v>
      </c>
      <c r="E26" s="6" t="s">
        <v>53</v>
      </c>
      <c r="F26" s="7">
        <v>2500</v>
      </c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Y26" s="103"/>
      <c r="Z26" s="103"/>
      <c r="AA26" s="103"/>
      <c r="AB26" s="18">
        <f>F26-(G26+H26+J26+K26+M26+N26+P26+Q26+S26+T26+V26+W26+O26+R26+U26+I26+L26+U40)</f>
        <v>2500</v>
      </c>
      <c r="AC26" s="18">
        <f t="shared" si="2"/>
        <v>0</v>
      </c>
      <c r="AD26" s="21"/>
    </row>
    <row r="27" spans="1:62" s="3" customFormat="1">
      <c r="A27" s="40">
        <v>23</v>
      </c>
      <c r="B27" s="8" t="s">
        <v>66</v>
      </c>
      <c r="C27" s="339" t="s">
        <v>58</v>
      </c>
      <c r="D27" s="8" t="s">
        <v>59</v>
      </c>
      <c r="E27" s="8" t="s">
        <v>60</v>
      </c>
      <c r="F27" s="12">
        <v>2500</v>
      </c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8">
        <f t="shared" si="3"/>
        <v>2500</v>
      </c>
      <c r="AC27" s="18">
        <f t="shared" si="2"/>
        <v>0</v>
      </c>
      <c r="AD27" s="21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</row>
    <row r="28" spans="1:62" s="3" customFormat="1">
      <c r="A28" s="40">
        <v>24</v>
      </c>
      <c r="B28" s="8" t="s">
        <v>57</v>
      </c>
      <c r="C28" s="339"/>
      <c r="D28" s="8" t="s">
        <v>35</v>
      </c>
      <c r="E28" s="8"/>
      <c r="F28" s="12">
        <v>1000</v>
      </c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8">
        <f t="shared" si="3"/>
        <v>1000</v>
      </c>
      <c r="AC28" s="18">
        <f t="shared" si="2"/>
        <v>0</v>
      </c>
      <c r="AD28" s="21"/>
      <c r="AE28"/>
      <c r="AF28"/>
      <c r="AG28"/>
      <c r="AH28"/>
      <c r="AI28"/>
      <c r="AJ28"/>
      <c r="AK28"/>
      <c r="AL28"/>
      <c r="BA28"/>
      <c r="BB28"/>
      <c r="BC28"/>
      <c r="BD28"/>
      <c r="BE28"/>
      <c r="BF28"/>
      <c r="BG28"/>
      <c r="BH28"/>
      <c r="BI28"/>
      <c r="BJ28"/>
    </row>
    <row r="29" spans="1:62">
      <c r="A29" s="37">
        <v>25</v>
      </c>
      <c r="B29" s="6" t="s">
        <v>61</v>
      </c>
      <c r="C29" s="6" t="s">
        <v>62</v>
      </c>
      <c r="D29" s="6" t="s">
        <v>11</v>
      </c>
      <c r="E29" s="6" t="s">
        <v>63</v>
      </c>
      <c r="F29" s="7">
        <v>2500</v>
      </c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8">
        <f t="shared" si="3"/>
        <v>2500</v>
      </c>
      <c r="AC29" s="18">
        <f t="shared" si="2"/>
        <v>0</v>
      </c>
      <c r="AD29" s="21"/>
    </row>
    <row r="30" spans="1:62">
      <c r="A30" s="37">
        <v>26</v>
      </c>
      <c r="B30" s="277" t="s">
        <v>64</v>
      </c>
      <c r="C30" s="277" t="s">
        <v>62</v>
      </c>
      <c r="D30" s="6" t="s">
        <v>65</v>
      </c>
      <c r="E30" s="6" t="s">
        <v>67</v>
      </c>
      <c r="F30" s="7">
        <v>1000</v>
      </c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8">
        <f t="shared" si="3"/>
        <v>1000</v>
      </c>
      <c r="AC30" s="18">
        <f t="shared" si="2"/>
        <v>0</v>
      </c>
      <c r="AD30" s="21"/>
    </row>
    <row r="31" spans="1:62">
      <c r="A31" s="37">
        <v>27</v>
      </c>
      <c r="B31" s="277"/>
      <c r="C31" s="277"/>
      <c r="D31" s="6" t="s">
        <v>68</v>
      </c>
      <c r="E31" s="6"/>
      <c r="F31" s="7">
        <v>500</v>
      </c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8">
        <f t="shared" si="3"/>
        <v>500</v>
      </c>
      <c r="AC31" s="18">
        <f t="shared" si="2"/>
        <v>0</v>
      </c>
      <c r="AD31" s="21"/>
    </row>
    <row r="32" spans="1:62">
      <c r="A32" s="37">
        <v>28</v>
      </c>
      <c r="B32" s="277"/>
      <c r="C32" s="277"/>
      <c r="D32" s="6" t="s">
        <v>68</v>
      </c>
      <c r="E32" s="6"/>
      <c r="F32" s="7">
        <v>500</v>
      </c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8">
        <f t="shared" si="3"/>
        <v>500</v>
      </c>
      <c r="AC32" s="18">
        <f t="shared" si="2"/>
        <v>0</v>
      </c>
      <c r="AD32" s="21"/>
    </row>
    <row r="33" spans="1:30">
      <c r="A33" s="37">
        <v>29</v>
      </c>
      <c r="B33" s="277" t="s">
        <v>69</v>
      </c>
      <c r="C33" s="6"/>
      <c r="D33" s="6"/>
      <c r="E33" s="6" t="s">
        <v>70</v>
      </c>
      <c r="F33" s="7">
        <v>800</v>
      </c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8">
        <f t="shared" si="3"/>
        <v>800</v>
      </c>
      <c r="AC33" s="18">
        <f t="shared" si="2"/>
        <v>0</v>
      </c>
      <c r="AD33" s="21"/>
    </row>
    <row r="34" spans="1:30">
      <c r="A34" s="37">
        <v>30</v>
      </c>
      <c r="B34" s="277"/>
      <c r="C34" s="6"/>
      <c r="D34" s="6" t="s">
        <v>35</v>
      </c>
      <c r="E34" s="6"/>
      <c r="F34" s="7">
        <v>500</v>
      </c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8">
        <f t="shared" si="3"/>
        <v>500</v>
      </c>
      <c r="AC34" s="18">
        <f t="shared" si="2"/>
        <v>0</v>
      </c>
      <c r="AD34" s="21"/>
    </row>
    <row r="35" spans="1:30">
      <c r="A35" s="37">
        <v>31</v>
      </c>
      <c r="B35" s="176" t="s">
        <v>206</v>
      </c>
      <c r="C35" s="6" t="s">
        <v>207</v>
      </c>
      <c r="D35" s="6"/>
      <c r="E35" s="6" t="s">
        <v>158</v>
      </c>
      <c r="F35" s="7">
        <v>1500</v>
      </c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8">
        <f t="shared" si="3"/>
        <v>1500</v>
      </c>
      <c r="AC35" s="18">
        <f t="shared" si="2"/>
        <v>0</v>
      </c>
      <c r="AD35" s="21"/>
    </row>
    <row r="36" spans="1:30">
      <c r="A36" s="37">
        <v>32</v>
      </c>
      <c r="B36" s="176" t="s">
        <v>160</v>
      </c>
      <c r="C36" s="6" t="s">
        <v>161</v>
      </c>
      <c r="D36" s="6" t="s">
        <v>11</v>
      </c>
      <c r="E36" s="6" t="s">
        <v>159</v>
      </c>
      <c r="F36" s="7">
        <v>1500</v>
      </c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8">
        <f t="shared" si="3"/>
        <v>1500</v>
      </c>
      <c r="AC36" s="18">
        <f t="shared" si="2"/>
        <v>0</v>
      </c>
      <c r="AD36" s="21"/>
    </row>
    <row r="37" spans="1:30">
      <c r="A37" s="37">
        <v>33</v>
      </c>
      <c r="B37" s="176" t="s">
        <v>204</v>
      </c>
      <c r="C37" s="6" t="s">
        <v>205</v>
      </c>
      <c r="D37" s="6" t="s">
        <v>21</v>
      </c>
      <c r="E37" s="6"/>
      <c r="F37" s="7">
        <v>700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8">
        <f t="shared" si="3"/>
        <v>700</v>
      </c>
      <c r="AC37" s="18">
        <f t="shared" si="2"/>
        <v>0</v>
      </c>
      <c r="AD37" s="21"/>
    </row>
    <row r="38" spans="1:30">
      <c r="A38" s="37">
        <v>34</v>
      </c>
      <c r="B38" s="6" t="s">
        <v>71</v>
      </c>
      <c r="C38" s="6"/>
      <c r="D38" s="6" t="s">
        <v>73</v>
      </c>
      <c r="E38" s="6" t="s">
        <v>72</v>
      </c>
      <c r="F38" s="7">
        <v>3000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209"/>
      <c r="S38" s="103"/>
      <c r="T38" s="103"/>
      <c r="U38" s="103"/>
      <c r="V38" s="103"/>
      <c r="W38" s="103"/>
      <c r="X38" s="103"/>
      <c r="Y38" s="103"/>
      <c r="Z38" s="103"/>
      <c r="AA38" s="103"/>
      <c r="AB38" s="18">
        <f t="shared" si="3"/>
        <v>3000</v>
      </c>
      <c r="AC38" s="18">
        <f t="shared" si="2"/>
        <v>0</v>
      </c>
      <c r="AD38" s="21"/>
    </row>
    <row r="39" spans="1:30">
      <c r="A39" s="37"/>
      <c r="B39" s="176" t="s">
        <v>266</v>
      </c>
      <c r="C39" s="6"/>
      <c r="D39" s="6" t="s">
        <v>11</v>
      </c>
      <c r="E39" s="6" t="s">
        <v>259</v>
      </c>
      <c r="F39" s="7">
        <v>1500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8">
        <f t="shared" si="3"/>
        <v>1500</v>
      </c>
      <c r="AC39" s="18">
        <f t="shared" si="2"/>
        <v>0</v>
      </c>
      <c r="AD39" s="21"/>
    </row>
    <row r="40" spans="1:30">
      <c r="A40" s="37"/>
      <c r="B40" s="6"/>
      <c r="C40" s="6"/>
      <c r="D40" s="6" t="s">
        <v>11</v>
      </c>
      <c r="E40" s="6" t="s">
        <v>260</v>
      </c>
      <c r="F40" s="7">
        <v>1500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8" t="e">
        <f>F40-(G40+H40+J40+K40+M40+N40+P40+Q40+S40+T40+V40+W40+O40+R40+#REF!+I40+L40+X40)</f>
        <v>#REF!</v>
      </c>
      <c r="AC40" s="18">
        <f t="shared" si="2"/>
        <v>0</v>
      </c>
      <c r="AD40" s="21"/>
    </row>
    <row r="41" spans="1:30">
      <c r="A41" s="37"/>
      <c r="B41" s="6"/>
      <c r="C41" s="6"/>
      <c r="D41" s="6" t="s">
        <v>11</v>
      </c>
      <c r="E41" s="6" t="s">
        <v>261</v>
      </c>
      <c r="F41" s="7">
        <v>1500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8">
        <f t="shared" si="3"/>
        <v>1500</v>
      </c>
      <c r="AC41" s="18">
        <f t="shared" si="2"/>
        <v>0</v>
      </c>
      <c r="AD41" s="21"/>
    </row>
    <row r="42" spans="1:30">
      <c r="A42" s="318" t="s">
        <v>105</v>
      </c>
      <c r="B42" s="324"/>
      <c r="C42" s="324"/>
      <c r="D42" s="324"/>
      <c r="E42" s="324"/>
      <c r="F42" s="28">
        <f>SUM(F4:F41)</f>
        <v>55200</v>
      </c>
      <c r="G42" s="42">
        <f>SUM(G4:G41)</f>
        <v>0</v>
      </c>
      <c r="H42" s="42">
        <f>SUM(H4:H41)</f>
        <v>0</v>
      </c>
      <c r="I42" s="42">
        <f t="shared" ref="I42:X42" si="4">SUM(I4:I41)</f>
        <v>0</v>
      </c>
      <c r="J42" s="42">
        <f t="shared" si="4"/>
        <v>0</v>
      </c>
      <c r="K42" s="42">
        <f t="shared" si="4"/>
        <v>0</v>
      </c>
      <c r="L42" s="42">
        <f t="shared" si="4"/>
        <v>0</v>
      </c>
      <c r="M42" s="42">
        <f t="shared" si="4"/>
        <v>0</v>
      </c>
      <c r="N42" s="42">
        <f t="shared" si="4"/>
        <v>0</v>
      </c>
      <c r="O42" s="42">
        <f t="shared" si="4"/>
        <v>0</v>
      </c>
      <c r="P42" s="42">
        <f t="shared" si="4"/>
        <v>0</v>
      </c>
      <c r="Q42" s="42">
        <f t="shared" si="4"/>
        <v>0</v>
      </c>
      <c r="R42" s="42">
        <f t="shared" si="4"/>
        <v>0</v>
      </c>
      <c r="S42" s="42">
        <f t="shared" si="4"/>
        <v>0</v>
      </c>
      <c r="T42" s="42">
        <f t="shared" si="4"/>
        <v>0</v>
      </c>
      <c r="U42" s="42">
        <f t="shared" si="4"/>
        <v>0</v>
      </c>
      <c r="V42" s="42">
        <f t="shared" si="4"/>
        <v>0</v>
      </c>
      <c r="W42" s="42">
        <f t="shared" si="4"/>
        <v>0</v>
      </c>
      <c r="X42" s="42">
        <f t="shared" si="4"/>
        <v>0</v>
      </c>
      <c r="Y42" s="42"/>
      <c r="Z42" s="42"/>
      <c r="AA42" s="42"/>
      <c r="AB42" s="42" t="e">
        <f>SUM(AB4:AB41)</f>
        <v>#REF!</v>
      </c>
      <c r="AC42" s="42">
        <f>SUM(AC4:AC38)</f>
        <v>0</v>
      </c>
    </row>
    <row r="43" spans="1:30">
      <c r="AB43" s="21">
        <f>F42-AC42</f>
        <v>55200</v>
      </c>
      <c r="AC43" s="21">
        <f>G42+H42+J42+K42+M42+N42+O42+P42+Q42+R42+S42+T42+U42+V42+W42</f>
        <v>0</v>
      </c>
    </row>
    <row r="45" spans="1:30" ht="24.6">
      <c r="A45" s="334" t="s">
        <v>140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35"/>
      <c r="Q45" s="335"/>
      <c r="R45" s="335"/>
      <c r="S45" s="335"/>
      <c r="T45" s="335"/>
      <c r="U45" s="335"/>
      <c r="V45" s="335"/>
      <c r="W45" s="335"/>
      <c r="X45" s="335"/>
      <c r="Y45" s="335"/>
      <c r="Z45" s="335"/>
      <c r="AA45" s="335"/>
      <c r="AB45" s="335"/>
      <c r="AC45" s="335"/>
    </row>
    <row r="46" spans="1:30" ht="28.8" customHeight="1">
      <c r="A46" s="261" t="s">
        <v>0</v>
      </c>
      <c r="B46" s="261"/>
      <c r="C46" s="261" t="s">
        <v>2</v>
      </c>
      <c r="D46" s="261" t="s">
        <v>8</v>
      </c>
      <c r="E46" s="261" t="s">
        <v>1</v>
      </c>
      <c r="F46" s="262" t="s">
        <v>3</v>
      </c>
      <c r="G46" s="317">
        <v>46216</v>
      </c>
      <c r="H46" s="317"/>
      <c r="I46" s="317"/>
      <c r="J46" s="317">
        <v>46217</v>
      </c>
      <c r="K46" s="317"/>
      <c r="L46" s="317"/>
      <c r="M46" s="317">
        <v>46218</v>
      </c>
      <c r="N46" s="317"/>
      <c r="O46" s="317"/>
      <c r="P46" s="317">
        <v>46219</v>
      </c>
      <c r="Q46" s="317"/>
      <c r="R46" s="317"/>
      <c r="S46" s="317">
        <v>46220</v>
      </c>
      <c r="T46" s="317"/>
      <c r="U46" s="317"/>
      <c r="V46" s="317">
        <v>46221</v>
      </c>
      <c r="W46" s="317"/>
      <c r="X46" s="317"/>
      <c r="Y46" s="317">
        <v>46222</v>
      </c>
      <c r="Z46" s="317"/>
      <c r="AA46" s="317"/>
      <c r="AB46" s="332" t="s">
        <v>94</v>
      </c>
      <c r="AC46" s="326" t="s">
        <v>92</v>
      </c>
    </row>
    <row r="47" spans="1:30">
      <c r="A47" s="261"/>
      <c r="B47" s="261"/>
      <c r="C47" s="261"/>
      <c r="D47" s="261"/>
      <c r="E47" s="261"/>
      <c r="F47" s="262"/>
      <c r="G47" s="17" t="s">
        <v>95</v>
      </c>
      <c r="H47" s="17" t="s">
        <v>96</v>
      </c>
      <c r="I47" s="17" t="s">
        <v>98</v>
      </c>
      <c r="J47" s="17" t="s">
        <v>95</v>
      </c>
      <c r="K47" s="17" t="s">
        <v>96</v>
      </c>
      <c r="L47" s="17" t="s">
        <v>98</v>
      </c>
      <c r="M47" s="17" t="s">
        <v>95</v>
      </c>
      <c r="N47" s="17" t="s">
        <v>96</v>
      </c>
      <c r="O47" s="17" t="s">
        <v>98</v>
      </c>
      <c r="P47" s="17" t="s">
        <v>95</v>
      </c>
      <c r="Q47" s="17" t="s">
        <v>96</v>
      </c>
      <c r="R47" s="17" t="s">
        <v>98</v>
      </c>
      <c r="S47" s="17" t="s">
        <v>95</v>
      </c>
      <c r="T47" s="17" t="s">
        <v>96</v>
      </c>
      <c r="U47" s="17" t="s">
        <v>98</v>
      </c>
      <c r="V47" s="17" t="s">
        <v>95</v>
      </c>
      <c r="W47" s="17" t="s">
        <v>96</v>
      </c>
      <c r="X47" s="17" t="s">
        <v>98</v>
      </c>
      <c r="Y47" s="17" t="s">
        <v>95</v>
      </c>
      <c r="Z47" s="17" t="s">
        <v>96</v>
      </c>
      <c r="AA47" s="17" t="s">
        <v>98</v>
      </c>
      <c r="AB47" s="333"/>
      <c r="AC47" s="327"/>
    </row>
    <row r="48" spans="1:30">
      <c r="A48" s="37">
        <v>1</v>
      </c>
      <c r="B48" s="6" t="s">
        <v>75</v>
      </c>
      <c r="C48" s="6" t="s">
        <v>77</v>
      </c>
      <c r="D48" s="6" t="s">
        <v>76</v>
      </c>
      <c r="E48" s="6" t="s">
        <v>78</v>
      </c>
      <c r="F48" s="7">
        <v>2500</v>
      </c>
      <c r="G48" s="20"/>
      <c r="H48" s="20"/>
      <c r="I48" s="103"/>
      <c r="J48" s="103"/>
      <c r="K48" s="103"/>
      <c r="L48" s="103"/>
      <c r="M48" s="103"/>
      <c r="N48" s="103"/>
      <c r="O48" s="20"/>
      <c r="P48" s="20"/>
      <c r="Q48" s="20"/>
      <c r="R48" s="20"/>
      <c r="S48" s="20"/>
      <c r="T48" s="20"/>
      <c r="U48" s="20"/>
      <c r="V48" s="20"/>
      <c r="W48" s="20"/>
      <c r="X48" s="102"/>
      <c r="Y48" s="20"/>
      <c r="Z48" s="20"/>
      <c r="AA48" s="20"/>
      <c r="AB48" s="20">
        <f t="shared" ref="AB48:AB54" si="5">F48-(G48+H48+J48+K48+M48+N48+P48+Q48+R48+S48+T48+V48+W48)</f>
        <v>2500</v>
      </c>
      <c r="AC48" s="20">
        <f t="shared" ref="AC48:AC54" si="6">(G48+H48+J48+K48+M48+N48+P48+Q48+R48+S48+T48+V48+W48)</f>
        <v>0</v>
      </c>
    </row>
    <row r="49" spans="1:35">
      <c r="A49" s="37">
        <v>2</v>
      </c>
      <c r="B49" s="6" t="s">
        <v>79</v>
      </c>
      <c r="C49" s="6" t="s">
        <v>77</v>
      </c>
      <c r="D49" s="6" t="s">
        <v>73</v>
      </c>
      <c r="E49" s="6" t="s">
        <v>74</v>
      </c>
      <c r="F49" s="7">
        <v>1500</v>
      </c>
      <c r="G49" s="20"/>
      <c r="H49" s="20"/>
      <c r="I49" s="103"/>
      <c r="J49" s="103"/>
      <c r="K49" s="103"/>
      <c r="L49" s="103"/>
      <c r="M49" s="103"/>
      <c r="N49" s="103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30">
        <f t="shared" si="5"/>
        <v>1500</v>
      </c>
      <c r="AC49" s="20">
        <f t="shared" si="6"/>
        <v>0</v>
      </c>
      <c r="AF49" s="328" t="s">
        <v>104</v>
      </c>
      <c r="AG49" s="329"/>
      <c r="AH49" s="329"/>
      <c r="AI49" s="329"/>
    </row>
    <row r="50" spans="1:35">
      <c r="A50" s="330">
        <v>3</v>
      </c>
      <c r="B50" s="277" t="s">
        <v>80</v>
      </c>
      <c r="C50" s="277" t="s">
        <v>77</v>
      </c>
      <c r="D50" s="6" t="s">
        <v>81</v>
      </c>
      <c r="E50" s="6" t="s">
        <v>6</v>
      </c>
      <c r="F50" s="7">
        <v>2000</v>
      </c>
      <c r="G50" s="20"/>
      <c r="H50" s="20"/>
      <c r="I50" s="103"/>
      <c r="J50" s="103"/>
      <c r="K50" s="103"/>
      <c r="L50" s="103"/>
      <c r="M50" s="103"/>
      <c r="N50" s="103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>
        <f t="shared" si="5"/>
        <v>2000</v>
      </c>
      <c r="AC50" s="20">
        <f t="shared" si="6"/>
        <v>0</v>
      </c>
      <c r="AF50" s="26" t="s">
        <v>99</v>
      </c>
      <c r="AG50" s="26" t="s">
        <v>100</v>
      </c>
      <c r="AH50" s="26" t="s">
        <v>101</v>
      </c>
      <c r="AI50" s="26" t="s">
        <v>102</v>
      </c>
    </row>
    <row r="51" spans="1:35">
      <c r="A51" s="331"/>
      <c r="B51" s="277"/>
      <c r="C51" s="277"/>
      <c r="D51" s="6" t="s">
        <v>35</v>
      </c>
      <c r="E51" s="6"/>
      <c r="F51" s="7"/>
      <c r="G51" s="20"/>
      <c r="H51" s="20"/>
      <c r="I51" s="103"/>
      <c r="J51" s="103"/>
      <c r="K51" s="103"/>
      <c r="L51" s="103"/>
      <c r="M51" s="103"/>
      <c r="N51" s="103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30">
        <f t="shared" si="5"/>
        <v>0</v>
      </c>
      <c r="AC51" s="20">
        <f t="shared" si="6"/>
        <v>0</v>
      </c>
      <c r="AF51" s="25" t="s">
        <v>95</v>
      </c>
      <c r="AG51" s="13"/>
      <c r="AH51" s="13"/>
      <c r="AI51" s="24">
        <f>(G55+J55+M55+P55+S55+V55)</f>
        <v>0</v>
      </c>
    </row>
    <row r="52" spans="1:35">
      <c r="A52" s="37">
        <v>4</v>
      </c>
      <c r="B52" s="6" t="s">
        <v>82</v>
      </c>
      <c r="C52" s="6" t="s">
        <v>83</v>
      </c>
      <c r="D52" s="6" t="s">
        <v>73</v>
      </c>
      <c r="E52" s="6" t="s">
        <v>84</v>
      </c>
      <c r="F52" s="7">
        <v>1500</v>
      </c>
      <c r="G52" s="20"/>
      <c r="H52" s="20"/>
      <c r="I52" s="103"/>
      <c r="J52" s="103"/>
      <c r="K52" s="103"/>
      <c r="L52" s="103"/>
      <c r="M52" s="103"/>
      <c r="N52" s="103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>
        <f t="shared" si="5"/>
        <v>1500</v>
      </c>
      <c r="AC52" s="20">
        <f t="shared" si="6"/>
        <v>0</v>
      </c>
      <c r="AF52" s="25" t="s">
        <v>96</v>
      </c>
      <c r="AG52" s="13"/>
      <c r="AH52" s="13"/>
      <c r="AI52" s="24">
        <f>H55+K55+N55+Q55+T55+W55</f>
        <v>0</v>
      </c>
    </row>
    <row r="53" spans="1:35">
      <c r="A53" s="37">
        <v>5</v>
      </c>
      <c r="B53" s="6" t="s">
        <v>85</v>
      </c>
      <c r="C53" s="6" t="s">
        <v>83</v>
      </c>
      <c r="D53" s="6" t="s">
        <v>73</v>
      </c>
      <c r="E53" s="6" t="s">
        <v>86</v>
      </c>
      <c r="F53" s="7">
        <v>1500</v>
      </c>
      <c r="H53" s="20"/>
      <c r="I53" s="103"/>
      <c r="J53" s="103"/>
      <c r="K53" s="103"/>
      <c r="L53" s="103"/>
      <c r="M53" s="103"/>
      <c r="N53" s="103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 t="e">
        <f>F53-(M53+H53+J53+K53+#REF!+N53+P53+Q53+R53+S53+T53+V53+W53)</f>
        <v>#REF!</v>
      </c>
      <c r="AC53" s="20" t="e">
        <f>(M53+H53+J53+K53+#REF!+N53+P53+Q53+R53+S53+T53+V53+W53)</f>
        <v>#REF!</v>
      </c>
      <c r="AF53" s="25" t="s">
        <v>98</v>
      </c>
      <c r="AG53" s="13"/>
      <c r="AH53" s="13"/>
      <c r="AI53" s="13"/>
    </row>
    <row r="54" spans="1:35">
      <c r="A54" s="37">
        <v>6</v>
      </c>
      <c r="B54" s="6" t="s">
        <v>87</v>
      </c>
      <c r="C54" s="6" t="s">
        <v>88</v>
      </c>
      <c r="D54" s="6" t="s">
        <v>81</v>
      </c>
      <c r="E54" s="6" t="s">
        <v>89</v>
      </c>
      <c r="F54" s="7">
        <v>2000</v>
      </c>
      <c r="G54" s="20"/>
      <c r="H54" s="20"/>
      <c r="I54" s="103"/>
      <c r="J54" s="103"/>
      <c r="K54" s="103"/>
      <c r="L54" s="103"/>
      <c r="M54" s="103"/>
      <c r="N54" s="103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>
        <f t="shared" si="5"/>
        <v>2000</v>
      </c>
      <c r="AC54" s="20">
        <f t="shared" si="6"/>
        <v>0</v>
      </c>
    </row>
    <row r="55" spans="1:35">
      <c r="A55" s="318" t="s">
        <v>105</v>
      </c>
      <c r="B55" s="324"/>
      <c r="C55" s="324"/>
      <c r="D55" s="324"/>
      <c r="E55" s="324"/>
      <c r="F55" s="28">
        <f>SUM(F48:F54)</f>
        <v>11000</v>
      </c>
      <c r="G55" s="29">
        <f>SUM(G48:G54)</f>
        <v>0</v>
      </c>
      <c r="H55" s="29">
        <f>SUM(H48:H54)</f>
        <v>0</v>
      </c>
      <c r="I55" s="29"/>
      <c r="J55" s="29">
        <f t="shared" ref="J55:AC55" si="7">SUM(J48:J54)</f>
        <v>0</v>
      </c>
      <c r="K55" s="29">
        <f t="shared" si="7"/>
        <v>0</v>
      </c>
      <c r="L55" s="29"/>
      <c r="M55" s="29">
        <f t="shared" si="7"/>
        <v>0</v>
      </c>
      <c r="N55" s="29">
        <f t="shared" si="7"/>
        <v>0</v>
      </c>
      <c r="O55" s="29"/>
      <c r="P55" s="29">
        <f t="shared" si="7"/>
        <v>0</v>
      </c>
      <c r="Q55" s="29">
        <f t="shared" si="7"/>
        <v>0</v>
      </c>
      <c r="R55" s="29">
        <f t="shared" si="7"/>
        <v>0</v>
      </c>
      <c r="S55" s="29">
        <f t="shared" si="7"/>
        <v>0</v>
      </c>
      <c r="T55" s="29">
        <f t="shared" si="7"/>
        <v>0</v>
      </c>
      <c r="U55" s="29"/>
      <c r="V55" s="29">
        <f t="shared" si="7"/>
        <v>0</v>
      </c>
      <c r="W55" s="29">
        <f t="shared" si="7"/>
        <v>0</v>
      </c>
      <c r="X55" s="29"/>
      <c r="Y55" s="29"/>
      <c r="Z55" s="29"/>
      <c r="AA55" s="29"/>
      <c r="AB55" s="43" t="e">
        <f t="shared" si="7"/>
        <v>#REF!</v>
      </c>
      <c r="AC55" s="43" t="e">
        <f t="shared" si="7"/>
        <v>#REF!</v>
      </c>
    </row>
    <row r="59" spans="1:35" ht="24.6">
      <c r="A59" s="325" t="s">
        <v>269</v>
      </c>
      <c r="B59" s="325"/>
      <c r="C59" s="325"/>
      <c r="D59" s="325"/>
      <c r="E59" s="325"/>
      <c r="F59" s="325"/>
      <c r="G59" s="325"/>
      <c r="H59" s="325"/>
      <c r="I59" s="325"/>
      <c r="J59" s="325"/>
      <c r="K59" s="325"/>
      <c r="L59" s="325"/>
      <c r="M59" s="325"/>
      <c r="N59" s="325"/>
      <c r="O59" s="325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</row>
    <row r="60" spans="1:35" ht="28.8" customHeight="1">
      <c r="A60" s="261" t="s">
        <v>0</v>
      </c>
      <c r="B60" s="261"/>
      <c r="C60" s="261" t="s">
        <v>2</v>
      </c>
      <c r="D60" s="261" t="s">
        <v>8</v>
      </c>
      <c r="E60" s="261" t="s">
        <v>1</v>
      </c>
      <c r="F60" s="262" t="s">
        <v>3</v>
      </c>
      <c r="G60" s="31">
        <v>46216</v>
      </c>
      <c r="H60" s="31">
        <v>46217</v>
      </c>
      <c r="I60" s="31">
        <v>46218</v>
      </c>
      <c r="J60" s="31">
        <v>46219</v>
      </c>
      <c r="K60" s="31">
        <v>46220</v>
      </c>
      <c r="L60" s="31">
        <v>46221</v>
      </c>
      <c r="M60" s="31">
        <v>46222</v>
      </c>
      <c r="N60" s="317" t="s">
        <v>94</v>
      </c>
      <c r="O60" s="262" t="s">
        <v>92</v>
      </c>
      <c r="R60" s="58"/>
      <c r="T60" s="58"/>
      <c r="U60" s="58"/>
      <c r="W60" s="58"/>
      <c r="X60" s="58"/>
      <c r="Y60" s="58"/>
      <c r="Z60" s="58"/>
      <c r="AA60" s="58"/>
    </row>
    <row r="61" spans="1:35">
      <c r="A61" s="261"/>
      <c r="B61" s="261"/>
      <c r="C61" s="261"/>
      <c r="D61" s="261"/>
      <c r="E61" s="261"/>
      <c r="F61" s="262"/>
      <c r="G61" s="17" t="s">
        <v>95</v>
      </c>
      <c r="H61" s="17" t="s">
        <v>95</v>
      </c>
      <c r="I61" s="17" t="s">
        <v>95</v>
      </c>
      <c r="J61" s="17" t="s">
        <v>95</v>
      </c>
      <c r="K61" s="17" t="s">
        <v>95</v>
      </c>
      <c r="L61" s="17" t="s">
        <v>95</v>
      </c>
      <c r="M61" s="17" t="s">
        <v>95</v>
      </c>
      <c r="N61" s="317"/>
      <c r="O61" s="262"/>
      <c r="R61" s="59"/>
      <c r="S61" s="59"/>
      <c r="T61" s="59"/>
      <c r="U61" s="59"/>
      <c r="V61" s="59"/>
      <c r="W61" s="59"/>
      <c r="X61" s="59"/>
      <c r="Y61" s="59"/>
      <c r="Z61" s="59"/>
      <c r="AA61" s="59"/>
    </row>
    <row r="62" spans="1:35">
      <c r="A62" s="37">
        <v>1</v>
      </c>
      <c r="B62" s="32" t="s">
        <v>112</v>
      </c>
      <c r="C62" s="315" t="s">
        <v>118</v>
      </c>
      <c r="D62" s="6"/>
      <c r="E62" s="33" t="s">
        <v>106</v>
      </c>
      <c r="F62" s="7"/>
      <c r="G62" s="13"/>
      <c r="H62" s="13"/>
      <c r="I62" s="13"/>
      <c r="J62" s="13"/>
      <c r="K62" s="13"/>
      <c r="L62" s="13"/>
      <c r="M62" s="13"/>
      <c r="N62" s="13"/>
      <c r="O62" s="20">
        <f t="shared" ref="O62:O68" si="8">SUM(G62:N62)</f>
        <v>0</v>
      </c>
      <c r="V62" s="322"/>
      <c r="W62" s="323"/>
      <c r="X62" s="323"/>
      <c r="Y62" s="323"/>
      <c r="Z62" s="323"/>
      <c r="AA62" s="323"/>
      <c r="AB62" s="323"/>
    </row>
    <row r="63" spans="1:35">
      <c r="A63" s="37">
        <v>2</v>
      </c>
      <c r="B63" s="32" t="s">
        <v>113</v>
      </c>
      <c r="C63" s="315"/>
      <c r="D63" s="6"/>
      <c r="E63" s="33" t="s">
        <v>107</v>
      </c>
      <c r="F63" s="7"/>
      <c r="G63" s="13"/>
      <c r="H63" s="13"/>
      <c r="I63" s="13"/>
      <c r="J63" s="13"/>
      <c r="K63" s="13"/>
      <c r="L63" s="13"/>
      <c r="M63" s="13"/>
      <c r="N63" s="13"/>
      <c r="O63" s="20">
        <f t="shared" si="8"/>
        <v>0</v>
      </c>
      <c r="V63" s="158"/>
      <c r="W63" s="158"/>
      <c r="X63" s="158"/>
      <c r="Y63" s="158"/>
      <c r="Z63" s="158"/>
      <c r="AA63" s="158"/>
      <c r="AB63" s="158"/>
    </row>
    <row r="64" spans="1:35">
      <c r="A64" s="37">
        <v>3</v>
      </c>
      <c r="B64" s="32" t="s">
        <v>114</v>
      </c>
      <c r="C64" s="315"/>
      <c r="D64" s="6"/>
      <c r="E64" s="33" t="s">
        <v>108</v>
      </c>
      <c r="F64" s="7"/>
      <c r="G64" s="13"/>
      <c r="H64" s="13"/>
      <c r="I64" s="13"/>
      <c r="J64" s="13"/>
      <c r="K64" s="13"/>
      <c r="L64" s="13"/>
      <c r="M64" s="13"/>
      <c r="N64" s="13"/>
      <c r="O64" s="20">
        <f t="shared" si="8"/>
        <v>0</v>
      </c>
      <c r="V64" s="1"/>
      <c r="W64" s="1"/>
      <c r="X64" s="1"/>
      <c r="Y64" s="1"/>
      <c r="Z64" s="1"/>
      <c r="AA64" s="1"/>
      <c r="AB64" s="71"/>
    </row>
    <row r="65" spans="1:28">
      <c r="A65" s="37">
        <v>4</v>
      </c>
      <c r="B65" s="32" t="s">
        <v>114</v>
      </c>
      <c r="C65" s="315"/>
      <c r="D65" s="6"/>
      <c r="E65" s="33" t="s">
        <v>108</v>
      </c>
      <c r="F65" s="7"/>
      <c r="G65" s="13"/>
      <c r="H65" s="13"/>
      <c r="I65" s="13"/>
      <c r="J65" s="13"/>
      <c r="K65" s="13"/>
      <c r="L65" s="13"/>
      <c r="M65" s="13"/>
      <c r="N65" s="13"/>
      <c r="O65" s="20">
        <f t="shared" si="8"/>
        <v>0</v>
      </c>
      <c r="V65" s="1"/>
      <c r="W65" s="1"/>
      <c r="X65" s="1"/>
      <c r="Y65" s="1"/>
      <c r="Z65" s="1"/>
      <c r="AA65" s="1"/>
      <c r="AB65" s="1"/>
    </row>
    <row r="66" spans="1:28">
      <c r="A66" s="37">
        <v>5</v>
      </c>
      <c r="B66" s="32" t="s">
        <v>115</v>
      </c>
      <c r="C66" s="315"/>
      <c r="D66" s="6"/>
      <c r="E66" s="33" t="s">
        <v>109</v>
      </c>
      <c r="F66" s="7"/>
      <c r="G66" s="13"/>
      <c r="H66" s="13"/>
      <c r="I66" s="13"/>
      <c r="J66" s="13"/>
      <c r="K66" s="13"/>
      <c r="L66" s="13"/>
      <c r="M66" s="13"/>
      <c r="N66" s="13"/>
      <c r="O66" s="20">
        <f t="shared" si="8"/>
        <v>0</v>
      </c>
      <c r="V66" s="1"/>
      <c r="W66" s="1"/>
      <c r="X66" s="1"/>
      <c r="Y66" s="1"/>
      <c r="Z66" s="1"/>
      <c r="AA66" s="1"/>
      <c r="AB66" s="1"/>
    </row>
    <row r="67" spans="1:28">
      <c r="A67" s="37">
        <v>6</v>
      </c>
      <c r="B67" s="32" t="s">
        <v>116</v>
      </c>
      <c r="C67" s="315"/>
      <c r="D67" s="6"/>
      <c r="E67" s="33" t="s">
        <v>110</v>
      </c>
      <c r="F67" s="7"/>
      <c r="G67" s="13"/>
      <c r="H67" s="20"/>
      <c r="I67" s="13"/>
      <c r="J67" s="13"/>
      <c r="K67" s="13"/>
      <c r="L67" s="13"/>
      <c r="M67" s="13"/>
      <c r="N67" s="13"/>
      <c r="O67" s="20">
        <f t="shared" si="8"/>
        <v>0</v>
      </c>
    </row>
    <row r="68" spans="1:28">
      <c r="A68" s="37">
        <v>7</v>
      </c>
      <c r="B68" s="32" t="s">
        <v>117</v>
      </c>
      <c r="C68" s="315"/>
      <c r="D68" s="6"/>
      <c r="E68" s="33" t="s">
        <v>111</v>
      </c>
      <c r="F68" s="7"/>
      <c r="G68" s="13"/>
      <c r="H68" s="13"/>
      <c r="I68" s="13"/>
      <c r="J68" s="13"/>
      <c r="K68" s="13"/>
      <c r="L68" s="13"/>
      <c r="M68" s="13"/>
      <c r="N68" s="13"/>
      <c r="O68" s="20">
        <f t="shared" si="8"/>
        <v>0</v>
      </c>
    </row>
    <row r="69" spans="1:28">
      <c r="A69" s="318" t="s">
        <v>105</v>
      </c>
      <c r="B69" s="324"/>
      <c r="C69" s="324"/>
      <c r="D69" s="324"/>
      <c r="E69" s="324"/>
      <c r="F69" s="36"/>
      <c r="G69" s="13">
        <f>SUM(G62:G68)</f>
        <v>0</v>
      </c>
      <c r="H69" s="20">
        <f>SUM(H62:H68)</f>
        <v>0</v>
      </c>
      <c r="I69" s="13">
        <f>SUM(I62:I68)</f>
        <v>0</v>
      </c>
      <c r="J69" s="13">
        <f t="shared" ref="J69:K69" si="9">SUM(J62:J68)</f>
        <v>0</v>
      </c>
      <c r="K69" s="13">
        <f t="shared" si="9"/>
        <v>0</v>
      </c>
      <c r="L69" s="13">
        <f>SUM(L62:L68)</f>
        <v>0</v>
      </c>
      <c r="M69" s="13">
        <f>SUM(M62:M68)</f>
        <v>0</v>
      </c>
      <c r="N69" s="13">
        <f>SUM(N62:N68)</f>
        <v>0</v>
      </c>
      <c r="O69" s="20">
        <f>SUM(O62:O68)</f>
        <v>0</v>
      </c>
    </row>
    <row r="72" spans="1:28" ht="24.6">
      <c r="A72" s="325" t="s">
        <v>413</v>
      </c>
      <c r="B72" s="325"/>
      <c r="C72" s="325"/>
      <c r="D72" s="325"/>
      <c r="E72" s="325"/>
      <c r="F72" s="325"/>
      <c r="G72" s="325"/>
      <c r="H72" s="325"/>
      <c r="I72" s="325"/>
      <c r="J72" s="325"/>
      <c r="K72" s="325"/>
      <c r="L72" s="325"/>
      <c r="M72" s="325"/>
      <c r="N72" s="325"/>
      <c r="O72" s="325"/>
      <c r="P72" s="325"/>
      <c r="Q72" s="325"/>
      <c r="R72" s="325"/>
      <c r="S72" s="97"/>
      <c r="U72" s="21"/>
    </row>
    <row r="73" spans="1:28">
      <c r="A73" s="261" t="s">
        <v>349</v>
      </c>
      <c r="B73" s="261"/>
      <c r="C73" s="317">
        <v>46216</v>
      </c>
      <c r="D73" s="317"/>
      <c r="E73" s="317">
        <v>46217</v>
      </c>
      <c r="F73" s="317"/>
      <c r="G73" s="317">
        <v>46218</v>
      </c>
      <c r="H73" s="317"/>
      <c r="I73" s="317">
        <v>46219</v>
      </c>
      <c r="J73" s="317"/>
      <c r="K73" s="317">
        <v>46220</v>
      </c>
      <c r="L73" s="317"/>
      <c r="M73" s="317">
        <v>46221</v>
      </c>
      <c r="N73" s="317"/>
      <c r="O73" s="317">
        <v>46222</v>
      </c>
      <c r="P73" s="317"/>
      <c r="Q73" s="13"/>
      <c r="R73" s="13"/>
      <c r="S73" s="97"/>
      <c r="U73" s="21"/>
    </row>
    <row r="74" spans="1:28">
      <c r="A74" s="261"/>
      <c r="B74" s="261"/>
      <c r="C74" s="17" t="s">
        <v>100</v>
      </c>
      <c r="D74" s="17" t="s">
        <v>144</v>
      </c>
      <c r="E74" s="17" t="s">
        <v>100</v>
      </c>
      <c r="F74" s="17" t="s">
        <v>144</v>
      </c>
      <c r="G74" s="17" t="s">
        <v>100</v>
      </c>
      <c r="H74" s="17" t="s">
        <v>144</v>
      </c>
      <c r="I74" s="17" t="s">
        <v>100</v>
      </c>
      <c r="J74" s="17" t="s">
        <v>144</v>
      </c>
      <c r="K74" s="17" t="s">
        <v>100</v>
      </c>
      <c r="L74" s="17" t="s">
        <v>144</v>
      </c>
      <c r="M74" s="17" t="s">
        <v>100</v>
      </c>
      <c r="N74" s="17" t="s">
        <v>144</v>
      </c>
      <c r="O74" s="17" t="s">
        <v>100</v>
      </c>
      <c r="P74" s="17" t="s">
        <v>144</v>
      </c>
      <c r="Q74" s="52" t="s">
        <v>198</v>
      </c>
      <c r="R74" s="61">
        <v>27</v>
      </c>
      <c r="S74" s="97"/>
      <c r="U74" s="21"/>
    </row>
    <row r="75" spans="1:28">
      <c r="A75" s="37">
        <v>1</v>
      </c>
      <c r="B75" s="25" t="s">
        <v>238</v>
      </c>
      <c r="C75" s="23"/>
      <c r="D75" s="154"/>
      <c r="E75" s="108"/>
      <c r="F75" s="13"/>
      <c r="G75" s="6"/>
      <c r="H75" s="13"/>
      <c r="I75" s="199"/>
      <c r="J75" s="13"/>
      <c r="K75" s="13"/>
      <c r="L75" s="13"/>
      <c r="M75" s="6"/>
      <c r="N75" s="13"/>
      <c r="O75" s="13"/>
      <c r="P75" s="13"/>
      <c r="Q75" s="6">
        <f t="shared" ref="Q75:Q80" si="10">O75+M75+K75+I75+G75+E75+C75</f>
        <v>0</v>
      </c>
      <c r="R75" s="284"/>
      <c r="S75" s="97"/>
      <c r="U75" s="21"/>
    </row>
    <row r="76" spans="1:28">
      <c r="A76" s="37">
        <v>2</v>
      </c>
      <c r="B76" s="25" t="s">
        <v>221</v>
      </c>
      <c r="C76" s="23"/>
      <c r="D76" s="23"/>
      <c r="E76" s="108"/>
      <c r="F76"/>
      <c r="G76" s="6"/>
      <c r="H76" s="13"/>
      <c r="I76" s="199"/>
      <c r="J76" s="13"/>
      <c r="K76" s="13"/>
      <c r="L76" s="13"/>
      <c r="M76" s="13"/>
      <c r="N76" s="13"/>
      <c r="O76" s="13"/>
      <c r="P76" s="13"/>
      <c r="Q76" s="6">
        <f t="shared" si="10"/>
        <v>0</v>
      </c>
      <c r="R76" s="284"/>
      <c r="S76" s="97"/>
      <c r="U76" s="21"/>
    </row>
    <row r="77" spans="1:28">
      <c r="A77" s="37">
        <v>3</v>
      </c>
      <c r="B77" s="25" t="s">
        <v>222</v>
      </c>
      <c r="C77" s="23"/>
      <c r="D77" s="23"/>
      <c r="E77" s="13"/>
      <c r="F77" s="13"/>
      <c r="G77" s="6"/>
      <c r="H77" s="13"/>
      <c r="I77" s="199"/>
      <c r="J77" s="13"/>
      <c r="K77" s="13"/>
      <c r="L77" s="13"/>
      <c r="M77" s="13"/>
      <c r="N77" s="13"/>
      <c r="O77" s="13"/>
      <c r="P77" s="13"/>
      <c r="Q77" s="6">
        <f t="shared" si="10"/>
        <v>0</v>
      </c>
      <c r="R77" s="284"/>
      <c r="S77" s="97"/>
      <c r="U77" s="21"/>
    </row>
    <row r="78" spans="1:28">
      <c r="A78" s="37">
        <v>4</v>
      </c>
      <c r="B78" s="25" t="s">
        <v>202</v>
      </c>
      <c r="C78" s="23"/>
      <c r="D78" s="23"/>
      <c r="E78" s="13"/>
      <c r="F78" s="13"/>
      <c r="G78" s="6"/>
      <c r="H78" s="13"/>
      <c r="I78" s="199"/>
      <c r="J78" s="13"/>
      <c r="K78" s="13"/>
      <c r="L78" s="13"/>
      <c r="M78" s="13"/>
      <c r="N78" s="13"/>
      <c r="O78" s="13"/>
      <c r="P78" s="13"/>
      <c r="Q78" s="6">
        <f t="shared" si="10"/>
        <v>0</v>
      </c>
      <c r="R78" s="284"/>
      <c r="S78" s="97"/>
      <c r="U78" s="21"/>
    </row>
    <row r="79" spans="1:28">
      <c r="A79" s="37">
        <v>5</v>
      </c>
      <c r="B79" s="25" t="s">
        <v>197</v>
      </c>
      <c r="C79" s="23"/>
      <c r="D79" s="23"/>
      <c r="E79" s="13"/>
      <c r="F79" s="13"/>
      <c r="G79" s="13"/>
      <c r="H79" s="13"/>
      <c r="I79" s="23"/>
      <c r="J79" s="13"/>
      <c r="K79" s="13"/>
      <c r="L79" s="13"/>
      <c r="M79" s="13"/>
      <c r="N79" s="13"/>
      <c r="O79" s="13"/>
      <c r="P79" s="13"/>
      <c r="Q79" s="6">
        <f t="shared" si="10"/>
        <v>0</v>
      </c>
      <c r="R79" s="284"/>
      <c r="S79" s="97"/>
      <c r="U79" s="21"/>
    </row>
    <row r="80" spans="1:28">
      <c r="A80" s="37">
        <v>6</v>
      </c>
      <c r="B80" s="25" t="s">
        <v>203</v>
      </c>
      <c r="C80" s="23"/>
      <c r="D80" s="23"/>
      <c r="E80" s="13"/>
      <c r="F80" s="13"/>
      <c r="G80" s="13"/>
      <c r="H80" s="13"/>
      <c r="I80" s="23"/>
      <c r="J80" s="13"/>
      <c r="K80" s="13"/>
      <c r="L80" s="13"/>
      <c r="M80" s="13"/>
      <c r="N80" s="13"/>
      <c r="O80" s="13"/>
      <c r="P80" s="13"/>
      <c r="Q80" s="6">
        <f t="shared" si="10"/>
        <v>0</v>
      </c>
      <c r="R80" s="284"/>
      <c r="S80" s="97"/>
      <c r="U80" s="21"/>
    </row>
    <row r="81" spans="1:21">
      <c r="A81" s="37">
        <v>7</v>
      </c>
      <c r="B81" s="98" t="s">
        <v>223</v>
      </c>
      <c r="C81" s="23"/>
      <c r="D81" s="23"/>
      <c r="E81" s="6"/>
      <c r="F81"/>
      <c r="G81" s="6"/>
      <c r="I81" s="199"/>
      <c r="J81" s="13"/>
      <c r="K81" s="13"/>
      <c r="L81" s="13"/>
      <c r="M81" s="13"/>
      <c r="N81" s="13"/>
      <c r="O81" s="13"/>
      <c r="P81" s="13"/>
      <c r="Q81" s="6">
        <f t="shared" ref="Q81:Q84" si="11">O81+M81+K81+I81+G81+E81+C81</f>
        <v>0</v>
      </c>
      <c r="R81" s="284"/>
      <c r="S81" s="97"/>
      <c r="U81" s="21"/>
    </row>
    <row r="82" spans="1:21">
      <c r="A82" s="37">
        <v>8</v>
      </c>
      <c r="B82" s="213" t="s">
        <v>272</v>
      </c>
      <c r="C82" s="13"/>
      <c r="D82" s="13"/>
      <c r="E82"/>
      <c r="F82"/>
      <c r="G82" s="1"/>
      <c r="I82" s="22"/>
      <c r="J82" s="13"/>
      <c r="K82" s="13"/>
      <c r="L82" s="13"/>
      <c r="M82" s="13"/>
      <c r="N82" s="13"/>
      <c r="O82" s="13"/>
      <c r="P82" s="13"/>
      <c r="Q82" s="6">
        <f t="shared" si="11"/>
        <v>0</v>
      </c>
      <c r="R82" s="284"/>
      <c r="S82" s="97"/>
      <c r="U82" s="21"/>
    </row>
    <row r="83" spans="1:21">
      <c r="A83" s="37">
        <v>9</v>
      </c>
      <c r="B83" s="213" t="s">
        <v>273</v>
      </c>
      <c r="C83" s="13"/>
      <c r="D83" s="13"/>
      <c r="E83" s="13"/>
      <c r="F83" s="13"/>
      <c r="G83" s="13"/>
      <c r="H83" s="13"/>
      <c r="I83" s="23"/>
      <c r="J83" s="13"/>
      <c r="K83" s="13"/>
      <c r="L83" s="13"/>
      <c r="M83" s="13"/>
      <c r="N83" s="13"/>
      <c r="O83" s="13"/>
      <c r="P83" s="13"/>
      <c r="Q83" s="6">
        <f t="shared" si="11"/>
        <v>0</v>
      </c>
      <c r="R83" s="284"/>
      <c r="S83" s="97"/>
      <c r="U83" s="21"/>
    </row>
    <row r="84" spans="1:21">
      <c r="A84" s="37">
        <v>10</v>
      </c>
      <c r="B84" s="213" t="s">
        <v>274</v>
      </c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6">
        <f t="shared" si="11"/>
        <v>0</v>
      </c>
      <c r="R84" s="284"/>
      <c r="S84" s="97"/>
      <c r="U84" s="21"/>
    </row>
    <row r="85" spans="1:21">
      <c r="A85" s="318" t="s">
        <v>105</v>
      </c>
      <c r="B85" s="318"/>
      <c r="C85" s="27">
        <f>SUM(C75:C84)</f>
        <v>0</v>
      </c>
      <c r="D85" s="27"/>
      <c r="E85" s="27">
        <f>SUM(E75:E84)</f>
        <v>0</v>
      </c>
      <c r="F85" s="27"/>
      <c r="G85" s="27">
        <f>SUM(G75:G84)</f>
        <v>0</v>
      </c>
      <c r="H85" s="27"/>
      <c r="I85" s="27">
        <f>SUM(I75:I84)</f>
        <v>0</v>
      </c>
      <c r="J85" s="27"/>
      <c r="K85" s="27">
        <f>SUM(K75:K84)</f>
        <v>0</v>
      </c>
      <c r="L85" s="27"/>
      <c r="M85" s="27">
        <f>SUM(M75:M84)</f>
        <v>0</v>
      </c>
      <c r="N85" s="27"/>
      <c r="O85" s="27">
        <f>SUM(O75:O84)</f>
        <v>0</v>
      </c>
      <c r="P85" s="27"/>
      <c r="Q85" s="14">
        <f>SUM(Q75:Q84)</f>
        <v>0</v>
      </c>
      <c r="R85" s="90">
        <f>Q85*R74</f>
        <v>0</v>
      </c>
      <c r="S85" s="97"/>
      <c r="U85" s="21"/>
    </row>
    <row r="86" spans="1:21">
      <c r="A86" s="318"/>
      <c r="B86" s="318"/>
      <c r="C86" s="29">
        <f>C85*27</f>
        <v>0</v>
      </c>
      <c r="D86" s="152"/>
      <c r="E86" s="29">
        <f>E85*27</f>
        <v>0</v>
      </c>
      <c r="F86" s="152"/>
      <c r="G86" s="29">
        <f>G85*27</f>
        <v>0</v>
      </c>
      <c r="H86" s="152"/>
      <c r="I86" s="29">
        <f>I85*27</f>
        <v>0</v>
      </c>
      <c r="J86" s="152"/>
      <c r="K86" s="29">
        <f>K85*27</f>
        <v>0</v>
      </c>
      <c r="L86" s="152"/>
      <c r="M86" s="29">
        <f>M85*27</f>
        <v>0</v>
      </c>
      <c r="N86" s="152"/>
      <c r="O86" s="29">
        <f>O85*27</f>
        <v>0</v>
      </c>
      <c r="P86" s="153"/>
      <c r="Q86" s="24">
        <f>O86+M86+K86+I86+G86+E86+C86</f>
        <v>0</v>
      </c>
      <c r="R86" s="13"/>
      <c r="S86" s="97"/>
      <c r="U86" s="21"/>
    </row>
    <row r="87" spans="1:21" ht="28.8">
      <c r="A87"/>
      <c r="B87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90"/>
      <c r="P87" s="210" t="s">
        <v>402</v>
      </c>
      <c r="Q87" s="204">
        <f>P86+N86+L86+J86+H86+F86+D86</f>
        <v>0</v>
      </c>
      <c r="R87" s="13"/>
      <c r="S87" s="97"/>
      <c r="U87" s="21"/>
    </row>
    <row r="88" spans="1:21">
      <c r="F88" s="94"/>
      <c r="S88" s="97"/>
      <c r="U88" s="21"/>
    </row>
    <row r="89" spans="1:21">
      <c r="F89" s="94"/>
      <c r="S89" s="97"/>
      <c r="U89" s="21"/>
    </row>
    <row r="90" spans="1:21">
      <c r="S90" s="97"/>
      <c r="U90" s="21"/>
    </row>
    <row r="91" spans="1:21" ht="19.8">
      <c r="B91" s="319" t="s">
        <v>414</v>
      </c>
      <c r="C91" s="320"/>
      <c r="D91" s="320"/>
      <c r="E91" s="320"/>
      <c r="F91" s="320"/>
      <c r="G91" s="320"/>
      <c r="H91" s="320"/>
      <c r="I91" s="320"/>
      <c r="J91" s="320"/>
      <c r="K91" s="320"/>
      <c r="L91" s="320"/>
      <c r="M91" s="320"/>
      <c r="N91" s="320"/>
      <c r="O91" s="320"/>
      <c r="P91" s="321"/>
      <c r="S91" s="97"/>
      <c r="U91" s="21"/>
    </row>
    <row r="92" spans="1:21">
      <c r="B92" s="308">
        <v>46216</v>
      </c>
      <c r="C92" s="312"/>
      <c r="D92" s="308">
        <v>46217</v>
      </c>
      <c r="E92" s="309"/>
      <c r="F92" s="308">
        <v>46218</v>
      </c>
      <c r="G92" s="312"/>
      <c r="H92" s="308">
        <v>46219</v>
      </c>
      <c r="I92" s="309"/>
      <c r="J92" s="308">
        <v>46220</v>
      </c>
      <c r="K92" s="312"/>
      <c r="L92" s="308">
        <v>46221</v>
      </c>
      <c r="M92" s="309"/>
      <c r="N92" s="308">
        <v>46222</v>
      </c>
      <c r="O92" s="312"/>
      <c r="P92" s="315" t="s">
        <v>180</v>
      </c>
      <c r="S92" s="97"/>
      <c r="U92" s="21"/>
    </row>
    <row r="93" spans="1:21">
      <c r="B93" s="313"/>
      <c r="C93" s="314"/>
      <c r="D93" s="310"/>
      <c r="E93" s="311"/>
      <c r="F93" s="313"/>
      <c r="G93" s="314"/>
      <c r="H93" s="310"/>
      <c r="I93" s="311"/>
      <c r="J93" s="313"/>
      <c r="K93" s="314"/>
      <c r="L93" s="310"/>
      <c r="M93" s="311"/>
      <c r="N93" s="313"/>
      <c r="O93" s="314"/>
      <c r="P93" s="315"/>
      <c r="S93" s="97"/>
      <c r="U93" s="21"/>
    </row>
    <row r="94" spans="1:21">
      <c r="B94" s="120" t="s">
        <v>189</v>
      </c>
      <c r="C94" s="120" t="s">
        <v>405</v>
      </c>
      <c r="D94" s="120" t="s">
        <v>189</v>
      </c>
      <c r="E94" s="120" t="s">
        <v>405</v>
      </c>
      <c r="F94" s="120" t="s">
        <v>189</v>
      </c>
      <c r="G94" s="120" t="s">
        <v>405</v>
      </c>
      <c r="H94" s="120" t="s">
        <v>189</v>
      </c>
      <c r="I94" s="120" t="s">
        <v>405</v>
      </c>
      <c r="J94" s="120" t="s">
        <v>189</v>
      </c>
      <c r="K94" s="120" t="s">
        <v>405</v>
      </c>
      <c r="L94" s="120" t="s">
        <v>189</v>
      </c>
      <c r="M94" s="120" t="s">
        <v>405</v>
      </c>
      <c r="N94" s="120" t="s">
        <v>189</v>
      </c>
      <c r="O94" s="120" t="s">
        <v>405</v>
      </c>
      <c r="P94" s="315"/>
    </row>
    <row r="95" spans="1:21">
      <c r="B95" s="103"/>
      <c r="C95" s="316"/>
      <c r="D95" s="103"/>
      <c r="E95" s="277"/>
      <c r="F95" s="103"/>
      <c r="G95" s="103"/>
      <c r="H95" s="103"/>
      <c r="I95" s="209"/>
      <c r="J95" s="103"/>
      <c r="K95" s="103"/>
      <c r="L95" s="103"/>
      <c r="M95" s="103"/>
      <c r="N95" s="13"/>
      <c r="O95" s="13"/>
      <c r="P95" s="315"/>
    </row>
    <row r="96" spans="1:21">
      <c r="B96" s="103"/>
      <c r="C96" s="316"/>
      <c r="D96" s="103"/>
      <c r="E96" s="277"/>
      <c r="F96" s="103"/>
      <c r="G96" s="103"/>
      <c r="H96" s="13"/>
      <c r="I96" s="13"/>
      <c r="J96" s="103"/>
      <c r="K96" s="103"/>
      <c r="L96" s="103"/>
      <c r="M96" s="13"/>
      <c r="N96" s="13"/>
      <c r="O96" s="13"/>
      <c r="P96" s="315"/>
    </row>
    <row r="97" spans="2:23">
      <c r="B97" s="103"/>
      <c r="C97" s="103"/>
      <c r="D97" s="103"/>
      <c r="E97" s="277"/>
      <c r="F97" s="103"/>
      <c r="G97" s="103"/>
      <c r="H97" s="13"/>
      <c r="I97" s="13"/>
      <c r="J97" s="13"/>
      <c r="K97" s="13"/>
      <c r="L97" s="103"/>
      <c r="M97" s="103"/>
      <c r="N97" s="13"/>
      <c r="O97" s="13"/>
      <c r="P97" s="315"/>
    </row>
    <row r="98" spans="2:23">
      <c r="B98" s="13"/>
      <c r="C98" s="13"/>
      <c r="D98" s="13"/>
      <c r="E98" s="13"/>
      <c r="F98" s="103"/>
      <c r="G98" s="103"/>
      <c r="H98" s="13"/>
      <c r="I98" s="13"/>
      <c r="J98" s="13"/>
      <c r="K98" s="13"/>
      <c r="L98" s="103"/>
      <c r="M98" s="103"/>
      <c r="N98" s="13"/>
      <c r="O98" s="13"/>
      <c r="P98" s="315"/>
    </row>
    <row r="99" spans="2:23">
      <c r="B99" s="207">
        <f>SUM(B95:B98)</f>
        <v>0</v>
      </c>
      <c r="C99" s="208"/>
      <c r="D99" s="207">
        <f>SUM(D95:D98)</f>
        <v>0</v>
      </c>
      <c r="E99" s="208"/>
      <c r="F99" s="207">
        <f>SUM(F95:F98)</f>
        <v>0</v>
      </c>
      <c r="G99" s="208"/>
      <c r="H99" s="207">
        <f>SUM(H95:H98)</f>
        <v>0</v>
      </c>
      <c r="I99" s="208"/>
      <c r="J99" s="207">
        <f>SUM(J95:J98)</f>
        <v>0</v>
      </c>
      <c r="K99" s="208"/>
      <c r="L99" s="207">
        <f>SUM(L95:L98)</f>
        <v>0</v>
      </c>
      <c r="M99" s="206"/>
      <c r="N99" s="206"/>
      <c r="O99" s="206"/>
      <c r="P99" s="182">
        <f>SUM(B99:O99)</f>
        <v>0</v>
      </c>
    </row>
    <row r="102" spans="2:23">
      <c r="F102" s="94"/>
      <c r="S102" s="97"/>
    </row>
    <row r="103" spans="2:23">
      <c r="F103" s="94"/>
      <c r="S103" s="97"/>
    </row>
    <row r="104" spans="2:23" ht="15.6">
      <c r="B104" s="290" t="s">
        <v>415</v>
      </c>
      <c r="C104" s="290"/>
      <c r="D104" s="290"/>
      <c r="E104" s="290"/>
      <c r="F104" s="290"/>
    </row>
    <row r="105" spans="2:23" ht="15.6">
      <c r="B105" s="72" t="s">
        <v>190</v>
      </c>
      <c r="C105" s="290"/>
      <c r="D105" s="290"/>
      <c r="E105" s="290"/>
      <c r="F105" s="290"/>
    </row>
    <row r="106" spans="2:23" ht="43.2" customHeight="1">
      <c r="B106" s="291" t="s">
        <v>409</v>
      </c>
      <c r="C106" s="293">
        <f>G42+J42+M42+P42+S42+V42+G55+J55+M55+P55+S55+V55+Y55</f>
        <v>0</v>
      </c>
      <c r="D106" s="108"/>
      <c r="E106" s="108"/>
      <c r="F106" s="7"/>
      <c r="G106" s="2"/>
      <c r="K106" s="1"/>
      <c r="L106" s="1"/>
    </row>
    <row r="107" spans="2:23" ht="43.2" customHeight="1">
      <c r="B107" s="292"/>
      <c r="C107" s="294"/>
      <c r="D107" s="108"/>
      <c r="E107" s="108"/>
      <c r="F107" s="7"/>
      <c r="G107" s="2"/>
      <c r="H107" s="295" t="s">
        <v>294</v>
      </c>
      <c r="I107" s="296"/>
      <c r="K107" s="297" t="s">
        <v>293</v>
      </c>
      <c r="L107" s="297"/>
      <c r="M107" s="297"/>
    </row>
    <row r="108" spans="2:23" ht="15">
      <c r="B108" s="112" t="s">
        <v>214</v>
      </c>
      <c r="C108" s="113">
        <f>G69+H69+I69+J69+K69+L69+M69</f>
        <v>0</v>
      </c>
      <c r="D108" s="114"/>
      <c r="E108" s="115">
        <f>C108</f>
        <v>0</v>
      </c>
      <c r="F108" s="7"/>
      <c r="H108" s="133" t="s">
        <v>95</v>
      </c>
      <c r="I108" s="134">
        <f>F110</f>
        <v>0</v>
      </c>
      <c r="K108" s="108" t="s">
        <v>234</v>
      </c>
      <c r="L108" s="135">
        <f>C107+E109+C115</f>
        <v>0</v>
      </c>
      <c r="M108" s="110"/>
    </row>
    <row r="109" spans="2:23" ht="15">
      <c r="B109" s="69" t="s">
        <v>268</v>
      </c>
      <c r="C109" s="70"/>
      <c r="D109" s="50"/>
      <c r="E109" s="111"/>
      <c r="F109" s="116"/>
      <c r="H109" s="133" t="s">
        <v>233</v>
      </c>
      <c r="I109" s="134">
        <f>C119</f>
        <v>0</v>
      </c>
      <c r="K109" s="108" t="s">
        <v>235</v>
      </c>
      <c r="L109" s="136" t="e">
        <f>#REF!</f>
        <v>#REF!</v>
      </c>
      <c r="M109" s="108"/>
      <c r="W109" s="1"/>
    </row>
    <row r="110" spans="2:23" ht="15" customHeight="1">
      <c r="B110" s="298" t="s">
        <v>180</v>
      </c>
      <c r="C110" s="299"/>
      <c r="D110" s="299"/>
      <c r="E110" s="300"/>
      <c r="F110" s="304">
        <f>C109+C106</f>
        <v>0</v>
      </c>
      <c r="H110" s="306" t="s">
        <v>138</v>
      </c>
      <c r="I110" s="307">
        <f>SUM(I108:I109)</f>
        <v>0</v>
      </c>
      <c r="K110" s="91" t="s">
        <v>236</v>
      </c>
      <c r="L110" s="103" t="e">
        <f>L108+L109</f>
        <v>#REF!</v>
      </c>
      <c r="M110" s="13"/>
      <c r="W110" s="1"/>
    </row>
    <row r="111" spans="2:23" ht="15.6" customHeight="1">
      <c r="B111" s="301"/>
      <c r="C111" s="302"/>
      <c r="D111" s="302"/>
      <c r="E111" s="303"/>
      <c r="F111" s="305"/>
      <c r="H111" s="306"/>
      <c r="I111" s="307"/>
      <c r="K111" s="1"/>
      <c r="L111" s="1"/>
      <c r="W111" s="1"/>
    </row>
    <row r="112" spans="2:23">
      <c r="I112" s="97"/>
      <c r="K112" s="1"/>
      <c r="L112" s="1"/>
      <c r="W112" s="1"/>
    </row>
    <row r="113" spans="2:23" ht="15.6">
      <c r="B113" s="281" t="s">
        <v>410</v>
      </c>
      <c r="C113" s="281"/>
      <c r="D113" s="281"/>
      <c r="E113" s="281"/>
      <c r="F113" s="281"/>
      <c r="I113" s="97"/>
      <c r="K113" s="1"/>
      <c r="L113" s="1"/>
      <c r="W113" s="1"/>
    </row>
    <row r="114" spans="2:23" ht="15.6">
      <c r="B114" s="86" t="s">
        <v>188</v>
      </c>
      <c r="C114" s="86" t="s">
        <v>189</v>
      </c>
      <c r="D114" s="174" t="s">
        <v>387</v>
      </c>
      <c r="E114" s="174" t="s">
        <v>388</v>
      </c>
      <c r="F114" s="174"/>
      <c r="I114" s="97"/>
      <c r="W114" s="1"/>
    </row>
    <row r="115" spans="2:23" ht="30.6">
      <c r="B115" s="131" t="s">
        <v>411</v>
      </c>
      <c r="C115" s="70">
        <f>H42+K42+N42+Q42+T42+W42+H55+K55+N55+Q55+T55+W55+Z55</f>
        <v>0</v>
      </c>
      <c r="D115" s="191"/>
      <c r="E115" s="192"/>
      <c r="F115" s="7"/>
    </row>
    <row r="116" spans="2:23" ht="15.6">
      <c r="B116" s="131" t="s">
        <v>333</v>
      </c>
      <c r="C116" s="70"/>
      <c r="D116" s="191"/>
      <c r="E116" s="192"/>
      <c r="F116" s="7"/>
    </row>
    <row r="117" spans="2:23" ht="30.6">
      <c r="B117" s="131" t="s">
        <v>412</v>
      </c>
      <c r="C117"/>
      <c r="D117" s="257"/>
      <c r="E117" s="257"/>
      <c r="F117" s="7"/>
      <c r="K117" s="282"/>
      <c r="W117" s="147"/>
    </row>
    <row r="118" spans="2:23" ht="15.6">
      <c r="B118" s="131" t="s">
        <v>333</v>
      </c>
      <c r="C118" s="130"/>
      <c r="D118" s="50"/>
      <c r="E118" s="50"/>
      <c r="F118" s="7"/>
      <c r="K118" s="282"/>
      <c r="W118" s="147"/>
    </row>
    <row r="119" spans="2:23" ht="15.6">
      <c r="B119" s="132" t="s">
        <v>180</v>
      </c>
      <c r="C119" s="74">
        <f>C115+C117</f>
        <v>0</v>
      </c>
      <c r="D119" s="284"/>
      <c r="E119" s="284"/>
      <c r="F119" s="7"/>
      <c r="K119" s="283"/>
    </row>
    <row r="123" spans="2:23" ht="21">
      <c r="B123" s="285" t="s">
        <v>416</v>
      </c>
      <c r="C123" s="286"/>
      <c r="D123" s="286"/>
      <c r="E123" s="286"/>
      <c r="F123" s="286"/>
      <c r="G123" s="286"/>
      <c r="H123" s="286"/>
    </row>
    <row r="124" spans="2:23">
      <c r="B124" s="165" t="s">
        <v>296</v>
      </c>
      <c r="C124" s="165" t="s">
        <v>2</v>
      </c>
      <c r="D124" s="165" t="s">
        <v>297</v>
      </c>
      <c r="E124" s="166" t="s">
        <v>298</v>
      </c>
      <c r="F124" s="165" t="s">
        <v>295</v>
      </c>
      <c r="G124" s="165" t="s">
        <v>92</v>
      </c>
      <c r="H124" s="165" t="s">
        <v>299</v>
      </c>
    </row>
    <row r="125" spans="2:23">
      <c r="B125" s="167"/>
      <c r="C125" s="50"/>
      <c r="D125" s="50"/>
      <c r="E125" s="50"/>
      <c r="F125" s="163"/>
      <c r="G125" s="68"/>
      <c r="H125" s="164"/>
    </row>
    <row r="126" spans="2:23">
      <c r="B126" s="168"/>
      <c r="C126" s="50"/>
      <c r="D126" s="50"/>
      <c r="E126" s="50"/>
      <c r="F126" s="163"/>
      <c r="G126" s="68"/>
      <c r="H126" s="164"/>
    </row>
    <row r="127" spans="2:23">
      <c r="B127" s="168"/>
      <c r="C127" s="50"/>
      <c r="D127" s="50"/>
      <c r="E127" s="50"/>
      <c r="F127" s="163"/>
      <c r="G127" s="68"/>
      <c r="H127" s="164"/>
    </row>
    <row r="128" spans="2:23" ht="15" customHeight="1">
      <c r="B128" s="214"/>
      <c r="C128" s="6"/>
      <c r="D128" s="6"/>
      <c r="E128" s="6"/>
      <c r="F128" s="48"/>
      <c r="G128" s="68"/>
      <c r="H128" s="215"/>
    </row>
    <row r="129" spans="2:8">
      <c r="B129" s="168"/>
      <c r="C129" s="50"/>
      <c r="D129" s="50"/>
      <c r="E129" s="50"/>
      <c r="F129" s="163"/>
      <c r="G129" s="68"/>
      <c r="H129" s="164"/>
    </row>
    <row r="130" spans="2:8">
      <c r="B130" s="168"/>
      <c r="C130" s="50"/>
      <c r="D130" s="50"/>
      <c r="E130" s="50"/>
      <c r="F130" s="163"/>
      <c r="G130" s="68"/>
      <c r="H130" s="164"/>
    </row>
    <row r="131" spans="2:8">
      <c r="B131" s="167"/>
      <c r="C131" s="50"/>
      <c r="D131" s="50"/>
      <c r="E131" s="50"/>
      <c r="F131" s="163"/>
      <c r="G131" s="68"/>
      <c r="H131" s="164"/>
    </row>
    <row r="132" spans="2:8">
      <c r="B132" s="167"/>
      <c r="C132" s="50"/>
      <c r="D132" s="50"/>
      <c r="E132" s="50"/>
      <c r="F132" s="163"/>
      <c r="G132" s="68"/>
      <c r="H132" s="164"/>
    </row>
    <row r="133" spans="2:8">
      <c r="B133" s="167"/>
      <c r="C133" s="50"/>
      <c r="D133" s="50"/>
      <c r="E133" s="50"/>
      <c r="F133" s="163"/>
      <c r="G133" s="68"/>
      <c r="H133" s="164"/>
    </row>
    <row r="134" spans="2:8">
      <c r="B134" s="167"/>
      <c r="C134" s="50"/>
      <c r="D134" s="50"/>
      <c r="E134" s="50"/>
      <c r="F134" s="163"/>
      <c r="G134" s="68"/>
      <c r="H134" s="164"/>
    </row>
    <row r="135" spans="2:8">
      <c r="B135" s="167"/>
      <c r="C135" s="50"/>
      <c r="D135" s="50"/>
      <c r="E135" s="50"/>
      <c r="F135" s="163"/>
      <c r="G135" s="68"/>
      <c r="H135" s="164"/>
    </row>
    <row r="136" spans="2:8">
      <c r="B136" s="168"/>
      <c r="C136" s="109"/>
      <c r="D136" s="50"/>
      <c r="E136" s="50"/>
      <c r="F136" s="163"/>
      <c r="G136" s="68"/>
      <c r="H136" s="164"/>
    </row>
    <row r="137" spans="2:8">
      <c r="B137" s="168"/>
      <c r="C137" s="109"/>
      <c r="D137" s="50"/>
      <c r="E137" s="50"/>
      <c r="F137" s="163"/>
      <c r="G137" s="68"/>
      <c r="H137" s="164"/>
    </row>
    <row r="138" spans="2:8">
      <c r="B138" s="167"/>
      <c r="C138" s="50"/>
      <c r="D138" s="50"/>
      <c r="E138" s="50"/>
      <c r="F138" s="163"/>
      <c r="G138" s="68"/>
      <c r="H138" s="164"/>
    </row>
    <row r="139" spans="2:8">
      <c r="B139" s="167"/>
      <c r="C139" s="50"/>
      <c r="D139" s="50"/>
      <c r="E139" s="50"/>
      <c r="F139" s="163"/>
      <c r="G139" s="68"/>
      <c r="H139" s="164"/>
    </row>
    <row r="140" spans="2:8">
      <c r="B140" s="167"/>
      <c r="C140" s="50"/>
      <c r="D140" s="50"/>
      <c r="E140" s="50"/>
      <c r="F140" s="163"/>
      <c r="G140" s="68"/>
      <c r="H140" s="164"/>
    </row>
    <row r="141" spans="2:8">
      <c r="B141" s="167"/>
      <c r="C141" s="50"/>
      <c r="D141" s="50"/>
      <c r="E141" s="50"/>
      <c r="F141" s="163"/>
      <c r="G141" s="68"/>
      <c r="H141" s="164"/>
    </row>
    <row r="142" spans="2:8" ht="21">
      <c r="B142" s="287" t="s">
        <v>138</v>
      </c>
      <c r="C142" s="288"/>
      <c r="D142" s="288"/>
      <c r="E142" s="288"/>
      <c r="F142" s="288"/>
      <c r="G142" s="289"/>
      <c r="H142" s="169">
        <f>SUM(H125:H141)</f>
        <v>0</v>
      </c>
    </row>
    <row r="143" spans="2:8">
      <c r="B143" s="161"/>
    </row>
    <row r="144" spans="2:8">
      <c r="B144" s="161"/>
    </row>
    <row r="145" spans="2:10">
      <c r="B145" s="161"/>
    </row>
    <row r="146" spans="2:10">
      <c r="B146" s="280" t="s">
        <v>417</v>
      </c>
      <c r="C146" s="280"/>
      <c r="D146" s="280"/>
      <c r="E146" s="280"/>
      <c r="F146" s="280"/>
      <c r="G146" s="280"/>
      <c r="H146" s="280"/>
    </row>
    <row r="147" spans="2:10" ht="28.8">
      <c r="B147" s="37" t="s">
        <v>296</v>
      </c>
      <c r="C147" s="37" t="s">
        <v>349</v>
      </c>
      <c r="D147" s="37" t="s">
        <v>366</v>
      </c>
      <c r="E147" s="140" t="s">
        <v>364</v>
      </c>
      <c r="F147" s="56" t="s">
        <v>368</v>
      </c>
      <c r="G147" s="141" t="s">
        <v>369</v>
      </c>
      <c r="H147" s="98" t="s">
        <v>370</v>
      </c>
    </row>
    <row r="148" spans="2:10">
      <c r="B148" s="277" t="s">
        <v>309</v>
      </c>
      <c r="C148" s="6" t="s">
        <v>352</v>
      </c>
      <c r="D148" s="277">
        <v>400</v>
      </c>
      <c r="E148" s="278">
        <f>D148*7</f>
        <v>2800</v>
      </c>
      <c r="F148" s="6"/>
      <c r="G148" s="277">
        <f>F148+F149+F150</f>
        <v>0</v>
      </c>
      <c r="H148" s="277">
        <f>E148-G148</f>
        <v>2800</v>
      </c>
    </row>
    <row r="149" spans="2:10">
      <c r="B149" s="277"/>
      <c r="C149" s="6" t="s">
        <v>353</v>
      </c>
      <c r="D149" s="277"/>
      <c r="E149" s="278"/>
      <c r="F149" s="6"/>
      <c r="G149" s="277"/>
      <c r="H149" s="277"/>
    </row>
    <row r="150" spans="2:10">
      <c r="B150" s="277"/>
      <c r="C150" s="6" t="s">
        <v>354</v>
      </c>
      <c r="D150" s="277"/>
      <c r="E150" s="278"/>
      <c r="F150" s="6"/>
      <c r="G150" s="277"/>
      <c r="H150" s="277"/>
    </row>
    <row r="151" spans="2:10">
      <c r="B151" s="277" t="s">
        <v>124</v>
      </c>
      <c r="C151" s="6" t="s">
        <v>355</v>
      </c>
      <c r="D151" s="277">
        <v>550</v>
      </c>
      <c r="E151" s="278">
        <f>D151*7</f>
        <v>3850</v>
      </c>
      <c r="F151" s="6"/>
      <c r="G151" s="277">
        <f>F151+F152</f>
        <v>0</v>
      </c>
      <c r="H151" s="277">
        <f>E151-G151</f>
        <v>3850</v>
      </c>
    </row>
    <row r="152" spans="2:10">
      <c r="B152" s="277"/>
      <c r="C152" s="6" t="s">
        <v>354</v>
      </c>
      <c r="D152" s="277"/>
      <c r="E152" s="278"/>
      <c r="F152" s="6"/>
      <c r="G152" s="277"/>
      <c r="H152" s="277"/>
    </row>
    <row r="153" spans="2:10">
      <c r="B153" s="277" t="s">
        <v>27</v>
      </c>
      <c r="C153" s="6" t="s">
        <v>202</v>
      </c>
      <c r="D153" s="277">
        <v>500</v>
      </c>
      <c r="E153" s="278">
        <f>500*7</f>
        <v>3500</v>
      </c>
      <c r="F153" s="6"/>
      <c r="G153" s="277">
        <f>F153+F154+F155</f>
        <v>0</v>
      </c>
      <c r="H153" s="279">
        <f>E153-G153</f>
        <v>3500</v>
      </c>
      <c r="J153" s="180"/>
    </row>
    <row r="154" spans="2:10" ht="54.6" customHeight="1">
      <c r="B154" s="277"/>
      <c r="C154" s="6" t="s">
        <v>356</v>
      </c>
      <c r="D154" s="277"/>
      <c r="E154" s="278"/>
      <c r="F154" s="6"/>
      <c r="G154" s="277"/>
      <c r="H154" s="279"/>
    </row>
    <row r="155" spans="2:10">
      <c r="B155" s="277"/>
      <c r="C155" s="6" t="s">
        <v>357</v>
      </c>
      <c r="D155" s="277"/>
      <c r="E155" s="278"/>
      <c r="F155" s="6"/>
      <c r="G155" s="277"/>
      <c r="H155" s="279"/>
    </row>
    <row r="156" spans="2:10">
      <c r="B156" s="6" t="s">
        <v>150</v>
      </c>
      <c r="C156" s="6" t="s">
        <v>358</v>
      </c>
      <c r="D156" s="6">
        <v>400</v>
      </c>
      <c r="E156" s="89">
        <f>400*7</f>
        <v>2800</v>
      </c>
      <c r="F156" s="6"/>
      <c r="G156" s="6">
        <f>F156</f>
        <v>0</v>
      </c>
      <c r="H156" s="6">
        <f>E156-G156</f>
        <v>2800</v>
      </c>
    </row>
    <row r="157" spans="2:10">
      <c r="B157" s="6" t="s">
        <v>359</v>
      </c>
      <c r="C157" s="6" t="s">
        <v>360</v>
      </c>
      <c r="D157" s="6">
        <v>400</v>
      </c>
      <c r="E157" s="89">
        <f>400*7</f>
        <v>2800</v>
      </c>
      <c r="F157" s="6"/>
      <c r="G157" s="6">
        <f>F157</f>
        <v>0</v>
      </c>
      <c r="H157" s="6">
        <f>E157-G157</f>
        <v>2800</v>
      </c>
    </row>
    <row r="158" spans="2:10">
      <c r="B158" s="6" t="s">
        <v>361</v>
      </c>
      <c r="C158" s="6" t="s">
        <v>197</v>
      </c>
      <c r="D158" s="6"/>
      <c r="E158" s="7"/>
      <c r="F158" s="6"/>
      <c r="G158" s="6">
        <f>F158</f>
        <v>0</v>
      </c>
      <c r="H158" s="6"/>
    </row>
    <row r="159" spans="2:10">
      <c r="B159" s="6"/>
      <c r="C159" s="6" t="s">
        <v>362</v>
      </c>
      <c r="D159" s="6"/>
      <c r="E159" s="7"/>
      <c r="F159" s="6"/>
      <c r="G159" s="6">
        <v>30</v>
      </c>
      <c r="H159" s="6"/>
    </row>
    <row r="160" spans="2:10">
      <c r="B160" s="6"/>
      <c r="C160" s="6" t="s">
        <v>252</v>
      </c>
      <c r="D160" s="6"/>
      <c r="E160" s="7"/>
      <c r="F160" s="6"/>
      <c r="G160" s="6"/>
      <c r="H160" s="6"/>
    </row>
    <row r="161" spans="2:11">
      <c r="B161" s="6"/>
      <c r="C161" s="6"/>
      <c r="D161" s="6"/>
      <c r="E161" s="7"/>
      <c r="F161" s="13"/>
      <c r="G161" s="13"/>
      <c r="H161" s="13"/>
    </row>
    <row r="162" spans="2:11">
      <c r="B162" s="266" t="s">
        <v>365</v>
      </c>
      <c r="C162" s="266"/>
      <c r="D162" s="6"/>
      <c r="E162" s="178">
        <f>SUM(E148:E161)</f>
        <v>15750</v>
      </c>
      <c r="F162" s="177">
        <f>SUM(F148:F161)</f>
        <v>0</v>
      </c>
      <c r="G162" s="82">
        <f>SUM(G148:G160)</f>
        <v>30</v>
      </c>
      <c r="H162" s="13"/>
    </row>
    <row r="169" spans="2:11">
      <c r="K169">
        <f>SUM(K163:K168)</f>
        <v>0</v>
      </c>
    </row>
    <row r="186" spans="2:7">
      <c r="B186" s="267" t="s">
        <v>376</v>
      </c>
      <c r="C186" s="267"/>
      <c r="D186" s="267"/>
      <c r="E186" s="267"/>
      <c r="F186" s="267"/>
      <c r="G186" s="267"/>
    </row>
    <row r="187" spans="2:7">
      <c r="B187" s="267"/>
      <c r="C187" s="267"/>
      <c r="D187" s="267"/>
      <c r="E187" s="267"/>
      <c r="F187" s="267"/>
      <c r="G187" s="267"/>
    </row>
    <row r="188" spans="2:7" ht="19.8">
      <c r="B188" s="268" t="s">
        <v>374</v>
      </c>
      <c r="C188" s="268"/>
      <c r="D188" s="268"/>
      <c r="E188" s="268"/>
      <c r="F188" s="268"/>
      <c r="G188" s="268"/>
    </row>
    <row r="189" spans="2:7">
      <c r="B189" s="269" t="s">
        <v>0</v>
      </c>
      <c r="C189" s="270"/>
      <c r="D189" s="273" t="s">
        <v>2</v>
      </c>
      <c r="E189" s="273" t="s">
        <v>8</v>
      </c>
      <c r="F189" s="273" t="s">
        <v>1</v>
      </c>
      <c r="G189" s="275" t="s">
        <v>91</v>
      </c>
    </row>
    <row r="190" spans="2:7">
      <c r="B190" s="271"/>
      <c r="C190" s="272"/>
      <c r="D190" s="274"/>
      <c r="E190" s="274"/>
      <c r="F190" s="274"/>
      <c r="G190" s="276"/>
    </row>
    <row r="191" spans="2:7">
      <c r="B191" s="159">
        <v>1</v>
      </c>
      <c r="C191" s="263" t="s">
        <v>4</v>
      </c>
      <c r="D191" s="263" t="s">
        <v>7</v>
      </c>
      <c r="E191" s="9" t="s">
        <v>5</v>
      </c>
      <c r="F191" s="9" t="s">
        <v>6</v>
      </c>
      <c r="G191" s="216">
        <v>1200</v>
      </c>
    </row>
    <row r="192" spans="2:7">
      <c r="B192" s="159">
        <v>2</v>
      </c>
      <c r="C192" s="263"/>
      <c r="D192" s="263"/>
      <c r="E192" s="9" t="s">
        <v>35</v>
      </c>
      <c r="F192" s="9"/>
      <c r="G192" s="216">
        <v>500</v>
      </c>
    </row>
    <row r="193" spans="2:20">
      <c r="B193" s="141">
        <v>3</v>
      </c>
      <c r="C193" s="257" t="s">
        <v>9</v>
      </c>
      <c r="D193" s="257" t="s">
        <v>10</v>
      </c>
      <c r="E193" s="50" t="s">
        <v>11</v>
      </c>
      <c r="F193" s="50" t="s">
        <v>12</v>
      </c>
      <c r="G193" s="217">
        <v>2500</v>
      </c>
    </row>
    <row r="194" spans="2:20">
      <c r="B194" s="141">
        <v>4</v>
      </c>
      <c r="C194" s="257"/>
      <c r="D194" s="257"/>
      <c r="E194" s="50" t="s">
        <v>35</v>
      </c>
      <c r="F194" s="50"/>
      <c r="G194" s="217">
        <v>500</v>
      </c>
    </row>
    <row r="195" spans="2:20">
      <c r="B195" s="141">
        <v>5</v>
      </c>
      <c r="C195" s="50" t="s">
        <v>13</v>
      </c>
      <c r="D195" s="50" t="s">
        <v>10</v>
      </c>
      <c r="E195" s="50" t="s">
        <v>14</v>
      </c>
      <c r="F195" s="50" t="s">
        <v>97</v>
      </c>
      <c r="G195" s="217">
        <v>1500</v>
      </c>
      <c r="T195" s="97"/>
    </row>
    <row r="196" spans="2:20">
      <c r="B196" s="141">
        <v>6</v>
      </c>
      <c r="C196" s="50" t="s">
        <v>211</v>
      </c>
      <c r="D196" s="50" t="s">
        <v>10</v>
      </c>
      <c r="E196" s="50" t="s">
        <v>14</v>
      </c>
      <c r="F196" s="50" t="s">
        <v>17</v>
      </c>
      <c r="G196" s="217">
        <v>1500</v>
      </c>
    </row>
    <row r="197" spans="2:20">
      <c r="B197" s="141">
        <v>7</v>
      </c>
      <c r="C197" s="50" t="s">
        <v>18</v>
      </c>
      <c r="D197" s="50" t="s">
        <v>10</v>
      </c>
      <c r="E197" s="50"/>
      <c r="F197" s="50"/>
      <c r="G197" s="217">
        <v>1500</v>
      </c>
    </row>
    <row r="198" spans="2:20">
      <c r="B198" s="159">
        <v>8</v>
      </c>
      <c r="C198" s="9" t="s">
        <v>19</v>
      </c>
      <c r="D198" s="9" t="s">
        <v>20</v>
      </c>
      <c r="E198" s="9" t="s">
        <v>21</v>
      </c>
      <c r="F198" s="9" t="s">
        <v>22</v>
      </c>
      <c r="G198" s="216">
        <v>700</v>
      </c>
    </row>
    <row r="199" spans="2:20">
      <c r="B199" s="159">
        <v>9</v>
      </c>
      <c r="C199" s="9" t="s">
        <v>23</v>
      </c>
      <c r="D199" s="9" t="s">
        <v>24</v>
      </c>
      <c r="E199" s="9" t="s">
        <v>25</v>
      </c>
      <c r="F199" s="9" t="s">
        <v>26</v>
      </c>
      <c r="G199" s="216">
        <v>1500</v>
      </c>
    </row>
    <row r="200" spans="2:20" ht="28.8">
      <c r="B200" s="141">
        <v>10</v>
      </c>
      <c r="C200" s="257" t="s">
        <v>27</v>
      </c>
      <c r="D200" s="50" t="s">
        <v>28</v>
      </c>
      <c r="E200" s="50" t="s">
        <v>29</v>
      </c>
      <c r="F200" s="50" t="s">
        <v>30</v>
      </c>
      <c r="G200" s="217">
        <v>1500</v>
      </c>
    </row>
    <row r="201" spans="2:20">
      <c r="B201" s="141">
        <v>11</v>
      </c>
      <c r="C201" s="257"/>
      <c r="D201" s="50" t="s">
        <v>34</v>
      </c>
      <c r="E201" s="50" t="s">
        <v>35</v>
      </c>
      <c r="F201" s="50"/>
      <c r="G201" s="160">
        <v>500</v>
      </c>
    </row>
    <row r="202" spans="2:20" ht="28.8">
      <c r="B202" s="141">
        <v>12</v>
      </c>
      <c r="C202" s="50" t="s">
        <v>31</v>
      </c>
      <c r="D202" s="50" t="s">
        <v>28</v>
      </c>
      <c r="E202" s="50" t="s">
        <v>33</v>
      </c>
      <c r="F202" s="50" t="s">
        <v>32</v>
      </c>
      <c r="G202" s="160">
        <v>1500</v>
      </c>
    </row>
    <row r="203" spans="2:20">
      <c r="B203" s="159">
        <v>13</v>
      </c>
      <c r="C203" s="264" t="s">
        <v>36</v>
      </c>
      <c r="D203" s="9" t="s">
        <v>37</v>
      </c>
      <c r="E203" s="9" t="s">
        <v>39</v>
      </c>
      <c r="F203" s="9" t="s">
        <v>38</v>
      </c>
      <c r="G203" s="10">
        <v>2500</v>
      </c>
    </row>
    <row r="204" spans="2:20">
      <c r="B204" s="159">
        <v>14</v>
      </c>
      <c r="C204" s="265"/>
      <c r="D204" s="9" t="s">
        <v>37</v>
      </c>
      <c r="E204" s="9" t="s">
        <v>35</v>
      </c>
      <c r="F204" s="9"/>
      <c r="G204" s="10">
        <v>300</v>
      </c>
    </row>
    <row r="205" spans="2:20" ht="28.8">
      <c r="B205" s="159">
        <v>15</v>
      </c>
      <c r="C205" s="9" t="s">
        <v>40</v>
      </c>
      <c r="D205" s="9" t="s">
        <v>37</v>
      </c>
      <c r="E205" s="9" t="s">
        <v>42</v>
      </c>
      <c r="F205" s="9" t="s">
        <v>41</v>
      </c>
      <c r="G205" s="10">
        <v>2500</v>
      </c>
    </row>
    <row r="206" spans="2:20">
      <c r="B206" s="159">
        <v>16</v>
      </c>
      <c r="C206" s="9" t="s">
        <v>43</v>
      </c>
      <c r="D206" s="9" t="s">
        <v>37</v>
      </c>
      <c r="E206" s="9" t="s">
        <v>33</v>
      </c>
      <c r="F206" s="9" t="s">
        <v>44</v>
      </c>
      <c r="G206" s="10">
        <v>4000</v>
      </c>
    </row>
    <row r="207" spans="2:20">
      <c r="B207" s="141">
        <v>17</v>
      </c>
      <c r="C207" s="257" t="s">
        <v>45</v>
      </c>
      <c r="D207" s="257" t="s">
        <v>46</v>
      </c>
      <c r="E207" s="50" t="s">
        <v>39</v>
      </c>
      <c r="F207" s="50" t="s">
        <v>47</v>
      </c>
      <c r="G207" s="160">
        <v>2500</v>
      </c>
    </row>
    <row r="208" spans="2:20" ht="28.8">
      <c r="B208" s="141">
        <v>18</v>
      </c>
      <c r="C208" s="257"/>
      <c r="D208" s="257"/>
      <c r="E208" s="50" t="s">
        <v>54</v>
      </c>
      <c r="F208" s="50"/>
      <c r="G208" s="188">
        <v>1000</v>
      </c>
    </row>
    <row r="209" spans="2:7" ht="28.8">
      <c r="B209" s="141">
        <v>19</v>
      </c>
      <c r="C209" s="257"/>
      <c r="D209" s="257"/>
      <c r="E209" s="50" t="s">
        <v>55</v>
      </c>
      <c r="F209" s="50"/>
      <c r="G209" s="188"/>
    </row>
    <row r="210" spans="2:7" ht="28.8">
      <c r="B210" s="141">
        <v>20</v>
      </c>
      <c r="C210" s="257"/>
      <c r="D210" s="257"/>
      <c r="E210" s="50" t="s">
        <v>56</v>
      </c>
      <c r="F210" s="50"/>
      <c r="G210" s="188"/>
    </row>
    <row r="211" spans="2:7">
      <c r="B211" s="141">
        <v>21</v>
      </c>
      <c r="C211" s="50" t="s">
        <v>48</v>
      </c>
      <c r="D211" s="50" t="s">
        <v>46</v>
      </c>
      <c r="E211" s="50" t="s">
        <v>39</v>
      </c>
      <c r="F211" s="50" t="s">
        <v>49</v>
      </c>
      <c r="G211" s="160">
        <v>1500</v>
      </c>
    </row>
    <row r="212" spans="2:7">
      <c r="B212" s="141">
        <v>22</v>
      </c>
      <c r="C212" s="50" t="s">
        <v>50</v>
      </c>
      <c r="D212" s="50" t="s">
        <v>46</v>
      </c>
      <c r="E212" s="50" t="s">
        <v>33</v>
      </c>
      <c r="F212" s="50" t="s">
        <v>51</v>
      </c>
      <c r="G212" s="160">
        <v>3000</v>
      </c>
    </row>
    <row r="213" spans="2:7" ht="28.8">
      <c r="B213" s="141">
        <v>23</v>
      </c>
      <c r="C213" s="50" t="s">
        <v>52</v>
      </c>
      <c r="D213" s="50" t="s">
        <v>46</v>
      </c>
      <c r="E213" s="50" t="s">
        <v>42</v>
      </c>
      <c r="F213" s="50" t="s">
        <v>53</v>
      </c>
      <c r="G213" s="160">
        <v>2500</v>
      </c>
    </row>
    <row r="214" spans="2:7">
      <c r="B214" s="159">
        <v>24</v>
      </c>
      <c r="C214" s="9" t="s">
        <v>66</v>
      </c>
      <c r="D214" s="263" t="s">
        <v>58</v>
      </c>
      <c r="E214" s="9" t="s">
        <v>59</v>
      </c>
      <c r="F214" s="9" t="s">
        <v>60</v>
      </c>
      <c r="G214" s="10">
        <v>2500</v>
      </c>
    </row>
    <row r="215" spans="2:7">
      <c r="B215" s="159">
        <v>25</v>
      </c>
      <c r="C215" s="9" t="s">
        <v>57</v>
      </c>
      <c r="D215" s="263"/>
      <c r="E215" s="9" t="s">
        <v>35</v>
      </c>
      <c r="F215" s="9"/>
      <c r="G215" s="10">
        <v>1000</v>
      </c>
    </row>
    <row r="216" spans="2:7">
      <c r="B216" s="141">
        <v>26</v>
      </c>
      <c r="C216" s="50" t="s">
        <v>61</v>
      </c>
      <c r="D216" s="50" t="s">
        <v>62</v>
      </c>
      <c r="E216" s="50" t="s">
        <v>11</v>
      </c>
      <c r="F216" s="50" t="s">
        <v>63</v>
      </c>
      <c r="G216" s="160">
        <v>2500</v>
      </c>
    </row>
    <row r="217" spans="2:7">
      <c r="B217" s="141">
        <v>27</v>
      </c>
      <c r="C217" s="257" t="s">
        <v>64</v>
      </c>
      <c r="D217" s="257" t="s">
        <v>62</v>
      </c>
      <c r="E217" s="50" t="s">
        <v>65</v>
      </c>
      <c r="F217" s="50" t="s">
        <v>67</v>
      </c>
      <c r="G217" s="160">
        <v>1000</v>
      </c>
    </row>
    <row r="218" spans="2:7">
      <c r="B218" s="141">
        <v>28</v>
      </c>
      <c r="C218" s="257"/>
      <c r="D218" s="257"/>
      <c r="E218" s="50" t="s">
        <v>68</v>
      </c>
      <c r="F218" s="50"/>
      <c r="G218" s="160">
        <v>500</v>
      </c>
    </row>
    <row r="219" spans="2:7">
      <c r="B219" s="141">
        <v>29</v>
      </c>
      <c r="C219" s="257"/>
      <c r="D219" s="257"/>
      <c r="E219" s="50" t="s">
        <v>68</v>
      </c>
      <c r="F219" s="50"/>
      <c r="G219" s="160">
        <v>500</v>
      </c>
    </row>
    <row r="220" spans="2:7">
      <c r="B220" s="141">
        <v>30</v>
      </c>
      <c r="C220" s="257" t="s">
        <v>69</v>
      </c>
      <c r="D220" s="50"/>
      <c r="E220" s="50"/>
      <c r="F220" s="50" t="s">
        <v>70</v>
      </c>
      <c r="G220" s="160">
        <v>800</v>
      </c>
    </row>
    <row r="221" spans="2:7">
      <c r="B221" s="141">
        <v>31</v>
      </c>
      <c r="C221" s="257"/>
      <c r="D221" s="50"/>
      <c r="E221" s="50" t="s">
        <v>35</v>
      </c>
      <c r="F221" s="50"/>
      <c r="G221" s="160">
        <v>500</v>
      </c>
    </row>
    <row r="222" spans="2:7">
      <c r="B222" s="141">
        <v>32</v>
      </c>
      <c r="C222" s="184" t="s">
        <v>206</v>
      </c>
      <c r="D222" s="50" t="s">
        <v>207</v>
      </c>
      <c r="E222" s="50"/>
      <c r="F222" s="50" t="s">
        <v>158</v>
      </c>
      <c r="G222" s="160">
        <v>1500</v>
      </c>
    </row>
    <row r="223" spans="2:7">
      <c r="B223" s="141">
        <v>33</v>
      </c>
      <c r="C223" s="184" t="s">
        <v>160</v>
      </c>
      <c r="D223" s="50" t="s">
        <v>161</v>
      </c>
      <c r="E223" s="50" t="s">
        <v>11</v>
      </c>
      <c r="F223" s="50" t="s">
        <v>159</v>
      </c>
      <c r="G223" s="160">
        <v>1500</v>
      </c>
    </row>
    <row r="224" spans="2:7">
      <c r="B224" s="141">
        <v>34</v>
      </c>
      <c r="C224" s="184" t="s">
        <v>204</v>
      </c>
      <c r="D224" s="50" t="s">
        <v>205</v>
      </c>
      <c r="E224" s="50" t="s">
        <v>21</v>
      </c>
      <c r="F224" s="50"/>
      <c r="G224" s="160">
        <v>700</v>
      </c>
    </row>
    <row r="225" spans="2:7">
      <c r="B225" s="141">
        <v>35</v>
      </c>
      <c r="C225" s="50" t="s">
        <v>71</v>
      </c>
      <c r="D225" s="50"/>
      <c r="E225" s="50" t="s">
        <v>73</v>
      </c>
      <c r="F225" s="50" t="s">
        <v>72</v>
      </c>
      <c r="G225" s="160">
        <v>3000</v>
      </c>
    </row>
    <row r="226" spans="2:7">
      <c r="B226" s="141">
        <v>36</v>
      </c>
      <c r="C226" s="184" t="s">
        <v>266</v>
      </c>
      <c r="D226" s="50"/>
      <c r="E226" s="50" t="s">
        <v>11</v>
      </c>
      <c r="F226" s="50" t="s">
        <v>259</v>
      </c>
      <c r="G226" s="160">
        <v>1500</v>
      </c>
    </row>
    <row r="227" spans="2:7">
      <c r="B227" s="258" t="s">
        <v>105</v>
      </c>
      <c r="C227" s="259"/>
      <c r="D227" s="259"/>
      <c r="E227" s="259"/>
      <c r="F227" s="259"/>
      <c r="G227" s="189">
        <f>SUM(G191:G226)</f>
        <v>52200</v>
      </c>
    </row>
    <row r="228" spans="2:7" ht="19.8">
      <c r="B228" s="260" t="s">
        <v>375</v>
      </c>
      <c r="C228" s="260"/>
      <c r="D228" s="260"/>
      <c r="E228" s="260"/>
      <c r="F228" s="260"/>
      <c r="G228" s="260"/>
    </row>
    <row r="229" spans="2:7">
      <c r="B229" s="261" t="s">
        <v>0</v>
      </c>
      <c r="C229" s="261"/>
      <c r="D229" s="261" t="s">
        <v>2</v>
      </c>
      <c r="E229" s="261" t="s">
        <v>8</v>
      </c>
      <c r="F229" s="261" t="s">
        <v>1</v>
      </c>
      <c r="G229" s="262" t="s">
        <v>3</v>
      </c>
    </row>
    <row r="230" spans="2:7">
      <c r="B230" s="261"/>
      <c r="C230" s="261"/>
      <c r="D230" s="261"/>
      <c r="E230" s="261"/>
      <c r="F230" s="261"/>
      <c r="G230" s="262"/>
    </row>
    <row r="231" spans="2:7">
      <c r="B231" s="141">
        <v>1</v>
      </c>
      <c r="C231" s="50" t="s">
        <v>75</v>
      </c>
      <c r="D231" s="50" t="s">
        <v>77</v>
      </c>
      <c r="E231" s="50" t="s">
        <v>76</v>
      </c>
      <c r="F231" s="50" t="s">
        <v>78</v>
      </c>
      <c r="G231" s="160">
        <v>2500</v>
      </c>
    </row>
    <row r="232" spans="2:7">
      <c r="B232" s="141">
        <v>2</v>
      </c>
      <c r="C232" s="50" t="s">
        <v>79</v>
      </c>
      <c r="D232" s="50" t="s">
        <v>77</v>
      </c>
      <c r="E232" s="50" t="s">
        <v>73</v>
      </c>
      <c r="F232" s="50" t="s">
        <v>74</v>
      </c>
      <c r="G232" s="160">
        <v>1500</v>
      </c>
    </row>
    <row r="233" spans="2:7">
      <c r="B233" s="256">
        <v>3</v>
      </c>
      <c r="C233" s="257" t="s">
        <v>80</v>
      </c>
      <c r="D233" s="257" t="s">
        <v>77</v>
      </c>
      <c r="E233" s="50" t="s">
        <v>81</v>
      </c>
      <c r="F233" s="50" t="s">
        <v>6</v>
      </c>
      <c r="G233" s="160">
        <v>2000</v>
      </c>
    </row>
    <row r="234" spans="2:7">
      <c r="B234" s="256"/>
      <c r="C234" s="257"/>
      <c r="D234" s="257"/>
      <c r="E234" s="50" t="s">
        <v>35</v>
      </c>
      <c r="F234" s="50"/>
      <c r="G234" s="160"/>
    </row>
    <row r="235" spans="2:7">
      <c r="B235" s="141">
        <v>4</v>
      </c>
      <c r="C235" s="50" t="s">
        <v>82</v>
      </c>
      <c r="D235" s="50" t="s">
        <v>83</v>
      </c>
      <c r="E235" s="50" t="s">
        <v>73</v>
      </c>
      <c r="F235" s="50" t="s">
        <v>84</v>
      </c>
      <c r="G235" s="160">
        <v>1500</v>
      </c>
    </row>
    <row r="236" spans="2:7">
      <c r="B236" s="141">
        <v>5</v>
      </c>
      <c r="C236" s="50" t="s">
        <v>85</v>
      </c>
      <c r="D236" s="50" t="s">
        <v>83</v>
      </c>
      <c r="E236" s="50" t="s">
        <v>73</v>
      </c>
      <c r="F236" s="50" t="s">
        <v>86</v>
      </c>
      <c r="G236" s="160">
        <v>1500</v>
      </c>
    </row>
    <row r="237" spans="2:7">
      <c r="B237" s="141">
        <v>6</v>
      </c>
      <c r="C237" s="50" t="s">
        <v>87</v>
      </c>
      <c r="D237" s="50" t="s">
        <v>88</v>
      </c>
      <c r="E237" s="50" t="s">
        <v>81</v>
      </c>
      <c r="F237" s="50" t="s">
        <v>89</v>
      </c>
      <c r="G237" s="160">
        <v>2000</v>
      </c>
    </row>
    <row r="238" spans="2:7">
      <c r="B238" s="258" t="s">
        <v>105</v>
      </c>
      <c r="C238" s="259"/>
      <c r="D238" s="259"/>
      <c r="E238" s="259"/>
      <c r="F238" s="259"/>
      <c r="G238" s="190">
        <f>SUM(G231:G237)</f>
        <v>11000</v>
      </c>
    </row>
  </sheetData>
  <mergeCells count="147">
    <mergeCell ref="B233:B234"/>
    <mergeCell ref="C233:C234"/>
    <mergeCell ref="D233:D234"/>
    <mergeCell ref="B238:F238"/>
    <mergeCell ref="B227:F227"/>
    <mergeCell ref="B228:G228"/>
    <mergeCell ref="B229:C230"/>
    <mergeCell ref="D229:D230"/>
    <mergeCell ref="E229:E230"/>
    <mergeCell ref="F229:F230"/>
    <mergeCell ref="G229:G230"/>
    <mergeCell ref="C207:C210"/>
    <mergeCell ref="D207:D210"/>
    <mergeCell ref="D214:D215"/>
    <mergeCell ref="C217:C219"/>
    <mergeCell ref="D217:D219"/>
    <mergeCell ref="C220:C221"/>
    <mergeCell ref="C191:C192"/>
    <mergeCell ref="D191:D192"/>
    <mergeCell ref="C193:C194"/>
    <mergeCell ref="D193:D194"/>
    <mergeCell ref="C200:C201"/>
    <mergeCell ref="C203:C204"/>
    <mergeCell ref="B162:C162"/>
    <mergeCell ref="B186:G187"/>
    <mergeCell ref="B188:G188"/>
    <mergeCell ref="B189:C190"/>
    <mergeCell ref="D189:D190"/>
    <mergeCell ref="E189:E190"/>
    <mergeCell ref="F189:F190"/>
    <mergeCell ref="G189:G190"/>
    <mergeCell ref="B151:B152"/>
    <mergeCell ref="D151:D152"/>
    <mergeCell ref="E151:E152"/>
    <mergeCell ref="G151:G152"/>
    <mergeCell ref="H151:H152"/>
    <mergeCell ref="B153:B155"/>
    <mergeCell ref="D153:D155"/>
    <mergeCell ref="E153:E155"/>
    <mergeCell ref="G153:G155"/>
    <mergeCell ref="H153:H155"/>
    <mergeCell ref="B146:H146"/>
    <mergeCell ref="B148:B150"/>
    <mergeCell ref="D148:D150"/>
    <mergeCell ref="E148:E150"/>
    <mergeCell ref="G148:G150"/>
    <mergeCell ref="H148:H150"/>
    <mergeCell ref="B113:F113"/>
    <mergeCell ref="D117:E117"/>
    <mergeCell ref="K117:K119"/>
    <mergeCell ref="D119:E119"/>
    <mergeCell ref="B123:H123"/>
    <mergeCell ref="B142:G142"/>
    <mergeCell ref="C105:F105"/>
    <mergeCell ref="B106:B107"/>
    <mergeCell ref="C106:C107"/>
    <mergeCell ref="H107:I107"/>
    <mergeCell ref="K107:M107"/>
    <mergeCell ref="B110:E111"/>
    <mergeCell ref="F110:F111"/>
    <mergeCell ref="H110:H111"/>
    <mergeCell ref="I110:I111"/>
    <mergeCell ref="L92:M93"/>
    <mergeCell ref="N92:O93"/>
    <mergeCell ref="P92:P98"/>
    <mergeCell ref="C95:C96"/>
    <mergeCell ref="E95:E97"/>
    <mergeCell ref="B104:F104"/>
    <mergeCell ref="M73:N73"/>
    <mergeCell ref="O73:P73"/>
    <mergeCell ref="R75:R84"/>
    <mergeCell ref="A85:B86"/>
    <mergeCell ref="B91:P91"/>
    <mergeCell ref="B92:C93"/>
    <mergeCell ref="D92:E93"/>
    <mergeCell ref="F92:G93"/>
    <mergeCell ref="H92:I93"/>
    <mergeCell ref="J92:K93"/>
    <mergeCell ref="C62:C68"/>
    <mergeCell ref="V62:AB62"/>
    <mergeCell ref="A69:E69"/>
    <mergeCell ref="A72:R72"/>
    <mergeCell ref="A73:B74"/>
    <mergeCell ref="C73:D73"/>
    <mergeCell ref="E73:F73"/>
    <mergeCell ref="G73:H73"/>
    <mergeCell ref="I73:J73"/>
    <mergeCell ref="K73:L73"/>
    <mergeCell ref="A59:O59"/>
    <mergeCell ref="A60:B61"/>
    <mergeCell ref="C60:C61"/>
    <mergeCell ref="D60:D61"/>
    <mergeCell ref="E60:E61"/>
    <mergeCell ref="F60:F61"/>
    <mergeCell ref="N60:N61"/>
    <mergeCell ref="O60:O61"/>
    <mergeCell ref="AC46:AC47"/>
    <mergeCell ref="AF49:AI49"/>
    <mergeCell ref="A50:A51"/>
    <mergeCell ref="B50:B51"/>
    <mergeCell ref="C50:C51"/>
    <mergeCell ref="A55:E55"/>
    <mergeCell ref="M46:O46"/>
    <mergeCell ref="P46:R46"/>
    <mergeCell ref="S46:U46"/>
    <mergeCell ref="V46:X46"/>
    <mergeCell ref="Y46:AA46"/>
    <mergeCell ref="AB46:AB47"/>
    <mergeCell ref="B33:B34"/>
    <mergeCell ref="A42:E42"/>
    <mergeCell ref="A45:AC45"/>
    <mergeCell ref="A46:B47"/>
    <mergeCell ref="C46:C47"/>
    <mergeCell ref="D46:D47"/>
    <mergeCell ref="E46:E47"/>
    <mergeCell ref="F46:F47"/>
    <mergeCell ref="G46:I46"/>
    <mergeCell ref="J46:L46"/>
    <mergeCell ref="B16:B17"/>
    <mergeCell ref="B20:B23"/>
    <mergeCell ref="C20:C23"/>
    <mergeCell ref="C27:C28"/>
    <mergeCell ref="B30:B32"/>
    <mergeCell ref="C30:C32"/>
    <mergeCell ref="B6:B7"/>
    <mergeCell ref="C6:C7"/>
    <mergeCell ref="AF6:AI6"/>
    <mergeCell ref="B13:B14"/>
    <mergeCell ref="AG13:AH13"/>
    <mergeCell ref="AG14:AH14"/>
    <mergeCell ref="S2:U2"/>
    <mergeCell ref="V2:X2"/>
    <mergeCell ref="Y2:AA2"/>
    <mergeCell ref="AB2:AB3"/>
    <mergeCell ref="AC2:AC3"/>
    <mergeCell ref="B4:B5"/>
    <mergeCell ref="C4:C5"/>
    <mergeCell ref="A1:AC1"/>
    <mergeCell ref="A2:B3"/>
    <mergeCell ref="C2:C3"/>
    <mergeCell ref="D2:D3"/>
    <mergeCell ref="E2:E3"/>
    <mergeCell ref="F2:F3"/>
    <mergeCell ref="G2:I2"/>
    <mergeCell ref="J2:L2"/>
    <mergeCell ref="M2:O2"/>
    <mergeCell ref="P2:R2"/>
  </mergeCells>
  <conditionalFormatting sqref="AB4:AB18 AB20:AB41">
    <cfRule type="cellIs" dxfId="31" priority="32" operator="lessThan">
      <formula>-1</formula>
    </cfRule>
  </conditionalFormatting>
  <conditionalFormatting sqref="AB42">
    <cfRule type="cellIs" dxfId="30" priority="30" operator="greaterThan">
      <formula>0</formula>
    </cfRule>
  </conditionalFormatting>
  <conditionalFormatting sqref="AB48:AB54">
    <cfRule type="cellIs" dxfId="29" priority="1" operator="lessThan">
      <formula>0</formula>
    </cfRule>
  </conditionalFormatting>
  <conditionalFormatting sqref="AC4">
    <cfRule type="cellIs" dxfId="28" priority="29" operator="greaterThan">
      <formula>$F$4</formula>
    </cfRule>
  </conditionalFormatting>
  <conditionalFormatting sqref="AC5">
    <cfRule type="cellIs" dxfId="27" priority="28" operator="greaterThan">
      <formula>$F$5</formula>
    </cfRule>
  </conditionalFormatting>
  <conditionalFormatting sqref="AC6">
    <cfRule type="cellIs" dxfId="26" priority="2" operator="greaterThan">
      <formula>$F$6</formula>
    </cfRule>
  </conditionalFormatting>
  <conditionalFormatting sqref="AC7">
    <cfRule type="cellIs" dxfId="25" priority="27" operator="greaterThan">
      <formula>$F$7</formula>
    </cfRule>
  </conditionalFormatting>
  <conditionalFormatting sqref="AC8">
    <cfRule type="cellIs" dxfId="24" priority="26" operator="greaterThan">
      <formula>$F$8</formula>
    </cfRule>
  </conditionalFormatting>
  <conditionalFormatting sqref="AC9">
    <cfRule type="cellIs" dxfId="23" priority="25" operator="greaterThan">
      <formula>$F$9</formula>
    </cfRule>
  </conditionalFormatting>
  <conditionalFormatting sqref="AC10">
    <cfRule type="cellIs" dxfId="22" priority="24" operator="greaterThan">
      <formula>$F$10</formula>
    </cfRule>
  </conditionalFormatting>
  <conditionalFormatting sqref="AC11">
    <cfRule type="cellIs" dxfId="21" priority="23" operator="greaterThan">
      <formula>$F$11</formula>
    </cfRule>
  </conditionalFormatting>
  <conditionalFormatting sqref="AC12">
    <cfRule type="cellIs" dxfId="20" priority="22" operator="greaterThan">
      <formula>$F$12</formula>
    </cfRule>
  </conditionalFormatting>
  <conditionalFormatting sqref="AC13">
    <cfRule type="cellIs" dxfId="19" priority="21" operator="greaterThan">
      <formula>$F$13</formula>
    </cfRule>
  </conditionalFormatting>
  <conditionalFormatting sqref="AC14">
    <cfRule type="cellIs" dxfId="18" priority="20" operator="greaterThan">
      <formula>$F$14</formula>
    </cfRule>
  </conditionalFormatting>
  <conditionalFormatting sqref="AC15">
    <cfRule type="cellIs" dxfId="17" priority="19" operator="greaterThan">
      <formula>$F$15</formula>
    </cfRule>
  </conditionalFormatting>
  <conditionalFormatting sqref="AC16:AC17">
    <cfRule type="cellIs" dxfId="16" priority="18" operator="greaterThan">
      <formula>$F$16</formula>
    </cfRule>
  </conditionalFormatting>
  <conditionalFormatting sqref="AC18">
    <cfRule type="cellIs" dxfId="15" priority="17" operator="greaterThan">
      <formula>$F$18</formula>
    </cfRule>
  </conditionalFormatting>
  <conditionalFormatting sqref="AC19">
    <cfRule type="cellIs" dxfId="14" priority="16" operator="greaterThan">
      <formula>$F$19</formula>
    </cfRule>
  </conditionalFormatting>
  <conditionalFormatting sqref="AC20">
    <cfRule type="cellIs" dxfId="13" priority="15" operator="greaterThan">
      <formula>$F$20</formula>
    </cfRule>
  </conditionalFormatting>
  <conditionalFormatting sqref="AC21">
    <cfRule type="cellIs" dxfId="12" priority="14" operator="greaterThan">
      <formula>$F$21</formula>
    </cfRule>
  </conditionalFormatting>
  <conditionalFormatting sqref="AC24">
    <cfRule type="cellIs" dxfId="11" priority="13" operator="greaterThan">
      <formula>$F$24</formula>
    </cfRule>
  </conditionalFormatting>
  <conditionalFormatting sqref="AC25">
    <cfRule type="cellIs" dxfId="10" priority="12" operator="greaterThan">
      <formula>$F$25</formula>
    </cfRule>
  </conditionalFormatting>
  <conditionalFormatting sqref="AC26">
    <cfRule type="cellIs" dxfId="9" priority="11" operator="greaterThan">
      <formula>$F$26</formula>
    </cfRule>
  </conditionalFormatting>
  <conditionalFormatting sqref="AC27">
    <cfRule type="cellIs" dxfId="8" priority="10" operator="greaterThan">
      <formula>$F$27</formula>
    </cfRule>
  </conditionalFormatting>
  <conditionalFormatting sqref="AC28">
    <cfRule type="cellIs" dxfId="7" priority="9" operator="greaterThan">
      <formula>$F$28</formula>
    </cfRule>
  </conditionalFormatting>
  <conditionalFormatting sqref="AC29">
    <cfRule type="cellIs" dxfId="6" priority="8" operator="greaterThan">
      <formula>$F$29</formula>
    </cfRule>
  </conditionalFormatting>
  <conditionalFormatting sqref="AC30">
    <cfRule type="cellIs" dxfId="5" priority="7" operator="greaterThan">
      <formula>$F$30</formula>
    </cfRule>
  </conditionalFormatting>
  <conditionalFormatting sqref="AC31 AC35 AC39">
    <cfRule type="cellIs" dxfId="4" priority="6" operator="greaterThan">
      <formula>$F$31</formula>
    </cfRule>
  </conditionalFormatting>
  <conditionalFormatting sqref="AC32 AC36 AC40">
    <cfRule type="cellIs" dxfId="3" priority="5" operator="greaterThan">
      <formula>$F$32</formula>
    </cfRule>
  </conditionalFormatting>
  <conditionalFormatting sqref="AC33 AC37 AC41">
    <cfRule type="cellIs" dxfId="2" priority="4" operator="greaterThan">
      <formula>$F$33</formula>
    </cfRule>
  </conditionalFormatting>
  <conditionalFormatting sqref="AC34 AC38">
    <cfRule type="cellIs" dxfId="1" priority="3" operator="greaterThan">
      <formula>$F$34</formula>
    </cfRule>
  </conditionalFormatting>
  <conditionalFormatting sqref="AC42">
    <cfRule type="cellIs" dxfId="0" priority="31" operator="lessThan">
      <formula>46700</formula>
    </cfRule>
  </conditionalFormatting>
  <pageMargins left="0.25" right="0.25" top="0.75" bottom="0.75" header="0.3" footer="0.3"/>
  <pageSetup scale="1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SEMANA 26</vt:lpstr>
      <vt:lpstr>SEMANA 27</vt:lpstr>
      <vt:lpstr>SEMANA 28</vt:lpstr>
      <vt:lpstr>SEMANA 29</vt:lpstr>
      <vt:lpstr>SEMANA 30</vt:lpstr>
      <vt:lpstr>Hoja4</vt:lpstr>
      <vt:lpstr>Hoja1</vt:lpstr>
      <vt:lpstr>Hoja3</vt:lpstr>
      <vt:lpstr>COPIA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Paola Kassandri Jaramillo Rangel y Saldaña</dc:creator>
  <cp:lastModifiedBy>GRUPO TRUJANO 03</cp:lastModifiedBy>
  <cp:lastPrinted>2026-07-22T18:38:36Z</cp:lastPrinted>
  <dcterms:created xsi:type="dcterms:W3CDTF">2026-06-24T17:50:36Z</dcterms:created>
  <dcterms:modified xsi:type="dcterms:W3CDTF">2026-07-30T18:57:45Z</dcterms:modified>
</cp:coreProperties>
</file>