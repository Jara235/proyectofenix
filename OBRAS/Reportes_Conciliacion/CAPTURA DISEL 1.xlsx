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\Desktop\Proyecto fenix\"/>
    </mc:Choice>
  </mc:AlternateContent>
  <xr:revisionPtr revIDLastSave="0" documentId="8_{065A519E-6873-4CDD-8E6B-DEAFBEAFEC09}" xr6:coauthVersionLast="47" xr6:coauthVersionMax="47" xr10:uidLastSave="{00000000-0000-0000-0000-000000000000}"/>
  <bookViews>
    <workbookView xWindow="-108" yWindow="-108" windowWidth="23256" windowHeight="12456" activeTab="1" xr2:uid="{6769BF9C-6DA3-48A0-9C2B-F28919F94A95}"/>
  </bookViews>
  <sheets>
    <sheet name="Captura_Jalisco" sheetId="3" r:id="rId1"/>
    <sheet name="Captura_Obra" sheetId="2" r:id="rId2"/>
    <sheet name="Hoja1" sheetId="1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" i="3" l="1"/>
  <c r="J5" i="3"/>
  <c r="L5" i="3"/>
  <c r="M5" i="3"/>
  <c r="E6" i="3"/>
  <c r="H6" i="3"/>
  <c r="H7" i="3" s="1"/>
  <c r="H8" i="3" s="1"/>
  <c r="H9" i="3" s="1"/>
  <c r="J6" i="3"/>
  <c r="K6" i="3"/>
  <c r="L6" i="3" s="1"/>
  <c r="K7" i="3" s="1"/>
  <c r="L7" i="3" s="1"/>
  <c r="K8" i="3" s="1"/>
  <c r="L8" i="3" s="1"/>
  <c r="K9" i="3" s="1"/>
  <c r="L9" i="3" s="1"/>
  <c r="K10" i="3" s="1"/>
  <c r="L10" i="3" s="1"/>
  <c r="K11" i="3" s="1"/>
  <c r="L11" i="3" s="1"/>
  <c r="K12" i="3" s="1"/>
  <c r="L12" i="3" s="1"/>
  <c r="K13" i="3" s="1"/>
  <c r="L13" i="3" s="1"/>
  <c r="K14" i="3" s="1"/>
  <c r="L14" i="3" s="1"/>
  <c r="K15" i="3" s="1"/>
  <c r="L15" i="3" s="1"/>
  <c r="K16" i="3" s="1"/>
  <c r="L16" i="3" s="1"/>
  <c r="K17" i="3" s="1"/>
  <c r="L17" i="3" s="1"/>
  <c r="K18" i="3" s="1"/>
  <c r="L18" i="3" s="1"/>
  <c r="K19" i="3" s="1"/>
  <c r="L19" i="3" s="1"/>
  <c r="K20" i="3" s="1"/>
  <c r="L20" i="3" s="1"/>
  <c r="K21" i="3" s="1"/>
  <c r="L21" i="3" s="1"/>
  <c r="K22" i="3" s="1"/>
  <c r="L22" i="3" s="1"/>
  <c r="K23" i="3" s="1"/>
  <c r="L23" i="3" s="1"/>
  <c r="K24" i="3" s="1"/>
  <c r="L24" i="3" s="1"/>
  <c r="K25" i="3" s="1"/>
  <c r="L25" i="3" s="1"/>
  <c r="K26" i="3" s="1"/>
  <c r="L26" i="3" s="1"/>
  <c r="K27" i="3" s="1"/>
  <c r="L27" i="3" s="1"/>
  <c r="K28" i="3" s="1"/>
  <c r="L28" i="3" s="1"/>
  <c r="K29" i="3" s="1"/>
  <c r="L29" i="3" s="1"/>
  <c r="K30" i="3" s="1"/>
  <c r="L30" i="3" s="1"/>
  <c r="K31" i="3" s="1"/>
  <c r="L31" i="3" s="1"/>
  <c r="K32" i="3" s="1"/>
  <c r="L32" i="3" s="1"/>
  <c r="K33" i="3" s="1"/>
  <c r="L33" i="3" s="1"/>
  <c r="K34" i="3" s="1"/>
  <c r="L34" i="3" s="1"/>
  <c r="K35" i="3" s="1"/>
  <c r="L35" i="3" s="1"/>
  <c r="K36" i="3" s="1"/>
  <c r="L36" i="3" s="1"/>
  <c r="K37" i="3" s="1"/>
  <c r="L37" i="3" s="1"/>
  <c r="K38" i="3" s="1"/>
  <c r="L38" i="3" s="1"/>
  <c r="K39" i="3" s="1"/>
  <c r="L39" i="3" s="1"/>
  <c r="K40" i="3" s="1"/>
  <c r="L40" i="3" s="1"/>
  <c r="K41" i="3" s="1"/>
  <c r="L41" i="3" s="1"/>
  <c r="K42" i="3" s="1"/>
  <c r="L42" i="3" s="1"/>
  <c r="K43" i="3" s="1"/>
  <c r="L43" i="3" s="1"/>
  <c r="K44" i="3" s="1"/>
  <c r="L44" i="3" s="1"/>
  <c r="K45" i="3" s="1"/>
  <c r="L45" i="3" s="1"/>
  <c r="K46" i="3" s="1"/>
  <c r="L46" i="3" s="1"/>
  <c r="K47" i="3" s="1"/>
  <c r="L47" i="3" s="1"/>
  <c r="K48" i="3" s="1"/>
  <c r="L48" i="3" s="1"/>
  <c r="K49" i="3" s="1"/>
  <c r="L49" i="3" s="1"/>
  <c r="K50" i="3" s="1"/>
  <c r="L50" i="3" s="1"/>
  <c r="K51" i="3" s="1"/>
  <c r="L51" i="3" s="1"/>
  <c r="K52" i="3" s="1"/>
  <c r="L52" i="3" s="1"/>
  <c r="K53" i="3" s="1"/>
  <c r="L53" i="3" s="1"/>
  <c r="K54" i="3" s="1"/>
  <c r="L54" i="3" s="1"/>
  <c r="K55" i="3" s="1"/>
  <c r="L55" i="3" s="1"/>
  <c r="K56" i="3" s="1"/>
  <c r="L56" i="3" s="1"/>
  <c r="K57" i="3" s="1"/>
  <c r="L57" i="3" s="1"/>
  <c r="K58" i="3" s="1"/>
  <c r="L58" i="3" s="1"/>
  <c r="K59" i="3" s="1"/>
  <c r="L59" i="3" s="1"/>
  <c r="K60" i="3" s="1"/>
  <c r="L60" i="3" s="1"/>
  <c r="K61" i="3" s="1"/>
  <c r="L61" i="3" s="1"/>
  <c r="K62" i="3" s="1"/>
  <c r="L62" i="3" s="1"/>
  <c r="K63" i="3" s="1"/>
  <c r="L63" i="3" s="1"/>
  <c r="K64" i="3" s="1"/>
  <c r="L64" i="3" s="1"/>
  <c r="K65" i="3" s="1"/>
  <c r="L65" i="3" s="1"/>
  <c r="K66" i="3" s="1"/>
  <c r="L66" i="3" s="1"/>
  <c r="K67" i="3" s="1"/>
  <c r="L67" i="3" s="1"/>
  <c r="K68" i="3" s="1"/>
  <c r="L68" i="3" s="1"/>
  <c r="K69" i="3" s="1"/>
  <c r="L69" i="3" s="1"/>
  <c r="K70" i="3" s="1"/>
  <c r="L70" i="3" s="1"/>
  <c r="K71" i="3" s="1"/>
  <c r="L71" i="3" s="1"/>
  <c r="K72" i="3" s="1"/>
  <c r="L72" i="3" s="1"/>
  <c r="K73" i="3" s="1"/>
  <c r="L73" i="3" s="1"/>
  <c r="K74" i="3" s="1"/>
  <c r="L74" i="3" s="1"/>
  <c r="K75" i="3" s="1"/>
  <c r="L75" i="3" s="1"/>
  <c r="K76" i="3" s="1"/>
  <c r="L76" i="3" s="1"/>
  <c r="K77" i="3" s="1"/>
  <c r="L77" i="3" s="1"/>
  <c r="K78" i="3" s="1"/>
  <c r="L78" i="3" s="1"/>
  <c r="K79" i="3" s="1"/>
  <c r="L79" i="3" s="1"/>
  <c r="K80" i="3" s="1"/>
  <c r="L80" i="3" s="1"/>
  <c r="K81" i="3" s="1"/>
  <c r="L81" i="3" s="1"/>
  <c r="K82" i="3" s="1"/>
  <c r="L82" i="3" s="1"/>
  <c r="K83" i="3" s="1"/>
  <c r="L83" i="3" s="1"/>
  <c r="K84" i="3" s="1"/>
  <c r="L84" i="3" s="1"/>
  <c r="K85" i="3" s="1"/>
  <c r="L85" i="3" s="1"/>
  <c r="K86" i="3" s="1"/>
  <c r="L86" i="3" s="1"/>
  <c r="K87" i="3" s="1"/>
  <c r="L87" i="3" s="1"/>
  <c r="K88" i="3" s="1"/>
  <c r="L88" i="3" s="1"/>
  <c r="K89" i="3" s="1"/>
  <c r="L89" i="3" s="1"/>
  <c r="K90" i="3" s="1"/>
  <c r="L90" i="3" s="1"/>
  <c r="K91" i="3" s="1"/>
  <c r="L91" i="3" s="1"/>
  <c r="K92" i="3" s="1"/>
  <c r="L92" i="3" s="1"/>
  <c r="K93" i="3" s="1"/>
  <c r="L93" i="3" s="1"/>
  <c r="K94" i="3" s="1"/>
  <c r="L94" i="3" s="1"/>
  <c r="K95" i="3" s="1"/>
  <c r="L95" i="3" s="1"/>
  <c r="K96" i="3" s="1"/>
  <c r="L96" i="3" s="1"/>
  <c r="K97" i="3" s="1"/>
  <c r="L97" i="3" s="1"/>
  <c r="K98" i="3" s="1"/>
  <c r="L98" i="3" s="1"/>
  <c r="K99" i="3" s="1"/>
  <c r="L99" i="3" s="1"/>
  <c r="K100" i="3" s="1"/>
  <c r="L100" i="3" s="1"/>
  <c r="K101" i="3" s="1"/>
  <c r="L101" i="3" s="1"/>
  <c r="K102" i="3" s="1"/>
  <c r="L102" i="3" s="1"/>
  <c r="K103" i="3" s="1"/>
  <c r="L103" i="3" s="1"/>
  <c r="K104" i="3" s="1"/>
  <c r="L104" i="3" s="1"/>
  <c r="K105" i="3" s="1"/>
  <c r="L105" i="3" s="1"/>
  <c r="K106" i="3" s="1"/>
  <c r="L106" i="3" s="1"/>
  <c r="K107" i="3" s="1"/>
  <c r="L107" i="3" s="1"/>
  <c r="K108" i="3" s="1"/>
  <c r="L108" i="3" s="1"/>
  <c r="K109" i="3" s="1"/>
  <c r="L109" i="3" s="1"/>
  <c r="K110" i="3" s="1"/>
  <c r="L110" i="3" s="1"/>
  <c r="K111" i="3" s="1"/>
  <c r="L111" i="3" s="1"/>
  <c r="K112" i="3" s="1"/>
  <c r="L112" i="3" s="1"/>
  <c r="K113" i="3" s="1"/>
  <c r="L113" i="3" s="1"/>
  <c r="K114" i="3" s="1"/>
  <c r="L114" i="3" s="1"/>
  <c r="K115" i="3" s="1"/>
  <c r="L115" i="3" s="1"/>
  <c r="K116" i="3" s="1"/>
  <c r="L116" i="3" s="1"/>
  <c r="K117" i="3" s="1"/>
  <c r="L117" i="3" s="1"/>
  <c r="K118" i="3" s="1"/>
  <c r="L118" i="3" s="1"/>
  <c r="K119" i="3" s="1"/>
  <c r="L119" i="3" s="1"/>
  <c r="K120" i="3" s="1"/>
  <c r="L120" i="3" s="1"/>
  <c r="K121" i="3" s="1"/>
  <c r="L121" i="3" s="1"/>
  <c r="K122" i="3" s="1"/>
  <c r="L122" i="3" s="1"/>
  <c r="K123" i="3" s="1"/>
  <c r="L123" i="3" s="1"/>
  <c r="K124" i="3" s="1"/>
  <c r="L124" i="3" s="1"/>
  <c r="K125" i="3" s="1"/>
  <c r="L125" i="3" s="1"/>
  <c r="K126" i="3" s="1"/>
  <c r="L126" i="3" s="1"/>
  <c r="K127" i="3" s="1"/>
  <c r="L127" i="3" s="1"/>
  <c r="K128" i="3" s="1"/>
  <c r="L128" i="3" s="1"/>
  <c r="K129" i="3" s="1"/>
  <c r="L129" i="3" s="1"/>
  <c r="K130" i="3" s="1"/>
  <c r="L130" i="3" s="1"/>
  <c r="K131" i="3" s="1"/>
  <c r="L131" i="3" s="1"/>
  <c r="K132" i="3" s="1"/>
  <c r="L132" i="3" s="1"/>
  <c r="K133" i="3" s="1"/>
  <c r="L133" i="3" s="1"/>
  <c r="K134" i="3" s="1"/>
  <c r="L134" i="3" s="1"/>
  <c r="K135" i="3" s="1"/>
  <c r="L135" i="3" s="1"/>
  <c r="K136" i="3" s="1"/>
  <c r="L136" i="3" s="1"/>
  <c r="K137" i="3" s="1"/>
  <c r="L137" i="3" s="1"/>
  <c r="K138" i="3" s="1"/>
  <c r="L138" i="3" s="1"/>
  <c r="K139" i="3" s="1"/>
  <c r="L139" i="3" s="1"/>
  <c r="K140" i="3" s="1"/>
  <c r="L140" i="3" s="1"/>
  <c r="K141" i="3" s="1"/>
  <c r="L141" i="3" s="1"/>
  <c r="K142" i="3" s="1"/>
  <c r="L142" i="3" s="1"/>
  <c r="K143" i="3" s="1"/>
  <c r="L143" i="3" s="1"/>
  <c r="K144" i="3" s="1"/>
  <c r="L144" i="3" s="1"/>
  <c r="K145" i="3" s="1"/>
  <c r="L145" i="3" s="1"/>
  <c r="K146" i="3" s="1"/>
  <c r="L146" i="3" s="1"/>
  <c r="K147" i="3" s="1"/>
  <c r="L147" i="3" s="1"/>
  <c r="K148" i="3" s="1"/>
  <c r="L148" i="3" s="1"/>
  <c r="K149" i="3" s="1"/>
  <c r="L149" i="3" s="1"/>
  <c r="K150" i="3" s="1"/>
  <c r="L150" i="3" s="1"/>
  <c r="K151" i="3" s="1"/>
  <c r="L151" i="3" s="1"/>
  <c r="K152" i="3" s="1"/>
  <c r="L152" i="3" s="1"/>
  <c r="K153" i="3" s="1"/>
  <c r="L153" i="3" s="1"/>
  <c r="K154" i="3" s="1"/>
  <c r="L154" i="3" s="1"/>
  <c r="K155" i="3" s="1"/>
  <c r="L155" i="3" s="1"/>
  <c r="K156" i="3" s="1"/>
  <c r="L156" i="3" s="1"/>
  <c r="K157" i="3" s="1"/>
  <c r="L157" i="3" s="1"/>
  <c r="K158" i="3" s="1"/>
  <c r="L158" i="3" s="1"/>
  <c r="K159" i="3" s="1"/>
  <c r="L159" i="3" s="1"/>
  <c r="K160" i="3" s="1"/>
  <c r="L160" i="3" s="1"/>
  <c r="K161" i="3" s="1"/>
  <c r="L161" i="3" s="1"/>
  <c r="K162" i="3" s="1"/>
  <c r="L162" i="3" s="1"/>
  <c r="K163" i="3" s="1"/>
  <c r="L163" i="3" s="1"/>
  <c r="K164" i="3" s="1"/>
  <c r="L164" i="3" s="1"/>
  <c r="K165" i="3" s="1"/>
  <c r="L165" i="3" s="1"/>
  <c r="K166" i="3" s="1"/>
  <c r="L166" i="3" s="1"/>
  <c r="K167" i="3" s="1"/>
  <c r="L167" i="3" s="1"/>
  <c r="K168" i="3" s="1"/>
  <c r="L168" i="3" s="1"/>
  <c r="K169" i="3" s="1"/>
  <c r="L169" i="3" s="1"/>
  <c r="K170" i="3" s="1"/>
  <c r="L170" i="3" s="1"/>
  <c r="K171" i="3" s="1"/>
  <c r="L171" i="3" s="1"/>
  <c r="K172" i="3" s="1"/>
  <c r="L172" i="3" s="1"/>
  <c r="K173" i="3" s="1"/>
  <c r="L173" i="3" s="1"/>
  <c r="K174" i="3" s="1"/>
  <c r="L174" i="3" s="1"/>
  <c r="K175" i="3" s="1"/>
  <c r="L175" i="3" s="1"/>
  <c r="K176" i="3" s="1"/>
  <c r="L176" i="3" s="1"/>
  <c r="K177" i="3" s="1"/>
  <c r="L177" i="3" s="1"/>
  <c r="K178" i="3" s="1"/>
  <c r="L178" i="3" s="1"/>
  <c r="K179" i="3" s="1"/>
  <c r="L179" i="3" s="1"/>
  <c r="K180" i="3" s="1"/>
  <c r="L180" i="3" s="1"/>
  <c r="K181" i="3" s="1"/>
  <c r="L181" i="3" s="1"/>
  <c r="K182" i="3" s="1"/>
  <c r="L182" i="3" s="1"/>
  <c r="K183" i="3" s="1"/>
  <c r="L183" i="3" s="1"/>
  <c r="K184" i="3" s="1"/>
  <c r="L184" i="3" s="1"/>
  <c r="K185" i="3" s="1"/>
  <c r="L185" i="3" s="1"/>
  <c r="K186" i="3" s="1"/>
  <c r="L186" i="3" s="1"/>
  <c r="K187" i="3" s="1"/>
  <c r="L187" i="3" s="1"/>
  <c r="K188" i="3" s="1"/>
  <c r="L188" i="3" s="1"/>
  <c r="K189" i="3" s="1"/>
  <c r="L189" i="3" s="1"/>
  <c r="K190" i="3" s="1"/>
  <c r="L190" i="3" s="1"/>
  <c r="K191" i="3" s="1"/>
  <c r="L191" i="3" s="1"/>
  <c r="K192" i="3" s="1"/>
  <c r="L192" i="3" s="1"/>
  <c r="K193" i="3" s="1"/>
  <c r="L193" i="3" s="1"/>
  <c r="K194" i="3" s="1"/>
  <c r="L194" i="3" s="1"/>
  <c r="K195" i="3" s="1"/>
  <c r="L195" i="3" s="1"/>
  <c r="K196" i="3" s="1"/>
  <c r="L196" i="3" s="1"/>
  <c r="K197" i="3" s="1"/>
  <c r="L197" i="3" s="1"/>
  <c r="K198" i="3" s="1"/>
  <c r="L198" i="3" s="1"/>
  <c r="K199" i="3" s="1"/>
  <c r="L199" i="3" s="1"/>
  <c r="K200" i="3" s="1"/>
  <c r="L200" i="3" s="1"/>
  <c r="K201" i="3" s="1"/>
  <c r="L201" i="3" s="1"/>
  <c r="K202" i="3" s="1"/>
  <c r="L202" i="3" s="1"/>
  <c r="K203" i="3" s="1"/>
  <c r="L203" i="3" s="1"/>
  <c r="K204" i="3" s="1"/>
  <c r="L204" i="3" s="1"/>
  <c r="K205" i="3" s="1"/>
  <c r="L205" i="3" s="1"/>
  <c r="K206" i="3" s="1"/>
  <c r="L206" i="3" s="1"/>
  <c r="M6" i="3"/>
  <c r="E7" i="3"/>
  <c r="J7" i="3"/>
  <c r="M7" i="3"/>
  <c r="E8" i="3"/>
  <c r="J8" i="3"/>
  <c r="M8" i="3"/>
  <c r="E9" i="3"/>
  <c r="J9" i="3"/>
  <c r="M9" i="3"/>
  <c r="E10" i="3"/>
  <c r="H10" i="3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J10" i="3"/>
  <c r="M10" i="3"/>
  <c r="E11" i="3"/>
  <c r="J11" i="3"/>
  <c r="M11" i="3"/>
  <c r="E12" i="3"/>
  <c r="J12" i="3"/>
  <c r="M12" i="3"/>
  <c r="E13" i="3"/>
  <c r="J13" i="3"/>
  <c r="M13" i="3"/>
  <c r="E14" i="3"/>
  <c r="J14" i="3"/>
  <c r="M14" i="3"/>
  <c r="E15" i="3"/>
  <c r="J15" i="3"/>
  <c r="M15" i="3"/>
  <c r="E16" i="3"/>
  <c r="J16" i="3"/>
  <c r="M16" i="3"/>
  <c r="E17" i="3"/>
  <c r="J17" i="3"/>
  <c r="M17" i="3"/>
  <c r="E18" i="3"/>
  <c r="J18" i="3"/>
  <c r="M18" i="3"/>
  <c r="E19" i="3"/>
  <c r="J19" i="3"/>
  <c r="M19" i="3"/>
  <c r="E20" i="3"/>
  <c r="J20" i="3"/>
  <c r="M20" i="3"/>
  <c r="E21" i="3"/>
  <c r="J21" i="3"/>
  <c r="M21" i="3"/>
  <c r="E22" i="3"/>
  <c r="J22" i="3"/>
  <c r="M22" i="3"/>
  <c r="E23" i="3"/>
  <c r="J23" i="3"/>
  <c r="M23" i="3"/>
  <c r="E24" i="3"/>
  <c r="J24" i="3"/>
  <c r="M24" i="3"/>
  <c r="E25" i="3"/>
  <c r="J25" i="3"/>
  <c r="M25" i="3"/>
  <c r="E26" i="3"/>
  <c r="J26" i="3"/>
  <c r="M26" i="3"/>
  <c r="E27" i="3"/>
  <c r="J27" i="3"/>
  <c r="M27" i="3"/>
  <c r="E28" i="3"/>
  <c r="J28" i="3"/>
  <c r="M28" i="3"/>
  <c r="E29" i="3"/>
  <c r="J29" i="3"/>
  <c r="M29" i="3"/>
  <c r="E30" i="3"/>
  <c r="J30" i="3"/>
  <c r="M30" i="3"/>
  <c r="E31" i="3"/>
  <c r="J31" i="3"/>
  <c r="M31" i="3"/>
  <c r="E32" i="3"/>
  <c r="J32" i="3"/>
  <c r="M32" i="3"/>
  <c r="E33" i="3"/>
  <c r="J33" i="3"/>
  <c r="M33" i="3"/>
  <c r="E34" i="3"/>
  <c r="J34" i="3"/>
  <c r="M34" i="3"/>
  <c r="E35" i="3"/>
  <c r="J35" i="3"/>
  <c r="M35" i="3"/>
  <c r="E36" i="3"/>
  <c r="J36" i="3"/>
  <c r="M36" i="3"/>
  <c r="E37" i="3"/>
  <c r="J37" i="3"/>
  <c r="M37" i="3"/>
  <c r="E38" i="3"/>
  <c r="J38" i="3"/>
  <c r="M38" i="3"/>
  <c r="E39" i="3"/>
  <c r="J39" i="3"/>
  <c r="M39" i="3"/>
  <c r="E40" i="3"/>
  <c r="J40" i="3"/>
  <c r="M40" i="3"/>
  <c r="E41" i="3"/>
  <c r="J41" i="3"/>
  <c r="M41" i="3"/>
  <c r="E42" i="3"/>
  <c r="J42" i="3"/>
  <c r="M42" i="3"/>
  <c r="E43" i="3"/>
  <c r="J43" i="3"/>
  <c r="M43" i="3"/>
  <c r="R43" i="3"/>
  <c r="E44" i="3"/>
  <c r="J44" i="3"/>
  <c r="M44" i="3"/>
  <c r="E45" i="3"/>
  <c r="J45" i="3"/>
  <c r="M45" i="3"/>
  <c r="E46" i="3"/>
  <c r="J46" i="3"/>
  <c r="M46" i="3"/>
  <c r="E47" i="3"/>
  <c r="J47" i="3"/>
  <c r="M47" i="3"/>
  <c r="E48" i="3"/>
  <c r="J48" i="3"/>
  <c r="M48" i="3"/>
  <c r="E49" i="3"/>
  <c r="H49" i="3"/>
  <c r="M49" i="3"/>
  <c r="E50" i="3"/>
  <c r="H50" i="3"/>
  <c r="H51" i="3" s="1"/>
  <c r="H52" i="3" s="1"/>
  <c r="H53" i="3" s="1"/>
  <c r="H54" i="3" s="1"/>
  <c r="H55" i="3" s="1"/>
  <c r="J50" i="3"/>
  <c r="M50" i="3"/>
  <c r="E51" i="3"/>
  <c r="J51" i="3"/>
  <c r="M51" i="3"/>
  <c r="E52" i="3"/>
  <c r="J52" i="3"/>
  <c r="M52" i="3"/>
  <c r="E53" i="3"/>
  <c r="J53" i="3"/>
  <c r="M53" i="3"/>
  <c r="E54" i="3"/>
  <c r="J54" i="3"/>
  <c r="M54" i="3"/>
  <c r="E55" i="3"/>
  <c r="J55" i="3"/>
  <c r="M55" i="3"/>
  <c r="E56" i="3"/>
  <c r="M56" i="3"/>
  <c r="E57" i="3"/>
  <c r="H57" i="3"/>
  <c r="H58" i="3" s="1"/>
  <c r="H59" i="3" s="1"/>
  <c r="J57" i="3"/>
  <c r="M57" i="3"/>
  <c r="E58" i="3"/>
  <c r="J58" i="3"/>
  <c r="M58" i="3"/>
  <c r="E59" i="3"/>
  <c r="J59" i="3"/>
  <c r="M59" i="3"/>
  <c r="E60" i="3"/>
  <c r="H60" i="3"/>
  <c r="J60" i="3"/>
  <c r="M60" i="3"/>
  <c r="E61" i="3"/>
  <c r="H61" i="3"/>
  <c r="H62" i="3" s="1"/>
  <c r="H63" i="3" s="1"/>
  <c r="J61" i="3"/>
  <c r="M61" i="3"/>
  <c r="E62" i="3"/>
  <c r="J62" i="3"/>
  <c r="M62" i="3"/>
  <c r="E63" i="3"/>
  <c r="J63" i="3"/>
  <c r="M63" i="3"/>
  <c r="E64" i="3"/>
  <c r="M64" i="3"/>
  <c r="E65" i="3"/>
  <c r="H65" i="3"/>
  <c r="J65" i="3"/>
  <c r="M65" i="3"/>
  <c r="E66" i="3"/>
  <c r="H66" i="3"/>
  <c r="J66" i="3"/>
  <c r="M66" i="3"/>
  <c r="E67" i="3"/>
  <c r="H67" i="3"/>
  <c r="J67" i="3"/>
  <c r="M67" i="3"/>
  <c r="E68" i="3"/>
  <c r="H68" i="3"/>
  <c r="H69" i="3" s="1"/>
  <c r="H70" i="3" s="1"/>
  <c r="H71" i="3" s="1"/>
  <c r="H72" i="3" s="1"/>
  <c r="H73" i="3" s="1"/>
  <c r="H74" i="3" s="1"/>
  <c r="H75" i="3" s="1"/>
  <c r="H76" i="3" s="1"/>
  <c r="H77" i="3" s="1"/>
  <c r="H78" i="3" s="1"/>
  <c r="H79" i="3" s="1"/>
  <c r="H80" i="3" s="1"/>
  <c r="H81" i="3" s="1"/>
  <c r="H82" i="3" s="1"/>
  <c r="H83" i="3" s="1"/>
  <c r="H84" i="3" s="1"/>
  <c r="H85" i="3" s="1"/>
  <c r="H86" i="3" s="1"/>
  <c r="H87" i="3" s="1"/>
  <c r="J68" i="3"/>
  <c r="M68" i="3"/>
  <c r="E69" i="3"/>
  <c r="J69" i="3"/>
  <c r="M69" i="3"/>
  <c r="E70" i="3"/>
  <c r="J70" i="3"/>
  <c r="M70" i="3"/>
  <c r="E71" i="3"/>
  <c r="J71" i="3"/>
  <c r="M71" i="3"/>
  <c r="E72" i="3"/>
  <c r="J72" i="3"/>
  <c r="M72" i="3"/>
  <c r="E73" i="3"/>
  <c r="J73" i="3"/>
  <c r="M73" i="3"/>
  <c r="E74" i="3"/>
  <c r="J74" i="3"/>
  <c r="M74" i="3"/>
  <c r="E75" i="3"/>
  <c r="J75" i="3"/>
  <c r="M75" i="3"/>
  <c r="E76" i="3"/>
  <c r="J76" i="3"/>
  <c r="M76" i="3"/>
  <c r="E77" i="3"/>
  <c r="J77" i="3"/>
  <c r="M77" i="3"/>
  <c r="E78" i="3"/>
  <c r="J78" i="3"/>
  <c r="M78" i="3"/>
  <c r="E79" i="3"/>
  <c r="J79" i="3"/>
  <c r="M79" i="3"/>
  <c r="E80" i="3"/>
  <c r="J80" i="3"/>
  <c r="M80" i="3"/>
  <c r="E81" i="3"/>
  <c r="J81" i="3"/>
  <c r="M81" i="3"/>
  <c r="E82" i="3"/>
  <c r="J82" i="3"/>
  <c r="M82" i="3"/>
  <c r="E83" i="3"/>
  <c r="J83" i="3"/>
  <c r="M83" i="3"/>
  <c r="E84" i="3"/>
  <c r="J84" i="3"/>
  <c r="M84" i="3"/>
  <c r="E85" i="3"/>
  <c r="J85" i="3"/>
  <c r="M85" i="3"/>
  <c r="E86" i="3"/>
  <c r="J86" i="3"/>
  <c r="M86" i="3"/>
  <c r="E87" i="3"/>
  <c r="J87" i="3"/>
  <c r="M87" i="3"/>
  <c r="E88" i="3"/>
  <c r="H88" i="3"/>
  <c r="H89" i="3" s="1"/>
  <c r="H90" i="3" s="1"/>
  <c r="H91" i="3" s="1"/>
  <c r="H92" i="3" s="1"/>
  <c r="H93" i="3" s="1"/>
  <c r="H94" i="3" s="1"/>
  <c r="J88" i="3"/>
  <c r="M88" i="3"/>
  <c r="E89" i="3"/>
  <c r="J89" i="3"/>
  <c r="M89" i="3"/>
  <c r="E90" i="3"/>
  <c r="J90" i="3"/>
  <c r="M90" i="3"/>
  <c r="E91" i="3"/>
  <c r="J91" i="3"/>
  <c r="M91" i="3"/>
  <c r="E92" i="3"/>
  <c r="J92" i="3"/>
  <c r="M92" i="3"/>
  <c r="E93" i="3"/>
  <c r="J93" i="3"/>
  <c r="M93" i="3"/>
  <c r="E94" i="3"/>
  <c r="J94" i="3"/>
  <c r="M94" i="3"/>
  <c r="E95" i="3"/>
  <c r="H95" i="3"/>
  <c r="H96" i="3" s="1"/>
  <c r="H97" i="3" s="1"/>
  <c r="H98" i="3" s="1"/>
  <c r="H99" i="3" s="1"/>
  <c r="H100" i="3" s="1"/>
  <c r="H101" i="3" s="1"/>
  <c r="H102" i="3" s="1"/>
  <c r="H103" i="3" s="1"/>
  <c r="H104" i="3" s="1"/>
  <c r="H105" i="3" s="1"/>
  <c r="H106" i="3" s="1"/>
  <c r="H107" i="3" s="1"/>
  <c r="H108" i="3" s="1"/>
  <c r="H109" i="3" s="1"/>
  <c r="H110" i="3" s="1"/>
  <c r="H111" i="3" s="1"/>
  <c r="H112" i="3" s="1"/>
  <c r="H113" i="3" s="1"/>
  <c r="H114" i="3" s="1"/>
  <c r="H115" i="3" s="1"/>
  <c r="H116" i="3" s="1"/>
  <c r="H117" i="3" s="1"/>
  <c r="H118" i="3" s="1"/>
  <c r="H119" i="3" s="1"/>
  <c r="H120" i="3" s="1"/>
  <c r="H121" i="3" s="1"/>
  <c r="H122" i="3" s="1"/>
  <c r="H123" i="3" s="1"/>
  <c r="H124" i="3" s="1"/>
  <c r="H125" i="3" s="1"/>
  <c r="H126" i="3" s="1"/>
  <c r="H127" i="3" s="1"/>
  <c r="H128" i="3" s="1"/>
  <c r="H129" i="3" s="1"/>
  <c r="H130" i="3" s="1"/>
  <c r="H131" i="3" s="1"/>
  <c r="H132" i="3" s="1"/>
  <c r="H133" i="3" s="1"/>
  <c r="H134" i="3" s="1"/>
  <c r="H135" i="3" s="1"/>
  <c r="H136" i="3" s="1"/>
  <c r="H137" i="3" s="1"/>
  <c r="H138" i="3" s="1"/>
  <c r="H139" i="3" s="1"/>
  <c r="H140" i="3" s="1"/>
  <c r="H141" i="3" s="1"/>
  <c r="H142" i="3" s="1"/>
  <c r="H143" i="3" s="1"/>
  <c r="H144" i="3" s="1"/>
  <c r="H145" i="3" s="1"/>
  <c r="H146" i="3" s="1"/>
  <c r="H147" i="3" s="1"/>
  <c r="H148" i="3" s="1"/>
  <c r="H149" i="3" s="1"/>
  <c r="H150" i="3" s="1"/>
  <c r="H151" i="3" s="1"/>
  <c r="H152" i="3" s="1"/>
  <c r="H153" i="3" s="1"/>
  <c r="H154" i="3" s="1"/>
  <c r="H155" i="3" s="1"/>
  <c r="H156" i="3" s="1"/>
  <c r="H157" i="3" s="1"/>
  <c r="H158" i="3" s="1"/>
  <c r="H159" i="3" s="1"/>
  <c r="H160" i="3" s="1"/>
  <c r="H161" i="3" s="1"/>
  <c r="H162" i="3" s="1"/>
  <c r="H163" i="3" s="1"/>
  <c r="H164" i="3" s="1"/>
  <c r="H165" i="3" s="1"/>
  <c r="H166" i="3" s="1"/>
  <c r="H167" i="3" s="1"/>
  <c r="H168" i="3" s="1"/>
  <c r="H169" i="3" s="1"/>
  <c r="H170" i="3" s="1"/>
  <c r="H171" i="3" s="1"/>
  <c r="H172" i="3" s="1"/>
  <c r="H173" i="3" s="1"/>
  <c r="H174" i="3" s="1"/>
  <c r="H175" i="3" s="1"/>
  <c r="H176" i="3" s="1"/>
  <c r="H177" i="3" s="1"/>
  <c r="H178" i="3" s="1"/>
  <c r="H179" i="3" s="1"/>
  <c r="H180" i="3" s="1"/>
  <c r="H181" i="3" s="1"/>
  <c r="H182" i="3" s="1"/>
  <c r="H183" i="3" s="1"/>
  <c r="H184" i="3" s="1"/>
  <c r="H185" i="3" s="1"/>
  <c r="H186" i="3" s="1"/>
  <c r="H187" i="3" s="1"/>
  <c r="H188" i="3" s="1"/>
  <c r="H189" i="3" s="1"/>
  <c r="H190" i="3" s="1"/>
  <c r="H191" i="3" s="1"/>
  <c r="H192" i="3" s="1"/>
  <c r="H193" i="3" s="1"/>
  <c r="H194" i="3" s="1"/>
  <c r="H195" i="3" s="1"/>
  <c r="H196" i="3" s="1"/>
  <c r="H197" i="3" s="1"/>
  <c r="H198" i="3" s="1"/>
  <c r="H199" i="3" s="1"/>
  <c r="H200" i="3" s="1"/>
  <c r="H201" i="3" s="1"/>
  <c r="H202" i="3" s="1"/>
  <c r="H203" i="3" s="1"/>
  <c r="H204" i="3" s="1"/>
  <c r="H205" i="3" s="1"/>
  <c r="H206" i="3" s="1"/>
  <c r="J95" i="3"/>
  <c r="M95" i="3"/>
  <c r="E96" i="3"/>
  <c r="J96" i="3"/>
  <c r="M96" i="3"/>
  <c r="E97" i="3"/>
  <c r="J97" i="3"/>
  <c r="M97" i="3"/>
  <c r="E98" i="3"/>
  <c r="J98" i="3"/>
  <c r="M98" i="3"/>
  <c r="E99" i="3"/>
  <c r="J99" i="3"/>
  <c r="M99" i="3"/>
  <c r="E100" i="3"/>
  <c r="J100" i="3"/>
  <c r="M100" i="3"/>
  <c r="E101" i="3"/>
  <c r="J101" i="3"/>
  <c r="M101" i="3"/>
  <c r="E102" i="3"/>
  <c r="J102" i="3"/>
  <c r="M102" i="3"/>
  <c r="E103" i="3"/>
  <c r="J103" i="3"/>
  <c r="M103" i="3"/>
  <c r="E104" i="3"/>
  <c r="J104" i="3"/>
  <c r="M104" i="3"/>
  <c r="E105" i="3"/>
  <c r="J105" i="3"/>
  <c r="M105" i="3"/>
  <c r="E106" i="3"/>
  <c r="J106" i="3"/>
  <c r="M106" i="3"/>
  <c r="E107" i="3"/>
  <c r="J107" i="3"/>
  <c r="M107" i="3"/>
  <c r="E108" i="3"/>
  <c r="J108" i="3"/>
  <c r="M108" i="3"/>
  <c r="E109" i="3"/>
  <c r="J109" i="3"/>
  <c r="M109" i="3"/>
  <c r="E110" i="3"/>
  <c r="J110" i="3"/>
  <c r="M110" i="3"/>
  <c r="E111" i="3"/>
  <c r="J111" i="3"/>
  <c r="M111" i="3"/>
  <c r="E112" i="3"/>
  <c r="J112" i="3"/>
  <c r="M112" i="3"/>
  <c r="E113" i="3"/>
  <c r="J113" i="3"/>
  <c r="M113" i="3"/>
  <c r="E114" i="3"/>
  <c r="J114" i="3"/>
  <c r="M114" i="3"/>
  <c r="E115" i="3"/>
  <c r="J115" i="3"/>
  <c r="M115" i="3"/>
  <c r="E116" i="3"/>
  <c r="J116" i="3"/>
  <c r="M116" i="3"/>
  <c r="E117" i="3"/>
  <c r="J117" i="3"/>
  <c r="M117" i="3"/>
  <c r="E118" i="3"/>
  <c r="J118" i="3"/>
  <c r="M118" i="3"/>
  <c r="E119" i="3"/>
  <c r="J119" i="3"/>
  <c r="M119" i="3"/>
  <c r="E120" i="3"/>
  <c r="J120" i="3"/>
  <c r="M120" i="3"/>
  <c r="E121" i="3"/>
  <c r="J121" i="3"/>
  <c r="M121" i="3"/>
  <c r="E122" i="3"/>
  <c r="J122" i="3"/>
  <c r="M122" i="3"/>
  <c r="E123" i="3"/>
  <c r="J123" i="3"/>
  <c r="M123" i="3"/>
  <c r="E124" i="3"/>
  <c r="J124" i="3"/>
  <c r="M124" i="3"/>
  <c r="E125" i="3"/>
  <c r="J125" i="3"/>
  <c r="M125" i="3"/>
  <c r="E126" i="3"/>
  <c r="J126" i="3"/>
  <c r="M126" i="3"/>
  <c r="E127" i="3"/>
  <c r="J127" i="3"/>
  <c r="M127" i="3"/>
  <c r="E128" i="3"/>
  <c r="J128" i="3"/>
  <c r="M128" i="3"/>
  <c r="E129" i="3"/>
  <c r="J129" i="3"/>
  <c r="M129" i="3"/>
  <c r="E130" i="3"/>
  <c r="J130" i="3"/>
  <c r="M130" i="3"/>
  <c r="E131" i="3"/>
  <c r="J131" i="3"/>
  <c r="M131" i="3"/>
  <c r="E132" i="3"/>
  <c r="J132" i="3"/>
  <c r="M132" i="3"/>
  <c r="E133" i="3"/>
  <c r="J133" i="3"/>
  <c r="M133" i="3"/>
  <c r="E134" i="3"/>
  <c r="J134" i="3"/>
  <c r="M134" i="3"/>
  <c r="E135" i="3"/>
  <c r="J135" i="3"/>
  <c r="M135" i="3"/>
  <c r="E136" i="3"/>
  <c r="J136" i="3"/>
  <c r="M136" i="3"/>
  <c r="E137" i="3"/>
  <c r="J137" i="3"/>
  <c r="M137" i="3"/>
  <c r="E138" i="3"/>
  <c r="J138" i="3"/>
  <c r="M138" i="3"/>
  <c r="E139" i="3"/>
  <c r="J139" i="3"/>
  <c r="M139" i="3"/>
  <c r="E140" i="3"/>
  <c r="J140" i="3"/>
  <c r="M140" i="3"/>
  <c r="E141" i="3"/>
  <c r="J141" i="3"/>
  <c r="M141" i="3"/>
  <c r="E142" i="3"/>
  <c r="J142" i="3"/>
  <c r="M142" i="3"/>
  <c r="E143" i="3"/>
  <c r="J143" i="3"/>
  <c r="M143" i="3"/>
  <c r="E144" i="3"/>
  <c r="J144" i="3"/>
  <c r="M144" i="3"/>
  <c r="E145" i="3"/>
  <c r="J145" i="3"/>
  <c r="M145" i="3"/>
  <c r="E146" i="3"/>
  <c r="J146" i="3"/>
  <c r="M146" i="3"/>
  <c r="E147" i="3"/>
  <c r="J147" i="3"/>
  <c r="M147" i="3"/>
  <c r="E148" i="3"/>
  <c r="J148" i="3"/>
  <c r="M148" i="3"/>
  <c r="E149" i="3"/>
  <c r="J149" i="3"/>
  <c r="M149" i="3"/>
  <c r="E150" i="3"/>
  <c r="J150" i="3"/>
  <c r="M150" i="3"/>
  <c r="E151" i="3"/>
  <c r="J151" i="3"/>
  <c r="M151" i="3"/>
  <c r="E152" i="3"/>
  <c r="J152" i="3"/>
  <c r="M152" i="3"/>
  <c r="E153" i="3"/>
  <c r="J153" i="3"/>
  <c r="M153" i="3"/>
  <c r="E154" i="3"/>
  <c r="J154" i="3"/>
  <c r="M154" i="3"/>
  <c r="E155" i="3"/>
  <c r="J155" i="3"/>
  <c r="M155" i="3"/>
  <c r="E156" i="3"/>
  <c r="J156" i="3"/>
  <c r="M156" i="3"/>
  <c r="E157" i="3"/>
  <c r="J157" i="3"/>
  <c r="M157" i="3"/>
  <c r="E158" i="3"/>
  <c r="J158" i="3"/>
  <c r="M158" i="3"/>
  <c r="E159" i="3"/>
  <c r="J159" i="3"/>
  <c r="M159" i="3"/>
  <c r="E160" i="3"/>
  <c r="J160" i="3"/>
  <c r="M160" i="3"/>
  <c r="E161" i="3"/>
  <c r="J161" i="3"/>
  <c r="M161" i="3"/>
  <c r="E162" i="3"/>
  <c r="J162" i="3"/>
  <c r="M162" i="3"/>
  <c r="E163" i="3"/>
  <c r="J163" i="3"/>
  <c r="M163" i="3"/>
  <c r="E164" i="3"/>
  <c r="J164" i="3"/>
  <c r="M164" i="3"/>
  <c r="E165" i="3"/>
  <c r="J165" i="3"/>
  <c r="M165" i="3"/>
  <c r="E166" i="3"/>
  <c r="J166" i="3"/>
  <c r="M166" i="3"/>
  <c r="E167" i="3"/>
  <c r="J167" i="3"/>
  <c r="M167" i="3"/>
  <c r="E168" i="3"/>
  <c r="J168" i="3"/>
  <c r="M168" i="3"/>
  <c r="E169" i="3"/>
  <c r="J169" i="3"/>
  <c r="M169" i="3"/>
  <c r="E170" i="3"/>
  <c r="J170" i="3"/>
  <c r="M170" i="3"/>
  <c r="E171" i="3"/>
  <c r="J171" i="3"/>
  <c r="M171" i="3"/>
  <c r="E172" i="3"/>
  <c r="J172" i="3"/>
  <c r="M172" i="3"/>
  <c r="E173" i="3"/>
  <c r="J173" i="3"/>
  <c r="M173" i="3"/>
  <c r="E174" i="3"/>
  <c r="J174" i="3"/>
  <c r="M174" i="3"/>
  <c r="E175" i="3"/>
  <c r="J175" i="3"/>
  <c r="M175" i="3"/>
  <c r="E176" i="3"/>
  <c r="J176" i="3"/>
  <c r="M176" i="3"/>
  <c r="E177" i="3"/>
  <c r="J177" i="3"/>
  <c r="M177" i="3"/>
  <c r="E178" i="3"/>
  <c r="J178" i="3"/>
  <c r="M178" i="3"/>
  <c r="E179" i="3"/>
  <c r="J179" i="3"/>
  <c r="M179" i="3"/>
  <c r="E180" i="3"/>
  <c r="J180" i="3"/>
  <c r="M180" i="3"/>
  <c r="E181" i="3"/>
  <c r="J181" i="3"/>
  <c r="M181" i="3"/>
  <c r="E182" i="3"/>
  <c r="J182" i="3"/>
  <c r="M182" i="3"/>
  <c r="E183" i="3"/>
  <c r="J183" i="3"/>
  <c r="M183" i="3"/>
  <c r="E184" i="3"/>
  <c r="J184" i="3"/>
  <c r="M184" i="3"/>
  <c r="E185" i="3"/>
  <c r="J185" i="3"/>
  <c r="M185" i="3"/>
  <c r="E186" i="3"/>
  <c r="J186" i="3"/>
  <c r="M186" i="3"/>
  <c r="E187" i="3"/>
  <c r="J187" i="3"/>
  <c r="M187" i="3"/>
  <c r="E188" i="3"/>
  <c r="J188" i="3"/>
  <c r="M188" i="3"/>
  <c r="E189" i="3"/>
  <c r="J189" i="3"/>
  <c r="M189" i="3"/>
  <c r="E190" i="3"/>
  <c r="J190" i="3"/>
  <c r="M190" i="3"/>
  <c r="E191" i="3"/>
  <c r="J191" i="3"/>
  <c r="M191" i="3"/>
  <c r="E192" i="3"/>
  <c r="J192" i="3"/>
  <c r="M192" i="3"/>
  <c r="E193" i="3"/>
  <c r="J193" i="3"/>
  <c r="M193" i="3"/>
  <c r="E194" i="3"/>
  <c r="J194" i="3"/>
  <c r="M194" i="3"/>
  <c r="E195" i="3"/>
  <c r="J195" i="3"/>
  <c r="M195" i="3"/>
  <c r="E196" i="3"/>
  <c r="J196" i="3"/>
  <c r="M196" i="3"/>
  <c r="E197" i="3"/>
  <c r="J197" i="3"/>
  <c r="M197" i="3"/>
  <c r="E198" i="3"/>
  <c r="J198" i="3"/>
  <c r="M198" i="3"/>
  <c r="E199" i="3"/>
  <c r="J199" i="3"/>
  <c r="M199" i="3"/>
  <c r="E200" i="3"/>
  <c r="J200" i="3"/>
  <c r="M200" i="3"/>
  <c r="E201" i="3"/>
  <c r="J201" i="3"/>
  <c r="M201" i="3"/>
  <c r="E202" i="3"/>
  <c r="J202" i="3"/>
  <c r="M202" i="3"/>
  <c r="E203" i="3"/>
  <c r="J203" i="3"/>
  <c r="M203" i="3"/>
  <c r="E204" i="3"/>
  <c r="J204" i="3"/>
  <c r="M204" i="3"/>
  <c r="E205" i="3"/>
  <c r="J205" i="3"/>
  <c r="M205" i="3"/>
  <c r="E206" i="3"/>
  <c r="J206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1879" i="3"/>
  <c r="M1880" i="3"/>
  <c r="M1881" i="3"/>
  <c r="M1882" i="3"/>
  <c r="M1883" i="3"/>
  <c r="M1884" i="3"/>
  <c r="M1885" i="3"/>
  <c r="M1886" i="3"/>
  <c r="M1887" i="3"/>
  <c r="M1888" i="3"/>
  <c r="M1889" i="3"/>
  <c r="M1890" i="3"/>
  <c r="M1891" i="3"/>
  <c r="M1892" i="3"/>
  <c r="M1893" i="3"/>
  <c r="M1894" i="3"/>
  <c r="M1895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M1930" i="3"/>
  <c r="M1931" i="3"/>
  <c r="M1932" i="3"/>
  <c r="M1933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1992" i="3"/>
  <c r="M1993" i="3"/>
  <c r="M1994" i="3"/>
  <c r="M1995" i="3"/>
  <c r="M1996" i="3"/>
  <c r="M1997" i="3"/>
  <c r="M1998" i="3"/>
  <c r="M1999" i="3"/>
  <c r="M2000" i="3"/>
  <c r="M2000" i="2"/>
  <c r="M1999" i="2"/>
  <c r="M1998" i="2"/>
  <c r="M1997" i="2"/>
  <c r="M1996" i="2"/>
  <c r="M1995" i="2"/>
  <c r="M1994" i="2"/>
  <c r="M1993" i="2"/>
  <c r="M1992" i="2"/>
  <c r="M1991" i="2"/>
  <c r="M1990" i="2"/>
  <c r="M1989" i="2"/>
  <c r="M1988" i="2"/>
  <c r="M1987" i="2"/>
  <c r="M1986" i="2"/>
  <c r="M1985" i="2"/>
  <c r="M1984" i="2"/>
  <c r="M1983" i="2"/>
  <c r="M1982" i="2"/>
  <c r="M1981" i="2"/>
  <c r="M1980" i="2"/>
  <c r="M1979" i="2"/>
  <c r="M1978" i="2"/>
  <c r="M1977" i="2"/>
  <c r="M1976" i="2"/>
  <c r="M1975" i="2"/>
  <c r="M1974" i="2"/>
  <c r="M1973" i="2"/>
  <c r="M1972" i="2"/>
  <c r="M1971" i="2"/>
  <c r="M1970" i="2"/>
  <c r="M1969" i="2"/>
  <c r="M1968" i="2"/>
  <c r="M1967" i="2"/>
  <c r="M1966" i="2"/>
  <c r="M1965" i="2"/>
  <c r="M1964" i="2"/>
  <c r="M1963" i="2"/>
  <c r="M1962" i="2"/>
  <c r="M1961" i="2"/>
  <c r="M1960" i="2"/>
  <c r="M1959" i="2"/>
  <c r="M1958" i="2"/>
  <c r="M1957" i="2"/>
  <c r="M1956" i="2"/>
  <c r="M1955" i="2"/>
  <c r="M1954" i="2"/>
  <c r="M1953" i="2"/>
  <c r="M1952" i="2"/>
  <c r="M1951" i="2"/>
  <c r="M1950" i="2"/>
  <c r="M1949" i="2"/>
  <c r="M1948" i="2"/>
  <c r="M1947" i="2"/>
  <c r="M1946" i="2"/>
  <c r="M1945" i="2"/>
  <c r="M1944" i="2"/>
  <c r="M1943" i="2"/>
  <c r="M1942" i="2"/>
  <c r="M1941" i="2"/>
  <c r="M1940" i="2"/>
  <c r="M1939" i="2"/>
  <c r="M1938" i="2"/>
  <c r="M1937" i="2"/>
  <c r="M1936" i="2"/>
  <c r="M1935" i="2"/>
  <c r="M1934" i="2"/>
  <c r="M1933" i="2"/>
  <c r="M1932" i="2"/>
  <c r="M1931" i="2"/>
  <c r="M1930" i="2"/>
  <c r="M1929" i="2"/>
  <c r="M1928" i="2"/>
  <c r="M1927" i="2"/>
  <c r="M1926" i="2"/>
  <c r="M1925" i="2"/>
  <c r="M1924" i="2"/>
  <c r="M1923" i="2"/>
  <c r="M1922" i="2"/>
  <c r="M1921" i="2"/>
  <c r="M1920" i="2"/>
  <c r="M1919" i="2"/>
  <c r="M1918" i="2"/>
  <c r="M1917" i="2"/>
  <c r="M1916" i="2"/>
  <c r="M1915" i="2"/>
  <c r="M1914" i="2"/>
  <c r="M1913" i="2"/>
  <c r="M1912" i="2"/>
  <c r="M1911" i="2"/>
  <c r="M1910" i="2"/>
  <c r="M1909" i="2"/>
  <c r="M1908" i="2"/>
  <c r="M1907" i="2"/>
  <c r="M1906" i="2"/>
  <c r="M1905" i="2"/>
  <c r="M1904" i="2"/>
  <c r="M1903" i="2"/>
  <c r="M1902" i="2"/>
  <c r="M1901" i="2"/>
  <c r="M1900" i="2"/>
  <c r="M1899" i="2"/>
  <c r="M1898" i="2"/>
  <c r="M1897" i="2"/>
  <c r="M1896" i="2"/>
  <c r="M1895" i="2"/>
  <c r="M1894" i="2"/>
  <c r="M1893" i="2"/>
  <c r="M1892" i="2"/>
  <c r="M1891" i="2"/>
  <c r="M1890" i="2"/>
  <c r="M1889" i="2"/>
  <c r="M1888" i="2"/>
  <c r="M1887" i="2"/>
  <c r="M1886" i="2"/>
  <c r="M1885" i="2"/>
  <c r="M1884" i="2"/>
  <c r="M1883" i="2"/>
  <c r="M1882" i="2"/>
  <c r="M1881" i="2"/>
  <c r="M1880" i="2"/>
  <c r="M1879" i="2"/>
  <c r="M1878" i="2"/>
  <c r="M1877" i="2"/>
  <c r="M1876" i="2"/>
  <c r="M1875" i="2"/>
  <c r="M1874" i="2"/>
  <c r="M1873" i="2"/>
  <c r="M1872" i="2"/>
  <c r="M1871" i="2"/>
  <c r="M1870" i="2"/>
  <c r="M1869" i="2"/>
  <c r="M1868" i="2"/>
  <c r="M1867" i="2"/>
  <c r="M1866" i="2"/>
  <c r="M1865" i="2"/>
  <c r="M1864" i="2"/>
  <c r="M1863" i="2"/>
  <c r="M1862" i="2"/>
  <c r="M1861" i="2"/>
  <c r="M1860" i="2"/>
  <c r="M1859" i="2"/>
  <c r="M1858" i="2"/>
  <c r="M1857" i="2"/>
  <c r="M1856" i="2"/>
  <c r="M1855" i="2"/>
  <c r="M1854" i="2"/>
  <c r="M1853" i="2"/>
  <c r="M1852" i="2"/>
  <c r="M1851" i="2"/>
  <c r="M1850" i="2"/>
  <c r="M1849" i="2"/>
  <c r="M1848" i="2"/>
  <c r="M1847" i="2"/>
  <c r="M1846" i="2"/>
  <c r="M1845" i="2"/>
  <c r="M1844" i="2"/>
  <c r="M1843" i="2"/>
  <c r="M1842" i="2"/>
  <c r="M1841" i="2"/>
  <c r="M1840" i="2"/>
  <c r="M1839" i="2"/>
  <c r="M1838" i="2"/>
  <c r="M1837" i="2"/>
  <c r="M1836" i="2"/>
  <c r="M1835" i="2"/>
  <c r="M1834" i="2"/>
  <c r="M1833" i="2"/>
  <c r="M1832" i="2"/>
  <c r="M1831" i="2"/>
  <c r="M1830" i="2"/>
  <c r="M1829" i="2"/>
  <c r="M1828" i="2"/>
  <c r="M1827" i="2"/>
  <c r="M1826" i="2"/>
  <c r="M1825" i="2"/>
  <c r="M1824" i="2"/>
  <c r="M1823" i="2"/>
  <c r="M1822" i="2"/>
  <c r="M1821" i="2"/>
  <c r="M1820" i="2"/>
  <c r="M1819" i="2"/>
  <c r="M1818" i="2"/>
  <c r="M1817" i="2"/>
  <c r="M1816" i="2"/>
  <c r="M1815" i="2"/>
  <c r="M1814" i="2"/>
  <c r="M1813" i="2"/>
  <c r="M1812" i="2"/>
  <c r="M1811" i="2"/>
  <c r="M1810" i="2"/>
  <c r="M1809" i="2"/>
  <c r="M1808" i="2"/>
  <c r="M1807" i="2"/>
  <c r="M1806" i="2"/>
  <c r="M1805" i="2"/>
  <c r="M1804" i="2"/>
  <c r="M1803" i="2"/>
  <c r="M1802" i="2"/>
  <c r="M1801" i="2"/>
  <c r="M1800" i="2"/>
  <c r="M1799" i="2"/>
  <c r="M1798" i="2"/>
  <c r="M1797" i="2"/>
  <c r="M1796" i="2"/>
  <c r="M1795" i="2"/>
  <c r="M1794" i="2"/>
  <c r="M1793" i="2"/>
  <c r="M1792" i="2"/>
  <c r="M1791" i="2"/>
  <c r="M1790" i="2"/>
  <c r="M1789" i="2"/>
  <c r="M1788" i="2"/>
  <c r="M1787" i="2"/>
  <c r="M1786" i="2"/>
  <c r="M1785" i="2"/>
  <c r="M1784" i="2"/>
  <c r="M1783" i="2"/>
  <c r="M1782" i="2"/>
  <c r="M1781" i="2"/>
  <c r="M1780" i="2"/>
  <c r="M1779" i="2"/>
  <c r="M1778" i="2"/>
  <c r="M1777" i="2"/>
  <c r="M1776" i="2"/>
  <c r="M1775" i="2"/>
  <c r="M1774" i="2"/>
  <c r="M1773" i="2"/>
  <c r="M1772" i="2"/>
  <c r="M1771" i="2"/>
  <c r="M1770" i="2"/>
  <c r="M1769" i="2"/>
  <c r="M1768" i="2"/>
  <c r="M1767" i="2"/>
  <c r="M1766" i="2"/>
  <c r="M1765" i="2"/>
  <c r="M1764" i="2"/>
  <c r="M1763" i="2"/>
  <c r="M1762" i="2"/>
  <c r="M1761" i="2"/>
  <c r="M1760" i="2"/>
  <c r="M1759" i="2"/>
  <c r="M1758" i="2"/>
  <c r="M1757" i="2"/>
  <c r="M1756" i="2"/>
  <c r="M1755" i="2"/>
  <c r="M1754" i="2"/>
  <c r="M1753" i="2"/>
  <c r="M1752" i="2"/>
  <c r="M1751" i="2"/>
  <c r="M1750" i="2"/>
  <c r="M1749" i="2"/>
  <c r="M1748" i="2"/>
  <c r="M1747" i="2"/>
  <c r="M1746" i="2"/>
  <c r="M1745" i="2"/>
  <c r="M1744" i="2"/>
  <c r="M1743" i="2"/>
  <c r="M1742" i="2"/>
  <c r="M1741" i="2"/>
  <c r="M1740" i="2"/>
  <c r="M1739" i="2"/>
  <c r="M1738" i="2"/>
  <c r="M1737" i="2"/>
  <c r="M1736" i="2"/>
  <c r="M1735" i="2"/>
  <c r="M1734" i="2"/>
  <c r="M1733" i="2"/>
  <c r="M1732" i="2"/>
  <c r="M1731" i="2"/>
  <c r="M1730" i="2"/>
  <c r="M1729" i="2"/>
  <c r="M1728" i="2"/>
  <c r="M1727" i="2"/>
  <c r="M1726" i="2"/>
  <c r="M1725" i="2"/>
  <c r="M1724" i="2"/>
  <c r="M1723" i="2"/>
  <c r="M1722" i="2"/>
  <c r="M1721" i="2"/>
  <c r="M1720" i="2"/>
  <c r="M1719" i="2"/>
  <c r="M1718" i="2"/>
  <c r="M1717" i="2"/>
  <c r="M1716" i="2"/>
  <c r="M1715" i="2"/>
  <c r="M1714" i="2"/>
  <c r="M1713" i="2"/>
  <c r="M1712" i="2"/>
  <c r="M1711" i="2"/>
  <c r="M1710" i="2"/>
  <c r="M1709" i="2"/>
  <c r="M1708" i="2"/>
  <c r="M1707" i="2"/>
  <c r="M1706" i="2"/>
  <c r="M1705" i="2"/>
  <c r="M1704" i="2"/>
  <c r="M1703" i="2"/>
  <c r="M1702" i="2"/>
  <c r="M1701" i="2"/>
  <c r="M1700" i="2"/>
  <c r="M1699" i="2"/>
  <c r="M1698" i="2"/>
  <c r="M1697" i="2"/>
  <c r="M1696" i="2"/>
  <c r="M1695" i="2"/>
  <c r="M1694" i="2"/>
  <c r="M1693" i="2"/>
  <c r="M1692" i="2"/>
  <c r="M1691" i="2"/>
  <c r="M1690" i="2"/>
  <c r="M1689" i="2"/>
  <c r="M1688" i="2"/>
  <c r="M1687" i="2"/>
  <c r="M1686" i="2"/>
  <c r="M1685" i="2"/>
  <c r="M1684" i="2"/>
  <c r="M1683" i="2"/>
  <c r="M1682" i="2"/>
  <c r="M1681" i="2"/>
  <c r="M1680" i="2"/>
  <c r="M1679" i="2"/>
  <c r="M1678" i="2"/>
  <c r="M1677" i="2"/>
  <c r="M1676" i="2"/>
  <c r="M1675" i="2"/>
  <c r="M1674" i="2"/>
  <c r="M1673" i="2"/>
  <c r="M1672" i="2"/>
  <c r="M1671" i="2"/>
  <c r="M1670" i="2"/>
  <c r="M1669" i="2"/>
  <c r="M1668" i="2"/>
  <c r="M1667" i="2"/>
  <c r="M1666" i="2"/>
  <c r="M1665" i="2"/>
  <c r="M1664" i="2"/>
  <c r="M1663" i="2"/>
  <c r="M1662" i="2"/>
  <c r="M1661" i="2"/>
  <c r="M1660" i="2"/>
  <c r="M1659" i="2"/>
  <c r="M1658" i="2"/>
  <c r="M1657" i="2"/>
  <c r="M1656" i="2"/>
  <c r="M1655" i="2"/>
  <c r="M1654" i="2"/>
  <c r="M1653" i="2"/>
  <c r="M1652" i="2"/>
  <c r="M1651" i="2"/>
  <c r="M1650" i="2"/>
  <c r="M1649" i="2"/>
  <c r="M1648" i="2"/>
  <c r="M1647" i="2"/>
  <c r="M1646" i="2"/>
  <c r="M1645" i="2"/>
  <c r="M1644" i="2"/>
  <c r="M1643" i="2"/>
  <c r="M1642" i="2"/>
  <c r="M1641" i="2"/>
  <c r="M1640" i="2"/>
  <c r="M1639" i="2"/>
  <c r="M1638" i="2"/>
  <c r="M1637" i="2"/>
  <c r="M1636" i="2"/>
  <c r="M1635" i="2"/>
  <c r="M1634" i="2"/>
  <c r="M1633" i="2"/>
  <c r="M1632" i="2"/>
  <c r="M1631" i="2"/>
  <c r="M1630" i="2"/>
  <c r="M1629" i="2"/>
  <c r="M1628" i="2"/>
  <c r="M1627" i="2"/>
  <c r="M1626" i="2"/>
  <c r="M1625" i="2"/>
  <c r="M1624" i="2"/>
  <c r="M1623" i="2"/>
  <c r="M1622" i="2"/>
  <c r="M1621" i="2"/>
  <c r="M1620" i="2"/>
  <c r="M1619" i="2"/>
  <c r="M1618" i="2"/>
  <c r="M1617" i="2"/>
  <c r="M1616" i="2"/>
  <c r="M1615" i="2"/>
  <c r="M1614" i="2"/>
  <c r="M1613" i="2"/>
  <c r="M1612" i="2"/>
  <c r="M1611" i="2"/>
  <c r="M1610" i="2"/>
  <c r="M1609" i="2"/>
  <c r="M1608" i="2"/>
  <c r="M1607" i="2"/>
  <c r="M1606" i="2"/>
  <c r="M1605" i="2"/>
  <c r="M1604" i="2"/>
  <c r="M1603" i="2"/>
  <c r="M1602" i="2"/>
  <c r="M1601" i="2"/>
  <c r="M1600" i="2"/>
  <c r="M1599" i="2"/>
  <c r="M1598" i="2"/>
  <c r="M1597" i="2"/>
  <c r="M1596" i="2"/>
  <c r="M1595" i="2"/>
  <c r="M1594" i="2"/>
  <c r="M1593" i="2"/>
  <c r="M1592" i="2"/>
  <c r="M1591" i="2"/>
  <c r="M1590" i="2"/>
  <c r="M1589" i="2"/>
  <c r="M1588" i="2"/>
  <c r="M1587" i="2"/>
  <c r="M1586" i="2"/>
  <c r="M1585" i="2"/>
  <c r="M1584" i="2"/>
  <c r="M1583" i="2"/>
  <c r="M1582" i="2"/>
  <c r="M1581" i="2"/>
  <c r="M1580" i="2"/>
  <c r="M1579" i="2"/>
  <c r="M1578" i="2"/>
  <c r="M1577" i="2"/>
  <c r="M1576" i="2"/>
  <c r="M1575" i="2"/>
  <c r="M1574" i="2"/>
  <c r="M1573" i="2"/>
  <c r="M1572" i="2"/>
  <c r="M1571" i="2"/>
  <c r="M1570" i="2"/>
  <c r="M1569" i="2"/>
  <c r="M1568" i="2"/>
  <c r="M1567" i="2"/>
  <c r="M1566" i="2"/>
  <c r="M1565" i="2"/>
  <c r="M1564" i="2"/>
  <c r="M1563" i="2"/>
  <c r="M1562" i="2"/>
  <c r="M1561" i="2"/>
  <c r="M1560" i="2"/>
  <c r="M1559" i="2"/>
  <c r="M1558" i="2"/>
  <c r="M1557" i="2"/>
  <c r="M1556" i="2"/>
  <c r="M1555" i="2"/>
  <c r="M1554" i="2"/>
  <c r="M1553" i="2"/>
  <c r="M1552" i="2"/>
  <c r="M1551" i="2"/>
  <c r="M1550" i="2"/>
  <c r="M1549" i="2"/>
  <c r="M1548" i="2"/>
  <c r="M1547" i="2"/>
  <c r="M1546" i="2"/>
  <c r="M1545" i="2"/>
  <c r="M1544" i="2"/>
  <c r="M1543" i="2"/>
  <c r="M1542" i="2"/>
  <c r="M1541" i="2"/>
  <c r="M1540" i="2"/>
  <c r="M1539" i="2"/>
  <c r="M1538" i="2"/>
  <c r="M1537" i="2"/>
  <c r="M1536" i="2"/>
  <c r="M1535" i="2"/>
  <c r="M1534" i="2"/>
  <c r="M1533" i="2"/>
  <c r="M1532" i="2"/>
  <c r="M1531" i="2"/>
  <c r="M1530" i="2"/>
  <c r="M1529" i="2"/>
  <c r="M1528" i="2"/>
  <c r="M1527" i="2"/>
  <c r="M1526" i="2"/>
  <c r="M1525" i="2"/>
  <c r="M1524" i="2"/>
  <c r="M1523" i="2"/>
  <c r="M1522" i="2"/>
  <c r="M1521" i="2"/>
  <c r="M1520" i="2"/>
  <c r="M1519" i="2"/>
  <c r="M1518" i="2"/>
  <c r="M1517" i="2"/>
  <c r="M1516" i="2"/>
  <c r="M1515" i="2"/>
  <c r="M1514" i="2"/>
  <c r="M1513" i="2"/>
  <c r="M1512" i="2"/>
  <c r="M1511" i="2"/>
  <c r="M1510" i="2"/>
  <c r="M1509" i="2"/>
  <c r="M1508" i="2"/>
  <c r="M1507" i="2"/>
  <c r="M1506" i="2"/>
  <c r="M1505" i="2"/>
  <c r="M1504" i="2"/>
  <c r="M1503" i="2"/>
  <c r="M1502" i="2"/>
  <c r="M1501" i="2"/>
  <c r="M1500" i="2"/>
  <c r="M1499" i="2"/>
  <c r="M1498" i="2"/>
  <c r="M1497" i="2"/>
  <c r="M1496" i="2"/>
  <c r="M1495" i="2"/>
  <c r="M1494" i="2"/>
  <c r="M1493" i="2"/>
  <c r="M1492" i="2"/>
  <c r="M1491" i="2"/>
  <c r="M1490" i="2"/>
  <c r="M1489" i="2"/>
  <c r="M1488" i="2"/>
  <c r="M1487" i="2"/>
  <c r="M1486" i="2"/>
  <c r="M1485" i="2"/>
  <c r="M1484" i="2"/>
  <c r="M1483" i="2"/>
  <c r="M1482" i="2"/>
  <c r="M1481" i="2"/>
  <c r="M1480" i="2"/>
  <c r="M1479" i="2"/>
  <c r="M1478" i="2"/>
  <c r="M1477" i="2"/>
  <c r="M1476" i="2"/>
  <c r="M1475" i="2"/>
  <c r="M1474" i="2"/>
  <c r="M1473" i="2"/>
  <c r="M1472" i="2"/>
  <c r="M1471" i="2"/>
  <c r="M1470" i="2"/>
  <c r="M1469" i="2"/>
  <c r="M1468" i="2"/>
  <c r="M1467" i="2"/>
  <c r="M1466" i="2"/>
  <c r="M1465" i="2"/>
  <c r="M1464" i="2"/>
  <c r="M1463" i="2"/>
  <c r="M1462" i="2"/>
  <c r="M1461" i="2"/>
  <c r="M1460" i="2"/>
  <c r="M1459" i="2"/>
  <c r="M1458" i="2"/>
  <c r="M1457" i="2"/>
  <c r="M1456" i="2"/>
  <c r="M1455" i="2"/>
  <c r="M1454" i="2"/>
  <c r="M1453" i="2"/>
  <c r="M1452" i="2"/>
  <c r="M1451" i="2"/>
  <c r="M1450" i="2"/>
  <c r="M1449" i="2"/>
  <c r="M1448" i="2"/>
  <c r="M1447" i="2"/>
  <c r="M1446" i="2"/>
  <c r="M1445" i="2"/>
  <c r="M1444" i="2"/>
  <c r="M1443" i="2"/>
  <c r="M1442" i="2"/>
  <c r="M1441" i="2"/>
  <c r="M1440" i="2"/>
  <c r="M1439" i="2"/>
  <c r="M1438" i="2"/>
  <c r="M1437" i="2"/>
  <c r="M1436" i="2"/>
  <c r="M1435" i="2"/>
  <c r="M1434" i="2"/>
  <c r="M1433" i="2"/>
  <c r="M1432" i="2"/>
  <c r="M1431" i="2"/>
  <c r="M1430" i="2"/>
  <c r="M1429" i="2"/>
  <c r="M1428" i="2"/>
  <c r="M1427" i="2"/>
  <c r="M1426" i="2"/>
  <c r="M1425" i="2"/>
  <c r="M1424" i="2"/>
  <c r="M1423" i="2"/>
  <c r="M1422" i="2"/>
  <c r="M1421" i="2"/>
  <c r="M1420" i="2"/>
  <c r="M1419" i="2"/>
  <c r="M1418" i="2"/>
  <c r="M1417" i="2"/>
  <c r="M1416" i="2"/>
  <c r="M1415" i="2"/>
  <c r="M1414" i="2"/>
  <c r="M1413" i="2"/>
  <c r="M1412" i="2"/>
  <c r="M1411" i="2"/>
  <c r="M1410" i="2"/>
  <c r="M1409" i="2"/>
  <c r="M1408" i="2"/>
  <c r="M1407" i="2"/>
  <c r="M1406" i="2"/>
  <c r="M1405" i="2"/>
  <c r="M1404" i="2"/>
  <c r="M1403" i="2"/>
  <c r="M1402" i="2"/>
  <c r="M1401" i="2"/>
  <c r="M1400" i="2"/>
  <c r="M1399" i="2"/>
  <c r="M1398" i="2"/>
  <c r="M1397" i="2"/>
  <c r="M1396" i="2"/>
  <c r="M1395" i="2"/>
  <c r="M1394" i="2"/>
  <c r="M1393" i="2"/>
  <c r="M1392" i="2"/>
  <c r="M1391" i="2"/>
  <c r="M1390" i="2"/>
  <c r="M1389" i="2"/>
  <c r="M1388" i="2"/>
  <c r="M1387" i="2"/>
  <c r="M1386" i="2"/>
  <c r="M1385" i="2"/>
  <c r="M1384" i="2"/>
  <c r="M1383" i="2"/>
  <c r="M1382" i="2"/>
  <c r="M1381" i="2"/>
  <c r="M1380" i="2"/>
  <c r="M1379" i="2"/>
  <c r="M1378" i="2"/>
  <c r="M1377" i="2"/>
  <c r="M1376" i="2"/>
  <c r="M1375" i="2"/>
  <c r="M1374" i="2"/>
  <c r="M1373" i="2"/>
  <c r="M1372" i="2"/>
  <c r="M1371" i="2"/>
  <c r="M1370" i="2"/>
  <c r="M1369" i="2"/>
  <c r="M1368" i="2"/>
  <c r="M1367" i="2"/>
  <c r="M1366" i="2"/>
  <c r="M1365" i="2"/>
  <c r="M1364" i="2"/>
  <c r="M1363" i="2"/>
  <c r="M1362" i="2"/>
  <c r="M1361" i="2"/>
  <c r="M1360" i="2"/>
  <c r="M1359" i="2"/>
  <c r="M1358" i="2"/>
  <c r="M1357" i="2"/>
  <c r="M1356" i="2"/>
  <c r="M1355" i="2"/>
  <c r="M1354" i="2"/>
  <c r="M1353" i="2"/>
  <c r="M1352" i="2"/>
  <c r="M1351" i="2"/>
  <c r="M1350" i="2"/>
  <c r="M1349" i="2"/>
  <c r="M1348" i="2"/>
  <c r="M1347" i="2"/>
  <c r="M1346" i="2"/>
  <c r="M1345" i="2"/>
  <c r="M1344" i="2"/>
  <c r="M1343" i="2"/>
  <c r="M1342" i="2"/>
  <c r="M1341" i="2"/>
  <c r="M1340" i="2"/>
  <c r="M1339" i="2"/>
  <c r="M1338" i="2"/>
  <c r="M1337" i="2"/>
  <c r="M1336" i="2"/>
  <c r="M1335" i="2"/>
  <c r="M1334" i="2"/>
  <c r="M1333" i="2"/>
  <c r="M1332" i="2"/>
  <c r="M1331" i="2"/>
  <c r="M1330" i="2"/>
  <c r="M1329" i="2"/>
  <c r="M1328" i="2"/>
  <c r="M1327" i="2"/>
  <c r="M1326" i="2"/>
  <c r="M1325" i="2"/>
  <c r="M1324" i="2"/>
  <c r="M1323" i="2"/>
  <c r="M1322" i="2"/>
  <c r="M1321" i="2"/>
  <c r="M1320" i="2"/>
  <c r="M1319" i="2"/>
  <c r="M1318" i="2"/>
  <c r="M1317" i="2"/>
  <c r="M1316" i="2"/>
  <c r="M1315" i="2"/>
  <c r="M1314" i="2"/>
  <c r="M1313" i="2"/>
  <c r="M1312" i="2"/>
  <c r="M1311" i="2"/>
  <c r="M1310" i="2"/>
  <c r="M1309" i="2"/>
  <c r="M1308" i="2"/>
  <c r="M1307" i="2"/>
  <c r="M1306" i="2"/>
  <c r="M1305" i="2"/>
  <c r="M1304" i="2"/>
  <c r="M1303" i="2"/>
  <c r="M1302" i="2"/>
  <c r="M1301" i="2"/>
  <c r="M1300" i="2"/>
  <c r="M1299" i="2"/>
  <c r="M1298" i="2"/>
  <c r="M1297" i="2"/>
  <c r="M1296" i="2"/>
  <c r="M1295" i="2"/>
  <c r="M1294" i="2"/>
  <c r="M1293" i="2"/>
  <c r="M1292" i="2"/>
  <c r="M1291" i="2"/>
  <c r="M1290" i="2"/>
  <c r="M1289" i="2"/>
  <c r="M1288" i="2"/>
  <c r="M1287" i="2"/>
  <c r="M1286" i="2"/>
  <c r="M1285" i="2"/>
  <c r="M1284" i="2"/>
  <c r="M1283" i="2"/>
  <c r="M1282" i="2"/>
  <c r="M1281" i="2"/>
  <c r="M1280" i="2"/>
  <c r="M1279" i="2"/>
  <c r="M1278" i="2"/>
  <c r="M1277" i="2"/>
  <c r="M1276" i="2"/>
  <c r="M1275" i="2"/>
  <c r="M1274" i="2"/>
  <c r="M1273" i="2"/>
  <c r="M1272" i="2"/>
  <c r="M1271" i="2"/>
  <c r="M1270" i="2"/>
  <c r="M1269" i="2"/>
  <c r="M1268" i="2"/>
  <c r="M1267" i="2"/>
  <c r="M1266" i="2"/>
  <c r="M1265" i="2"/>
  <c r="M1264" i="2"/>
  <c r="M1263" i="2"/>
  <c r="M1262" i="2"/>
  <c r="M1261" i="2"/>
  <c r="M1260" i="2"/>
  <c r="M1259" i="2"/>
  <c r="M1258" i="2"/>
  <c r="M1257" i="2"/>
  <c r="M1256" i="2"/>
  <c r="M1255" i="2"/>
  <c r="M1254" i="2"/>
  <c r="M1253" i="2"/>
  <c r="M1252" i="2"/>
  <c r="M1251" i="2"/>
  <c r="M1250" i="2"/>
  <c r="M1249" i="2"/>
  <c r="M1248" i="2"/>
  <c r="M1247" i="2"/>
  <c r="M1246" i="2"/>
  <c r="M1245" i="2"/>
  <c r="M1244" i="2"/>
  <c r="M1243" i="2"/>
  <c r="M1242" i="2"/>
  <c r="M1241" i="2"/>
  <c r="M1240" i="2"/>
  <c r="M1239" i="2"/>
  <c r="M1238" i="2"/>
  <c r="M1237" i="2"/>
  <c r="M1236" i="2"/>
  <c r="M1235" i="2"/>
  <c r="M1234" i="2"/>
  <c r="M1233" i="2"/>
  <c r="M1232" i="2"/>
  <c r="M1231" i="2"/>
  <c r="M1230" i="2"/>
  <c r="M1229" i="2"/>
  <c r="M1228" i="2"/>
  <c r="M1227" i="2"/>
  <c r="M1226" i="2"/>
  <c r="M1225" i="2"/>
  <c r="M1224" i="2"/>
  <c r="M1223" i="2"/>
  <c r="M1222" i="2"/>
  <c r="M1221" i="2"/>
  <c r="M1220" i="2"/>
  <c r="M1219" i="2"/>
  <c r="M1218" i="2"/>
  <c r="M1217" i="2"/>
  <c r="M1216" i="2"/>
  <c r="M1215" i="2"/>
  <c r="M1214" i="2"/>
  <c r="M1213" i="2"/>
  <c r="M1212" i="2"/>
  <c r="M1211" i="2"/>
  <c r="M1210" i="2"/>
  <c r="M1209" i="2"/>
  <c r="M1208" i="2"/>
  <c r="M1207" i="2"/>
  <c r="M1206" i="2"/>
  <c r="M1205" i="2"/>
  <c r="M1204" i="2"/>
  <c r="M1203" i="2"/>
  <c r="M1202" i="2"/>
  <c r="M1201" i="2"/>
  <c r="M1200" i="2"/>
  <c r="M1199" i="2"/>
  <c r="M1198" i="2"/>
  <c r="M1197" i="2"/>
  <c r="M1196" i="2"/>
  <c r="M1195" i="2"/>
  <c r="M1194" i="2"/>
  <c r="M1193" i="2"/>
  <c r="M1192" i="2"/>
  <c r="M1191" i="2"/>
  <c r="M1190" i="2"/>
  <c r="M1189" i="2"/>
  <c r="M1188" i="2"/>
  <c r="M1187" i="2"/>
  <c r="M1186" i="2"/>
  <c r="M1185" i="2"/>
  <c r="M1184" i="2"/>
  <c r="M1183" i="2"/>
  <c r="M1182" i="2"/>
  <c r="M1181" i="2"/>
  <c r="M1180" i="2"/>
  <c r="M1179" i="2"/>
  <c r="M1178" i="2"/>
  <c r="M1177" i="2"/>
  <c r="M1176" i="2"/>
  <c r="M1175" i="2"/>
  <c r="M1174" i="2"/>
  <c r="M1173" i="2"/>
  <c r="M1172" i="2"/>
  <c r="M1171" i="2"/>
  <c r="M1170" i="2"/>
  <c r="M1169" i="2"/>
  <c r="M1168" i="2"/>
  <c r="M1167" i="2"/>
  <c r="M1166" i="2"/>
  <c r="M1165" i="2"/>
  <c r="M1164" i="2"/>
  <c r="M1163" i="2"/>
  <c r="M1162" i="2"/>
  <c r="M1161" i="2"/>
  <c r="M1160" i="2"/>
  <c r="M1159" i="2"/>
  <c r="M1158" i="2"/>
  <c r="M1157" i="2"/>
  <c r="M1156" i="2"/>
  <c r="M1155" i="2"/>
  <c r="M1154" i="2"/>
  <c r="M1153" i="2"/>
  <c r="M1152" i="2"/>
  <c r="M1151" i="2"/>
  <c r="M1150" i="2"/>
  <c r="M1149" i="2"/>
  <c r="M1148" i="2"/>
  <c r="M1147" i="2"/>
  <c r="M1146" i="2"/>
  <c r="M1145" i="2"/>
  <c r="M1144" i="2"/>
  <c r="M1143" i="2"/>
  <c r="M1142" i="2"/>
  <c r="M1141" i="2"/>
  <c r="M1140" i="2"/>
  <c r="M1139" i="2"/>
  <c r="M1138" i="2"/>
  <c r="M1137" i="2"/>
  <c r="M1136" i="2"/>
  <c r="M1135" i="2"/>
  <c r="M1134" i="2"/>
  <c r="M1133" i="2"/>
  <c r="M1132" i="2"/>
  <c r="M1131" i="2"/>
  <c r="M1130" i="2"/>
  <c r="M1129" i="2"/>
  <c r="M1128" i="2"/>
  <c r="M1127" i="2"/>
  <c r="M1126" i="2"/>
  <c r="M1125" i="2"/>
  <c r="M1124" i="2"/>
  <c r="M1123" i="2"/>
  <c r="M1122" i="2"/>
  <c r="M1121" i="2"/>
  <c r="M1120" i="2"/>
  <c r="M1119" i="2"/>
  <c r="M1118" i="2"/>
  <c r="M1117" i="2"/>
  <c r="M1116" i="2"/>
  <c r="M1115" i="2"/>
  <c r="M1114" i="2"/>
  <c r="M1113" i="2"/>
  <c r="M1112" i="2"/>
  <c r="M1111" i="2"/>
  <c r="M1110" i="2"/>
  <c r="M1109" i="2"/>
  <c r="M1108" i="2"/>
  <c r="M1107" i="2"/>
  <c r="M1106" i="2"/>
  <c r="M1105" i="2"/>
  <c r="M1104" i="2"/>
  <c r="M1103" i="2"/>
  <c r="M1102" i="2"/>
  <c r="M1101" i="2"/>
  <c r="M1100" i="2"/>
  <c r="M1099" i="2"/>
  <c r="M1098" i="2"/>
  <c r="M1097" i="2"/>
  <c r="M1096" i="2"/>
  <c r="M1095" i="2"/>
  <c r="M1094" i="2"/>
  <c r="M1093" i="2"/>
  <c r="M1092" i="2"/>
  <c r="M1091" i="2"/>
  <c r="M1090" i="2"/>
  <c r="M1089" i="2"/>
  <c r="M1088" i="2"/>
  <c r="M1087" i="2"/>
  <c r="M1086" i="2"/>
  <c r="M1085" i="2"/>
  <c r="M1084" i="2"/>
  <c r="M1083" i="2"/>
  <c r="M1082" i="2"/>
  <c r="M1081" i="2"/>
  <c r="M1080" i="2"/>
  <c r="M1079" i="2"/>
  <c r="M1078" i="2"/>
  <c r="M1077" i="2"/>
  <c r="M1076" i="2"/>
  <c r="M1075" i="2"/>
  <c r="M1074" i="2"/>
  <c r="M1073" i="2"/>
  <c r="M1072" i="2"/>
  <c r="M1071" i="2"/>
  <c r="M1070" i="2"/>
  <c r="M1069" i="2"/>
  <c r="M1068" i="2"/>
  <c r="M1067" i="2"/>
  <c r="M1066" i="2"/>
  <c r="M1065" i="2"/>
  <c r="M1064" i="2"/>
  <c r="M1063" i="2"/>
  <c r="M1062" i="2"/>
  <c r="M1061" i="2"/>
  <c r="M1060" i="2"/>
  <c r="M1059" i="2"/>
  <c r="M1058" i="2"/>
  <c r="M1057" i="2"/>
  <c r="M1056" i="2"/>
  <c r="M1055" i="2"/>
  <c r="M1054" i="2"/>
  <c r="M1053" i="2"/>
  <c r="M1052" i="2"/>
  <c r="M1051" i="2"/>
  <c r="M1050" i="2"/>
  <c r="M1049" i="2"/>
  <c r="M1048" i="2"/>
  <c r="M1047" i="2"/>
  <c r="M1046" i="2"/>
  <c r="M1045" i="2"/>
  <c r="M1044" i="2"/>
  <c r="M1043" i="2"/>
  <c r="M1042" i="2"/>
  <c r="M1041" i="2"/>
  <c r="M1040" i="2"/>
  <c r="M1039" i="2"/>
  <c r="M1038" i="2"/>
  <c r="M1037" i="2"/>
  <c r="M1036" i="2"/>
  <c r="M1035" i="2"/>
  <c r="M1034" i="2"/>
  <c r="M1033" i="2"/>
  <c r="M1032" i="2"/>
  <c r="M1031" i="2"/>
  <c r="M1030" i="2"/>
  <c r="M1029" i="2"/>
  <c r="M1028" i="2"/>
  <c r="M1027" i="2"/>
  <c r="M1026" i="2"/>
  <c r="M1025" i="2"/>
  <c r="M1024" i="2"/>
  <c r="M1023" i="2"/>
  <c r="M1022" i="2"/>
  <c r="M1021" i="2"/>
  <c r="M1020" i="2"/>
  <c r="M1019" i="2"/>
  <c r="M1018" i="2"/>
  <c r="M1017" i="2"/>
  <c r="M1016" i="2"/>
  <c r="M1015" i="2"/>
  <c r="M1014" i="2"/>
  <c r="M1013" i="2"/>
  <c r="M1012" i="2"/>
  <c r="M1011" i="2"/>
  <c r="M1010" i="2"/>
  <c r="M1009" i="2"/>
  <c r="M1008" i="2"/>
  <c r="M1007" i="2"/>
  <c r="M1006" i="2"/>
  <c r="M1005" i="2"/>
  <c r="M1004" i="2"/>
  <c r="M1003" i="2"/>
  <c r="M1002" i="2"/>
  <c r="M1001" i="2"/>
  <c r="M1000" i="2"/>
  <c r="M999" i="2"/>
  <c r="M998" i="2"/>
  <c r="M997" i="2"/>
  <c r="M996" i="2"/>
  <c r="M995" i="2"/>
  <c r="M994" i="2"/>
  <c r="M993" i="2"/>
  <c r="M992" i="2"/>
  <c r="M991" i="2"/>
  <c r="M990" i="2"/>
  <c r="M989" i="2"/>
  <c r="M988" i="2"/>
  <c r="M987" i="2"/>
  <c r="M986" i="2"/>
  <c r="M985" i="2"/>
  <c r="M984" i="2"/>
  <c r="M983" i="2"/>
  <c r="M982" i="2"/>
  <c r="M981" i="2"/>
  <c r="M980" i="2"/>
  <c r="M979" i="2"/>
  <c r="M978" i="2"/>
  <c r="M977" i="2"/>
  <c r="M976" i="2"/>
  <c r="M975" i="2"/>
  <c r="M974" i="2"/>
  <c r="M973" i="2"/>
  <c r="M972" i="2"/>
  <c r="M971" i="2"/>
  <c r="M970" i="2"/>
  <c r="M969" i="2"/>
  <c r="M968" i="2"/>
  <c r="M967" i="2"/>
  <c r="M966" i="2"/>
  <c r="M965" i="2"/>
  <c r="M964" i="2"/>
  <c r="M963" i="2"/>
  <c r="M962" i="2"/>
  <c r="M961" i="2"/>
  <c r="M960" i="2"/>
  <c r="M959" i="2"/>
  <c r="M958" i="2"/>
  <c r="M957" i="2"/>
  <c r="M956" i="2"/>
  <c r="M955" i="2"/>
  <c r="M954" i="2"/>
  <c r="M953" i="2"/>
  <c r="M952" i="2"/>
  <c r="M951" i="2"/>
  <c r="M950" i="2"/>
  <c r="M949" i="2"/>
  <c r="M948" i="2"/>
  <c r="M947" i="2"/>
  <c r="M946" i="2"/>
  <c r="M945" i="2"/>
  <c r="M944" i="2"/>
  <c r="M943" i="2"/>
  <c r="M942" i="2"/>
  <c r="M941" i="2"/>
  <c r="M940" i="2"/>
  <c r="M939" i="2"/>
  <c r="M938" i="2"/>
  <c r="M937" i="2"/>
  <c r="M936" i="2"/>
  <c r="M935" i="2"/>
  <c r="M934" i="2"/>
  <c r="M933" i="2"/>
  <c r="M932" i="2"/>
  <c r="M931" i="2"/>
  <c r="M930" i="2"/>
  <c r="M929" i="2"/>
  <c r="M928" i="2"/>
  <c r="M927" i="2"/>
  <c r="M926" i="2"/>
  <c r="M925" i="2"/>
  <c r="M924" i="2"/>
  <c r="M923" i="2"/>
  <c r="M922" i="2"/>
  <c r="M921" i="2"/>
  <c r="M920" i="2"/>
  <c r="M919" i="2"/>
  <c r="M918" i="2"/>
  <c r="M917" i="2"/>
  <c r="M916" i="2"/>
  <c r="M915" i="2"/>
  <c r="M914" i="2"/>
  <c r="M913" i="2"/>
  <c r="M912" i="2"/>
  <c r="M911" i="2"/>
  <c r="M910" i="2"/>
  <c r="M909" i="2"/>
  <c r="M908" i="2"/>
  <c r="M907" i="2"/>
  <c r="M906" i="2"/>
  <c r="M905" i="2"/>
  <c r="M904" i="2"/>
  <c r="M903" i="2"/>
  <c r="M902" i="2"/>
  <c r="M901" i="2"/>
  <c r="M900" i="2"/>
  <c r="M899" i="2"/>
  <c r="M898" i="2"/>
  <c r="M897" i="2"/>
  <c r="M896" i="2"/>
  <c r="M895" i="2"/>
  <c r="M894" i="2"/>
  <c r="M893" i="2"/>
  <c r="M892" i="2"/>
  <c r="M891" i="2"/>
  <c r="M890" i="2"/>
  <c r="M889" i="2"/>
  <c r="M888" i="2"/>
  <c r="M887" i="2"/>
  <c r="M886" i="2"/>
  <c r="M885" i="2"/>
  <c r="M884" i="2"/>
  <c r="M883" i="2"/>
  <c r="M882" i="2"/>
  <c r="M881" i="2"/>
  <c r="M880" i="2"/>
  <c r="M879" i="2"/>
  <c r="M878" i="2"/>
  <c r="M877" i="2"/>
  <c r="M876" i="2"/>
  <c r="M875" i="2"/>
  <c r="M874" i="2"/>
  <c r="M873" i="2"/>
  <c r="M872" i="2"/>
  <c r="M871" i="2"/>
  <c r="M870" i="2"/>
  <c r="M869" i="2"/>
  <c r="M868" i="2"/>
  <c r="M867" i="2"/>
  <c r="M866" i="2"/>
  <c r="M865" i="2"/>
  <c r="M864" i="2"/>
  <c r="M863" i="2"/>
  <c r="M862" i="2"/>
  <c r="M861" i="2"/>
  <c r="M860" i="2"/>
  <c r="M859" i="2"/>
  <c r="M858" i="2"/>
  <c r="M857" i="2"/>
  <c r="M856" i="2"/>
  <c r="M855" i="2"/>
  <c r="M854" i="2"/>
  <c r="M853" i="2"/>
  <c r="M852" i="2"/>
  <c r="M851" i="2"/>
  <c r="M850" i="2"/>
  <c r="M849" i="2"/>
  <c r="M848" i="2"/>
  <c r="M847" i="2"/>
  <c r="M846" i="2"/>
  <c r="M845" i="2"/>
  <c r="M844" i="2"/>
  <c r="M843" i="2"/>
  <c r="M842" i="2"/>
  <c r="M841" i="2"/>
  <c r="M840" i="2"/>
  <c r="M839" i="2"/>
  <c r="M838" i="2"/>
  <c r="M837" i="2"/>
  <c r="M836" i="2"/>
  <c r="M835" i="2"/>
  <c r="M834" i="2"/>
  <c r="M833" i="2"/>
  <c r="M832" i="2"/>
  <c r="M831" i="2"/>
  <c r="M830" i="2"/>
  <c r="M829" i="2"/>
  <c r="M828" i="2"/>
  <c r="M827" i="2"/>
  <c r="M826" i="2"/>
  <c r="M825" i="2"/>
  <c r="M824" i="2"/>
  <c r="M823" i="2"/>
  <c r="M822" i="2"/>
  <c r="M821" i="2"/>
  <c r="M820" i="2"/>
  <c r="M819" i="2"/>
  <c r="M818" i="2"/>
  <c r="M817" i="2"/>
  <c r="M816" i="2"/>
  <c r="M815" i="2"/>
  <c r="M814" i="2"/>
  <c r="M813" i="2"/>
  <c r="M812" i="2"/>
  <c r="M811" i="2"/>
  <c r="M810" i="2"/>
  <c r="M809" i="2"/>
  <c r="M808" i="2"/>
  <c r="M807" i="2"/>
  <c r="M806" i="2"/>
  <c r="M805" i="2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M789" i="2"/>
  <c r="M788" i="2"/>
  <c r="M787" i="2"/>
  <c r="M786" i="2"/>
  <c r="M785" i="2"/>
  <c r="M784" i="2"/>
  <c r="M783" i="2"/>
  <c r="M782" i="2"/>
  <c r="M781" i="2"/>
  <c r="M780" i="2"/>
  <c r="M779" i="2"/>
  <c r="M778" i="2"/>
  <c r="M777" i="2"/>
  <c r="M776" i="2"/>
  <c r="M775" i="2"/>
  <c r="M774" i="2"/>
  <c r="M773" i="2"/>
  <c r="M772" i="2"/>
  <c r="M771" i="2"/>
  <c r="M770" i="2"/>
  <c r="M769" i="2"/>
  <c r="M768" i="2"/>
  <c r="M767" i="2"/>
  <c r="M766" i="2"/>
  <c r="M765" i="2"/>
  <c r="M764" i="2"/>
  <c r="M763" i="2"/>
  <c r="M762" i="2"/>
  <c r="M761" i="2"/>
  <c r="M760" i="2"/>
  <c r="M759" i="2"/>
  <c r="M758" i="2"/>
  <c r="M757" i="2"/>
  <c r="M756" i="2"/>
  <c r="M755" i="2"/>
  <c r="M754" i="2"/>
  <c r="M753" i="2"/>
  <c r="M752" i="2"/>
  <c r="M751" i="2"/>
  <c r="M750" i="2"/>
  <c r="M749" i="2"/>
  <c r="M748" i="2"/>
  <c r="M747" i="2"/>
  <c r="M746" i="2"/>
  <c r="M745" i="2"/>
  <c r="M744" i="2"/>
  <c r="M743" i="2"/>
  <c r="M742" i="2"/>
  <c r="M741" i="2"/>
  <c r="M740" i="2"/>
  <c r="M739" i="2"/>
  <c r="M738" i="2"/>
  <c r="M737" i="2"/>
  <c r="M736" i="2"/>
  <c r="M735" i="2"/>
  <c r="M734" i="2"/>
  <c r="M733" i="2"/>
  <c r="M732" i="2"/>
  <c r="M731" i="2"/>
  <c r="M730" i="2"/>
  <c r="M729" i="2"/>
  <c r="M728" i="2"/>
  <c r="M727" i="2"/>
  <c r="M726" i="2"/>
  <c r="M725" i="2"/>
  <c r="M724" i="2"/>
  <c r="M723" i="2"/>
  <c r="M722" i="2"/>
  <c r="M721" i="2"/>
  <c r="M720" i="2"/>
  <c r="M719" i="2"/>
  <c r="M718" i="2"/>
  <c r="M717" i="2"/>
  <c r="M716" i="2"/>
  <c r="M715" i="2"/>
  <c r="M714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700" i="2"/>
  <c r="M699" i="2"/>
  <c r="M698" i="2"/>
  <c r="M697" i="2"/>
  <c r="M696" i="2"/>
  <c r="M695" i="2"/>
  <c r="M694" i="2"/>
  <c r="M693" i="2"/>
  <c r="M692" i="2"/>
  <c r="M691" i="2"/>
  <c r="M690" i="2"/>
  <c r="M689" i="2"/>
  <c r="M688" i="2"/>
  <c r="M687" i="2"/>
  <c r="M686" i="2"/>
  <c r="M685" i="2"/>
  <c r="M684" i="2"/>
  <c r="M683" i="2"/>
  <c r="M68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639" i="2"/>
  <c r="M638" i="2"/>
  <c r="M637" i="2"/>
  <c r="M636" i="2"/>
  <c r="M635" i="2"/>
  <c r="M634" i="2"/>
  <c r="M633" i="2"/>
  <c r="M632" i="2"/>
  <c r="M631" i="2"/>
  <c r="M630" i="2"/>
  <c r="M629" i="2"/>
  <c r="M628" i="2"/>
  <c r="M627" i="2"/>
  <c r="M62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H305" i="2"/>
  <c r="E305" i="2"/>
  <c r="M304" i="2"/>
  <c r="H304" i="2"/>
  <c r="E304" i="2"/>
  <c r="M303" i="2"/>
  <c r="H303" i="2"/>
  <c r="E303" i="2"/>
  <c r="M302" i="2"/>
  <c r="H302" i="2"/>
  <c r="E302" i="2"/>
  <c r="M301" i="2"/>
  <c r="H301" i="2"/>
  <c r="E301" i="2"/>
  <c r="M300" i="2"/>
  <c r="H300" i="2"/>
  <c r="E300" i="2"/>
  <c r="M299" i="2"/>
  <c r="H299" i="2"/>
  <c r="E299" i="2"/>
  <c r="M298" i="2"/>
  <c r="H298" i="2"/>
  <c r="E298" i="2"/>
  <c r="M297" i="2"/>
  <c r="H297" i="2"/>
  <c r="E297" i="2"/>
  <c r="M296" i="2"/>
  <c r="H296" i="2"/>
  <c r="E296" i="2"/>
  <c r="M295" i="2"/>
  <c r="H295" i="2"/>
  <c r="E295" i="2"/>
  <c r="M294" i="2"/>
  <c r="H294" i="2"/>
  <c r="E294" i="2"/>
  <c r="M293" i="2"/>
  <c r="H293" i="2"/>
  <c r="E293" i="2"/>
  <c r="M292" i="2"/>
  <c r="H292" i="2"/>
  <c r="E292" i="2"/>
  <c r="M291" i="2"/>
  <c r="H291" i="2"/>
  <c r="E291" i="2"/>
  <c r="M290" i="2"/>
  <c r="H290" i="2"/>
  <c r="E290" i="2"/>
  <c r="M289" i="2"/>
  <c r="H289" i="2"/>
  <c r="E289" i="2"/>
  <c r="M288" i="2"/>
  <c r="H288" i="2"/>
  <c r="E288" i="2"/>
  <c r="M287" i="2"/>
  <c r="H287" i="2"/>
  <c r="E287" i="2"/>
  <c r="M286" i="2"/>
  <c r="H286" i="2"/>
  <c r="E286" i="2"/>
  <c r="M285" i="2"/>
  <c r="H285" i="2"/>
  <c r="E285" i="2"/>
  <c r="M284" i="2"/>
  <c r="H284" i="2"/>
  <c r="E284" i="2"/>
  <c r="M283" i="2"/>
  <c r="H283" i="2"/>
  <c r="E283" i="2"/>
  <c r="M282" i="2"/>
  <c r="H282" i="2"/>
  <c r="E282" i="2"/>
  <c r="M281" i="2"/>
  <c r="H281" i="2"/>
  <c r="E281" i="2"/>
  <c r="M280" i="2"/>
  <c r="H280" i="2"/>
  <c r="E280" i="2"/>
  <c r="M279" i="2"/>
  <c r="H279" i="2"/>
  <c r="E279" i="2"/>
  <c r="M278" i="2"/>
  <c r="H278" i="2"/>
  <c r="E278" i="2"/>
  <c r="M277" i="2"/>
  <c r="H277" i="2"/>
  <c r="E277" i="2"/>
  <c r="M276" i="2"/>
  <c r="H276" i="2"/>
  <c r="E276" i="2"/>
  <c r="M275" i="2"/>
  <c r="H275" i="2"/>
  <c r="E275" i="2"/>
  <c r="M274" i="2"/>
  <c r="H274" i="2"/>
  <c r="E274" i="2"/>
  <c r="M273" i="2"/>
  <c r="H273" i="2"/>
  <c r="E273" i="2"/>
  <c r="M272" i="2"/>
  <c r="H272" i="2"/>
  <c r="E272" i="2"/>
  <c r="M271" i="2"/>
  <c r="H271" i="2"/>
  <c r="E271" i="2"/>
  <c r="M270" i="2"/>
  <c r="H270" i="2"/>
  <c r="E270" i="2"/>
  <c r="M269" i="2"/>
  <c r="H269" i="2"/>
  <c r="E269" i="2"/>
  <c r="M268" i="2"/>
  <c r="H268" i="2"/>
  <c r="E268" i="2"/>
  <c r="M267" i="2"/>
  <c r="H267" i="2"/>
  <c r="E267" i="2"/>
  <c r="M266" i="2"/>
  <c r="H266" i="2"/>
  <c r="E266" i="2"/>
  <c r="M265" i="2"/>
  <c r="H265" i="2"/>
  <c r="E265" i="2"/>
  <c r="M264" i="2"/>
  <c r="H264" i="2"/>
  <c r="E264" i="2"/>
  <c r="M263" i="2"/>
  <c r="H263" i="2"/>
  <c r="E263" i="2"/>
  <c r="M262" i="2"/>
  <c r="H262" i="2"/>
  <c r="E262" i="2"/>
  <c r="M261" i="2"/>
  <c r="H261" i="2"/>
  <c r="E261" i="2"/>
  <c r="M260" i="2"/>
  <c r="H260" i="2"/>
  <c r="E260" i="2"/>
  <c r="M259" i="2"/>
  <c r="H259" i="2"/>
  <c r="E259" i="2"/>
  <c r="M258" i="2"/>
  <c r="H258" i="2"/>
  <c r="E258" i="2"/>
  <c r="M257" i="2"/>
  <c r="H257" i="2"/>
  <c r="E257" i="2"/>
  <c r="M256" i="2"/>
  <c r="H256" i="2"/>
  <c r="E256" i="2"/>
  <c r="M255" i="2"/>
  <c r="H255" i="2"/>
  <c r="E255" i="2"/>
  <c r="M254" i="2"/>
  <c r="H254" i="2"/>
  <c r="E254" i="2"/>
  <c r="M253" i="2"/>
  <c r="H253" i="2"/>
  <c r="E253" i="2"/>
  <c r="M252" i="2"/>
  <c r="H252" i="2"/>
  <c r="E252" i="2"/>
  <c r="M251" i="2"/>
  <c r="H251" i="2"/>
  <c r="E251" i="2"/>
  <c r="M250" i="2"/>
  <c r="H250" i="2"/>
  <c r="E250" i="2"/>
  <c r="M249" i="2"/>
  <c r="H249" i="2"/>
  <c r="E249" i="2"/>
  <c r="M248" i="2"/>
  <c r="H248" i="2"/>
  <c r="E248" i="2"/>
  <c r="M247" i="2"/>
  <c r="H247" i="2"/>
  <c r="E247" i="2"/>
  <c r="M246" i="2"/>
  <c r="H246" i="2"/>
  <c r="E246" i="2"/>
  <c r="M245" i="2"/>
  <c r="H245" i="2"/>
  <c r="E245" i="2"/>
  <c r="M244" i="2"/>
  <c r="H244" i="2"/>
  <c r="E244" i="2"/>
  <c r="M243" i="2"/>
  <c r="H243" i="2"/>
  <c r="E243" i="2"/>
  <c r="M242" i="2"/>
  <c r="H242" i="2"/>
  <c r="E242" i="2"/>
  <c r="M241" i="2"/>
  <c r="H241" i="2"/>
  <c r="E241" i="2"/>
  <c r="M240" i="2"/>
  <c r="H240" i="2"/>
  <c r="E240" i="2"/>
  <c r="M239" i="2"/>
  <c r="H239" i="2"/>
  <c r="E239" i="2"/>
  <c r="M238" i="2"/>
  <c r="H238" i="2"/>
  <c r="E238" i="2"/>
  <c r="M237" i="2"/>
  <c r="H237" i="2"/>
  <c r="E237" i="2"/>
  <c r="M236" i="2"/>
  <c r="H236" i="2"/>
  <c r="E236" i="2"/>
  <c r="M235" i="2"/>
  <c r="H235" i="2"/>
  <c r="E235" i="2"/>
  <c r="M234" i="2"/>
  <c r="H234" i="2"/>
  <c r="E234" i="2"/>
  <c r="M233" i="2"/>
  <c r="H233" i="2"/>
  <c r="E233" i="2"/>
  <c r="M232" i="2"/>
  <c r="H232" i="2"/>
  <c r="E232" i="2"/>
  <c r="M231" i="2"/>
  <c r="H231" i="2"/>
  <c r="E231" i="2"/>
  <c r="M230" i="2"/>
  <c r="H230" i="2"/>
  <c r="E230" i="2"/>
  <c r="M229" i="2"/>
  <c r="H229" i="2"/>
  <c r="E229" i="2"/>
  <c r="M228" i="2"/>
  <c r="H228" i="2"/>
  <c r="E228" i="2"/>
  <c r="M227" i="2"/>
  <c r="H227" i="2"/>
  <c r="E227" i="2"/>
  <c r="M226" i="2"/>
  <c r="H226" i="2"/>
  <c r="E226" i="2"/>
  <c r="M225" i="2"/>
  <c r="H225" i="2"/>
  <c r="E225" i="2"/>
  <c r="M224" i="2"/>
  <c r="H224" i="2"/>
  <c r="E224" i="2"/>
  <c r="M223" i="2"/>
  <c r="H223" i="2"/>
  <c r="E223" i="2"/>
  <c r="M222" i="2"/>
  <c r="H222" i="2"/>
  <c r="E222" i="2"/>
  <c r="M221" i="2"/>
  <c r="H221" i="2"/>
  <c r="E221" i="2"/>
  <c r="M220" i="2"/>
  <c r="H220" i="2"/>
  <c r="E220" i="2"/>
  <c r="M219" i="2"/>
  <c r="H219" i="2"/>
  <c r="E219" i="2"/>
  <c r="M218" i="2"/>
  <c r="H218" i="2"/>
  <c r="E218" i="2"/>
  <c r="M217" i="2"/>
  <c r="H217" i="2"/>
  <c r="E217" i="2"/>
  <c r="M216" i="2"/>
  <c r="H216" i="2"/>
  <c r="E216" i="2"/>
  <c r="M215" i="2"/>
  <c r="H215" i="2"/>
  <c r="E215" i="2"/>
  <c r="M214" i="2"/>
  <c r="H214" i="2"/>
  <c r="E214" i="2"/>
  <c r="M213" i="2"/>
  <c r="H213" i="2"/>
  <c r="E213" i="2"/>
  <c r="M212" i="2"/>
  <c r="H212" i="2"/>
  <c r="E212" i="2"/>
  <c r="M211" i="2"/>
  <c r="H211" i="2"/>
  <c r="E211" i="2"/>
  <c r="M210" i="2"/>
  <c r="H210" i="2"/>
  <c r="E210" i="2"/>
  <c r="M209" i="2"/>
  <c r="H209" i="2"/>
  <c r="E209" i="2"/>
  <c r="M208" i="2"/>
  <c r="H208" i="2"/>
  <c r="E208" i="2"/>
  <c r="M207" i="2"/>
  <c r="H207" i="2"/>
  <c r="E207" i="2"/>
  <c r="M206" i="2"/>
  <c r="H206" i="2"/>
  <c r="E206" i="2"/>
  <c r="M205" i="2"/>
  <c r="H205" i="2"/>
  <c r="E205" i="2"/>
  <c r="M204" i="2"/>
  <c r="H204" i="2"/>
  <c r="E204" i="2"/>
  <c r="M203" i="2"/>
  <c r="H203" i="2"/>
  <c r="E203" i="2"/>
  <c r="M202" i="2"/>
  <c r="H202" i="2"/>
  <c r="E202" i="2"/>
  <c r="M201" i="2"/>
  <c r="H201" i="2"/>
  <c r="E201" i="2"/>
  <c r="N200" i="2"/>
  <c r="M200" i="2"/>
  <c r="H200" i="2"/>
  <c r="E200" i="2"/>
  <c r="N199" i="2"/>
  <c r="M199" i="2"/>
  <c r="H199" i="2"/>
  <c r="E199" i="2"/>
  <c r="N198" i="2"/>
  <c r="M198" i="2"/>
  <c r="H198" i="2"/>
  <c r="E198" i="2"/>
  <c r="N197" i="2"/>
  <c r="M197" i="2"/>
  <c r="H197" i="2"/>
  <c r="E197" i="2"/>
  <c r="N196" i="2"/>
  <c r="M196" i="2"/>
  <c r="H196" i="2"/>
  <c r="E196" i="2"/>
  <c r="N195" i="2"/>
  <c r="M195" i="2"/>
  <c r="H195" i="2"/>
  <c r="E195" i="2"/>
  <c r="N194" i="2"/>
  <c r="M194" i="2"/>
  <c r="H194" i="2"/>
  <c r="E194" i="2"/>
  <c r="N193" i="2"/>
  <c r="M193" i="2"/>
  <c r="H193" i="2"/>
  <c r="E193" i="2"/>
  <c r="N192" i="2"/>
  <c r="M192" i="2"/>
  <c r="H192" i="2"/>
  <c r="E192" i="2"/>
  <c r="N191" i="2"/>
  <c r="M191" i="2"/>
  <c r="H191" i="2"/>
  <c r="E191" i="2"/>
  <c r="N190" i="2"/>
  <c r="M190" i="2"/>
  <c r="H190" i="2"/>
  <c r="E190" i="2"/>
  <c r="N189" i="2"/>
  <c r="M189" i="2"/>
  <c r="H189" i="2"/>
  <c r="E189" i="2"/>
  <c r="N188" i="2"/>
  <c r="M188" i="2"/>
  <c r="H188" i="2"/>
  <c r="E188" i="2"/>
  <c r="N187" i="2"/>
  <c r="M187" i="2"/>
  <c r="H187" i="2"/>
  <c r="E187" i="2"/>
  <c r="N186" i="2"/>
  <c r="M186" i="2"/>
  <c r="H186" i="2"/>
  <c r="E186" i="2"/>
  <c r="N185" i="2"/>
  <c r="M185" i="2"/>
  <c r="H185" i="2"/>
  <c r="E185" i="2"/>
  <c r="N184" i="2"/>
  <c r="M184" i="2"/>
  <c r="H184" i="2"/>
  <c r="E184" i="2"/>
  <c r="N183" i="2"/>
  <c r="M183" i="2"/>
  <c r="H183" i="2"/>
  <c r="E183" i="2"/>
  <c r="N182" i="2"/>
  <c r="M182" i="2"/>
  <c r="H182" i="2"/>
  <c r="E182" i="2"/>
  <c r="N181" i="2"/>
  <c r="M181" i="2"/>
  <c r="H181" i="2"/>
  <c r="E181" i="2"/>
  <c r="N180" i="2"/>
  <c r="M180" i="2"/>
  <c r="H180" i="2"/>
  <c r="E180" i="2"/>
  <c r="N179" i="2"/>
  <c r="M179" i="2"/>
  <c r="H179" i="2"/>
  <c r="E179" i="2"/>
  <c r="N178" i="2"/>
  <c r="M178" i="2"/>
  <c r="H178" i="2"/>
  <c r="E178" i="2"/>
  <c r="N177" i="2"/>
  <c r="M177" i="2"/>
  <c r="H177" i="2"/>
  <c r="E177" i="2"/>
  <c r="N176" i="2"/>
  <c r="M176" i="2"/>
  <c r="H176" i="2"/>
  <c r="E176" i="2"/>
  <c r="N175" i="2"/>
  <c r="M175" i="2"/>
  <c r="H175" i="2"/>
  <c r="E175" i="2"/>
  <c r="N174" i="2"/>
  <c r="M174" i="2"/>
  <c r="H174" i="2"/>
  <c r="E174" i="2"/>
  <c r="N173" i="2"/>
  <c r="M173" i="2"/>
  <c r="H173" i="2"/>
  <c r="E173" i="2"/>
  <c r="N172" i="2"/>
  <c r="M172" i="2"/>
  <c r="H172" i="2"/>
  <c r="E172" i="2"/>
  <c r="N171" i="2"/>
  <c r="M171" i="2"/>
  <c r="H171" i="2"/>
  <c r="E171" i="2"/>
  <c r="N170" i="2"/>
  <c r="M170" i="2"/>
  <c r="H170" i="2"/>
  <c r="E170" i="2"/>
  <c r="N169" i="2"/>
  <c r="M169" i="2"/>
  <c r="H169" i="2"/>
  <c r="E169" i="2"/>
  <c r="N168" i="2"/>
  <c r="M168" i="2"/>
  <c r="H168" i="2"/>
  <c r="E168" i="2"/>
  <c r="N167" i="2"/>
  <c r="M167" i="2"/>
  <c r="H167" i="2"/>
  <c r="E167" i="2"/>
  <c r="N166" i="2"/>
  <c r="M166" i="2"/>
  <c r="H166" i="2"/>
  <c r="E166" i="2"/>
  <c r="N165" i="2"/>
  <c r="M165" i="2"/>
  <c r="H165" i="2"/>
  <c r="E165" i="2"/>
  <c r="N164" i="2"/>
  <c r="M164" i="2"/>
  <c r="H164" i="2"/>
  <c r="E164" i="2"/>
  <c r="N163" i="2"/>
  <c r="M163" i="2"/>
  <c r="H163" i="2"/>
  <c r="E163" i="2"/>
  <c r="N162" i="2"/>
  <c r="M162" i="2"/>
  <c r="H162" i="2"/>
  <c r="E162" i="2"/>
  <c r="N161" i="2"/>
  <c r="M161" i="2"/>
  <c r="H161" i="2"/>
  <c r="E161" i="2"/>
  <c r="N160" i="2"/>
  <c r="M160" i="2"/>
  <c r="H160" i="2"/>
  <c r="E160" i="2"/>
  <c r="N159" i="2"/>
  <c r="M159" i="2"/>
  <c r="H159" i="2"/>
  <c r="E159" i="2"/>
  <c r="N158" i="2"/>
  <c r="M158" i="2"/>
  <c r="H158" i="2"/>
  <c r="E158" i="2"/>
  <c r="N157" i="2"/>
  <c r="M157" i="2"/>
  <c r="H157" i="2"/>
  <c r="E157" i="2"/>
  <c r="N156" i="2"/>
  <c r="M156" i="2"/>
  <c r="H156" i="2"/>
  <c r="E156" i="2"/>
  <c r="N155" i="2"/>
  <c r="M155" i="2"/>
  <c r="H155" i="2"/>
  <c r="E155" i="2"/>
  <c r="N154" i="2"/>
  <c r="M154" i="2"/>
  <c r="H154" i="2"/>
  <c r="E154" i="2"/>
  <c r="N153" i="2"/>
  <c r="M153" i="2"/>
  <c r="H153" i="2"/>
  <c r="E153" i="2"/>
  <c r="N152" i="2"/>
  <c r="M152" i="2"/>
  <c r="H152" i="2"/>
  <c r="E152" i="2"/>
  <c r="N151" i="2"/>
  <c r="M151" i="2"/>
  <c r="H151" i="2"/>
  <c r="E151" i="2"/>
  <c r="N150" i="2"/>
  <c r="M150" i="2"/>
  <c r="H150" i="2"/>
  <c r="E150" i="2"/>
  <c r="N149" i="2"/>
  <c r="M149" i="2"/>
  <c r="H149" i="2"/>
  <c r="E149" i="2"/>
  <c r="N148" i="2"/>
  <c r="M148" i="2"/>
  <c r="H148" i="2"/>
  <c r="E148" i="2"/>
  <c r="N147" i="2"/>
  <c r="M147" i="2"/>
  <c r="H147" i="2"/>
  <c r="E147" i="2"/>
  <c r="N146" i="2"/>
  <c r="M146" i="2"/>
  <c r="H146" i="2"/>
  <c r="E146" i="2"/>
  <c r="N145" i="2"/>
  <c r="M145" i="2"/>
  <c r="H145" i="2"/>
  <c r="E145" i="2"/>
  <c r="N144" i="2"/>
  <c r="M144" i="2"/>
  <c r="H144" i="2"/>
  <c r="E144" i="2"/>
  <c r="N143" i="2"/>
  <c r="M143" i="2"/>
  <c r="H143" i="2"/>
  <c r="E143" i="2"/>
  <c r="N142" i="2"/>
  <c r="M142" i="2"/>
  <c r="H142" i="2"/>
  <c r="E142" i="2"/>
  <c r="N141" i="2"/>
  <c r="M141" i="2"/>
  <c r="H141" i="2"/>
  <c r="E141" i="2"/>
  <c r="N140" i="2"/>
  <c r="M140" i="2"/>
  <c r="H140" i="2"/>
  <c r="E140" i="2"/>
  <c r="N139" i="2"/>
  <c r="M139" i="2"/>
  <c r="H139" i="2"/>
  <c r="E139" i="2"/>
  <c r="N138" i="2"/>
  <c r="M138" i="2"/>
  <c r="H138" i="2"/>
  <c r="E138" i="2"/>
  <c r="N137" i="2"/>
  <c r="M137" i="2"/>
  <c r="H137" i="2"/>
  <c r="E137" i="2"/>
  <c r="N136" i="2"/>
  <c r="M136" i="2"/>
  <c r="H136" i="2"/>
  <c r="E136" i="2"/>
  <c r="N135" i="2"/>
  <c r="M135" i="2"/>
  <c r="H135" i="2"/>
  <c r="E135" i="2"/>
  <c r="N134" i="2"/>
  <c r="M134" i="2"/>
  <c r="H134" i="2"/>
  <c r="E134" i="2"/>
  <c r="N133" i="2"/>
  <c r="M133" i="2"/>
  <c r="H133" i="2"/>
  <c r="E133" i="2"/>
  <c r="N132" i="2"/>
  <c r="M132" i="2"/>
  <c r="H132" i="2"/>
  <c r="E132" i="2"/>
  <c r="N131" i="2"/>
  <c r="M131" i="2"/>
  <c r="H131" i="2"/>
  <c r="E131" i="2"/>
  <c r="N130" i="2"/>
  <c r="M130" i="2"/>
  <c r="H130" i="2"/>
  <c r="E130" i="2"/>
  <c r="N129" i="2"/>
  <c r="M129" i="2"/>
  <c r="H129" i="2"/>
  <c r="E129" i="2"/>
  <c r="N128" i="2"/>
  <c r="M128" i="2"/>
  <c r="H128" i="2"/>
  <c r="E128" i="2"/>
  <c r="N127" i="2"/>
  <c r="M127" i="2"/>
  <c r="H127" i="2"/>
  <c r="E127" i="2"/>
  <c r="N126" i="2"/>
  <c r="M126" i="2"/>
  <c r="H126" i="2"/>
  <c r="E126" i="2"/>
  <c r="N125" i="2"/>
  <c r="M125" i="2"/>
  <c r="H125" i="2"/>
  <c r="E125" i="2"/>
  <c r="N124" i="2"/>
  <c r="M124" i="2"/>
  <c r="H124" i="2"/>
  <c r="E124" i="2"/>
  <c r="N123" i="2"/>
  <c r="M123" i="2"/>
  <c r="H123" i="2"/>
  <c r="E123" i="2"/>
  <c r="N122" i="2"/>
  <c r="M122" i="2"/>
  <c r="H122" i="2"/>
  <c r="E122" i="2"/>
  <c r="N121" i="2"/>
  <c r="M121" i="2"/>
  <c r="H121" i="2"/>
  <c r="E121" i="2"/>
  <c r="N120" i="2"/>
  <c r="M120" i="2"/>
  <c r="H120" i="2"/>
  <c r="E120" i="2"/>
  <c r="N119" i="2"/>
  <c r="M119" i="2"/>
  <c r="H119" i="2"/>
  <c r="E119" i="2"/>
  <c r="N118" i="2"/>
  <c r="M118" i="2"/>
  <c r="H118" i="2"/>
  <c r="E118" i="2"/>
  <c r="N117" i="2"/>
  <c r="M117" i="2"/>
  <c r="H117" i="2"/>
  <c r="E117" i="2"/>
  <c r="N116" i="2"/>
  <c r="M116" i="2"/>
  <c r="H116" i="2"/>
  <c r="E116" i="2"/>
  <c r="N115" i="2"/>
  <c r="M115" i="2"/>
  <c r="H115" i="2"/>
  <c r="E115" i="2"/>
  <c r="N114" i="2"/>
  <c r="M114" i="2"/>
  <c r="H114" i="2"/>
  <c r="E114" i="2"/>
  <c r="N113" i="2"/>
  <c r="M113" i="2"/>
  <c r="H113" i="2"/>
  <c r="E113" i="2"/>
  <c r="N112" i="2"/>
  <c r="M112" i="2"/>
  <c r="H112" i="2"/>
  <c r="E112" i="2"/>
  <c r="N111" i="2"/>
  <c r="M111" i="2"/>
  <c r="H111" i="2"/>
  <c r="E111" i="2"/>
  <c r="N110" i="2"/>
  <c r="M110" i="2"/>
  <c r="H110" i="2"/>
  <c r="E110" i="2"/>
  <c r="N109" i="2"/>
  <c r="M109" i="2"/>
  <c r="H109" i="2"/>
  <c r="E109" i="2"/>
  <c r="N108" i="2"/>
  <c r="M108" i="2"/>
  <c r="H108" i="2"/>
  <c r="E108" i="2"/>
  <c r="N107" i="2"/>
  <c r="M107" i="2"/>
  <c r="H107" i="2"/>
  <c r="E107" i="2"/>
  <c r="N106" i="2"/>
  <c r="M106" i="2"/>
  <c r="H106" i="2"/>
  <c r="E106" i="2"/>
  <c r="N105" i="2"/>
  <c r="M105" i="2"/>
  <c r="H105" i="2"/>
  <c r="E105" i="2"/>
  <c r="N104" i="2"/>
  <c r="M104" i="2"/>
  <c r="H104" i="2"/>
  <c r="E104" i="2"/>
  <c r="N103" i="2"/>
  <c r="M103" i="2"/>
  <c r="H103" i="2"/>
  <c r="E103" i="2"/>
  <c r="N102" i="2"/>
  <c r="M102" i="2"/>
  <c r="H102" i="2"/>
  <c r="E102" i="2"/>
  <c r="N101" i="2"/>
  <c r="M101" i="2"/>
  <c r="H101" i="2"/>
  <c r="E101" i="2"/>
  <c r="N100" i="2"/>
  <c r="M100" i="2"/>
  <c r="H100" i="2"/>
  <c r="E100" i="2"/>
  <c r="N99" i="2"/>
  <c r="M99" i="2"/>
  <c r="H99" i="2"/>
  <c r="E99" i="2"/>
  <c r="N98" i="2"/>
  <c r="M98" i="2"/>
  <c r="H98" i="2"/>
  <c r="E98" i="2"/>
  <c r="N97" i="2"/>
  <c r="M97" i="2"/>
  <c r="H97" i="2"/>
  <c r="E97" i="2"/>
  <c r="N96" i="2"/>
  <c r="M96" i="2"/>
  <c r="H96" i="2"/>
  <c r="E96" i="2"/>
  <c r="N95" i="2"/>
  <c r="M95" i="2"/>
  <c r="H95" i="2"/>
  <c r="E95" i="2"/>
  <c r="N94" i="2"/>
  <c r="M94" i="2"/>
  <c r="H94" i="2"/>
  <c r="E94" i="2"/>
  <c r="N93" i="2"/>
  <c r="M93" i="2"/>
  <c r="H93" i="2"/>
  <c r="E93" i="2"/>
  <c r="N92" i="2"/>
  <c r="M92" i="2"/>
  <c r="H92" i="2"/>
  <c r="E92" i="2"/>
  <c r="N91" i="2"/>
  <c r="M91" i="2"/>
  <c r="H91" i="2"/>
  <c r="E91" i="2"/>
  <c r="N90" i="2"/>
  <c r="M90" i="2"/>
  <c r="H90" i="2"/>
  <c r="E90" i="2"/>
  <c r="N89" i="2"/>
  <c r="M89" i="2"/>
  <c r="H89" i="2"/>
  <c r="E89" i="2"/>
  <c r="N88" i="2"/>
  <c r="M88" i="2"/>
  <c r="H88" i="2"/>
  <c r="E88" i="2"/>
  <c r="N87" i="2"/>
  <c r="M87" i="2"/>
  <c r="H87" i="2"/>
  <c r="E87" i="2"/>
  <c r="N86" i="2"/>
  <c r="M86" i="2"/>
  <c r="H86" i="2"/>
  <c r="E86" i="2"/>
  <c r="N85" i="2"/>
  <c r="M85" i="2"/>
  <c r="H85" i="2"/>
  <c r="E85" i="2"/>
  <c r="N84" i="2"/>
  <c r="M84" i="2"/>
  <c r="H84" i="2"/>
  <c r="E84" i="2"/>
  <c r="N83" i="2"/>
  <c r="M83" i="2"/>
  <c r="H83" i="2"/>
  <c r="E83" i="2"/>
  <c r="N82" i="2"/>
  <c r="M82" i="2"/>
  <c r="H82" i="2"/>
  <c r="E82" i="2"/>
  <c r="N81" i="2"/>
  <c r="M81" i="2"/>
  <c r="H81" i="2"/>
  <c r="E81" i="2"/>
  <c r="N80" i="2"/>
  <c r="M80" i="2"/>
  <c r="H80" i="2"/>
  <c r="E80" i="2"/>
  <c r="N79" i="2"/>
  <c r="M79" i="2"/>
  <c r="H79" i="2"/>
  <c r="E79" i="2"/>
  <c r="N78" i="2"/>
  <c r="M78" i="2"/>
  <c r="H78" i="2"/>
  <c r="E78" i="2"/>
  <c r="N77" i="2"/>
  <c r="M77" i="2"/>
  <c r="H77" i="2"/>
  <c r="E77" i="2"/>
  <c r="N76" i="2"/>
  <c r="M76" i="2"/>
  <c r="H76" i="2"/>
  <c r="E76" i="2"/>
  <c r="N75" i="2"/>
  <c r="M75" i="2"/>
  <c r="H75" i="2"/>
  <c r="E75" i="2"/>
  <c r="N74" i="2"/>
  <c r="M74" i="2"/>
  <c r="H74" i="2"/>
  <c r="E74" i="2"/>
  <c r="N73" i="2"/>
  <c r="M73" i="2"/>
  <c r="H73" i="2"/>
  <c r="E73" i="2"/>
  <c r="N72" i="2"/>
  <c r="M72" i="2"/>
  <c r="H72" i="2"/>
  <c r="E72" i="2"/>
  <c r="N71" i="2"/>
  <c r="M71" i="2"/>
  <c r="H71" i="2"/>
  <c r="E71" i="2"/>
  <c r="N70" i="2"/>
  <c r="M70" i="2"/>
  <c r="H70" i="2"/>
  <c r="E70" i="2"/>
  <c r="N69" i="2"/>
  <c r="M69" i="2"/>
  <c r="H69" i="2"/>
  <c r="E69" i="2"/>
  <c r="N68" i="2"/>
  <c r="M68" i="2"/>
  <c r="H68" i="2"/>
  <c r="E68" i="2"/>
  <c r="N67" i="2"/>
  <c r="M67" i="2"/>
  <c r="H67" i="2"/>
  <c r="E67" i="2"/>
  <c r="N66" i="2"/>
  <c r="M66" i="2"/>
  <c r="H66" i="2"/>
  <c r="E66" i="2"/>
  <c r="N65" i="2"/>
  <c r="M65" i="2"/>
  <c r="H65" i="2"/>
  <c r="E65" i="2"/>
  <c r="N64" i="2"/>
  <c r="M64" i="2"/>
  <c r="H64" i="2"/>
  <c r="E64" i="2"/>
  <c r="N63" i="2"/>
  <c r="M63" i="2"/>
  <c r="H63" i="2"/>
  <c r="E63" i="2"/>
  <c r="N62" i="2"/>
  <c r="M62" i="2"/>
  <c r="H62" i="2"/>
  <c r="E62" i="2"/>
  <c r="N61" i="2"/>
  <c r="M61" i="2"/>
  <c r="H61" i="2"/>
  <c r="E61" i="2"/>
  <c r="N60" i="2"/>
  <c r="M60" i="2"/>
  <c r="H60" i="2"/>
  <c r="E60" i="2"/>
  <c r="N59" i="2"/>
  <c r="M59" i="2"/>
  <c r="H59" i="2"/>
  <c r="E59" i="2"/>
  <c r="N58" i="2"/>
  <c r="M58" i="2"/>
  <c r="H58" i="2"/>
  <c r="E58" i="2"/>
  <c r="N57" i="2"/>
  <c r="M57" i="2"/>
  <c r="H57" i="2"/>
  <c r="E57" i="2"/>
  <c r="N56" i="2"/>
  <c r="M56" i="2"/>
  <c r="H56" i="2"/>
  <c r="E56" i="2"/>
  <c r="N55" i="2"/>
  <c r="M55" i="2"/>
  <c r="H55" i="2"/>
  <c r="E55" i="2"/>
  <c r="N54" i="2"/>
  <c r="M54" i="2"/>
  <c r="H54" i="2"/>
  <c r="E54" i="2"/>
  <c r="N53" i="2"/>
  <c r="M53" i="2"/>
  <c r="H53" i="2"/>
  <c r="E53" i="2"/>
  <c r="N52" i="2"/>
  <c r="M52" i="2"/>
  <c r="H52" i="2"/>
  <c r="E52" i="2"/>
  <c r="N51" i="2"/>
  <c r="M51" i="2"/>
  <c r="H51" i="2"/>
  <c r="E51" i="2"/>
  <c r="N50" i="2"/>
  <c r="M50" i="2"/>
  <c r="H50" i="2"/>
  <c r="E50" i="2"/>
  <c r="N49" i="2"/>
  <c r="M49" i="2"/>
  <c r="H49" i="2"/>
  <c r="E49" i="2"/>
  <c r="N48" i="2"/>
  <c r="M48" i="2"/>
  <c r="H48" i="2"/>
  <c r="E48" i="2"/>
  <c r="N47" i="2"/>
  <c r="M47" i="2"/>
  <c r="H47" i="2"/>
  <c r="E47" i="2"/>
  <c r="N46" i="2"/>
  <c r="M46" i="2"/>
  <c r="H46" i="2"/>
  <c r="E46" i="2"/>
  <c r="N45" i="2"/>
  <c r="M45" i="2"/>
  <c r="H45" i="2"/>
  <c r="E45" i="2"/>
  <c r="N44" i="2"/>
  <c r="M44" i="2"/>
  <c r="H44" i="2"/>
  <c r="E44" i="2"/>
  <c r="N43" i="2"/>
  <c r="M43" i="2"/>
  <c r="H43" i="2"/>
  <c r="E43" i="2"/>
  <c r="N42" i="2"/>
  <c r="M42" i="2"/>
  <c r="H42" i="2"/>
  <c r="E42" i="2"/>
  <c r="N41" i="2"/>
  <c r="M41" i="2"/>
  <c r="H41" i="2"/>
  <c r="E41" i="2"/>
  <c r="N40" i="2"/>
  <c r="M40" i="2"/>
  <c r="H40" i="2"/>
  <c r="E40" i="2"/>
  <c r="N39" i="2"/>
  <c r="M39" i="2"/>
  <c r="H39" i="2"/>
  <c r="E39" i="2"/>
  <c r="N38" i="2"/>
  <c r="M38" i="2"/>
  <c r="H38" i="2"/>
  <c r="E38" i="2"/>
  <c r="N37" i="2"/>
  <c r="M37" i="2"/>
  <c r="H37" i="2"/>
  <c r="E37" i="2"/>
  <c r="N36" i="2"/>
  <c r="M36" i="2"/>
  <c r="H36" i="2"/>
  <c r="E36" i="2"/>
  <c r="N35" i="2"/>
  <c r="M35" i="2"/>
  <c r="H35" i="2"/>
  <c r="E35" i="2"/>
  <c r="N34" i="2"/>
  <c r="M34" i="2"/>
  <c r="H34" i="2"/>
  <c r="E34" i="2"/>
  <c r="N33" i="2"/>
  <c r="M33" i="2"/>
  <c r="H33" i="2"/>
  <c r="E33" i="2"/>
  <c r="N32" i="2"/>
  <c r="M32" i="2"/>
  <c r="H32" i="2"/>
  <c r="E32" i="2"/>
  <c r="N31" i="2"/>
  <c r="M31" i="2"/>
  <c r="H31" i="2"/>
  <c r="E31" i="2"/>
  <c r="N30" i="2"/>
  <c r="M30" i="2"/>
  <c r="H30" i="2"/>
  <c r="E30" i="2"/>
  <c r="N29" i="2"/>
  <c r="M29" i="2"/>
  <c r="H29" i="2"/>
  <c r="E29" i="2"/>
  <c r="N28" i="2"/>
  <c r="M28" i="2"/>
  <c r="H28" i="2"/>
  <c r="E28" i="2"/>
  <c r="N27" i="2"/>
  <c r="M27" i="2"/>
  <c r="H27" i="2"/>
  <c r="E27" i="2"/>
  <c r="N26" i="2"/>
  <c r="M26" i="2"/>
  <c r="H26" i="2"/>
  <c r="E26" i="2"/>
  <c r="N25" i="2"/>
  <c r="M25" i="2"/>
  <c r="H25" i="2"/>
  <c r="E25" i="2"/>
  <c r="N24" i="2"/>
  <c r="M24" i="2"/>
  <c r="H24" i="2"/>
  <c r="E24" i="2"/>
  <c r="N23" i="2"/>
  <c r="M23" i="2"/>
  <c r="H23" i="2"/>
  <c r="E23" i="2"/>
  <c r="N22" i="2"/>
  <c r="M22" i="2"/>
  <c r="H22" i="2"/>
  <c r="E22" i="2"/>
  <c r="N21" i="2"/>
  <c r="M21" i="2"/>
  <c r="H21" i="2"/>
  <c r="E21" i="2"/>
  <c r="N20" i="2"/>
  <c r="M20" i="2"/>
  <c r="H20" i="2"/>
  <c r="E20" i="2"/>
  <c r="N19" i="2"/>
  <c r="M19" i="2"/>
  <c r="H19" i="2"/>
  <c r="E19" i="2"/>
  <c r="N18" i="2"/>
  <c r="M18" i="2"/>
  <c r="H18" i="2"/>
  <c r="E18" i="2"/>
  <c r="N17" i="2"/>
  <c r="M17" i="2"/>
  <c r="H17" i="2"/>
  <c r="E17" i="2"/>
  <c r="N16" i="2"/>
  <c r="M16" i="2"/>
  <c r="H16" i="2"/>
  <c r="E16" i="2"/>
  <c r="N15" i="2"/>
  <c r="M15" i="2"/>
  <c r="H15" i="2"/>
  <c r="E15" i="2"/>
  <c r="N14" i="2"/>
  <c r="M14" i="2"/>
  <c r="H14" i="2"/>
  <c r="E14" i="2"/>
  <c r="N13" i="2"/>
  <c r="M13" i="2"/>
  <c r="H13" i="2"/>
  <c r="E13" i="2"/>
  <c r="N12" i="2"/>
  <c r="M12" i="2"/>
  <c r="H12" i="2"/>
  <c r="E12" i="2"/>
  <c r="N11" i="2"/>
  <c r="M11" i="2"/>
  <c r="H11" i="2"/>
  <c r="E11" i="2"/>
  <c r="N10" i="2"/>
  <c r="M10" i="2"/>
  <c r="H10" i="2"/>
  <c r="E10" i="2"/>
  <c r="N9" i="2"/>
  <c r="M9" i="2"/>
  <c r="H9" i="2"/>
  <c r="E9" i="2"/>
  <c r="N8" i="2"/>
  <c r="M8" i="2"/>
  <c r="H8" i="2"/>
  <c r="E8" i="2"/>
  <c r="N7" i="2"/>
  <c r="M7" i="2"/>
  <c r="H7" i="2"/>
  <c r="E7" i="2"/>
  <c r="N6" i="2"/>
  <c r="M6" i="2"/>
  <c r="H6" i="2"/>
  <c r="E6" i="2"/>
  <c r="N5" i="2"/>
  <c r="M5" i="2"/>
  <c r="H5" i="2"/>
  <c r="E5" i="2"/>
</calcChain>
</file>

<file path=xl/sharedStrings.xml><?xml version="1.0" encoding="utf-8"?>
<sst xmlns="http://schemas.openxmlformats.org/spreadsheetml/2006/main" count="725" uniqueCount="104">
  <si>
    <t>GC-COMB-003 | BITÁCORA DE CONTROL DE COMBUSTIBLE DE OBRA</t>
  </si>
  <si>
    <t>Ingeniero:</t>
  </si>
  <si>
    <t>Semana:</t>
  </si>
  <si>
    <t>Fecha entrega:</t>
  </si>
  <si>
    <t>Obra:</t>
  </si>
  <si>
    <t>Costo/L base:</t>
  </si>
  <si>
    <t>Fecha</t>
  </si>
  <si>
    <t>Obra</t>
  </si>
  <si>
    <t>Fuente</t>
  </si>
  <si>
    <t>Equipo</t>
  </si>
  <si>
    <t>Económico</t>
  </si>
  <si>
    <t>Litros Recibidos</t>
  </si>
  <si>
    <t>Costo/L</t>
  </si>
  <si>
    <t>Importe</t>
  </si>
  <si>
    <t>Actividad Ejecutada</t>
  </si>
  <si>
    <t>Incidencia</t>
  </si>
  <si>
    <t>Observaciones</t>
  </si>
  <si>
    <t>Semana (Helper)</t>
  </si>
  <si>
    <t>Folio Ticket (Auto)</t>
  </si>
  <si>
    <t>México-Toluca</t>
  </si>
  <si>
    <t>Marimba M-01</t>
  </si>
  <si>
    <t>Neuomatico</t>
  </si>
  <si>
    <t>Compactador</t>
  </si>
  <si>
    <t>Perfiladora</t>
  </si>
  <si>
    <t>Retroexcavadora</t>
  </si>
  <si>
    <t>Lerma - Tres Marías</t>
  </si>
  <si>
    <t>Vogel</t>
  </si>
  <si>
    <t>Chamapa-Lechería</t>
  </si>
  <si>
    <t>Perfiladora Wirgent</t>
  </si>
  <si>
    <t>Maxilihgs</t>
  </si>
  <si>
    <t>Neuomatico Dynapac</t>
  </si>
  <si>
    <t>Compresor</t>
  </si>
  <si>
    <t>Retroexcavadora Jonh Deere</t>
  </si>
  <si>
    <t>Vogele Guion</t>
  </si>
  <si>
    <t>Petrolizadora Elton</t>
  </si>
  <si>
    <t>Bacheo Toluca</t>
  </si>
  <si>
    <t>Pegaso Directo</t>
  </si>
  <si>
    <t>Bidones</t>
  </si>
  <si>
    <t>Planta Asfalto Pegaso</t>
  </si>
  <si>
    <t>Barredora Broce</t>
  </si>
  <si>
    <t>Buggy Trasnfer</t>
  </si>
  <si>
    <t>Tandem Hamm</t>
  </si>
  <si>
    <t>Doble Rodillo</t>
  </si>
  <si>
    <t>Petrolizadora</t>
  </si>
  <si>
    <t>Barredora</t>
  </si>
  <si>
    <t>Cuerpo a (Pausada)</t>
  </si>
  <si>
    <t>PayLoder</t>
  </si>
  <si>
    <t>Camion de Impacto</t>
  </si>
  <si>
    <t>PERFILADORA WIRGENT-W200i</t>
  </si>
  <si>
    <t>RETROEXCAVADORA JHONDEREE 310SK</t>
  </si>
  <si>
    <t>TANDEM DOBLE RODILLO / VIBROCOMPACTOR RODILLO CAT CB54</t>
  </si>
  <si>
    <t>NEUMATICO VOLVO PT-240R</t>
  </si>
  <si>
    <t>PAVIMENTADORA  VOGELE 1800-3 i</t>
  </si>
  <si>
    <t>*</t>
  </si>
  <si>
    <t>PAVIMENTADORA  VOGELE SJ 1800-3</t>
  </si>
  <si>
    <t>PETROLIZADORA    INTERNATIONAL</t>
  </si>
  <si>
    <t>DOBLE RODILLO/VIBROCOMPACTADOR DE RODILLOS HAMM 140HD</t>
  </si>
  <si>
    <t>BARREDORA LAYMOR SM400</t>
  </si>
  <si>
    <t>Limpieza</t>
  </si>
  <si>
    <t>PERFILADORA RODATEC RX600E</t>
  </si>
  <si>
    <t>BARREDORA BROCE RJ350</t>
  </si>
  <si>
    <t>PIPA DE AGUA (IMPACTO 01) FORD</t>
  </si>
  <si>
    <t>PERFILADORA RODATEC RX600-4-4008</t>
  </si>
  <si>
    <t>IMPACTO FORD 4300</t>
  </si>
  <si>
    <t>Dragones</t>
  </si>
  <si>
    <t>NEUMATICO / COMPACTADOR DE NEUMATICOS DINAPAC CP271</t>
  </si>
  <si>
    <t>RETROEXCAVADORA CASE 580 N</t>
  </si>
  <si>
    <t>HOMBRE A BORDO</t>
  </si>
  <si>
    <t>PAVIMENTADORA VOGELE 1800-3 I</t>
  </si>
  <si>
    <t>DOBLE RODILLO/VIBROCOMPACTADOR DE RODILLOS HAMM 120HD VV</t>
  </si>
  <si>
    <t>RETROEXCAVADORA JHONDEREE 310 K</t>
  </si>
  <si>
    <t>PETROLIZADORA INTERNATIONAL</t>
  </si>
  <si>
    <t>BIDONES</t>
  </si>
  <si>
    <t>VIBROCOMPACTADOR CATERPILLAR CB66B</t>
  </si>
  <si>
    <t>PAVIMENTADORA VOGELE SJ 1800-3</t>
  </si>
  <si>
    <t>PAYLODER</t>
  </si>
  <si>
    <t>LIMPIEZA</t>
  </si>
  <si>
    <t>PAVIMENTADORA VOGELE 1800-2 SJ</t>
  </si>
  <si>
    <t>COMPRESOR  SULLIVAN PALATEK D2010</t>
  </si>
  <si>
    <t>Maquinaria Pegaso</t>
  </si>
  <si>
    <t>PAVIMENTADORA  VOGELE 1800-2 SJ</t>
  </si>
  <si>
    <t>MOTOCONFORMADORA RENTADA</t>
  </si>
  <si>
    <t>Salida</t>
  </si>
  <si>
    <t>TRACTOR</t>
  </si>
  <si>
    <t>Jalisco</t>
  </si>
  <si>
    <t>EXCAVADORA</t>
  </si>
  <si>
    <t>Excavadora</t>
  </si>
  <si>
    <t>Motoconformadora</t>
  </si>
  <si>
    <t>Vibro Compactador</t>
  </si>
  <si>
    <t>Motoconformadora Rentada</t>
  </si>
  <si>
    <t>Pipa</t>
  </si>
  <si>
    <t>Firma/Validación</t>
  </si>
  <si>
    <t>Gasolina</t>
  </si>
  <si>
    <t>Saldo final(vales)</t>
  </si>
  <si>
    <t>Saldo inicial(vales)</t>
  </si>
  <si>
    <t>Existencia Teórica</t>
  </si>
  <si>
    <t>Salida (L)</t>
  </si>
  <si>
    <t>Entrada (L)</t>
  </si>
  <si>
    <t>Origen/Obra</t>
  </si>
  <si>
    <t>Movimiento</t>
  </si>
  <si>
    <t>M-01</t>
  </si>
  <si>
    <t>Marimba:</t>
  </si>
  <si>
    <t>Operador:</t>
  </si>
  <si>
    <t>GC-COMB-002 | BITÁCORA DE SUMINISTRO DE JALISCO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</si>
</sst>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>
    <font>
      <sz val="11"/>
      <color theme="1"/>
      <name val="Aptos Narrow"/>
      <family val="2"/>
      <scheme val="minor"/>
    </font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2" borderId="0" xfId="1" applyFont="1" applyFill="1" applyAlignment="1">
      <alignment horizontal="center" vertical="center"/>
    </xf>
    <xf numFmtId="0" fontId="1" fillId="0" borderId="0" xfId="1"/>
    <xf numFmtId="0" fontId="1" fillId="0" borderId="0" xfId="1"/>
    <xf numFmtId="0" fontId="3" fillId="2" borderId="0" xfId="1" applyFont="1" applyFill="1" applyAlignment="1">
      <alignment horizontal="center" vertical="center" wrapText="1"/>
    </xf>
    <xf numFmtId="14" fontId="1" fillId="0" borderId="0" xfId="1" applyNumberFormat="1"/>
    <xf numFmtId="4" fontId="1" fillId="0" borderId="0" xfId="1" applyNumberFormat="1"/>
    <xf numFmtId="164" fontId="1" fillId="0" borderId="0" xfId="1" applyNumberFormat="1"/>
    <xf numFmtId="14" fontId="1" fillId="3" borderId="0" xfId="1" applyNumberFormat="1" applyFill="1"/>
    <xf numFmtId="0" fontId="1" fillId="3" borderId="0" xfId="1" applyFill="1"/>
    <xf numFmtId="4" fontId="1" fillId="3" borderId="0" xfId="1" applyNumberFormat="1" applyFill="1"/>
    <xf numFmtId="164" fontId="1" fillId="3" borderId="0" xfId="1" applyNumberFormat="1" applyFill="1"/>
    <xf numFmtId="2" fontId="1" fillId="0" borderId="0" xfId="1" applyNumberFormat="1"/>
  </cellXfs>
  <cellStyles count="2">
    <cellStyle name="Normal" xfId="0" builtinId="0"/>
    <cellStyle name="Normal 2" xfId="1" xr:uid="{914BA195-457B-483E-8835-86A20A43E045}"/>
  </cellStyles>
  <dxfs count="7"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2" formatCode="0.0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SE\Desktop\Proyecto%20fenix\GC-COMB-3.1_Excel_Maestro_Control_Combustible_Grupo_Trujano%20ultimo(1).xlsx" TargetMode="External"/><Relationship Id="rId1" Type="http://schemas.openxmlformats.org/officeDocument/2006/relationships/externalLinkPath" Target="GC-COMB-3.1_Excel_Maestro_Control_Combustible_Grupo_Trujano%20ultimo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Conciliacion_Auditoria"/>
      <sheetName val="Captura_Pegaso"/>
      <sheetName val="Captura_Jalisco"/>
      <sheetName val="Captura_Obra"/>
      <sheetName val="Captura_Marimba_M01"/>
      <sheetName val="Solicitudes"/>
      <sheetName val="Captura_Horas"/>
      <sheetName val="Catalogos"/>
      <sheetName val="Maquinaria_Inventario"/>
      <sheetName val="Maquinaria_Calculo_Rendimiento"/>
      <sheetName val="Captura_Facturas_Mobil"/>
      <sheetName val="Dashboard_Ejecutivo"/>
      <sheetName val="Estados_Cuenta_Mobil"/>
      <sheetName val="Captura_Gasolin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V4" t="str">
            <v>RETROEXCAVADORA CASE 580 N</v>
          </cell>
          <cell r="W4" t="str">
            <v>RT-03</v>
          </cell>
          <cell r="Z4" t="str">
            <v>México-Toluca</v>
          </cell>
          <cell r="AA4" t="str">
            <v>MT</v>
          </cell>
        </row>
        <row r="5">
          <cell r="V5" t="str">
            <v>PAVIMENTADORA  VOGELE 1800-3 i</v>
          </cell>
          <cell r="W5" t="str">
            <v>VG-01</v>
          </cell>
          <cell r="Z5" t="str">
            <v>Lerma - Tres Marías</v>
          </cell>
          <cell r="AA5" t="str">
            <v>LT</v>
          </cell>
        </row>
        <row r="6">
          <cell r="V6" t="str">
            <v>PAVIMENTADORA  VOGELE 1800-2 SJ</v>
          </cell>
          <cell r="W6" t="str">
            <v>VG-02</v>
          </cell>
          <cell r="Z6" t="str">
            <v>No aplica</v>
          </cell>
          <cell r="AA6" t="str">
            <v>NA</v>
          </cell>
        </row>
        <row r="7">
          <cell r="V7" t="str">
            <v>PAVIMENTADORA  VOGELE SJ 1800-3</v>
          </cell>
          <cell r="W7" t="str">
            <v>VG-03</v>
          </cell>
          <cell r="Z7" t="str">
            <v>Chamapa-Lechería</v>
          </cell>
          <cell r="AA7" t="str">
            <v>CL</v>
          </cell>
        </row>
        <row r="8">
          <cell r="V8" t="str">
            <v>PERFILADORA RODATEC RX600-4-4008</v>
          </cell>
          <cell r="W8" t="str">
            <v>PR-01</v>
          </cell>
          <cell r="Z8" t="str">
            <v>Bacheo Toluca</v>
          </cell>
          <cell r="AA8" t="str">
            <v>BT</v>
          </cell>
        </row>
        <row r="9">
          <cell r="V9" t="str">
            <v>PERFILADORA RODATEC RX600E</v>
          </cell>
          <cell r="W9" t="str">
            <v>PR-02</v>
          </cell>
          <cell r="Z9" t="str">
            <v>Planta Asfalto Pegaso</v>
          </cell>
          <cell r="AA9" t="str">
            <v>PAP</v>
          </cell>
        </row>
        <row r="10">
          <cell r="V10" t="str">
            <v>BARREDORA BROCE RJ350</v>
          </cell>
          <cell r="W10" t="str">
            <v>BR-01</v>
          </cell>
          <cell r="Z10" t="str">
            <v>Planta Asflato Huixquilucan</v>
          </cell>
          <cell r="AA10" t="str">
            <v>PAH</v>
          </cell>
        </row>
        <row r="11">
          <cell r="V11" t="str">
            <v>BARREDORA LAYMOR SM400</v>
          </cell>
          <cell r="W11" t="str">
            <v>BR-02</v>
          </cell>
          <cell r="Z11" t="str">
            <v>Dragones</v>
          </cell>
          <cell r="AA11" t="str">
            <v>DR</v>
          </cell>
        </row>
        <row r="12">
          <cell r="V12" t="str">
            <v>BARREDORA SUPERIOR BROOM DT80J</v>
          </cell>
          <cell r="W12" t="str">
            <v>BR-03</v>
          </cell>
          <cell r="Z12" t="str">
            <v>Jalisco</v>
          </cell>
          <cell r="AA12" t="str">
            <v>JA</v>
          </cell>
        </row>
        <row r="13">
          <cell r="V13" t="str">
            <v>BARREDORA LAYMOR SM400</v>
          </cell>
          <cell r="W13" t="str">
            <v>BR-04</v>
          </cell>
          <cell r="Z13" t="str">
            <v>Maquinaria Pegaso</v>
          </cell>
          <cell r="AA13" t="str">
            <v>MP</v>
          </cell>
        </row>
        <row r="14">
          <cell r="V14" t="str">
            <v>DOBLE RODILLO/VIBROCOMPACTADOR DE RODILLOS HAMM 120HD VV</v>
          </cell>
          <cell r="W14" t="str">
            <v>DR-01</v>
          </cell>
        </row>
        <row r="15">
          <cell r="V15" t="str">
            <v>DOBLE RODILLO/VIBROCOMPACTADOR DE RODILLOS HAMM 140HD</v>
          </cell>
          <cell r="W15" t="str">
            <v>DR-02</v>
          </cell>
        </row>
        <row r="16">
          <cell r="V16" t="str">
            <v>TANDEM DOBLE RODILLO / VIBROCOMPACTOR RODILLO CAT CB54</v>
          </cell>
          <cell r="W16" t="str">
            <v>TD-01</v>
          </cell>
        </row>
        <row r="17">
          <cell r="V17" t="str">
            <v>VIBROCOMPACTADOR CATERPILLAR CB66B</v>
          </cell>
          <cell r="W17" t="str">
            <v>VC-01</v>
          </cell>
        </row>
        <row r="18">
          <cell r="V18" t="str">
            <v>NEUMATICO / COMPACTADOR DE NEUMATICOS DINAPAC CP271</v>
          </cell>
          <cell r="W18" t="str">
            <v>NM-01</v>
          </cell>
        </row>
        <row r="19">
          <cell r="V19" t="str">
            <v>NEUMATICO VOLVO PT-240R</v>
          </cell>
          <cell r="W19" t="str">
            <v>NM-02</v>
          </cell>
        </row>
        <row r="20">
          <cell r="V20" t="str">
            <v>COMPRESOR  SULLIVAN PALATEK D2010</v>
          </cell>
          <cell r="W20" t="str">
            <v>CPR-01</v>
          </cell>
        </row>
        <row r="21">
          <cell r="V21" t="str">
            <v>COMPRESOR  SULLIVAN PALATEK D2010</v>
          </cell>
          <cell r="W21" t="str">
            <v>CPR-02</v>
          </cell>
        </row>
        <row r="22">
          <cell r="V22" t="str">
            <v>RETROEXCAVADORA CASE 420DN</v>
          </cell>
          <cell r="W22" t="str">
            <v>RT-04</v>
          </cell>
        </row>
        <row r="23">
          <cell r="V23" t="str">
            <v>BARREDORA BROCE BROOM KR350</v>
          </cell>
          <cell r="W23" t="str">
            <v>BR-05</v>
          </cell>
        </row>
        <row r="24">
          <cell r="V24" t="str">
            <v>RETROEXCAVADORA JHONDEREE 310SK</v>
          </cell>
          <cell r="W24" t="str">
            <v>RT-05</v>
          </cell>
        </row>
        <row r="25">
          <cell r="V25" t="str">
            <v>BARREDORA BROCE BROOM KR350</v>
          </cell>
          <cell r="W25" t="str">
            <v>BR-06</v>
          </cell>
        </row>
        <row r="26">
          <cell r="V26" t="str">
            <v>DOBLE RODILLO   INGERSOLL RAND DD-108HF</v>
          </cell>
          <cell r="W26" t="str">
            <v>DR-03</v>
          </cell>
        </row>
        <row r="27">
          <cell r="V27" t="str">
            <v>TRASFER BUGGI RODATEC</v>
          </cell>
          <cell r="W27" t="str">
            <v>BG-01</v>
          </cell>
        </row>
        <row r="28">
          <cell r="V28" t="str">
            <v>IMPACTO FORD 4300</v>
          </cell>
          <cell r="W28" t="str">
            <v>CI-01</v>
          </cell>
        </row>
        <row r="29">
          <cell r="V29" t="str">
            <v>IMPACTO FORD F800</v>
          </cell>
          <cell r="W29" t="str">
            <v>CI-02</v>
          </cell>
        </row>
        <row r="30">
          <cell r="V30" t="str">
            <v>PETROLIZADORA (IMPACTO 04) FORD F800</v>
          </cell>
          <cell r="W30" t="str">
            <v>PT-01</v>
          </cell>
        </row>
        <row r="31">
          <cell r="V31" t="str">
            <v>PETROLIZADORA    INTERNATIONAL</v>
          </cell>
          <cell r="W31" t="str">
            <v>PT-02</v>
          </cell>
        </row>
        <row r="32">
          <cell r="V32" t="str">
            <v>PIPA DE AGUA (IMPACTO 01) FORD</v>
          </cell>
          <cell r="W32" t="str">
            <v>PP-01</v>
          </cell>
        </row>
        <row r="33">
          <cell r="V33" t="str">
            <v>DOBLE RODILLO RAD ROLLER FILY-325 PRO</v>
          </cell>
          <cell r="W33" t="str">
            <v>DR-04</v>
          </cell>
        </row>
        <row r="34">
          <cell r="V34" t="str">
            <v>PERFILADORA WIRGENT-W200i</v>
          </cell>
          <cell r="W34" t="str">
            <v>S/N (WIRGENT)</v>
          </cell>
        </row>
        <row r="35">
          <cell r="V35" t="str">
            <v>COMPRESOR INGERSOLL RAND IR185</v>
          </cell>
          <cell r="W35" t="str">
            <v>S/N (IR185)</v>
          </cell>
        </row>
        <row r="36">
          <cell r="V36" t="str">
            <v>BIDONES</v>
          </cell>
          <cell r="W36" t="str">
            <v>BD-01</v>
          </cell>
        </row>
        <row r="37">
          <cell r="V37" t="str">
            <v>OTRO</v>
          </cell>
          <cell r="W37" t="str">
            <v>OT-01</v>
          </cell>
        </row>
        <row r="38">
          <cell r="V38" t="str">
            <v>MARIMBA</v>
          </cell>
          <cell r="W38" t="str">
            <v>MB-01</v>
          </cell>
        </row>
        <row r="39">
          <cell r="V39" t="str">
            <v>GENERADOR</v>
          </cell>
          <cell r="W39" t="str">
            <v>GR-01</v>
          </cell>
        </row>
        <row r="40">
          <cell r="V40" t="str">
            <v>CRIBA ROJA</v>
          </cell>
          <cell r="W40" t="str">
            <v>CR-01</v>
          </cell>
        </row>
        <row r="41">
          <cell r="V41" t="str">
            <v>TANDEM CAT</v>
          </cell>
          <cell r="W41" t="str">
            <v>TC-01</v>
          </cell>
        </row>
        <row r="42">
          <cell r="V42" t="str">
            <v>MOTOCONFORMADORA RENTADA</v>
          </cell>
          <cell r="W42" t="str">
            <v>MGR-01</v>
          </cell>
        </row>
        <row r="43">
          <cell r="V43" t="str">
            <v>VIBRO COMPACTADOR</v>
          </cell>
          <cell r="W43" t="str">
            <v>VC-01</v>
          </cell>
        </row>
        <row r="44">
          <cell r="V44" t="str">
            <v>PAYLODER</v>
          </cell>
          <cell r="W44" t="str">
            <v>PL-01</v>
          </cell>
        </row>
        <row r="45">
          <cell r="V45" t="str">
            <v>LIMPIEZA</v>
          </cell>
          <cell r="W45" t="str">
            <v>LP-01</v>
          </cell>
        </row>
        <row r="46">
          <cell r="V46" t="str">
            <v>RASTRILLADOR</v>
          </cell>
          <cell r="W46" t="str">
            <v>RS-01</v>
          </cell>
        </row>
        <row r="47">
          <cell r="V47" t="str">
            <v>MAXILIGHT</v>
          </cell>
          <cell r="W47" t="str">
            <v>MX-01</v>
          </cell>
        </row>
        <row r="48">
          <cell r="V48" t="str">
            <v>HOMBRE A BORDO</v>
          </cell>
          <cell r="W48" t="str">
            <v>HB-01</v>
          </cell>
        </row>
        <row r="49">
          <cell r="V49" t="str">
            <v>EXCAVADORA</v>
          </cell>
          <cell r="W49" t="str">
            <v>EX-01</v>
          </cell>
        </row>
        <row r="50">
          <cell r="V50" t="str">
            <v>CALDERA TECNO</v>
          </cell>
          <cell r="W50" t="str">
            <v>CT-01</v>
          </cell>
        </row>
        <row r="51">
          <cell r="V51" t="str">
            <v>CALDERA TRIASO</v>
          </cell>
          <cell r="W51" t="str">
            <v>CTR-01</v>
          </cell>
        </row>
        <row r="52">
          <cell r="V52" t="str">
            <v>TRACTOR</v>
          </cell>
          <cell r="W52" t="str">
            <v>TR-01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F272D2-E61E-4316-AE30-D1C8EF506EAF}" name="TablaMarimba6" displayName="TablaMarimba6" ref="A4:P206">
  <autoFilter ref="A4:P206" xr:uid="{00000000-000C-0000-FFFF-FFFF01000000}"/>
  <tableColumns count="16">
    <tableColumn id="1" xr3:uid="{8F93C2D3-59E8-4ED8-AD33-D80C1E2FB336}" name="Fecha"/>
    <tableColumn id="2" xr3:uid="{1FDB07B9-3C82-4BA6-A1D0-7BBCC4F65B10}" name="Movimiento"/>
    <tableColumn id="3" xr3:uid="{BA86575F-7C22-46F4-B075-46F1C8361BD9}" name="Origen/Obra"/>
    <tableColumn id="4" xr3:uid="{2F9F3F05-302E-4E36-B6C3-D33A7313CF7F}" name="Equipo"/>
    <tableColumn id="5" xr3:uid="{80B99EA3-A76A-4413-803B-47316FD99CFD}" name="Económico" dataDxfId="5">
      <calculatedColumnFormula>VLOOKUP(TablaMarimba6[[#This Row],[Equipo]],[1]Catalogos!$V$4:$W$55,2,FALSE)</calculatedColumnFormula>
    </tableColumn>
    <tableColumn id="6" xr3:uid="{F3B80B77-7F7D-4E7F-90FB-32C1FB406B69}" name="Entrada (L)"/>
    <tableColumn id="7" xr3:uid="{6800B0C2-0798-474F-92E3-491283B10A41}" name="Salida (L)" dataDxfId="4"/>
    <tableColumn id="8" xr3:uid="{074D2D2A-CED3-4020-A111-0260F5AF13EE}" name="Existencia Teórica"/>
    <tableColumn id="9" xr3:uid="{F9911E82-721A-423B-A6E5-F73D5EDF7715}" name="Costo/L"/>
    <tableColumn id="10" xr3:uid="{C0E34614-EA93-4B8E-B48C-B52BEB55C2E1}" name="Importe"/>
    <tableColumn id="13" xr3:uid="{C3C21513-70B5-4317-B1A5-2CB6C2635055}" name="Saldo inicial(vales)" dataDxfId="3"/>
    <tableColumn id="14" xr3:uid="{C1AAAA92-ABFF-4A74-A305-4E598996551A}" name="Saldo final(vales)" dataDxfId="2">
      <calculatedColumnFormula>(TablaMarimba6[[#This Row],[Saldo inicial(vales)]]-TablaMarimba6[[#This Row],[Importe]])</calculatedColumnFormula>
    </tableColumn>
    <tableColumn id="15" xr3:uid="{3CEAC10A-B936-4FDF-BE2A-828B1C9CB20B}" name="Ajuste" dataDxfId="1">
      <calculatedColumnFormula>IF(A5="","", WEEKNUM(A5, 2))</calculatedColumnFormula>
    </tableColumn>
    <tableColumn id="16" xr3:uid="{07C7E7F6-A3FC-45D2-ADAA-7E7BFD170ED7}" name="Gasolina" dataDxfId="0"/>
    <tableColumn id="11" xr3:uid="{3874C8C0-26B2-46B1-956E-1F33EE7ABE4F}" name="Firma/Validación"/>
    <tableColumn id="12" xr3:uid="{68A50BCC-C51C-495B-BF43-8A8723CAD7BA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0F0FCD-BFE9-46F0-B792-24E6FD81E4E9}" name="TablaObra" displayName="TablaObra" ref="A4:K307">
  <autoFilter ref="A4:K307" xr:uid="{00000000-000C-0000-FFFF-FFFF02000000}"/>
  <sortState xmlns:xlrd2="http://schemas.microsoft.com/office/spreadsheetml/2017/richdata2" ref="A5:K307">
    <sortCondition ref="A4:A307"/>
  </sortState>
  <tableColumns count="11">
    <tableColumn id="1" xr3:uid="{0F121E49-F24E-4698-B089-D4FB0360A2C7}" name="Fecha"/>
    <tableColumn id="2" xr3:uid="{69E5C810-2604-4160-B2A2-C374C87BFFAE}" name="Obra"/>
    <tableColumn id="3" xr3:uid="{B6F33EA8-7FB9-45C2-9D39-17597937187F}" name="Fuente"/>
    <tableColumn id="4" xr3:uid="{8995D8CC-CADA-466A-AEE0-626C741D6D1B}" name="Equipo"/>
    <tableColumn id="5" xr3:uid="{C1D6D9FC-483A-479E-818A-EE44CF57C9D2}" name="Económico" dataDxfId="6">
      <calculatedColumnFormula>VLOOKUP(TablaObra[[#This Row],[Equipo]],[1]Catalogos!$V$4:$W$64,2,FALSE)</calculatedColumnFormula>
    </tableColumn>
    <tableColumn id="6" xr3:uid="{3BE952E5-79B9-48BF-93CC-39D53E62CA94}" name="Litros Recibidos"/>
    <tableColumn id="7" xr3:uid="{A52AB598-7BE1-40C4-86EA-EDFE5A65BB45}" name="Costo/L"/>
    <tableColumn id="8" xr3:uid="{9E9B32F1-2C12-4CD4-843B-55552D4C79A7}" name="Importe"/>
    <tableColumn id="9" xr3:uid="{228CC12B-AFEE-4FA9-B690-7BE165E9B7E7}" name="Actividad Ejecutada"/>
    <tableColumn id="10" xr3:uid="{B5E345F4-1DB5-41F0-BA97-988B5C6C9E7E}" name="Incidencia"/>
    <tableColumn id="11" xr3:uid="{DD2DD9FA-6623-4CF6-8293-1F39D38DDF2E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AC42F-B081-4625-9992-3750A239F6AB}">
  <dimension ref="A1:R2000"/>
  <sheetViews>
    <sheetView topLeftCell="A11" zoomScale="90" workbookViewId="0">
      <selection activeCell="A44" sqref="A44"/>
    </sheetView>
  </sheetViews>
  <sheetFormatPr baseColWidth="10" defaultColWidth="9.77734375" defaultRowHeight="13.8"/>
  <cols>
    <col min="1" max="1" width="14.44140625" style="3" customWidth="1"/>
    <col min="2" max="2" width="20" style="3" customWidth="1"/>
    <col min="3" max="4" width="24.44140625" style="3" customWidth="1"/>
    <col min="5" max="5" width="15.5546875" style="3" customWidth="1"/>
    <col min="6" max="7" width="13.33203125" style="3" customWidth="1"/>
    <col min="8" max="8" width="17.77734375" style="3" customWidth="1"/>
    <col min="9" max="9" width="13.33203125" style="3" customWidth="1"/>
    <col min="10" max="12" width="15.5546875" style="3" customWidth="1"/>
    <col min="13" max="13" width="15.5546875" style="3" hidden="1" customWidth="1"/>
    <col min="14" max="14" width="15.5546875" style="3" customWidth="1"/>
    <col min="15" max="15" width="20" style="3" customWidth="1"/>
    <col min="16" max="16" width="33.33203125" style="3" customWidth="1"/>
    <col min="17" max="16384" width="9.77734375" style="3"/>
  </cols>
  <sheetData>
    <row r="1" spans="1:16" ht="22.35" customHeight="1">
      <c r="A1" s="1" t="s">
        <v>103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A2" s="3" t="s">
        <v>102</v>
      </c>
      <c r="C2" s="3" t="s">
        <v>2</v>
      </c>
      <c r="E2" s="3" t="s">
        <v>3</v>
      </c>
      <c r="G2" s="3" t="s">
        <v>101</v>
      </c>
      <c r="H2" s="3" t="s">
        <v>100</v>
      </c>
      <c r="I2" s="3" t="s">
        <v>5</v>
      </c>
    </row>
    <row r="4" spans="1:16" ht="27.6">
      <c r="A4" s="4" t="s">
        <v>6</v>
      </c>
      <c r="B4" s="4" t="s">
        <v>99</v>
      </c>
      <c r="C4" s="4" t="s">
        <v>98</v>
      </c>
      <c r="D4" s="4" t="s">
        <v>9</v>
      </c>
      <c r="E4" s="4" t="s">
        <v>10</v>
      </c>
      <c r="F4" s="4" t="s">
        <v>97</v>
      </c>
      <c r="G4" s="4" t="s">
        <v>96</v>
      </c>
      <c r="H4" s="4" t="s">
        <v>95</v>
      </c>
      <c r="I4" s="4" t="s">
        <v>12</v>
      </c>
      <c r="J4" s="4" t="s">
        <v>13</v>
      </c>
      <c r="K4" s="4" t="s">
        <v>94</v>
      </c>
      <c r="L4" s="4" t="s">
        <v>93</v>
      </c>
      <c r="M4" s="4" t="s">
        <v>17</v>
      </c>
      <c r="N4" s="4" t="s">
        <v>92</v>
      </c>
      <c r="O4" s="4" t="s">
        <v>91</v>
      </c>
      <c r="P4" s="4" t="s">
        <v>16</v>
      </c>
    </row>
    <row r="5" spans="1:16">
      <c r="A5" s="5">
        <v>46168</v>
      </c>
      <c r="B5" s="3" t="s">
        <v>82</v>
      </c>
      <c r="C5" s="3" t="s">
        <v>84</v>
      </c>
      <c r="D5" s="3" t="s">
        <v>89</v>
      </c>
      <c r="E5" s="3" t="str">
        <f>VLOOKUP(TablaMarimba6[[#This Row],[Equipo]],[1]Catalogos!$V$4:$W$55,2,FALSE)</f>
        <v>MGR-01</v>
      </c>
      <c r="F5" s="6"/>
      <c r="G5" s="12">
        <v>89</v>
      </c>
      <c r="H5" s="6">
        <v>0</v>
      </c>
      <c r="I5" s="7">
        <v>27</v>
      </c>
      <c r="J5" s="7">
        <f>(TablaMarimba6[[#This Row],[Salida (L)]]*TablaMarimba6[[#This Row],[Costo/L]])</f>
        <v>2403</v>
      </c>
      <c r="K5" s="7">
        <v>21600</v>
      </c>
      <c r="L5" s="7">
        <f>(TablaMarimba6[[#This Row],[Saldo inicial(vales)]]-TablaMarimba6[[#This Row],[Importe]])</f>
        <v>19197</v>
      </c>
      <c r="M5" s="7">
        <f>IF(A5="","", WEEKNUM(A5, 2))</f>
        <v>22</v>
      </c>
      <c r="N5" s="7"/>
    </row>
    <row r="6" spans="1:16">
      <c r="A6" s="5">
        <v>46169</v>
      </c>
      <c r="B6" s="3" t="s">
        <v>82</v>
      </c>
      <c r="C6" s="3" t="s">
        <v>84</v>
      </c>
      <c r="D6" s="3" t="s">
        <v>89</v>
      </c>
      <c r="E6" s="3" t="str">
        <f>VLOOKUP(TablaMarimba6[[#This Row],[Equipo]],[1]Catalogos!$V$4:$W$55,2,FALSE)</f>
        <v>MGR-01</v>
      </c>
      <c r="F6" s="6"/>
      <c r="G6" s="12">
        <v>89</v>
      </c>
      <c r="H6" s="6">
        <f>IF(ROW()=5,F5-G5,H5+F5-G5)</f>
        <v>-89</v>
      </c>
      <c r="I6" s="7">
        <v>27</v>
      </c>
      <c r="J6" s="7">
        <f>(TablaMarimba6[[#This Row],[Salida (L)]]*TablaMarimba6[[#This Row],[Costo/L]])</f>
        <v>2403</v>
      </c>
      <c r="K6" s="7">
        <f>L5+M5</f>
        <v>19219</v>
      </c>
      <c r="L6" s="7">
        <f>(TablaMarimba6[[#This Row],[Saldo inicial(vales)]]-TablaMarimba6[[#This Row],[Importe]])</f>
        <v>16816</v>
      </c>
      <c r="M6" s="7">
        <f>IF(A6="","", WEEKNUM(A6, 2))</f>
        <v>22</v>
      </c>
      <c r="N6" s="7"/>
    </row>
    <row r="7" spans="1:16">
      <c r="A7" s="5">
        <v>46171</v>
      </c>
      <c r="B7" s="3" t="s">
        <v>82</v>
      </c>
      <c r="C7" s="3" t="s">
        <v>84</v>
      </c>
      <c r="D7" s="3" t="s">
        <v>89</v>
      </c>
      <c r="E7" s="3" t="str">
        <f>VLOOKUP(TablaMarimba6[[#This Row],[Equipo]],[1]Catalogos!$V$4:$W$55,2,FALSE)</f>
        <v>MGR-01</v>
      </c>
      <c r="F7" s="6"/>
      <c r="G7" s="12">
        <v>99</v>
      </c>
      <c r="H7" s="6">
        <f>IF(ROW()=5,F6-G6,H6+F6-G6)</f>
        <v>-178</v>
      </c>
      <c r="I7" s="7">
        <v>27</v>
      </c>
      <c r="J7" s="7">
        <f>(TablaMarimba6[[#This Row],[Salida (L)]]*TablaMarimba6[[#This Row],[Costo/L]])</f>
        <v>2673</v>
      </c>
      <c r="K7" s="7">
        <f>L6+M6</f>
        <v>16838</v>
      </c>
      <c r="L7" s="7">
        <f>(TablaMarimba6[[#This Row],[Saldo inicial(vales)]]-TablaMarimba6[[#This Row],[Importe]])</f>
        <v>14165</v>
      </c>
      <c r="M7" s="7">
        <f>IF(A7="","", WEEKNUM(A7, 2))</f>
        <v>22</v>
      </c>
      <c r="N7" s="7"/>
    </row>
    <row r="8" spans="1:16">
      <c r="A8" s="5">
        <v>46171</v>
      </c>
      <c r="B8" s="3" t="s">
        <v>82</v>
      </c>
      <c r="C8" s="3" t="s">
        <v>84</v>
      </c>
      <c r="D8" s="3" t="s">
        <v>87</v>
      </c>
      <c r="E8" s="3" t="e">
        <f>VLOOKUP(TablaMarimba6[[#This Row],[Equipo]],[1]Catalogos!$V$4:$W$55,2,FALSE)</f>
        <v>#N/A</v>
      </c>
      <c r="F8" s="6"/>
      <c r="G8" s="12">
        <v>99</v>
      </c>
      <c r="H8" s="6">
        <f>IF(ROW()=5,F7-G7,H7+F7-G7)</f>
        <v>-277</v>
      </c>
      <c r="I8" s="7">
        <v>27</v>
      </c>
      <c r="J8" s="7">
        <f>(TablaMarimba6[[#This Row],[Salida (L)]]*TablaMarimba6[[#This Row],[Costo/L]])</f>
        <v>2673</v>
      </c>
      <c r="K8" s="7">
        <f>L7+M7</f>
        <v>14187</v>
      </c>
      <c r="L8" s="7">
        <f>(TablaMarimba6[[#This Row],[Saldo inicial(vales)]]-TablaMarimba6[[#This Row],[Importe]])</f>
        <v>11514</v>
      </c>
      <c r="M8" s="7">
        <f>IF(A8="","", WEEKNUM(A8, 2))</f>
        <v>22</v>
      </c>
      <c r="N8" s="7"/>
    </row>
    <row r="9" spans="1:16">
      <c r="A9" s="5">
        <v>46172</v>
      </c>
      <c r="B9" s="3" t="s">
        <v>82</v>
      </c>
      <c r="C9" s="3" t="s">
        <v>84</v>
      </c>
      <c r="D9" s="3" t="s">
        <v>89</v>
      </c>
      <c r="E9" s="3" t="str">
        <f>VLOOKUP(TablaMarimba6[[#This Row],[Equipo]],[1]Catalogos!$V$4:$W$55,2,FALSE)</f>
        <v>MGR-01</v>
      </c>
      <c r="F9" s="6"/>
      <c r="G9" s="12">
        <v>90</v>
      </c>
      <c r="H9" s="6">
        <f>IF(ROW()=5,F8-G8,H8+F8-G8)</f>
        <v>-376</v>
      </c>
      <c r="I9" s="7">
        <v>27</v>
      </c>
      <c r="J9" s="7">
        <f>(TablaMarimba6[[#This Row],[Salida (L)]]*TablaMarimba6[[#This Row],[Costo/L]])</f>
        <v>2430</v>
      </c>
      <c r="K9" s="7">
        <f>L8+M8</f>
        <v>11536</v>
      </c>
      <c r="L9" s="7">
        <f>(TablaMarimba6[[#This Row],[Saldo inicial(vales)]]-TablaMarimba6[[#This Row],[Importe]])</f>
        <v>9106</v>
      </c>
      <c r="M9" s="7">
        <f>IF(A9="","", WEEKNUM(A9, 2))</f>
        <v>22</v>
      </c>
      <c r="N9" s="7"/>
    </row>
    <row r="10" spans="1:16">
      <c r="A10" s="5">
        <v>46172</v>
      </c>
      <c r="B10" s="3" t="s">
        <v>82</v>
      </c>
      <c r="C10" s="3" t="s">
        <v>84</v>
      </c>
      <c r="D10" s="3" t="s">
        <v>87</v>
      </c>
      <c r="E10" s="3" t="e">
        <f>VLOOKUP(TablaMarimba6[[#This Row],[Equipo]],[1]Catalogos!$V$4:$W$55,2,FALSE)</f>
        <v>#N/A</v>
      </c>
      <c r="F10" s="6"/>
      <c r="G10" s="12">
        <v>90</v>
      </c>
      <c r="H10" s="6">
        <f>IF(ROW()=5,F9-G9,H9+F9-G9)</f>
        <v>-466</v>
      </c>
      <c r="I10" s="7">
        <v>27</v>
      </c>
      <c r="J10" s="7">
        <f>(TablaMarimba6[[#This Row],[Salida (L)]]*TablaMarimba6[[#This Row],[Costo/L]])</f>
        <v>2430</v>
      </c>
      <c r="K10" s="7">
        <f>L9+M9</f>
        <v>9128</v>
      </c>
      <c r="L10" s="7">
        <f>(TablaMarimba6[[#This Row],[Saldo inicial(vales)]]-TablaMarimba6[[#This Row],[Importe]])</f>
        <v>6698</v>
      </c>
      <c r="M10" s="7">
        <f>IF(A10="","", WEEKNUM(A10, 2))</f>
        <v>22</v>
      </c>
      <c r="N10" s="7"/>
    </row>
    <row r="11" spans="1:16">
      <c r="A11" s="5">
        <v>46174</v>
      </c>
      <c r="B11" s="3" t="s">
        <v>82</v>
      </c>
      <c r="C11" s="3" t="s">
        <v>84</v>
      </c>
      <c r="D11" s="3" t="s">
        <v>24</v>
      </c>
      <c r="E11" s="3" t="e">
        <f>VLOOKUP(TablaMarimba6[[#This Row],[Equipo]],[1]Catalogos!$V$4:$W$55,2,FALSE)</f>
        <v>#N/A</v>
      </c>
      <c r="F11" s="6"/>
      <c r="G11" s="12">
        <v>50</v>
      </c>
      <c r="H11" s="6">
        <f>IF(ROW()=5,F10-G10,H10+F10-G10)</f>
        <v>-556</v>
      </c>
      <c r="I11" s="7">
        <v>27</v>
      </c>
      <c r="J11" s="7">
        <f>(TablaMarimba6[[#This Row],[Salida (L)]]*TablaMarimba6[[#This Row],[Costo/L]])</f>
        <v>1350</v>
      </c>
      <c r="K11" s="7">
        <f>L10+M10</f>
        <v>6720</v>
      </c>
      <c r="L11" s="7">
        <f>(TablaMarimba6[[#This Row],[Saldo inicial(vales)]]-TablaMarimba6[[#This Row],[Importe]])</f>
        <v>5370</v>
      </c>
      <c r="M11" s="7">
        <f>IF(A11="","", WEEKNUM(A11, 2))</f>
        <v>23</v>
      </c>
      <c r="N11" s="7"/>
    </row>
    <row r="12" spans="1:16">
      <c r="A12" s="5">
        <v>46175</v>
      </c>
      <c r="B12" s="3" t="s">
        <v>82</v>
      </c>
      <c r="C12" s="3" t="s">
        <v>84</v>
      </c>
      <c r="D12" s="3" t="s">
        <v>89</v>
      </c>
      <c r="E12" s="3" t="str">
        <f>VLOOKUP(TablaMarimba6[[#This Row],[Equipo]],[1]Catalogos!$V$4:$W$55,2,FALSE)</f>
        <v>MGR-01</v>
      </c>
      <c r="F12" s="6"/>
      <c r="G12" s="12">
        <v>74</v>
      </c>
      <c r="H12" s="6">
        <f>IF(ROW()=5,F11-G11,H11+F11-G11)</f>
        <v>-606</v>
      </c>
      <c r="I12" s="7">
        <v>27</v>
      </c>
      <c r="J12" s="7">
        <f>(TablaMarimba6[[#This Row],[Salida (L)]]*TablaMarimba6[[#This Row],[Costo/L]])</f>
        <v>1998</v>
      </c>
      <c r="K12" s="7">
        <f>L11+M11</f>
        <v>5393</v>
      </c>
      <c r="L12" s="7">
        <f>(TablaMarimba6[[#This Row],[Saldo inicial(vales)]]-TablaMarimba6[[#This Row],[Importe]])</f>
        <v>3395</v>
      </c>
      <c r="M12" s="7">
        <f>IF(A12="","", WEEKNUM(A12, 2))</f>
        <v>23</v>
      </c>
      <c r="N12" s="7"/>
    </row>
    <row r="13" spans="1:16">
      <c r="A13" s="5">
        <v>46175</v>
      </c>
      <c r="B13" s="3" t="s">
        <v>82</v>
      </c>
      <c r="C13" s="3" t="s">
        <v>84</v>
      </c>
      <c r="D13" s="3" t="s">
        <v>87</v>
      </c>
      <c r="E13" s="3" t="e">
        <f>VLOOKUP(TablaMarimba6[[#This Row],[Equipo]],[1]Catalogos!$V$4:$W$55,2,FALSE)</f>
        <v>#N/A</v>
      </c>
      <c r="F13" s="6"/>
      <c r="G13" s="12">
        <v>80</v>
      </c>
      <c r="H13" s="6">
        <f>IF(ROW()=5,F12-G12,H12+F12-G12)</f>
        <v>-680</v>
      </c>
      <c r="I13" s="7">
        <v>27</v>
      </c>
      <c r="J13" s="7">
        <f>(TablaMarimba6[[#This Row],[Salida (L)]]*TablaMarimba6[[#This Row],[Costo/L]])</f>
        <v>2160</v>
      </c>
      <c r="K13" s="7">
        <f>L12+M12</f>
        <v>3418</v>
      </c>
      <c r="L13" s="7">
        <f>(TablaMarimba6[[#This Row],[Saldo inicial(vales)]]-TablaMarimba6[[#This Row],[Importe]])</f>
        <v>1258</v>
      </c>
      <c r="M13" s="7">
        <f>IF(A13="","", WEEKNUM(A13, 2))</f>
        <v>23</v>
      </c>
      <c r="N13" s="7"/>
    </row>
    <row r="14" spans="1:16">
      <c r="A14" s="5">
        <v>46175</v>
      </c>
      <c r="B14" s="3" t="s">
        <v>82</v>
      </c>
      <c r="C14" s="3" t="s">
        <v>84</v>
      </c>
      <c r="D14" s="3" t="s">
        <v>88</v>
      </c>
      <c r="E14" s="3" t="str">
        <f>VLOOKUP(TablaMarimba6[[#This Row],[Equipo]],[1]Catalogos!$V$4:$W$55,2,FALSE)</f>
        <v>VC-01</v>
      </c>
      <c r="F14" s="6"/>
      <c r="G14" s="12">
        <v>40</v>
      </c>
      <c r="H14" s="6">
        <f>IF(ROW()=5,F13-G13,H13+F13-G13)</f>
        <v>-760</v>
      </c>
      <c r="I14" s="7">
        <v>27</v>
      </c>
      <c r="J14" s="7">
        <f>(TablaMarimba6[[#This Row],[Salida (L)]]*TablaMarimba6[[#This Row],[Costo/L]])</f>
        <v>1080</v>
      </c>
      <c r="K14" s="7">
        <f>L13+M13</f>
        <v>1281</v>
      </c>
      <c r="L14" s="7">
        <f>(TablaMarimba6[[#This Row],[Saldo inicial(vales)]]-TablaMarimba6[[#This Row],[Importe]])</f>
        <v>201</v>
      </c>
      <c r="M14" s="7">
        <f>IF(A14="","", WEEKNUM(A14, 2))</f>
        <v>23</v>
      </c>
      <c r="N14" s="7"/>
    </row>
    <row r="15" spans="1:16">
      <c r="A15" s="5">
        <v>46177</v>
      </c>
      <c r="B15" s="3" t="s">
        <v>82</v>
      </c>
      <c r="C15" s="3" t="s">
        <v>84</v>
      </c>
      <c r="D15" s="3" t="s">
        <v>89</v>
      </c>
      <c r="E15" s="3" t="str">
        <f>VLOOKUP(TablaMarimba6[[#This Row],[Equipo]],[1]Catalogos!$V$4:$W$55,2,FALSE)</f>
        <v>MGR-01</v>
      </c>
      <c r="F15" s="6"/>
      <c r="G15" s="12">
        <v>70</v>
      </c>
      <c r="H15" s="6">
        <f>IF(ROW()=5,F14-G14,H14+F14-G14)</f>
        <v>-800</v>
      </c>
      <c r="I15" s="7">
        <v>27</v>
      </c>
      <c r="J15" s="7">
        <f>(TablaMarimba6[[#This Row],[Salida (L)]]*TablaMarimba6[[#This Row],[Costo/L]])</f>
        <v>1890</v>
      </c>
      <c r="K15" s="7">
        <f>L14+M14</f>
        <v>224</v>
      </c>
      <c r="L15" s="7">
        <f>(TablaMarimba6[[#This Row],[Saldo inicial(vales)]]-TablaMarimba6[[#This Row],[Importe]])</f>
        <v>-1666</v>
      </c>
      <c r="M15" s="7">
        <f>IF(A15="","", WEEKNUM(A15, 2))</f>
        <v>23</v>
      </c>
      <c r="N15" s="7"/>
    </row>
    <row r="16" spans="1:16">
      <c r="A16" s="5">
        <v>46177</v>
      </c>
      <c r="B16" s="3" t="s">
        <v>82</v>
      </c>
      <c r="C16" s="3" t="s">
        <v>84</v>
      </c>
      <c r="D16" s="3" t="s">
        <v>90</v>
      </c>
      <c r="E16" s="3" t="e">
        <f>VLOOKUP(TablaMarimba6[[#This Row],[Equipo]],[1]Catalogos!$V$4:$W$55,2,FALSE)</f>
        <v>#N/A</v>
      </c>
      <c r="F16" s="6"/>
      <c r="G16" s="12">
        <v>100</v>
      </c>
      <c r="H16" s="6">
        <f>IF(ROW()=5,F15-G15,H15+F15-G15)</f>
        <v>-870</v>
      </c>
      <c r="I16" s="7">
        <v>27</v>
      </c>
      <c r="J16" s="7">
        <f>(TablaMarimba6[[#This Row],[Salida (L)]]*TablaMarimba6[[#This Row],[Costo/L]])</f>
        <v>2700</v>
      </c>
      <c r="K16" s="7">
        <f>L15+M15</f>
        <v>-1643</v>
      </c>
      <c r="L16" s="7">
        <f>(TablaMarimba6[[#This Row],[Saldo inicial(vales)]]-TablaMarimba6[[#This Row],[Importe]])</f>
        <v>-4343</v>
      </c>
      <c r="M16" s="7">
        <f>IF(A16="","", WEEKNUM(A16, 2))</f>
        <v>23</v>
      </c>
      <c r="N16" s="7"/>
    </row>
    <row r="17" spans="1:14">
      <c r="A17" s="5">
        <v>46178</v>
      </c>
      <c r="B17" s="3" t="s">
        <v>82</v>
      </c>
      <c r="C17" s="3" t="s">
        <v>84</v>
      </c>
      <c r="D17" s="3" t="s">
        <v>89</v>
      </c>
      <c r="E17" s="3" t="str">
        <f>VLOOKUP(TablaMarimba6[[#This Row],[Equipo]],[1]Catalogos!$V$4:$W$55,2,FALSE)</f>
        <v>MGR-01</v>
      </c>
      <c r="F17" s="6"/>
      <c r="G17" s="12">
        <v>60</v>
      </c>
      <c r="H17" s="6">
        <f>IF(ROW()=5,F16-G16,H16+F16-G16)</f>
        <v>-970</v>
      </c>
      <c r="I17" s="7">
        <v>27</v>
      </c>
      <c r="J17" s="7">
        <f>(TablaMarimba6[[#This Row],[Salida (L)]]*TablaMarimba6[[#This Row],[Costo/L]])</f>
        <v>1620</v>
      </c>
      <c r="K17" s="7">
        <f>L16+M16</f>
        <v>-4320</v>
      </c>
      <c r="L17" s="7">
        <f>(TablaMarimba6[[#This Row],[Saldo inicial(vales)]]-TablaMarimba6[[#This Row],[Importe]])</f>
        <v>-5940</v>
      </c>
      <c r="M17" s="7">
        <f>IF(A17="","", WEEKNUM(A17, 2))</f>
        <v>23</v>
      </c>
      <c r="N17" s="7"/>
    </row>
    <row r="18" spans="1:14">
      <c r="A18" s="5">
        <v>46178</v>
      </c>
      <c r="B18" s="3" t="s">
        <v>82</v>
      </c>
      <c r="C18" s="3" t="s">
        <v>84</v>
      </c>
      <c r="D18" s="3" t="s">
        <v>87</v>
      </c>
      <c r="E18" s="3" t="e">
        <f>VLOOKUP(TablaMarimba6[[#This Row],[Equipo]],[1]Catalogos!$V$4:$W$55,2,FALSE)</f>
        <v>#N/A</v>
      </c>
      <c r="F18" s="6"/>
      <c r="G18" s="12">
        <v>70</v>
      </c>
      <c r="H18" s="6">
        <f>IF(ROW()=5,F17-G17,H17+F17-G17)</f>
        <v>-1030</v>
      </c>
      <c r="I18" s="7">
        <v>27</v>
      </c>
      <c r="J18" s="7">
        <f>(TablaMarimba6[[#This Row],[Salida (L)]]*TablaMarimba6[[#This Row],[Costo/L]])</f>
        <v>1890</v>
      </c>
      <c r="K18" s="7">
        <f>L17+M17</f>
        <v>-5917</v>
      </c>
      <c r="L18" s="7">
        <f>(TablaMarimba6[[#This Row],[Saldo inicial(vales)]]-TablaMarimba6[[#This Row],[Importe]])</f>
        <v>-7807</v>
      </c>
      <c r="M18" s="7">
        <f>IF(A18="","", WEEKNUM(A18, 2))</f>
        <v>23</v>
      </c>
      <c r="N18" s="7"/>
    </row>
    <row r="19" spans="1:14">
      <c r="A19" s="5">
        <v>46178</v>
      </c>
      <c r="B19" s="3" t="s">
        <v>82</v>
      </c>
      <c r="C19" s="3" t="s">
        <v>84</v>
      </c>
      <c r="D19" s="3" t="s">
        <v>88</v>
      </c>
      <c r="E19" s="3" t="str">
        <f>VLOOKUP(TablaMarimba6[[#This Row],[Equipo]],[1]Catalogos!$V$4:$W$55,2,FALSE)</f>
        <v>VC-01</v>
      </c>
      <c r="F19" s="6"/>
      <c r="G19" s="12">
        <v>40</v>
      </c>
      <c r="H19" s="6">
        <f>IF(ROW()=5,F18-G18,H18+F18-G18)</f>
        <v>-1100</v>
      </c>
      <c r="I19" s="7">
        <v>27</v>
      </c>
      <c r="J19" s="7">
        <f>(TablaMarimba6[[#This Row],[Salida (L)]]*TablaMarimba6[[#This Row],[Costo/L]])</f>
        <v>1080</v>
      </c>
      <c r="K19" s="7">
        <f>L18+M18</f>
        <v>-7784</v>
      </c>
      <c r="L19" s="7">
        <f>(TablaMarimba6[[#This Row],[Saldo inicial(vales)]]-TablaMarimba6[[#This Row],[Importe]])</f>
        <v>-8864</v>
      </c>
      <c r="M19" s="7">
        <f>IF(A19="","", WEEKNUM(A19, 2))</f>
        <v>23</v>
      </c>
      <c r="N19" s="7"/>
    </row>
    <row r="20" spans="1:14">
      <c r="A20" s="5">
        <v>46179</v>
      </c>
      <c r="B20" s="3" t="s">
        <v>82</v>
      </c>
      <c r="C20" s="3" t="s">
        <v>84</v>
      </c>
      <c r="D20" s="3" t="s">
        <v>89</v>
      </c>
      <c r="E20" s="3" t="str">
        <f>VLOOKUP(TablaMarimba6[[#This Row],[Equipo]],[1]Catalogos!$V$4:$W$55,2,FALSE)</f>
        <v>MGR-01</v>
      </c>
      <c r="F20" s="6"/>
      <c r="G20" s="12">
        <v>100</v>
      </c>
      <c r="H20" s="6">
        <f>IF(ROW()=5,F19-G19,H19+F19-G19)</f>
        <v>-1140</v>
      </c>
      <c r="I20" s="7">
        <v>27</v>
      </c>
      <c r="J20" s="7">
        <f>(TablaMarimba6[[#This Row],[Salida (L)]]*TablaMarimba6[[#This Row],[Costo/L]])</f>
        <v>2700</v>
      </c>
      <c r="K20" s="7">
        <f>L19+M19</f>
        <v>-8841</v>
      </c>
      <c r="L20" s="7">
        <f>(TablaMarimba6[[#This Row],[Saldo inicial(vales)]]-TablaMarimba6[[#This Row],[Importe]])</f>
        <v>-11541</v>
      </c>
      <c r="M20" s="7">
        <f>IF(A20="","", WEEKNUM(A20, 2))</f>
        <v>23</v>
      </c>
      <c r="N20" s="7"/>
    </row>
    <row r="21" spans="1:14">
      <c r="A21" s="5">
        <v>46179</v>
      </c>
      <c r="B21" s="3" t="s">
        <v>82</v>
      </c>
      <c r="C21" s="3" t="s">
        <v>84</v>
      </c>
      <c r="D21" s="3" t="s">
        <v>87</v>
      </c>
      <c r="E21" s="3" t="e">
        <f>VLOOKUP(TablaMarimba6[[#This Row],[Equipo]],[1]Catalogos!$V$4:$W$55,2,FALSE)</f>
        <v>#N/A</v>
      </c>
      <c r="F21" s="6"/>
      <c r="G21" s="12">
        <v>100</v>
      </c>
      <c r="H21" s="6">
        <f>IF(ROW()=5,F20-G20,H20+F20-G20)</f>
        <v>-1240</v>
      </c>
      <c r="I21" s="7">
        <v>27</v>
      </c>
      <c r="J21" s="7">
        <f>(TablaMarimba6[[#This Row],[Salida (L)]]*TablaMarimba6[[#This Row],[Costo/L]])</f>
        <v>2700</v>
      </c>
      <c r="K21" s="7">
        <f>L20+M20</f>
        <v>-11518</v>
      </c>
      <c r="L21" s="7">
        <f>(TablaMarimba6[[#This Row],[Saldo inicial(vales)]]-TablaMarimba6[[#This Row],[Importe]])</f>
        <v>-14218</v>
      </c>
      <c r="M21" s="7">
        <f>IF(A21="","", WEEKNUM(A21, 2))</f>
        <v>23</v>
      </c>
      <c r="N21" s="7"/>
    </row>
    <row r="22" spans="1:14">
      <c r="A22" s="5">
        <v>46179</v>
      </c>
      <c r="B22" s="3" t="s">
        <v>82</v>
      </c>
      <c r="C22" s="3" t="s">
        <v>84</v>
      </c>
      <c r="D22" s="3" t="s">
        <v>24</v>
      </c>
      <c r="E22" s="3" t="e">
        <f>VLOOKUP(TablaMarimba6[[#This Row],[Equipo]],[1]Catalogos!$V$4:$W$55,2,FALSE)</f>
        <v>#N/A</v>
      </c>
      <c r="F22" s="6"/>
      <c r="G22" s="12">
        <v>40</v>
      </c>
      <c r="H22" s="6">
        <f>IF(ROW()=5,F21-G21,H21+F21-G21)</f>
        <v>-1340</v>
      </c>
      <c r="I22" s="7">
        <v>27</v>
      </c>
      <c r="J22" s="7">
        <f>(TablaMarimba6[[#This Row],[Salida (L)]]*TablaMarimba6[[#This Row],[Costo/L]])</f>
        <v>1080</v>
      </c>
      <c r="K22" s="7">
        <f>L21+M21</f>
        <v>-14195</v>
      </c>
      <c r="L22" s="7">
        <f>(TablaMarimba6[[#This Row],[Saldo inicial(vales)]]-TablaMarimba6[[#This Row],[Importe]])</f>
        <v>-15275</v>
      </c>
      <c r="M22" s="7">
        <f>IF(A22="","", WEEKNUM(A22, 2))</f>
        <v>23</v>
      </c>
      <c r="N22" s="7">
        <v>3000</v>
      </c>
    </row>
    <row r="23" spans="1:14">
      <c r="A23" s="5">
        <v>46181</v>
      </c>
      <c r="B23" s="3" t="s">
        <v>82</v>
      </c>
      <c r="C23" s="3" t="s">
        <v>84</v>
      </c>
      <c r="D23" s="3" t="s">
        <v>89</v>
      </c>
      <c r="E23" s="3" t="str">
        <f>VLOOKUP(TablaMarimba6[[#This Row],[Equipo]],[1]Catalogos!$V$4:$W$55,2,FALSE)</f>
        <v>MGR-01</v>
      </c>
      <c r="F23" s="6"/>
      <c r="G23" s="12">
        <v>70</v>
      </c>
      <c r="H23" s="6">
        <f>IF(ROW()=5,F22-G22,H22+F22-G22)</f>
        <v>-1380</v>
      </c>
      <c r="I23" s="7">
        <v>27</v>
      </c>
      <c r="J23" s="7">
        <f>(TablaMarimba6[[#This Row],[Salida (L)]]*TablaMarimba6[[#This Row],[Costo/L]])</f>
        <v>1890</v>
      </c>
      <c r="K23" s="7">
        <f>L22+M22-N22</f>
        <v>-18252</v>
      </c>
      <c r="L23" s="7">
        <f>(TablaMarimba6[[#This Row],[Saldo inicial(vales)]]-TablaMarimba6[[#This Row],[Importe]])</f>
        <v>-20142</v>
      </c>
      <c r="M23" s="7">
        <f>IF(A23="","", WEEKNUM(A23, 2))</f>
        <v>24</v>
      </c>
      <c r="N23" s="7"/>
    </row>
    <row r="24" spans="1:14">
      <c r="A24" s="5">
        <v>46181</v>
      </c>
      <c r="B24" s="3" t="s">
        <v>82</v>
      </c>
      <c r="C24" s="3" t="s">
        <v>84</v>
      </c>
      <c r="D24" s="3" t="s">
        <v>88</v>
      </c>
      <c r="E24" s="3" t="str">
        <f>VLOOKUP(TablaMarimba6[[#This Row],[Equipo]],[1]Catalogos!$V$4:$W$55,2,FALSE)</f>
        <v>VC-01</v>
      </c>
      <c r="F24" s="6"/>
      <c r="G24" s="12">
        <v>40</v>
      </c>
      <c r="H24" s="6">
        <f>IF(ROW()=5,F23-G23,H23+F23-G23)</f>
        <v>-1450</v>
      </c>
      <c r="I24" s="7">
        <v>27</v>
      </c>
      <c r="J24" s="7">
        <f>(TablaMarimba6[[#This Row],[Salida (L)]]*TablaMarimba6[[#This Row],[Costo/L]])</f>
        <v>1080</v>
      </c>
      <c r="K24" s="7">
        <f>L23+M23-N23</f>
        <v>-20118</v>
      </c>
      <c r="L24" s="7">
        <f>(TablaMarimba6[[#This Row],[Saldo inicial(vales)]]-TablaMarimba6[[#This Row],[Importe]])</f>
        <v>-21198</v>
      </c>
      <c r="M24" s="7">
        <f>IF(A24="","", WEEKNUM(A24, 2))</f>
        <v>24</v>
      </c>
      <c r="N24" s="7"/>
    </row>
    <row r="25" spans="1:14">
      <c r="A25" s="5">
        <v>46184</v>
      </c>
      <c r="B25" s="3" t="s">
        <v>82</v>
      </c>
      <c r="C25" s="3" t="s">
        <v>84</v>
      </c>
      <c r="D25" s="3" t="s">
        <v>86</v>
      </c>
      <c r="E25" s="3" t="str">
        <f>VLOOKUP(TablaMarimba6[[#This Row],[Equipo]],[1]Catalogos!$V$4:$W$55,2,FALSE)</f>
        <v>EX-01</v>
      </c>
      <c r="F25" s="6"/>
      <c r="G25" s="12">
        <v>70</v>
      </c>
      <c r="H25" s="6">
        <f>IF(ROW()=5,F24-G24,H24+F24-G24)</f>
        <v>-1490</v>
      </c>
      <c r="I25" s="7">
        <v>27</v>
      </c>
      <c r="J25" s="7">
        <f>(TablaMarimba6[[#This Row],[Salida (L)]]*TablaMarimba6[[#This Row],[Costo/L]])</f>
        <v>1890</v>
      </c>
      <c r="K25" s="7">
        <f>L24+M24-N24</f>
        <v>-21174</v>
      </c>
      <c r="L25" s="7">
        <f>(TablaMarimba6[[#This Row],[Saldo inicial(vales)]]-TablaMarimba6[[#This Row],[Importe]])</f>
        <v>-23064</v>
      </c>
      <c r="M25" s="7">
        <f>IF(A25="","", WEEKNUM(A25, 2))</f>
        <v>24</v>
      </c>
      <c r="N25" s="7">
        <v>1556</v>
      </c>
    </row>
    <row r="26" spans="1:14">
      <c r="A26" s="5">
        <v>46188</v>
      </c>
      <c r="B26" s="3" t="s">
        <v>82</v>
      </c>
      <c r="C26" s="3" t="s">
        <v>84</v>
      </c>
      <c r="D26" s="3" t="s">
        <v>86</v>
      </c>
      <c r="E26" s="3" t="str">
        <f>VLOOKUP(TablaMarimba6[[#This Row],[Equipo]],[1]Catalogos!$V$4:$W$55,2,FALSE)</f>
        <v>EX-01</v>
      </c>
      <c r="F26" s="6"/>
      <c r="G26" s="12">
        <v>100</v>
      </c>
      <c r="H26" s="6">
        <f>IF(ROW()=5,F25-G25,H25+F25-G25)</f>
        <v>-1560</v>
      </c>
      <c r="I26" s="7">
        <v>27</v>
      </c>
      <c r="J26" s="7">
        <f>(TablaMarimba6[[#This Row],[Salida (L)]]*TablaMarimba6[[#This Row],[Costo/L]])</f>
        <v>2700</v>
      </c>
      <c r="K26" s="7">
        <f>L25+M25-N25</f>
        <v>-24596</v>
      </c>
      <c r="L26" s="7">
        <f>(TablaMarimba6[[#This Row],[Saldo inicial(vales)]]-TablaMarimba6[[#This Row],[Importe]])</f>
        <v>-27296</v>
      </c>
      <c r="M26" s="7">
        <f>IF(A26="","", WEEKNUM(A26, 2))</f>
        <v>25</v>
      </c>
      <c r="N26" s="7"/>
    </row>
    <row r="27" spans="1:14">
      <c r="A27" s="5">
        <v>46189</v>
      </c>
      <c r="B27" s="3" t="s">
        <v>82</v>
      </c>
      <c r="C27" s="3" t="s">
        <v>84</v>
      </c>
      <c r="D27" s="3" t="s">
        <v>89</v>
      </c>
      <c r="E27" s="3" t="str">
        <f>VLOOKUP(TablaMarimba6[[#This Row],[Equipo]],[1]Catalogos!$V$4:$W$55,2,FALSE)</f>
        <v>MGR-01</v>
      </c>
      <c r="F27" s="6"/>
      <c r="G27" s="12">
        <v>90</v>
      </c>
      <c r="H27" s="6">
        <f>IF(ROW()=5,F26-G26,H26+F26-G26)</f>
        <v>-1660</v>
      </c>
      <c r="I27" s="7">
        <v>27</v>
      </c>
      <c r="J27" s="7">
        <f>(TablaMarimba6[[#This Row],[Salida (L)]]*TablaMarimba6[[#This Row],[Costo/L]])</f>
        <v>2430</v>
      </c>
      <c r="K27" s="7">
        <f>L26+M26-N26</f>
        <v>-27271</v>
      </c>
      <c r="L27" s="7">
        <f>(TablaMarimba6[[#This Row],[Saldo inicial(vales)]]-TablaMarimba6[[#This Row],[Importe]])</f>
        <v>-29701</v>
      </c>
      <c r="M27" s="7">
        <f>IF(A27="","", WEEKNUM(A27, 2))</f>
        <v>25</v>
      </c>
      <c r="N27" s="7"/>
    </row>
    <row r="28" spans="1:14">
      <c r="A28" s="5">
        <v>46189</v>
      </c>
      <c r="B28" s="3" t="s">
        <v>82</v>
      </c>
      <c r="C28" s="3" t="s">
        <v>84</v>
      </c>
      <c r="D28" s="3" t="s">
        <v>86</v>
      </c>
      <c r="E28" s="3" t="str">
        <f>VLOOKUP(TablaMarimba6[[#This Row],[Equipo]],[1]Catalogos!$V$4:$W$55,2,FALSE)</f>
        <v>EX-01</v>
      </c>
      <c r="F28" s="6"/>
      <c r="G28" s="12">
        <v>140</v>
      </c>
      <c r="H28" s="6">
        <f>IF(ROW()=5,F27-G27,H27+F27-G27)</f>
        <v>-1750</v>
      </c>
      <c r="I28" s="7">
        <v>27</v>
      </c>
      <c r="J28" s="7">
        <f>(TablaMarimba6[[#This Row],[Salida (L)]]*TablaMarimba6[[#This Row],[Costo/L]])</f>
        <v>3780</v>
      </c>
      <c r="K28" s="7">
        <f>L27+M27-N27</f>
        <v>-29676</v>
      </c>
      <c r="L28" s="7">
        <f>(TablaMarimba6[[#This Row],[Saldo inicial(vales)]]-TablaMarimba6[[#This Row],[Importe]])</f>
        <v>-33456</v>
      </c>
      <c r="M28" s="7">
        <f>IF(A28="","", WEEKNUM(A28, 2))</f>
        <v>25</v>
      </c>
      <c r="N28" s="7"/>
    </row>
    <row r="29" spans="1:14">
      <c r="A29" s="5">
        <v>46190</v>
      </c>
      <c r="B29" s="3" t="s">
        <v>82</v>
      </c>
      <c r="C29" s="3" t="s">
        <v>84</v>
      </c>
      <c r="D29" s="3" t="s">
        <v>88</v>
      </c>
      <c r="E29" s="3" t="str">
        <f>VLOOKUP(TablaMarimba6[[#This Row],[Equipo]],[1]Catalogos!$V$4:$W$55,2,FALSE)</f>
        <v>VC-01</v>
      </c>
      <c r="F29" s="6"/>
      <c r="G29" s="12">
        <v>50</v>
      </c>
      <c r="H29" s="6">
        <f>IF(ROW()=5,F28-G28,H28+F28-G28)</f>
        <v>-1890</v>
      </c>
      <c r="I29" s="7">
        <v>27</v>
      </c>
      <c r="J29" s="7">
        <f>(TablaMarimba6[[#This Row],[Salida (L)]]*TablaMarimba6[[#This Row],[Costo/L]])</f>
        <v>1350</v>
      </c>
      <c r="K29" s="7">
        <f>L28+M28-N28</f>
        <v>-33431</v>
      </c>
      <c r="L29" s="7">
        <f>(TablaMarimba6[[#This Row],[Saldo inicial(vales)]]-TablaMarimba6[[#This Row],[Importe]])</f>
        <v>-34781</v>
      </c>
      <c r="M29" s="7">
        <f>IF(A29="","", WEEKNUM(A29, 2))</f>
        <v>25</v>
      </c>
      <c r="N29" s="7"/>
    </row>
    <row r="30" spans="1:14">
      <c r="A30" s="5">
        <v>46190</v>
      </c>
      <c r="B30" s="3" t="s">
        <v>82</v>
      </c>
      <c r="C30" s="3" t="s">
        <v>84</v>
      </c>
      <c r="D30" s="3" t="s">
        <v>86</v>
      </c>
      <c r="E30" s="3" t="str">
        <f>VLOOKUP(TablaMarimba6[[#This Row],[Equipo]],[1]Catalogos!$V$4:$W$55,2,FALSE)</f>
        <v>EX-01</v>
      </c>
      <c r="F30" s="6"/>
      <c r="G30" s="12">
        <v>100</v>
      </c>
      <c r="H30" s="6">
        <f>IF(ROW()=5,F29-G29,H29+F29-G29)</f>
        <v>-1940</v>
      </c>
      <c r="I30" s="7">
        <v>27</v>
      </c>
      <c r="J30" s="7">
        <f>(TablaMarimba6[[#This Row],[Salida (L)]]*TablaMarimba6[[#This Row],[Costo/L]])</f>
        <v>2700</v>
      </c>
      <c r="K30" s="7">
        <f>L29+M29-N29</f>
        <v>-34756</v>
      </c>
      <c r="L30" s="7">
        <f>(TablaMarimba6[[#This Row],[Saldo inicial(vales)]]-TablaMarimba6[[#This Row],[Importe]])</f>
        <v>-37456</v>
      </c>
      <c r="M30" s="7">
        <f>IF(A30="","", WEEKNUM(A30, 2))</f>
        <v>25</v>
      </c>
      <c r="N30" s="7"/>
    </row>
    <row r="31" spans="1:14">
      <c r="A31" s="5">
        <v>46191</v>
      </c>
      <c r="B31" s="3" t="s">
        <v>82</v>
      </c>
      <c r="C31" s="3" t="s">
        <v>84</v>
      </c>
      <c r="D31" s="3" t="s">
        <v>87</v>
      </c>
      <c r="E31" s="3" t="e">
        <f>VLOOKUP(TablaMarimba6[[#This Row],[Equipo]],[1]Catalogos!$V$4:$W$55,2,FALSE)</f>
        <v>#N/A</v>
      </c>
      <c r="F31" s="6"/>
      <c r="G31" s="12">
        <v>70</v>
      </c>
      <c r="H31" s="6">
        <f>IF(ROW()=5,F30-G30,H30+F30-G30)</f>
        <v>-2040</v>
      </c>
      <c r="I31" s="7">
        <v>27</v>
      </c>
      <c r="J31" s="7">
        <f>(TablaMarimba6[[#This Row],[Salida (L)]]*TablaMarimba6[[#This Row],[Costo/L]])</f>
        <v>1890</v>
      </c>
      <c r="K31" s="7">
        <f>L30+M30-N30</f>
        <v>-37431</v>
      </c>
      <c r="L31" s="7">
        <f>(TablaMarimba6[[#This Row],[Saldo inicial(vales)]]-TablaMarimba6[[#This Row],[Importe]])</f>
        <v>-39321</v>
      </c>
      <c r="M31" s="7">
        <f>IF(A31="","", WEEKNUM(A31, 2))</f>
        <v>25</v>
      </c>
      <c r="N31" s="7"/>
    </row>
    <row r="32" spans="1:14">
      <c r="A32" s="5">
        <v>46191</v>
      </c>
      <c r="B32" s="3" t="s">
        <v>82</v>
      </c>
      <c r="C32" s="3" t="s">
        <v>84</v>
      </c>
      <c r="D32" s="3" t="s">
        <v>24</v>
      </c>
      <c r="E32" s="3" t="e">
        <f>VLOOKUP(TablaMarimba6[[#This Row],[Equipo]],[1]Catalogos!$V$4:$W$55,2,FALSE)</f>
        <v>#N/A</v>
      </c>
      <c r="F32" s="6"/>
      <c r="G32" s="12">
        <v>40</v>
      </c>
      <c r="H32" s="6">
        <f>IF(ROW()=5,F31-G31,H31+F31-G31)</f>
        <v>-2110</v>
      </c>
      <c r="I32" s="7">
        <v>27</v>
      </c>
      <c r="J32" s="7">
        <f>(TablaMarimba6[[#This Row],[Salida (L)]]*TablaMarimba6[[#This Row],[Costo/L]])</f>
        <v>1080</v>
      </c>
      <c r="K32" s="7">
        <f>L31+M31-N31</f>
        <v>-39296</v>
      </c>
      <c r="L32" s="7">
        <f>(TablaMarimba6[[#This Row],[Saldo inicial(vales)]]-TablaMarimba6[[#This Row],[Importe]])</f>
        <v>-40376</v>
      </c>
      <c r="M32" s="7">
        <f>IF(A32="","", WEEKNUM(A32, 2))</f>
        <v>25</v>
      </c>
      <c r="N32" s="7"/>
    </row>
    <row r="33" spans="1:18">
      <c r="A33" s="5">
        <v>46191</v>
      </c>
      <c r="B33" s="3" t="s">
        <v>82</v>
      </c>
      <c r="C33" s="3" t="s">
        <v>84</v>
      </c>
      <c r="D33" s="3" t="s">
        <v>86</v>
      </c>
      <c r="E33" s="3" t="str">
        <f>VLOOKUP(TablaMarimba6[[#This Row],[Equipo]],[1]Catalogos!$V$4:$W$55,2,FALSE)</f>
        <v>EX-01</v>
      </c>
      <c r="F33" s="6"/>
      <c r="G33" s="12">
        <v>100</v>
      </c>
      <c r="H33" s="6">
        <f>IF(ROW()=5,F32-G32,H32+F32-G32)</f>
        <v>-2150</v>
      </c>
      <c r="I33" s="7">
        <v>27</v>
      </c>
      <c r="J33" s="7">
        <f>(TablaMarimba6[[#This Row],[Salida (L)]]*TablaMarimba6[[#This Row],[Costo/L]])</f>
        <v>2700</v>
      </c>
      <c r="K33" s="7">
        <f>L32+M32-N32</f>
        <v>-40351</v>
      </c>
      <c r="L33" s="7">
        <f>(TablaMarimba6[[#This Row],[Saldo inicial(vales)]]-TablaMarimba6[[#This Row],[Importe]])</f>
        <v>-43051</v>
      </c>
      <c r="M33" s="7">
        <f>IF(A33="","", WEEKNUM(A33, 2))</f>
        <v>25</v>
      </c>
      <c r="N33" s="7">
        <v>3700</v>
      </c>
    </row>
    <row r="34" spans="1:18">
      <c r="A34" s="5">
        <v>46192</v>
      </c>
      <c r="B34" s="3" t="s">
        <v>82</v>
      </c>
      <c r="C34" s="3" t="s">
        <v>84</v>
      </c>
      <c r="D34" s="3" t="s">
        <v>85</v>
      </c>
      <c r="E34" s="3" t="str">
        <f>VLOOKUP(TablaMarimba6[[#This Row],[Equipo]],[1]Catalogos!$V$4:$W$55,2,FALSE)</f>
        <v>EX-01</v>
      </c>
      <c r="G34" s="12">
        <v>150</v>
      </c>
      <c r="H34" s="6">
        <f>IF(ROW()=5,F33-G33,H33+F33-G33)</f>
        <v>-2250</v>
      </c>
      <c r="I34" s="7">
        <v>27</v>
      </c>
      <c r="J34" s="7">
        <f>(TablaMarimba6[[#This Row],[Salida (L)]]*TablaMarimba6[[#This Row],[Costo/L]])</f>
        <v>4050</v>
      </c>
      <c r="K34" s="7">
        <f>L33+M33-N33</f>
        <v>-46726</v>
      </c>
      <c r="L34" s="7">
        <f>(TablaMarimba6[[#This Row],[Saldo inicial(vales)]]-TablaMarimba6[[#This Row],[Importe]])</f>
        <v>-50776</v>
      </c>
      <c r="M34" s="7">
        <f>IF(A34="","", WEEKNUM(A34, 2))</f>
        <v>25</v>
      </c>
      <c r="N34" s="7"/>
    </row>
    <row r="35" spans="1:18">
      <c r="A35" s="5">
        <v>46193</v>
      </c>
      <c r="B35" s="3" t="s">
        <v>82</v>
      </c>
      <c r="C35" s="3" t="s">
        <v>84</v>
      </c>
      <c r="D35" s="3" t="s">
        <v>85</v>
      </c>
      <c r="E35" s="3" t="str">
        <f>VLOOKUP(TablaMarimba6[[#This Row],[Equipo]],[1]Catalogos!$V$4:$W$55,2,FALSE)</f>
        <v>EX-01</v>
      </c>
      <c r="F35" s="6"/>
      <c r="G35" s="12">
        <v>90</v>
      </c>
      <c r="H35" s="6">
        <f>IF(ROW()=5,F35-G35,H34+F35-G35)</f>
        <v>-2340</v>
      </c>
      <c r="I35" s="7">
        <v>27</v>
      </c>
      <c r="J35" s="7">
        <f>(TablaMarimba6[[#This Row],[Salida (L)]]*TablaMarimba6[[#This Row],[Costo/L]])</f>
        <v>2430</v>
      </c>
      <c r="K35" s="7">
        <f>L34+M34-N34</f>
        <v>-50751</v>
      </c>
      <c r="L35" s="7">
        <f>(TablaMarimba6[[#This Row],[Saldo inicial(vales)]]-TablaMarimba6[[#This Row],[Importe]])</f>
        <v>-53181</v>
      </c>
      <c r="M35" s="7">
        <f>IF(A35="","", WEEKNUM(A35, 2))</f>
        <v>25</v>
      </c>
      <c r="N35" s="7"/>
    </row>
    <row r="36" spans="1:18">
      <c r="A36" s="5">
        <v>46195</v>
      </c>
      <c r="B36" s="3" t="s">
        <v>82</v>
      </c>
      <c r="C36" s="3" t="s">
        <v>84</v>
      </c>
      <c r="D36" s="3" t="s">
        <v>66</v>
      </c>
      <c r="E36" s="3" t="str">
        <f>VLOOKUP(TablaMarimba6[[#This Row],[Equipo]],[1]Catalogos!$V$4:$W$55,2,FALSE)</f>
        <v>RT-03</v>
      </c>
      <c r="F36" s="6"/>
      <c r="G36" s="12">
        <v>20</v>
      </c>
      <c r="H36" s="6">
        <f>IF(ROW()=5,F36-G36,H35+F36-G36)</f>
        <v>-2360</v>
      </c>
      <c r="I36" s="7">
        <v>27</v>
      </c>
      <c r="J36" s="7">
        <f>(TablaMarimba6[[#This Row],[Salida (L)]]*TablaMarimba6[[#This Row],[Costo/L]])</f>
        <v>540</v>
      </c>
      <c r="K36" s="7">
        <f>L35+M35-N35</f>
        <v>-53156</v>
      </c>
      <c r="L36" s="7">
        <f>(TablaMarimba6[[#This Row],[Saldo inicial(vales)]]-TablaMarimba6[[#This Row],[Importe]])</f>
        <v>-53696</v>
      </c>
      <c r="M36" s="7">
        <f>IF(A36="","", WEEKNUM(A36, 2))</f>
        <v>26</v>
      </c>
      <c r="N36" s="7"/>
    </row>
    <row r="37" spans="1:18">
      <c r="A37" s="5">
        <v>46195</v>
      </c>
      <c r="B37" s="3" t="s">
        <v>82</v>
      </c>
      <c r="C37" s="3" t="s">
        <v>84</v>
      </c>
      <c r="D37" s="3" t="s">
        <v>85</v>
      </c>
      <c r="E37" s="3" t="str">
        <f>VLOOKUP(TablaMarimba6[[#This Row],[Equipo]],[1]Catalogos!$V$4:$W$55,2,FALSE)</f>
        <v>EX-01</v>
      </c>
      <c r="F37" s="6"/>
      <c r="G37" s="12">
        <v>140</v>
      </c>
      <c r="H37" s="6">
        <f>IF(ROW()=5,F37-G37,H36+F37-G37)</f>
        <v>-2500</v>
      </c>
      <c r="I37" s="7">
        <v>27</v>
      </c>
      <c r="J37" s="7">
        <f>(TablaMarimba6[[#This Row],[Salida (L)]]*TablaMarimba6[[#This Row],[Costo/L]])</f>
        <v>3780</v>
      </c>
      <c r="K37" s="7">
        <f>L36+M36-N36</f>
        <v>-53670</v>
      </c>
      <c r="L37" s="7">
        <f>(TablaMarimba6[[#This Row],[Saldo inicial(vales)]]-TablaMarimba6[[#This Row],[Importe]])</f>
        <v>-57450</v>
      </c>
      <c r="M37" s="7">
        <f>IF(A37="","", WEEKNUM(A37, 2))</f>
        <v>26</v>
      </c>
      <c r="N37" s="7"/>
    </row>
    <row r="38" spans="1:18">
      <c r="A38" s="5">
        <v>46195</v>
      </c>
      <c r="B38" s="3" t="s">
        <v>82</v>
      </c>
      <c r="C38" s="3" t="s">
        <v>84</v>
      </c>
      <c r="D38" s="3" t="s">
        <v>83</v>
      </c>
      <c r="E38" s="3" t="str">
        <f>VLOOKUP(TablaMarimba6[[#This Row],[Equipo]],[1]Catalogos!$V$4:$W$55,2,FALSE)</f>
        <v>TR-01</v>
      </c>
      <c r="F38" s="6"/>
      <c r="G38" s="12">
        <v>100.74</v>
      </c>
      <c r="H38" s="6">
        <f>IF(ROW()=5,F38-G38,H37+F38-G38)</f>
        <v>-2600.7399999999998</v>
      </c>
      <c r="I38" s="7">
        <v>27</v>
      </c>
      <c r="J38" s="7">
        <f>(TablaMarimba6[[#This Row],[Salida (L)]]*TablaMarimba6[[#This Row],[Costo/L]])</f>
        <v>2719.98</v>
      </c>
      <c r="K38" s="7">
        <f>L37+M37-N37</f>
        <v>-57424</v>
      </c>
      <c r="L38" s="7">
        <f>(TablaMarimba6[[#This Row],[Saldo inicial(vales)]]-TablaMarimba6[[#This Row],[Importe]])</f>
        <v>-60143.98</v>
      </c>
      <c r="M38" s="7">
        <f>IF(A38="","", WEEKNUM(A38, 2))</f>
        <v>26</v>
      </c>
      <c r="N38" s="7"/>
    </row>
    <row r="39" spans="1:18">
      <c r="A39" s="5">
        <v>46196</v>
      </c>
      <c r="B39" s="3" t="s">
        <v>82</v>
      </c>
      <c r="C39" s="3" t="s">
        <v>84</v>
      </c>
      <c r="D39" s="3" t="s">
        <v>85</v>
      </c>
      <c r="E39" s="3" t="str">
        <f>VLOOKUP(TablaMarimba6[[#This Row],[Equipo]],[1]Catalogos!$V$4:$W$55,2,FALSE)</f>
        <v>EX-01</v>
      </c>
      <c r="F39" s="6"/>
      <c r="G39" s="12">
        <v>140</v>
      </c>
      <c r="H39" s="6">
        <f>IF(ROW()=5,F39-G39,H38+F39-G39)</f>
        <v>-2740.74</v>
      </c>
      <c r="I39" s="7">
        <v>27</v>
      </c>
      <c r="J39" s="7">
        <f>(TablaMarimba6[[#This Row],[Salida (L)]]*TablaMarimba6[[#This Row],[Costo/L]])</f>
        <v>3780</v>
      </c>
      <c r="K39" s="7">
        <f>L38+M38-N38</f>
        <v>-60117.98</v>
      </c>
      <c r="L39" s="7">
        <f>(TablaMarimba6[[#This Row],[Saldo inicial(vales)]]-TablaMarimba6[[#This Row],[Importe]])</f>
        <v>-63897.98</v>
      </c>
      <c r="M39" s="7">
        <f>IF(A39="","", WEEKNUM(A39, 2))</f>
        <v>26</v>
      </c>
      <c r="N39" s="7"/>
    </row>
    <row r="40" spans="1:18">
      <c r="A40" s="5">
        <v>46196</v>
      </c>
      <c r="B40" s="3" t="s">
        <v>82</v>
      </c>
      <c r="C40" s="3" t="s">
        <v>84</v>
      </c>
      <c r="D40" s="3" t="s">
        <v>83</v>
      </c>
      <c r="E40" s="3" t="str">
        <f>VLOOKUP(TablaMarimba6[[#This Row],[Equipo]],[1]Catalogos!$V$4:$W$55,2,FALSE)</f>
        <v>TR-01</v>
      </c>
      <c r="F40" s="6"/>
      <c r="G40" s="12">
        <v>119.26</v>
      </c>
      <c r="H40" s="6">
        <f>IF(ROW()=5,F40-G40,H39+F40-G40)</f>
        <v>-2860</v>
      </c>
      <c r="I40" s="7">
        <v>27</v>
      </c>
      <c r="J40" s="7">
        <f>(TablaMarimba6[[#This Row],[Salida (L)]]*TablaMarimba6[[#This Row],[Costo/L]])</f>
        <v>3220.02</v>
      </c>
      <c r="K40" s="7">
        <f>L39+M39-N39</f>
        <v>-63871.98</v>
      </c>
      <c r="L40" s="7">
        <f>(TablaMarimba6[[#This Row],[Saldo inicial(vales)]]-TablaMarimba6[[#This Row],[Importe]])</f>
        <v>-67092</v>
      </c>
      <c r="M40" s="7">
        <f>IF(A40="","", WEEKNUM(A40, 2))</f>
        <v>26</v>
      </c>
      <c r="N40" s="7"/>
    </row>
    <row r="41" spans="1:18">
      <c r="A41" s="5">
        <v>46197</v>
      </c>
      <c r="B41" s="3" t="s">
        <v>82</v>
      </c>
      <c r="C41" s="3" t="s">
        <v>84</v>
      </c>
      <c r="D41" s="3" t="s">
        <v>81</v>
      </c>
      <c r="E41" s="3" t="str">
        <f>VLOOKUP(TablaMarimba6[[#This Row],[Equipo]],[1]Catalogos!$V$4:$W$55,2,FALSE)</f>
        <v>MGR-01</v>
      </c>
      <c r="F41" s="6"/>
      <c r="G41" s="12">
        <v>200</v>
      </c>
      <c r="H41" s="6">
        <f>IF(ROW()=5,F41-G41,H40+F41-G41)</f>
        <v>-3060</v>
      </c>
      <c r="I41" s="7">
        <v>27</v>
      </c>
      <c r="J41" s="7">
        <f>(TablaMarimba6[[#This Row],[Salida (L)]]*TablaMarimba6[[#This Row],[Costo/L]])</f>
        <v>5400</v>
      </c>
      <c r="K41" s="7">
        <f>L40+M40-N40</f>
        <v>-67066</v>
      </c>
      <c r="L41" s="7">
        <f>(TablaMarimba6[[#This Row],[Saldo inicial(vales)]]-TablaMarimba6[[#This Row],[Importe]])</f>
        <v>-72466</v>
      </c>
      <c r="M41" s="7">
        <f>IF(A41="","", WEEKNUM(A41, 2))</f>
        <v>26</v>
      </c>
      <c r="N41" s="7"/>
    </row>
    <row r="42" spans="1:18">
      <c r="A42" s="5">
        <v>46197</v>
      </c>
      <c r="B42" s="3" t="s">
        <v>82</v>
      </c>
      <c r="C42" s="3" t="s">
        <v>84</v>
      </c>
      <c r="D42" s="3" t="s">
        <v>81</v>
      </c>
      <c r="E42" s="3" t="str">
        <f>VLOOKUP(TablaMarimba6[[#This Row],[Equipo]],[1]Catalogos!$V$4:$W$55,2,FALSE)</f>
        <v>MGR-01</v>
      </c>
      <c r="F42" s="6"/>
      <c r="G42" s="12">
        <v>50</v>
      </c>
      <c r="H42" s="6">
        <f>IF(ROW()=5,F42-G42,H41+F42-G42)</f>
        <v>-3110</v>
      </c>
      <c r="I42" s="7">
        <v>27</v>
      </c>
      <c r="J42" s="7">
        <f>(TablaMarimba6[[#This Row],[Salida (L)]]*TablaMarimba6[[#This Row],[Costo/L]])</f>
        <v>1350</v>
      </c>
      <c r="K42" s="7">
        <f>L41+M41-N41</f>
        <v>-72440</v>
      </c>
      <c r="L42" s="7">
        <f>(TablaMarimba6[[#This Row],[Saldo inicial(vales)]]-TablaMarimba6[[#This Row],[Importe]])</f>
        <v>-73790</v>
      </c>
      <c r="M42" s="7">
        <f>IF(A42="","", WEEKNUM(A42, 2))</f>
        <v>26</v>
      </c>
      <c r="N42" s="7"/>
    </row>
    <row r="43" spans="1:18">
      <c r="A43" s="5">
        <v>46197</v>
      </c>
      <c r="B43" s="3" t="s">
        <v>82</v>
      </c>
      <c r="C43" s="3" t="s">
        <v>84</v>
      </c>
      <c r="D43" s="3" t="s">
        <v>85</v>
      </c>
      <c r="E43" s="3" t="str">
        <f>VLOOKUP(TablaMarimba6[[#This Row],[Equipo]],[1]Catalogos!$V$4:$W$55,2,FALSE)</f>
        <v>EX-01</v>
      </c>
      <c r="F43" s="6"/>
      <c r="G43" s="12">
        <v>200</v>
      </c>
      <c r="H43" s="6">
        <f>IF(ROW()=5,F43-G43,H42+F43-G43)</f>
        <v>-3310</v>
      </c>
      <c r="I43" s="7">
        <v>27</v>
      </c>
      <c r="J43" s="7">
        <f>(TablaMarimba6[[#This Row],[Salida (L)]]*TablaMarimba6[[#This Row],[Costo/L]])</f>
        <v>5400</v>
      </c>
      <c r="K43" s="7">
        <f>L42+M42-N42</f>
        <v>-73764</v>
      </c>
      <c r="L43" s="7">
        <f>(TablaMarimba6[[#This Row],[Saldo inicial(vales)]]-TablaMarimba6[[#This Row],[Importe]])</f>
        <v>-79164</v>
      </c>
      <c r="M43" s="7">
        <f>IF(A43="","", WEEKNUM(A43, 2))</f>
        <v>26</v>
      </c>
      <c r="N43" s="7"/>
      <c r="R43" s="6">
        <f>SUM(G5:G48)</f>
        <v>3560</v>
      </c>
    </row>
    <row r="44" spans="1:18">
      <c r="A44" s="5">
        <v>46197</v>
      </c>
      <c r="B44" s="3" t="s">
        <v>82</v>
      </c>
      <c r="C44" s="3" t="s">
        <v>84</v>
      </c>
      <c r="D44" s="3" t="s">
        <v>83</v>
      </c>
      <c r="E44" s="3" t="str">
        <f>VLOOKUP(TablaMarimba6[[#This Row],[Equipo]],[1]Catalogos!$V$4:$W$55,2,FALSE)</f>
        <v>TR-01</v>
      </c>
      <c r="F44" s="6"/>
      <c r="G44" s="12">
        <v>100</v>
      </c>
      <c r="H44" s="6">
        <f>IF(ROW()=5,F44-G44,H43+F44-G44)</f>
        <v>-3410</v>
      </c>
      <c r="I44" s="7">
        <v>27</v>
      </c>
      <c r="J44" s="7">
        <f>(TablaMarimba6[[#This Row],[Salida (L)]]*TablaMarimba6[[#This Row],[Costo/L]])</f>
        <v>2700</v>
      </c>
      <c r="K44" s="7">
        <f>L43+M43-N43</f>
        <v>-79138</v>
      </c>
      <c r="L44" s="7">
        <f>(TablaMarimba6[[#This Row],[Saldo inicial(vales)]]-TablaMarimba6[[#This Row],[Importe]])</f>
        <v>-81838</v>
      </c>
      <c r="M44" s="7">
        <f>IF(A44="","", WEEKNUM(A44, 2))</f>
        <v>26</v>
      </c>
      <c r="N44" s="7"/>
    </row>
    <row r="45" spans="1:18">
      <c r="A45" s="5"/>
      <c r="B45" s="3" t="s">
        <v>82</v>
      </c>
      <c r="E45" s="3" t="e">
        <f>VLOOKUP(TablaMarimba6[[#This Row],[Equipo]],[1]Catalogos!$V$4:$W$55,2,FALSE)</f>
        <v>#N/A</v>
      </c>
      <c r="F45" s="6"/>
      <c r="G45" s="12"/>
      <c r="H45" s="6">
        <f>IF(ROW()=5,F45-G45,H44+F45-G45)</f>
        <v>-3410</v>
      </c>
      <c r="I45" s="7">
        <v>27</v>
      </c>
      <c r="J45" s="7">
        <f>(TablaMarimba6[[#This Row],[Salida (L)]]*TablaMarimba6[[#This Row],[Costo/L]])</f>
        <v>0</v>
      </c>
      <c r="K45" s="7">
        <f>L44+M44-N44</f>
        <v>-81812</v>
      </c>
      <c r="L45" s="7">
        <f>(TablaMarimba6[[#This Row],[Saldo inicial(vales)]]-TablaMarimba6[[#This Row],[Importe]])</f>
        <v>-81812</v>
      </c>
      <c r="M45" s="7" t="str">
        <f>IF(A45="","", WEEKNUM(A45, 2))</f>
        <v/>
      </c>
      <c r="N45" s="7"/>
    </row>
    <row r="46" spans="1:18">
      <c r="A46" s="5"/>
      <c r="E46" s="3" t="e">
        <f>VLOOKUP(TablaMarimba6[[#This Row],[Equipo]],[1]Catalogos!$V$4:$W$55,2,FALSE)</f>
        <v>#N/A</v>
      </c>
      <c r="F46" s="6"/>
      <c r="G46" s="12"/>
      <c r="H46" s="6">
        <f>IF(ROW()=5,F46-G46,H45+F46-G46)</f>
        <v>-3410</v>
      </c>
      <c r="I46" s="7">
        <v>27</v>
      </c>
      <c r="J46" s="7">
        <f>(TablaMarimba6[[#This Row],[Salida (L)]]*TablaMarimba6[[#This Row],[Costo/L]])</f>
        <v>0</v>
      </c>
      <c r="K46" s="7" t="e">
        <f>L45+M45-N45</f>
        <v>#VALUE!</v>
      </c>
      <c r="L46" s="7" t="e">
        <f>(TablaMarimba6[[#This Row],[Saldo inicial(vales)]]-TablaMarimba6[[#This Row],[Importe]])</f>
        <v>#VALUE!</v>
      </c>
      <c r="M46" s="7" t="str">
        <f>IF(A46="","", WEEKNUM(A46, 2))</f>
        <v/>
      </c>
      <c r="N46" s="7"/>
    </row>
    <row r="47" spans="1:18">
      <c r="A47" s="5"/>
      <c r="E47" s="3" t="e">
        <f>VLOOKUP(TablaMarimba6[[#This Row],[Equipo]],[1]Catalogos!$V$4:$W$55,2,FALSE)</f>
        <v>#N/A</v>
      </c>
      <c r="F47" s="6"/>
      <c r="G47" s="12"/>
      <c r="H47" s="6">
        <f>IF(ROW()=5,F47-G47,H46+F47-G47)</f>
        <v>-3410</v>
      </c>
      <c r="I47" s="7">
        <v>27</v>
      </c>
      <c r="J47" s="7">
        <f>(TablaMarimba6[[#This Row],[Salida (L)]]*TablaMarimba6[[#This Row],[Costo/L]])</f>
        <v>0</v>
      </c>
      <c r="K47" s="7" t="e">
        <f>L46+M46-N46</f>
        <v>#VALUE!</v>
      </c>
      <c r="L47" s="7" t="e">
        <f>(TablaMarimba6[[#This Row],[Saldo inicial(vales)]]-TablaMarimba6[[#This Row],[Importe]])</f>
        <v>#VALUE!</v>
      </c>
      <c r="M47" s="7" t="str">
        <f>IF(A47="","", WEEKNUM(A47, 2))</f>
        <v/>
      </c>
      <c r="N47" s="7"/>
    </row>
    <row r="48" spans="1:18">
      <c r="A48" s="5"/>
      <c r="E48" s="3" t="e">
        <f>VLOOKUP(TablaMarimba6[[#This Row],[Equipo]],[1]Catalogos!$V$4:$W$55,2,FALSE)</f>
        <v>#N/A</v>
      </c>
      <c r="F48" s="6"/>
      <c r="G48" s="12"/>
      <c r="H48" s="6">
        <v>0</v>
      </c>
      <c r="I48" s="7">
        <v>27</v>
      </c>
      <c r="J48" s="7">
        <f>(TablaMarimba6[[#This Row],[Salida (L)]]*TablaMarimba6[[#This Row],[Costo/L]])</f>
        <v>0</v>
      </c>
      <c r="K48" s="7" t="e">
        <f>L47+M47-N47</f>
        <v>#VALUE!</v>
      </c>
      <c r="L48" s="7" t="e">
        <f>(TablaMarimba6[[#This Row],[Saldo inicial(vales)]]-TablaMarimba6[[#This Row],[Importe]])</f>
        <v>#VALUE!</v>
      </c>
      <c r="M48" s="7" t="str">
        <f>IF(A48="","", WEEKNUM(A48, 2))</f>
        <v/>
      </c>
      <c r="N48" s="7"/>
    </row>
    <row r="49" spans="1:14">
      <c r="A49" s="5"/>
      <c r="E49" s="3" t="e">
        <f>VLOOKUP(TablaMarimba6[[#This Row],[Equipo]],[1]Catalogos!$V$4:$W$55,2,FALSE)</f>
        <v>#N/A</v>
      </c>
      <c r="F49" s="6"/>
      <c r="G49" s="12"/>
      <c r="H49" s="6">
        <f>IF(ROW()=5,F49-G49,H48+F49-G49)</f>
        <v>0</v>
      </c>
      <c r="I49" s="7"/>
      <c r="J49" s="7"/>
      <c r="K49" s="7" t="e">
        <f>L48+M48-N48</f>
        <v>#VALUE!</v>
      </c>
      <c r="L49" s="7" t="e">
        <f>(TablaMarimba6[[#This Row],[Saldo inicial(vales)]]-TablaMarimba6[[#This Row],[Importe]])</f>
        <v>#VALUE!</v>
      </c>
      <c r="M49" s="7" t="str">
        <f>IF(A49="","", WEEKNUM(A49, 2))</f>
        <v/>
      </c>
      <c r="N49" s="7"/>
    </row>
    <row r="50" spans="1:14">
      <c r="A50" s="5"/>
      <c r="E50" s="3" t="e">
        <f>VLOOKUP(TablaMarimba6[[#This Row],[Equipo]],[1]Catalogos!$V$4:$W$55,2,FALSE)</f>
        <v>#N/A</v>
      </c>
      <c r="F50" s="6"/>
      <c r="G50" s="12"/>
      <c r="H50" s="6">
        <f>IF(ROW()=5,F50-G50,H49+F50-G50)</f>
        <v>0</v>
      </c>
      <c r="I50" s="7">
        <v>28.3</v>
      </c>
      <c r="J50" s="7">
        <f>IFERROR((F50+G50)*I50,0)</f>
        <v>0</v>
      </c>
      <c r="K50" s="7" t="e">
        <f>L49+M49-N49</f>
        <v>#VALUE!</v>
      </c>
      <c r="L50" s="7" t="e">
        <f>(TablaMarimba6[[#This Row],[Saldo inicial(vales)]]-TablaMarimba6[[#This Row],[Importe]])</f>
        <v>#VALUE!</v>
      </c>
      <c r="M50" s="7" t="str">
        <f>IF(A50="","", WEEKNUM(A50, 2))</f>
        <v/>
      </c>
      <c r="N50" s="7"/>
    </row>
    <row r="51" spans="1:14">
      <c r="A51" s="5"/>
      <c r="E51" s="3" t="e">
        <f>VLOOKUP(TablaMarimba6[[#This Row],[Equipo]],[1]Catalogos!$V$4:$W$55,2,FALSE)</f>
        <v>#N/A</v>
      </c>
      <c r="F51" s="6"/>
      <c r="G51" s="12"/>
      <c r="H51" s="6">
        <f>IF(ROW()=5,F51-G51,H50+F51-G51)</f>
        <v>0</v>
      </c>
      <c r="I51" s="7">
        <v>28.3</v>
      </c>
      <c r="J51" s="7">
        <f>IFERROR((F51+G51)*I51,0)</f>
        <v>0</v>
      </c>
      <c r="K51" s="7" t="e">
        <f>L50+M50-N50</f>
        <v>#VALUE!</v>
      </c>
      <c r="L51" s="7" t="e">
        <f>(TablaMarimba6[[#This Row],[Saldo inicial(vales)]]-TablaMarimba6[[#This Row],[Importe]])</f>
        <v>#VALUE!</v>
      </c>
      <c r="M51" s="7" t="str">
        <f>IF(A51="","", WEEKNUM(A51, 2))</f>
        <v/>
      </c>
      <c r="N51" s="7"/>
    </row>
    <row r="52" spans="1:14">
      <c r="A52" s="5"/>
      <c r="E52" s="3" t="e">
        <f>VLOOKUP(TablaMarimba6[[#This Row],[Equipo]],[1]Catalogos!$V$4:$W$55,2,FALSE)</f>
        <v>#N/A</v>
      </c>
      <c r="F52" s="6"/>
      <c r="G52" s="12"/>
      <c r="H52" s="6">
        <f>IF(ROW()=5,F52-G52,H51+F52-G52)</f>
        <v>0</v>
      </c>
      <c r="I52" s="7">
        <v>28.3</v>
      </c>
      <c r="J52" s="7">
        <f>IFERROR((F52+G52)*I52,0)</f>
        <v>0</v>
      </c>
      <c r="K52" s="7" t="e">
        <f>L51+M51-N51</f>
        <v>#VALUE!</v>
      </c>
      <c r="L52" s="7" t="e">
        <f>(TablaMarimba6[[#This Row],[Saldo inicial(vales)]]-TablaMarimba6[[#This Row],[Importe]])</f>
        <v>#VALUE!</v>
      </c>
      <c r="M52" s="7" t="str">
        <f>IF(A52="","", WEEKNUM(A52, 2))</f>
        <v/>
      </c>
      <c r="N52" s="7"/>
    </row>
    <row r="53" spans="1:14">
      <c r="A53" s="5"/>
      <c r="E53" s="3" t="e">
        <f>VLOOKUP(TablaMarimba6[[#This Row],[Equipo]],[1]Catalogos!$V$4:$W$55,2,FALSE)</f>
        <v>#N/A</v>
      </c>
      <c r="F53" s="6"/>
      <c r="G53" s="12"/>
      <c r="H53" s="6">
        <f>IF(ROW()=5,F53-G53,H52+F53-G53)</f>
        <v>0</v>
      </c>
      <c r="I53" s="7">
        <v>28.3</v>
      </c>
      <c r="J53" s="7">
        <f>IFERROR((F53+G53)*I53,0)</f>
        <v>0</v>
      </c>
      <c r="K53" s="7" t="e">
        <f>L52+M52-N52</f>
        <v>#VALUE!</v>
      </c>
      <c r="L53" s="7" t="e">
        <f>(TablaMarimba6[[#This Row],[Saldo inicial(vales)]]-TablaMarimba6[[#This Row],[Importe]])</f>
        <v>#VALUE!</v>
      </c>
      <c r="M53" s="7" t="str">
        <f>IF(A53="","", WEEKNUM(A53, 2))</f>
        <v/>
      </c>
      <c r="N53" s="7"/>
    </row>
    <row r="54" spans="1:14">
      <c r="A54" s="5"/>
      <c r="E54" s="3" t="e">
        <f>VLOOKUP(TablaMarimba6[[#This Row],[Equipo]],[1]Catalogos!$V$4:$W$55,2,FALSE)</f>
        <v>#N/A</v>
      </c>
      <c r="F54" s="6"/>
      <c r="G54" s="12"/>
      <c r="H54" s="6">
        <f>IF(ROW()=5,F54-G54,H53+F54-G54)</f>
        <v>0</v>
      </c>
      <c r="I54" s="7">
        <v>28.3</v>
      </c>
      <c r="J54" s="7">
        <f>IFERROR((F54+G54)*I54,0)</f>
        <v>0</v>
      </c>
      <c r="K54" s="7" t="e">
        <f>L53+M53-N53</f>
        <v>#VALUE!</v>
      </c>
      <c r="L54" s="7" t="e">
        <f>(TablaMarimba6[[#This Row],[Saldo inicial(vales)]]-TablaMarimba6[[#This Row],[Importe]])</f>
        <v>#VALUE!</v>
      </c>
      <c r="M54" s="7" t="str">
        <f>IF(A54="","", WEEKNUM(A54, 2))</f>
        <v/>
      </c>
      <c r="N54" s="7"/>
    </row>
    <row r="55" spans="1:14">
      <c r="A55" s="5"/>
      <c r="E55" s="3" t="e">
        <f>VLOOKUP(TablaMarimba6[[#This Row],[Equipo]],[1]Catalogos!$V$4:$W$55,2,FALSE)</f>
        <v>#N/A</v>
      </c>
      <c r="F55" s="6"/>
      <c r="G55" s="12"/>
      <c r="H55" s="6">
        <f>IF(ROW()=5,F55-G55,H54+F55-G55)</f>
        <v>0</v>
      </c>
      <c r="I55" s="7">
        <v>28.3</v>
      </c>
      <c r="J55" s="7">
        <f>IFERROR((F55+G55)*I55,0)</f>
        <v>0</v>
      </c>
      <c r="K55" s="7" t="e">
        <f>L54+M54-N54</f>
        <v>#VALUE!</v>
      </c>
      <c r="L55" s="7" t="e">
        <f>(TablaMarimba6[[#This Row],[Saldo inicial(vales)]]-TablaMarimba6[[#This Row],[Importe]])</f>
        <v>#VALUE!</v>
      </c>
      <c r="M55" s="7" t="str">
        <f>IF(A55="","", WEEKNUM(A55, 2))</f>
        <v/>
      </c>
      <c r="N55" s="7"/>
    </row>
    <row r="56" spans="1:14">
      <c r="A56" s="5"/>
      <c r="E56" s="3" t="e">
        <f>VLOOKUP(TablaMarimba6[[#This Row],[Equipo]],[1]Catalogos!$V$4:$W$55,2,FALSE)</f>
        <v>#N/A</v>
      </c>
      <c r="F56" s="6"/>
      <c r="G56" s="12"/>
      <c r="H56" s="6">
        <v>500</v>
      </c>
      <c r="I56" s="7"/>
      <c r="J56" s="7"/>
      <c r="K56" s="7" t="e">
        <f>L55+M55-N55</f>
        <v>#VALUE!</v>
      </c>
      <c r="L56" s="7" t="e">
        <f>(TablaMarimba6[[#This Row],[Saldo inicial(vales)]]-TablaMarimba6[[#This Row],[Importe]])</f>
        <v>#VALUE!</v>
      </c>
      <c r="M56" s="7" t="str">
        <f>IF(A56="","", WEEKNUM(A56, 2))</f>
        <v/>
      </c>
      <c r="N56" s="7"/>
    </row>
    <row r="57" spans="1:14">
      <c r="A57" s="5"/>
      <c r="E57" s="3" t="e">
        <f>VLOOKUP(TablaMarimba6[[#This Row],[Equipo]],[1]Catalogos!$V$4:$W$55,2,FALSE)</f>
        <v>#N/A</v>
      </c>
      <c r="F57" s="6"/>
      <c r="G57" s="12"/>
      <c r="H57" s="6">
        <f>IF(ROW()=5,F57-G57,H56+F57-G57)</f>
        <v>500</v>
      </c>
      <c r="I57" s="7">
        <v>28.3</v>
      </c>
      <c r="J57" s="7">
        <f>IFERROR((F57+G57)*I57,0)</f>
        <v>0</v>
      </c>
      <c r="K57" s="7" t="e">
        <f>L56+M56-N56</f>
        <v>#VALUE!</v>
      </c>
      <c r="L57" s="7" t="e">
        <f>(TablaMarimba6[[#This Row],[Saldo inicial(vales)]]-TablaMarimba6[[#This Row],[Importe]])</f>
        <v>#VALUE!</v>
      </c>
      <c r="M57" s="7" t="str">
        <f>IF(A57="","", WEEKNUM(A57, 2))</f>
        <v/>
      </c>
      <c r="N57" s="7"/>
    </row>
    <row r="58" spans="1:14">
      <c r="A58" s="5"/>
      <c r="E58" s="3" t="e">
        <f>VLOOKUP(TablaMarimba6[[#This Row],[Equipo]],[1]Catalogos!$V$4:$W$55,2,FALSE)</f>
        <v>#N/A</v>
      </c>
      <c r="F58" s="6"/>
      <c r="G58" s="12"/>
      <c r="H58" s="6">
        <f>IF(ROW()=5,F58-G58,H57+F58-G58)</f>
        <v>500</v>
      </c>
      <c r="I58" s="7">
        <v>28.3</v>
      </c>
      <c r="J58" s="7">
        <f>IFERROR((F58+G58)*I58,0)</f>
        <v>0</v>
      </c>
      <c r="K58" s="7" t="e">
        <f>L57+M57-N57</f>
        <v>#VALUE!</v>
      </c>
      <c r="L58" s="7" t="e">
        <f>(TablaMarimba6[[#This Row],[Saldo inicial(vales)]]-TablaMarimba6[[#This Row],[Importe]])</f>
        <v>#VALUE!</v>
      </c>
      <c r="M58" s="7" t="str">
        <f>IF(A58="","", WEEKNUM(A58, 2))</f>
        <v/>
      </c>
      <c r="N58" s="7"/>
    </row>
    <row r="59" spans="1:14">
      <c r="A59" s="5"/>
      <c r="E59" s="3" t="e">
        <f>VLOOKUP(TablaMarimba6[[#This Row],[Equipo]],[1]Catalogos!$V$4:$W$55,2,FALSE)</f>
        <v>#N/A</v>
      </c>
      <c r="F59" s="6"/>
      <c r="G59" s="12"/>
      <c r="H59" s="6">
        <f>IF(ROW()=5,F59-G59,H58+F59-G59)</f>
        <v>500</v>
      </c>
      <c r="I59" s="7">
        <v>28.3</v>
      </c>
      <c r="J59" s="7">
        <f>IFERROR((F59+G59)*I59,0)</f>
        <v>0</v>
      </c>
      <c r="K59" s="7" t="e">
        <f>L58+M58-N58</f>
        <v>#VALUE!</v>
      </c>
      <c r="L59" s="7" t="e">
        <f>(TablaMarimba6[[#This Row],[Saldo inicial(vales)]]-TablaMarimba6[[#This Row],[Importe]])</f>
        <v>#VALUE!</v>
      </c>
      <c r="M59" s="7" t="str">
        <f>IF(A59="","", WEEKNUM(A59, 2))</f>
        <v/>
      </c>
      <c r="N59" s="7"/>
    </row>
    <row r="60" spans="1:14">
      <c r="A60" s="5"/>
      <c r="E60" s="3" t="e">
        <f>VLOOKUP(TablaMarimba6[[#This Row],[Equipo]],[1]Catalogos!$V$4:$W$55,2,FALSE)</f>
        <v>#N/A</v>
      </c>
      <c r="F60" s="6"/>
      <c r="G60" s="12"/>
      <c r="H60" s="6">
        <f>IF(ROW()=5,F60-G60,H59+F60-G60)</f>
        <v>500</v>
      </c>
      <c r="I60" s="7">
        <v>28.3</v>
      </c>
      <c r="J60" s="7">
        <f>IFERROR((F60+G60)*I60,0)</f>
        <v>0</v>
      </c>
      <c r="K60" s="7" t="e">
        <f>L59+M59-N59</f>
        <v>#VALUE!</v>
      </c>
      <c r="L60" s="7" t="e">
        <f>(TablaMarimba6[[#This Row],[Saldo inicial(vales)]]-TablaMarimba6[[#This Row],[Importe]])</f>
        <v>#VALUE!</v>
      </c>
      <c r="M60" s="7" t="str">
        <f>IF(A60="","", WEEKNUM(A60, 2))</f>
        <v/>
      </c>
      <c r="N60" s="7"/>
    </row>
    <row r="61" spans="1:14">
      <c r="A61" s="5"/>
      <c r="E61" s="3" t="e">
        <f>VLOOKUP(TablaMarimba6[[#This Row],[Equipo]],[1]Catalogos!$V$4:$W$55,2,FALSE)</f>
        <v>#N/A</v>
      </c>
      <c r="F61" s="6"/>
      <c r="G61" s="12"/>
      <c r="H61" s="6">
        <f>IF(ROW()=5,F61-G61,H60+F61-G61)</f>
        <v>500</v>
      </c>
      <c r="I61" s="7">
        <v>28.3</v>
      </c>
      <c r="J61" s="7">
        <f>IFERROR((F61+G61)*I61,0)</f>
        <v>0</v>
      </c>
      <c r="K61" s="7" t="e">
        <f>L60+M60-N60</f>
        <v>#VALUE!</v>
      </c>
      <c r="L61" s="7" t="e">
        <f>(TablaMarimba6[[#This Row],[Saldo inicial(vales)]]-TablaMarimba6[[#This Row],[Importe]])</f>
        <v>#VALUE!</v>
      </c>
      <c r="M61" s="7" t="str">
        <f>IF(A61="","", WEEKNUM(A61, 2))</f>
        <v/>
      </c>
      <c r="N61" s="7"/>
    </row>
    <row r="62" spans="1:14">
      <c r="A62" s="5"/>
      <c r="E62" s="3" t="e">
        <f>VLOOKUP(TablaMarimba6[[#This Row],[Equipo]],[1]Catalogos!$V$4:$W$55,2,FALSE)</f>
        <v>#N/A</v>
      </c>
      <c r="F62" s="6"/>
      <c r="G62" s="12"/>
      <c r="H62" s="6">
        <f>IF(ROW()=5,F62-G62,H61+F62-G62)</f>
        <v>500</v>
      </c>
      <c r="I62" s="7">
        <v>28.3</v>
      </c>
      <c r="J62" s="7">
        <f>IFERROR((F62+G62)*I62,0)</f>
        <v>0</v>
      </c>
      <c r="K62" s="7" t="e">
        <f>L61+M61-N61</f>
        <v>#VALUE!</v>
      </c>
      <c r="L62" s="7" t="e">
        <f>(TablaMarimba6[[#This Row],[Saldo inicial(vales)]]-TablaMarimba6[[#This Row],[Importe]])</f>
        <v>#VALUE!</v>
      </c>
      <c r="M62" s="7" t="str">
        <f>IF(A62="","", WEEKNUM(A62, 2))</f>
        <v/>
      </c>
      <c r="N62" s="7"/>
    </row>
    <row r="63" spans="1:14">
      <c r="A63" s="5"/>
      <c r="E63" s="3" t="e">
        <f>VLOOKUP(TablaMarimba6[[#This Row],[Equipo]],[1]Catalogos!$V$4:$W$55,2,FALSE)</f>
        <v>#N/A</v>
      </c>
      <c r="F63" s="6"/>
      <c r="G63" s="12"/>
      <c r="H63" s="6">
        <f>IF(ROW()=5,F63-G63,H62+F63-G63)</f>
        <v>500</v>
      </c>
      <c r="I63" s="7">
        <v>28.3</v>
      </c>
      <c r="J63" s="7">
        <f>IFERROR((F63+G63)*I63,0)</f>
        <v>0</v>
      </c>
      <c r="K63" s="7" t="e">
        <f>L62+M62-N62</f>
        <v>#VALUE!</v>
      </c>
      <c r="L63" s="7" t="e">
        <f>(TablaMarimba6[[#This Row],[Saldo inicial(vales)]]-TablaMarimba6[[#This Row],[Importe]])</f>
        <v>#VALUE!</v>
      </c>
      <c r="M63" s="7" t="str">
        <f>IF(A63="","", WEEKNUM(A63, 2))</f>
        <v/>
      </c>
      <c r="N63" s="7"/>
    </row>
    <row r="64" spans="1:14">
      <c r="A64" s="5"/>
      <c r="E64" s="3" t="e">
        <f>VLOOKUP(TablaMarimba6[[#This Row],[Equipo]],[1]Catalogos!$V$4:$W$55,2,FALSE)</f>
        <v>#N/A</v>
      </c>
      <c r="F64" s="6"/>
      <c r="G64" s="12"/>
      <c r="H64" s="6">
        <v>520</v>
      </c>
      <c r="I64" s="7"/>
      <c r="J64" s="7"/>
      <c r="K64" s="7" t="e">
        <f>L63+M63-N63</f>
        <v>#VALUE!</v>
      </c>
      <c r="L64" s="7" t="e">
        <f>(TablaMarimba6[[#This Row],[Saldo inicial(vales)]]-TablaMarimba6[[#This Row],[Importe]])</f>
        <v>#VALUE!</v>
      </c>
      <c r="M64" s="7" t="str">
        <f>IF(A64="","", WEEKNUM(A64, 2))</f>
        <v/>
      </c>
      <c r="N64" s="7"/>
    </row>
    <row r="65" spans="1:14">
      <c r="A65" s="5"/>
      <c r="E65" s="3" t="e">
        <f>VLOOKUP(TablaMarimba6[[#This Row],[Equipo]],[1]Catalogos!$V$4:$W$55,2,FALSE)</f>
        <v>#N/A</v>
      </c>
      <c r="F65" s="6"/>
      <c r="G65" s="12"/>
      <c r="H65" s="6">
        <f>IF(ROW()=5,F65-G65,H64+F65-G65)</f>
        <v>520</v>
      </c>
      <c r="I65" s="7">
        <v>28.3</v>
      </c>
      <c r="J65" s="7">
        <f>IFERROR((F65+G65)*I65,0)</f>
        <v>0</v>
      </c>
      <c r="K65" s="7" t="e">
        <f>L64+M64-N64</f>
        <v>#VALUE!</v>
      </c>
      <c r="L65" s="7" t="e">
        <f>(TablaMarimba6[[#This Row],[Saldo inicial(vales)]]-TablaMarimba6[[#This Row],[Importe]])</f>
        <v>#VALUE!</v>
      </c>
      <c r="M65" s="7" t="str">
        <f>IF(A65="","", WEEKNUM(A65, 2))</f>
        <v/>
      </c>
      <c r="N65" s="7"/>
    </row>
    <row r="66" spans="1:14">
      <c r="A66" s="5"/>
      <c r="E66" s="3" t="e">
        <f>VLOOKUP(TablaMarimba6[[#This Row],[Equipo]],[1]Catalogos!$V$4:$W$55,2,FALSE)</f>
        <v>#N/A</v>
      </c>
      <c r="F66" s="6"/>
      <c r="G66" s="12"/>
      <c r="H66" s="6">
        <f>IF(ROW()=5,F66-G66,H65+F66-G66)</f>
        <v>520</v>
      </c>
      <c r="I66" s="7">
        <v>28.3</v>
      </c>
      <c r="J66" s="7">
        <f>IFERROR((F66+G66)*I66,0)</f>
        <v>0</v>
      </c>
      <c r="K66" s="7" t="e">
        <f>L65+M65-N65</f>
        <v>#VALUE!</v>
      </c>
      <c r="L66" s="7" t="e">
        <f>(TablaMarimba6[[#This Row],[Saldo inicial(vales)]]-TablaMarimba6[[#This Row],[Importe]])</f>
        <v>#VALUE!</v>
      </c>
      <c r="M66" s="7" t="str">
        <f>IF(A66="","", WEEKNUM(A66, 2))</f>
        <v/>
      </c>
      <c r="N66" s="7"/>
    </row>
    <row r="67" spans="1:14">
      <c r="A67" s="5"/>
      <c r="E67" s="3" t="e">
        <f>VLOOKUP(TablaMarimba6[[#This Row],[Equipo]],[1]Catalogos!$V$4:$W$55,2,FALSE)</f>
        <v>#N/A</v>
      </c>
      <c r="F67" s="6"/>
      <c r="G67" s="12"/>
      <c r="H67" s="6">
        <f>IF(ROW()=5,F67-G67,H66+F67-G67)</f>
        <v>520</v>
      </c>
      <c r="I67" s="7">
        <v>28.3</v>
      </c>
      <c r="J67" s="7">
        <f>IFERROR((F67+G67)*I67,0)</f>
        <v>0</v>
      </c>
      <c r="K67" s="7" t="e">
        <f>L66+M66-N66</f>
        <v>#VALUE!</v>
      </c>
      <c r="L67" s="7" t="e">
        <f>(TablaMarimba6[[#This Row],[Saldo inicial(vales)]]-TablaMarimba6[[#This Row],[Importe]])</f>
        <v>#VALUE!</v>
      </c>
      <c r="M67" s="7" t="str">
        <f>IF(A67="","", WEEKNUM(A67, 2))</f>
        <v/>
      </c>
      <c r="N67" s="7"/>
    </row>
    <row r="68" spans="1:14">
      <c r="A68" s="5"/>
      <c r="E68" s="3" t="e">
        <f>VLOOKUP(TablaMarimba6[[#This Row],[Equipo]],[1]Catalogos!$V$4:$W$55,2,FALSE)</f>
        <v>#N/A</v>
      </c>
      <c r="F68" s="6"/>
      <c r="G68" s="12"/>
      <c r="H68" s="6">
        <f>IF(ROW()=5,F68-G68,H67+F68-G68)</f>
        <v>520</v>
      </c>
      <c r="I68" s="7">
        <v>28.3</v>
      </c>
      <c r="J68" s="7">
        <f>IFERROR((F68+G68)*I68,0)</f>
        <v>0</v>
      </c>
      <c r="K68" s="7" t="e">
        <f>L67+M67-N67</f>
        <v>#VALUE!</v>
      </c>
      <c r="L68" s="7" t="e">
        <f>(TablaMarimba6[[#This Row],[Saldo inicial(vales)]]-TablaMarimba6[[#This Row],[Importe]])</f>
        <v>#VALUE!</v>
      </c>
      <c r="M68" s="7" t="str">
        <f>IF(A68="","", WEEKNUM(A68, 2))</f>
        <v/>
      </c>
      <c r="N68" s="7"/>
    </row>
    <row r="69" spans="1:14">
      <c r="A69" s="5"/>
      <c r="E69" s="3" t="e">
        <f>VLOOKUP(TablaMarimba6[[#This Row],[Equipo]],[1]Catalogos!$V$4:$W$55,2,FALSE)</f>
        <v>#N/A</v>
      </c>
      <c r="F69" s="6"/>
      <c r="G69" s="12"/>
      <c r="H69" s="6">
        <f>IF(ROW()=5,F69-G69,H68+F69-G69)</f>
        <v>520</v>
      </c>
      <c r="I69" s="7">
        <v>28.3</v>
      </c>
      <c r="J69" s="7">
        <f>IFERROR((F69+G69)*I69,0)</f>
        <v>0</v>
      </c>
      <c r="K69" s="7" t="e">
        <f>L68+M68-N68</f>
        <v>#VALUE!</v>
      </c>
      <c r="L69" s="7" t="e">
        <f>(TablaMarimba6[[#This Row],[Saldo inicial(vales)]]-TablaMarimba6[[#This Row],[Importe]])</f>
        <v>#VALUE!</v>
      </c>
      <c r="M69" s="7" t="str">
        <f>IF(A69="","", WEEKNUM(A69, 2))</f>
        <v/>
      </c>
      <c r="N69" s="7"/>
    </row>
    <row r="70" spans="1:14">
      <c r="A70" s="5"/>
      <c r="E70" s="3" t="e">
        <f>VLOOKUP(TablaMarimba6[[#This Row],[Equipo]],[1]Catalogos!$V$4:$W$55,2,FALSE)</f>
        <v>#N/A</v>
      </c>
      <c r="F70" s="6"/>
      <c r="G70" s="12"/>
      <c r="H70" s="6">
        <f>IF(ROW()=5,F70-G70,H69+F70-G70)</f>
        <v>520</v>
      </c>
      <c r="I70" s="7">
        <v>28.3</v>
      </c>
      <c r="J70" s="7">
        <f>IFERROR((F70+G70)*I70,0)</f>
        <v>0</v>
      </c>
      <c r="K70" s="7" t="e">
        <f>L69+M69-N69</f>
        <v>#VALUE!</v>
      </c>
      <c r="L70" s="7" t="e">
        <f>(TablaMarimba6[[#This Row],[Saldo inicial(vales)]]-TablaMarimba6[[#This Row],[Importe]])</f>
        <v>#VALUE!</v>
      </c>
      <c r="M70" s="7" t="str">
        <f>IF(A70="","", WEEKNUM(A70, 2))</f>
        <v/>
      </c>
      <c r="N70" s="7"/>
    </row>
    <row r="71" spans="1:14">
      <c r="A71" s="5"/>
      <c r="E71" s="3" t="e">
        <f>VLOOKUP(TablaMarimba6[[#This Row],[Equipo]],[1]Catalogos!$V$4:$W$55,2,FALSE)</f>
        <v>#N/A</v>
      </c>
      <c r="G71" s="12"/>
      <c r="H71" s="6">
        <f>IF(ROW()=5,F71-G71,H70+F71-G71)</f>
        <v>520</v>
      </c>
      <c r="I71" s="7">
        <v>28.3</v>
      </c>
      <c r="J71" s="7">
        <f>IFERROR((F72+G72)*I71,0)</f>
        <v>0</v>
      </c>
      <c r="K71" s="7" t="e">
        <f>L70+M70-N70</f>
        <v>#VALUE!</v>
      </c>
      <c r="L71" s="7" t="e">
        <f>(TablaMarimba6[[#This Row],[Saldo inicial(vales)]]-TablaMarimba6[[#This Row],[Importe]])</f>
        <v>#VALUE!</v>
      </c>
      <c r="M71" s="7" t="str">
        <f>IF(A71="","", WEEKNUM(A71, 2))</f>
        <v/>
      </c>
      <c r="N71" s="7"/>
    </row>
    <row r="72" spans="1:14">
      <c r="A72" s="5"/>
      <c r="E72" s="3" t="e">
        <f>VLOOKUP(TablaMarimba6[[#This Row],[Equipo]],[1]Catalogos!$V$4:$W$55,2,FALSE)</f>
        <v>#N/A</v>
      </c>
      <c r="F72" s="6"/>
      <c r="G72" s="12"/>
      <c r="H72" s="6">
        <f>IF(ROW()=5,F72-G72,H71+F72-G72)</f>
        <v>520</v>
      </c>
      <c r="I72" s="7">
        <v>28.3</v>
      </c>
      <c r="J72" s="7">
        <f>IFERROR((F73+G73)*I72,0)</f>
        <v>0</v>
      </c>
      <c r="K72" s="7" t="e">
        <f>L71+M71-N71</f>
        <v>#VALUE!</v>
      </c>
      <c r="L72" s="7" t="e">
        <f>(TablaMarimba6[[#This Row],[Saldo inicial(vales)]]-TablaMarimba6[[#This Row],[Importe]])</f>
        <v>#VALUE!</v>
      </c>
      <c r="M72" s="7" t="str">
        <f>IF(A72="","", WEEKNUM(A72, 2))</f>
        <v/>
      </c>
      <c r="N72" s="7"/>
    </row>
    <row r="73" spans="1:14">
      <c r="A73" s="5"/>
      <c r="E73" s="3" t="e">
        <f>VLOOKUP(TablaMarimba6[[#This Row],[Equipo]],[1]Catalogos!$V$4:$W$55,2,FALSE)</f>
        <v>#N/A</v>
      </c>
      <c r="F73" s="6"/>
      <c r="G73" s="12"/>
      <c r="H73" s="6">
        <f>IF(ROW()=5,F73-G73,H72+F73-G73)</f>
        <v>520</v>
      </c>
      <c r="I73" s="7">
        <v>28.3</v>
      </c>
      <c r="J73" s="7">
        <f>IFERROR((F74+G74)*I73,0)</f>
        <v>0</v>
      </c>
      <c r="K73" s="7" t="e">
        <f>L72+M72-N72</f>
        <v>#VALUE!</v>
      </c>
      <c r="L73" s="7" t="e">
        <f>(TablaMarimba6[[#This Row],[Saldo inicial(vales)]]-TablaMarimba6[[#This Row],[Importe]])</f>
        <v>#VALUE!</v>
      </c>
      <c r="M73" s="7" t="str">
        <f>IF(A73="","", WEEKNUM(A73, 2))</f>
        <v/>
      </c>
      <c r="N73" s="7"/>
    </row>
    <row r="74" spans="1:14">
      <c r="A74" s="5"/>
      <c r="E74" s="3" t="e">
        <f>VLOOKUP(TablaMarimba6[[#This Row],[Equipo]],[1]Catalogos!$V$4:$W$55,2,FALSE)</f>
        <v>#N/A</v>
      </c>
      <c r="F74" s="6"/>
      <c r="G74" s="12"/>
      <c r="H74" s="6">
        <f>IF(ROW()=5,F74-G74,H73+F74-G74)</f>
        <v>520</v>
      </c>
      <c r="I74" s="7">
        <v>28.3</v>
      </c>
      <c r="J74" s="7">
        <f>IFERROR((F75+G75)*I74,0)</f>
        <v>0</v>
      </c>
      <c r="K74" s="7" t="e">
        <f>L73+M73-N73</f>
        <v>#VALUE!</v>
      </c>
      <c r="L74" s="7" t="e">
        <f>(TablaMarimba6[[#This Row],[Saldo inicial(vales)]]-TablaMarimba6[[#This Row],[Importe]])</f>
        <v>#VALUE!</v>
      </c>
      <c r="M74" s="7" t="str">
        <f>IF(A74="","", WEEKNUM(A74, 2))</f>
        <v/>
      </c>
      <c r="N74" s="7"/>
    </row>
    <row r="75" spans="1:14">
      <c r="A75" s="5"/>
      <c r="E75" s="3" t="e">
        <f>VLOOKUP(TablaMarimba6[[#This Row],[Equipo]],[1]Catalogos!$V$4:$W$55,2,FALSE)</f>
        <v>#N/A</v>
      </c>
      <c r="F75" s="6"/>
      <c r="G75" s="12"/>
      <c r="H75" s="6">
        <f>IF(ROW()=5,F75-G75,H74+F75-G75)</f>
        <v>520</v>
      </c>
      <c r="I75" s="7">
        <v>28.3</v>
      </c>
      <c r="J75" s="7">
        <f>IFERROR((#REF!+#REF!)*I75,0)</f>
        <v>0</v>
      </c>
      <c r="K75" s="7" t="e">
        <f>L74+M74-N74</f>
        <v>#VALUE!</v>
      </c>
      <c r="L75" s="7" t="e">
        <f>(TablaMarimba6[[#This Row],[Saldo inicial(vales)]]-TablaMarimba6[[#This Row],[Importe]])</f>
        <v>#VALUE!</v>
      </c>
      <c r="M75" s="7" t="str">
        <f>IF(A75="","", WEEKNUM(A75, 2))</f>
        <v/>
      </c>
      <c r="N75" s="7"/>
    </row>
    <row r="76" spans="1:14">
      <c r="A76" s="5"/>
      <c r="E76" s="3" t="e">
        <f>VLOOKUP(TablaMarimba6[[#This Row],[Equipo]],[1]Catalogos!$V$4:$W$55,2,FALSE)</f>
        <v>#N/A</v>
      </c>
      <c r="F76" s="6"/>
      <c r="G76" s="12"/>
      <c r="H76" s="6">
        <f>IF(ROW()=5,F76-G76,H75+F76-G76)</f>
        <v>520</v>
      </c>
      <c r="I76" s="7">
        <v>28.3</v>
      </c>
      <c r="J76" s="7">
        <f>IFERROR((F76+G76)*I76,0)</f>
        <v>0</v>
      </c>
      <c r="K76" s="7" t="e">
        <f>L75+M75-N75</f>
        <v>#VALUE!</v>
      </c>
      <c r="L76" s="7" t="e">
        <f>(TablaMarimba6[[#This Row],[Saldo inicial(vales)]]-TablaMarimba6[[#This Row],[Importe]])</f>
        <v>#VALUE!</v>
      </c>
      <c r="M76" s="7" t="str">
        <f>IF(A76="","", WEEKNUM(A76, 2))</f>
        <v/>
      </c>
      <c r="N76" s="7"/>
    </row>
    <row r="77" spans="1:14">
      <c r="A77" s="5"/>
      <c r="E77" s="3" t="e">
        <f>VLOOKUP(TablaMarimba6[[#This Row],[Equipo]],[1]Catalogos!$V$4:$W$55,2,FALSE)</f>
        <v>#N/A</v>
      </c>
      <c r="F77" s="6"/>
      <c r="G77" s="12"/>
      <c r="H77" s="6">
        <f>IF(ROW()=5,F77-G77,H76+F77-G77)</f>
        <v>520</v>
      </c>
      <c r="I77" s="7">
        <v>28.3</v>
      </c>
      <c r="J77" s="7">
        <f>IFERROR((F77+G77)*I77,0)</f>
        <v>0</v>
      </c>
      <c r="K77" s="7" t="e">
        <f>L76+M76-N76</f>
        <v>#VALUE!</v>
      </c>
      <c r="L77" s="7" t="e">
        <f>(TablaMarimba6[[#This Row],[Saldo inicial(vales)]]-TablaMarimba6[[#This Row],[Importe]])</f>
        <v>#VALUE!</v>
      </c>
      <c r="M77" s="7" t="str">
        <f>IF(A77="","", WEEKNUM(A77, 2))</f>
        <v/>
      </c>
      <c r="N77" s="7"/>
    </row>
    <row r="78" spans="1:14">
      <c r="A78" s="5"/>
      <c r="E78" s="3" t="e">
        <f>VLOOKUP(TablaMarimba6[[#This Row],[Equipo]],[1]Catalogos!$V$4:$W$55,2,FALSE)</f>
        <v>#N/A</v>
      </c>
      <c r="F78" s="6"/>
      <c r="G78" s="12"/>
      <c r="H78" s="6">
        <f>IF(ROW()=5,F78-G78,H77+F78-G78)</f>
        <v>520</v>
      </c>
      <c r="I78" s="7">
        <v>28.3</v>
      </c>
      <c r="J78" s="7">
        <f>IFERROR((F78+G78)*I78,0)</f>
        <v>0</v>
      </c>
      <c r="K78" s="7" t="e">
        <f>L77+M77-N77</f>
        <v>#VALUE!</v>
      </c>
      <c r="L78" s="7" t="e">
        <f>(TablaMarimba6[[#This Row],[Saldo inicial(vales)]]-TablaMarimba6[[#This Row],[Importe]])</f>
        <v>#VALUE!</v>
      </c>
      <c r="M78" s="7" t="str">
        <f>IF(A78="","", WEEKNUM(A78, 2))</f>
        <v/>
      </c>
      <c r="N78" s="7"/>
    </row>
    <row r="79" spans="1:14">
      <c r="A79" s="5"/>
      <c r="E79" s="3" t="e">
        <f>VLOOKUP(TablaMarimba6[[#This Row],[Equipo]],[1]Catalogos!$V$4:$W$55,2,FALSE)</f>
        <v>#N/A</v>
      </c>
      <c r="F79" s="6"/>
      <c r="G79" s="12"/>
      <c r="H79" s="6">
        <f>IF(ROW()=5,F79-G79,H78+F79-G79)</f>
        <v>520</v>
      </c>
      <c r="I79" s="7">
        <v>28.3</v>
      </c>
      <c r="J79" s="7">
        <f>IFERROR((F79+G79)*I79,0)</f>
        <v>0</v>
      </c>
      <c r="K79" s="7" t="e">
        <f>L78+M78-N78</f>
        <v>#VALUE!</v>
      </c>
      <c r="L79" s="7" t="e">
        <f>(TablaMarimba6[[#This Row],[Saldo inicial(vales)]]-TablaMarimba6[[#This Row],[Importe]])</f>
        <v>#VALUE!</v>
      </c>
      <c r="M79" s="7" t="str">
        <f>IF(A79="","", WEEKNUM(A79, 2))</f>
        <v/>
      </c>
      <c r="N79" s="7"/>
    </row>
    <row r="80" spans="1:14">
      <c r="A80" s="5"/>
      <c r="E80" s="3" t="e">
        <f>VLOOKUP(TablaMarimba6[[#This Row],[Equipo]],[1]Catalogos!$V$4:$W$55,2,FALSE)</f>
        <v>#N/A</v>
      </c>
      <c r="F80" s="6"/>
      <c r="G80" s="12"/>
      <c r="H80" s="6">
        <f>IF(ROW()=5,F80-G80,H79+F80-G80)</f>
        <v>520</v>
      </c>
      <c r="I80" s="7">
        <v>28.3</v>
      </c>
      <c r="J80" s="7">
        <f>IFERROR((F80+G80)*I80,0)</f>
        <v>0</v>
      </c>
      <c r="K80" s="7" t="e">
        <f>L79+M79-N79</f>
        <v>#VALUE!</v>
      </c>
      <c r="L80" s="7" t="e">
        <f>(TablaMarimba6[[#This Row],[Saldo inicial(vales)]]-TablaMarimba6[[#This Row],[Importe]])</f>
        <v>#VALUE!</v>
      </c>
      <c r="M80" s="7" t="str">
        <f>IF(A80="","", WEEKNUM(A80, 2))</f>
        <v/>
      </c>
      <c r="N80" s="7"/>
    </row>
    <row r="81" spans="1:14">
      <c r="A81" s="5"/>
      <c r="E81" s="3" t="e">
        <f>VLOOKUP(TablaMarimba6[[#This Row],[Equipo]],[1]Catalogos!$V$4:$W$55,2,FALSE)</f>
        <v>#N/A</v>
      </c>
      <c r="F81" s="6"/>
      <c r="G81" s="12"/>
      <c r="H81" s="6">
        <f>IF(ROW()=5,F81-G81,H80+F81-G81)</f>
        <v>520</v>
      </c>
      <c r="I81" s="7">
        <v>28.3</v>
      </c>
      <c r="J81" s="7">
        <f>IFERROR((F81+G81)*I81,0)</f>
        <v>0</v>
      </c>
      <c r="K81" s="7" t="e">
        <f>L80+M80-N80</f>
        <v>#VALUE!</v>
      </c>
      <c r="L81" s="7" t="e">
        <f>(TablaMarimba6[[#This Row],[Saldo inicial(vales)]]-TablaMarimba6[[#This Row],[Importe]])</f>
        <v>#VALUE!</v>
      </c>
      <c r="M81" s="7" t="str">
        <f>IF(A81="","", WEEKNUM(A81, 2))</f>
        <v/>
      </c>
      <c r="N81" s="7"/>
    </row>
    <row r="82" spans="1:14">
      <c r="A82" s="5"/>
      <c r="E82" s="3" t="e">
        <f>VLOOKUP(TablaMarimba6[[#This Row],[Equipo]],[1]Catalogos!$V$4:$W$55,2,FALSE)</f>
        <v>#N/A</v>
      </c>
      <c r="F82" s="6"/>
      <c r="G82" s="12"/>
      <c r="H82" s="6">
        <f>IF(ROW()=5,F82-G82,H81+F82-G82)</f>
        <v>520</v>
      </c>
      <c r="I82" s="7">
        <v>28.3</v>
      </c>
      <c r="J82" s="7">
        <f>IFERROR((F82+G82)*I82,0)</f>
        <v>0</v>
      </c>
      <c r="K82" s="7" t="e">
        <f>L81+M81-N81</f>
        <v>#VALUE!</v>
      </c>
      <c r="L82" s="7" t="e">
        <f>(TablaMarimba6[[#This Row],[Saldo inicial(vales)]]-TablaMarimba6[[#This Row],[Importe]])</f>
        <v>#VALUE!</v>
      </c>
      <c r="M82" s="7" t="str">
        <f>IF(A82="","", WEEKNUM(A82, 2))</f>
        <v/>
      </c>
      <c r="N82" s="7"/>
    </row>
    <row r="83" spans="1:14">
      <c r="A83" s="5"/>
      <c r="E83" s="3" t="e">
        <f>VLOOKUP(TablaMarimba6[[#This Row],[Equipo]],[1]Catalogos!$V$4:$W$55,2,FALSE)</f>
        <v>#N/A</v>
      </c>
      <c r="F83" s="6"/>
      <c r="G83" s="12"/>
      <c r="H83" s="6">
        <f>IF(ROW()=5,F83-G83,H82+F83-G83)</f>
        <v>520</v>
      </c>
      <c r="I83" s="7">
        <v>28.3</v>
      </c>
      <c r="J83" s="7">
        <f>IFERROR((F83+G83)*I83,0)</f>
        <v>0</v>
      </c>
      <c r="K83" s="7" t="e">
        <f>L82+M82-N82</f>
        <v>#VALUE!</v>
      </c>
      <c r="L83" s="7" t="e">
        <f>(TablaMarimba6[[#This Row],[Saldo inicial(vales)]]-TablaMarimba6[[#This Row],[Importe]])</f>
        <v>#VALUE!</v>
      </c>
      <c r="M83" s="7" t="str">
        <f>IF(A83="","", WEEKNUM(A83, 2))</f>
        <v/>
      </c>
      <c r="N83" s="7"/>
    </row>
    <row r="84" spans="1:14">
      <c r="A84" s="5"/>
      <c r="E84" s="3" t="e">
        <f>VLOOKUP(TablaMarimba6[[#This Row],[Equipo]],[1]Catalogos!$V$4:$W$55,2,FALSE)</f>
        <v>#N/A</v>
      </c>
      <c r="F84" s="6"/>
      <c r="G84" s="12"/>
      <c r="H84" s="6">
        <f>IF(ROW()=5,F84-G84,H83+F84-G84)</f>
        <v>520</v>
      </c>
      <c r="I84" s="7">
        <v>28.3</v>
      </c>
      <c r="J84" s="7">
        <f>IFERROR((F84+G84)*I84,0)</f>
        <v>0</v>
      </c>
      <c r="K84" s="7" t="e">
        <f>L83+M83-N83</f>
        <v>#VALUE!</v>
      </c>
      <c r="L84" s="7" t="e">
        <f>(TablaMarimba6[[#This Row],[Saldo inicial(vales)]]-TablaMarimba6[[#This Row],[Importe]])</f>
        <v>#VALUE!</v>
      </c>
      <c r="M84" s="7" t="str">
        <f>IF(A84="","", WEEKNUM(A84, 2))</f>
        <v/>
      </c>
      <c r="N84" s="7"/>
    </row>
    <row r="85" spans="1:14">
      <c r="A85" s="5"/>
      <c r="E85" s="3" t="e">
        <f>VLOOKUP(TablaMarimba6[[#This Row],[Equipo]],[1]Catalogos!$V$4:$W$55,2,FALSE)</f>
        <v>#N/A</v>
      </c>
      <c r="F85" s="6"/>
      <c r="G85" s="12"/>
      <c r="H85" s="6">
        <f>IF(ROW()=5,F85-G85,H84+F85-G85)</f>
        <v>520</v>
      </c>
      <c r="I85" s="7">
        <v>28.3</v>
      </c>
      <c r="J85" s="7">
        <f>IFERROR((F85+G85)*I85,0)</f>
        <v>0</v>
      </c>
      <c r="K85" s="7" t="e">
        <f>L84+M84-N84</f>
        <v>#VALUE!</v>
      </c>
      <c r="L85" s="7" t="e">
        <f>(TablaMarimba6[[#This Row],[Saldo inicial(vales)]]-TablaMarimba6[[#This Row],[Importe]])</f>
        <v>#VALUE!</v>
      </c>
      <c r="M85" s="7" t="str">
        <f>IF(A85="","", WEEKNUM(A85, 2))</f>
        <v/>
      </c>
      <c r="N85" s="7"/>
    </row>
    <row r="86" spans="1:14">
      <c r="A86" s="5"/>
      <c r="E86" s="3" t="e">
        <f>VLOOKUP(TablaMarimba6[[#This Row],[Equipo]],[1]Catalogos!$V$4:$W$55,2,FALSE)</f>
        <v>#N/A</v>
      </c>
      <c r="F86" s="6"/>
      <c r="G86" s="12"/>
      <c r="H86" s="6">
        <f>IF(ROW()=5,F86-G86,H85+F86-G86)</f>
        <v>520</v>
      </c>
      <c r="I86" s="7">
        <v>28.3</v>
      </c>
      <c r="J86" s="7">
        <f>IFERROR((F86+G86)*I86,0)</f>
        <v>0</v>
      </c>
      <c r="K86" s="7" t="e">
        <f>L85+M85-N85</f>
        <v>#VALUE!</v>
      </c>
      <c r="L86" s="7" t="e">
        <f>(TablaMarimba6[[#This Row],[Saldo inicial(vales)]]-TablaMarimba6[[#This Row],[Importe]])</f>
        <v>#VALUE!</v>
      </c>
      <c r="M86" s="7" t="str">
        <f>IF(A86="","", WEEKNUM(A86, 2))</f>
        <v/>
      </c>
      <c r="N86" s="7"/>
    </row>
    <row r="87" spans="1:14">
      <c r="A87" s="5"/>
      <c r="E87" s="3" t="e">
        <f>VLOOKUP(TablaMarimba6[[#This Row],[Equipo]],[1]Catalogos!$V$4:$W$55,2,FALSE)</f>
        <v>#N/A</v>
      </c>
      <c r="F87" s="6"/>
      <c r="G87" s="12"/>
      <c r="H87" s="6">
        <f>IF(ROW()=5,F87-G87,H86+F87-G87)</f>
        <v>520</v>
      </c>
      <c r="I87" s="7">
        <v>28.3</v>
      </c>
      <c r="J87" s="7">
        <f>IFERROR((F87+G87)*I87,0)</f>
        <v>0</v>
      </c>
      <c r="K87" s="7" t="e">
        <f>L86+M86-N86</f>
        <v>#VALUE!</v>
      </c>
      <c r="L87" s="7" t="e">
        <f>(TablaMarimba6[[#This Row],[Saldo inicial(vales)]]-TablaMarimba6[[#This Row],[Importe]])</f>
        <v>#VALUE!</v>
      </c>
      <c r="M87" s="7" t="str">
        <f>IF(A87="","", WEEKNUM(A87, 2))</f>
        <v/>
      </c>
      <c r="N87" s="7"/>
    </row>
    <row r="88" spans="1:14">
      <c r="A88" s="5"/>
      <c r="E88" s="3" t="e">
        <f>VLOOKUP(TablaMarimba6[[#This Row],[Equipo]],[1]Catalogos!$V$4:$W$55,2,FALSE)</f>
        <v>#N/A</v>
      </c>
      <c r="F88" s="6"/>
      <c r="G88" s="12"/>
      <c r="H88" s="6">
        <f>IF(ROW()=5,F88-G88,H87+F88-G88)</f>
        <v>520</v>
      </c>
      <c r="I88" s="7">
        <v>28.3</v>
      </c>
      <c r="J88" s="7">
        <f>IFERROR((F88+G88)*I88,0)</f>
        <v>0</v>
      </c>
      <c r="K88" s="7" t="e">
        <f>L87+M87-N87</f>
        <v>#VALUE!</v>
      </c>
      <c r="L88" s="7" t="e">
        <f>(TablaMarimba6[[#This Row],[Saldo inicial(vales)]]-TablaMarimba6[[#This Row],[Importe]])</f>
        <v>#VALUE!</v>
      </c>
      <c r="M88" s="7" t="str">
        <f>IF(A88="","", WEEKNUM(A88, 2))</f>
        <v/>
      </c>
      <c r="N88" s="7"/>
    </row>
    <row r="89" spans="1:14">
      <c r="A89" s="5"/>
      <c r="E89" s="3" t="e">
        <f>VLOOKUP(TablaMarimba6[[#This Row],[Equipo]],[1]Catalogos!$V$4:$W$55,2,FALSE)</f>
        <v>#N/A</v>
      </c>
      <c r="F89" s="6"/>
      <c r="G89" s="12"/>
      <c r="H89" s="6">
        <f>IF(ROW()=5,F89-G89,H88+F89-G89)</f>
        <v>520</v>
      </c>
      <c r="I89" s="7">
        <v>28.3</v>
      </c>
      <c r="J89" s="7">
        <f>IFERROR((F89+G89)*I89,0)</f>
        <v>0</v>
      </c>
      <c r="K89" s="7" t="e">
        <f>L88+M88-N88</f>
        <v>#VALUE!</v>
      </c>
      <c r="L89" s="7" t="e">
        <f>(TablaMarimba6[[#This Row],[Saldo inicial(vales)]]-TablaMarimba6[[#This Row],[Importe]])</f>
        <v>#VALUE!</v>
      </c>
      <c r="M89" s="7" t="str">
        <f>IF(A89="","", WEEKNUM(A89, 2))</f>
        <v/>
      </c>
      <c r="N89" s="7"/>
    </row>
    <row r="90" spans="1:14">
      <c r="A90" s="5"/>
      <c r="E90" s="3" t="e">
        <f>VLOOKUP(TablaMarimba6[[#This Row],[Equipo]],[1]Catalogos!$V$4:$W$55,2,FALSE)</f>
        <v>#N/A</v>
      </c>
      <c r="F90" s="6"/>
      <c r="G90" s="12"/>
      <c r="H90" s="6">
        <f>IF(ROW()=5,F90-G90,H89+F90-G90)</f>
        <v>520</v>
      </c>
      <c r="I90" s="7">
        <v>28.3</v>
      </c>
      <c r="J90" s="7">
        <f>IFERROR((F90+G90)*I90,0)</f>
        <v>0</v>
      </c>
      <c r="K90" s="7" t="e">
        <f>L89+M89-N89</f>
        <v>#VALUE!</v>
      </c>
      <c r="L90" s="7" t="e">
        <f>(TablaMarimba6[[#This Row],[Saldo inicial(vales)]]-TablaMarimba6[[#This Row],[Importe]])</f>
        <v>#VALUE!</v>
      </c>
      <c r="M90" s="7" t="str">
        <f>IF(A90="","", WEEKNUM(A90, 2))</f>
        <v/>
      </c>
      <c r="N90" s="7"/>
    </row>
    <row r="91" spans="1:14">
      <c r="A91" s="5"/>
      <c r="E91" s="3" t="e">
        <f>VLOOKUP(TablaMarimba6[[#This Row],[Equipo]],[1]Catalogos!$V$4:$W$55,2,FALSE)</f>
        <v>#N/A</v>
      </c>
      <c r="F91" s="6"/>
      <c r="G91" s="12"/>
      <c r="H91" s="6">
        <f>IF(ROW()=5,F91-G91,H90+F91-G91)</f>
        <v>520</v>
      </c>
      <c r="I91" s="7">
        <v>28.3</v>
      </c>
      <c r="J91" s="7">
        <f>IFERROR((F91+G91)*I91,0)</f>
        <v>0</v>
      </c>
      <c r="K91" s="7" t="e">
        <f>L90+M90-N90</f>
        <v>#VALUE!</v>
      </c>
      <c r="L91" s="7" t="e">
        <f>(TablaMarimba6[[#This Row],[Saldo inicial(vales)]]-TablaMarimba6[[#This Row],[Importe]])</f>
        <v>#VALUE!</v>
      </c>
      <c r="M91" s="7" t="str">
        <f>IF(A91="","", WEEKNUM(A91, 2))</f>
        <v/>
      </c>
      <c r="N91" s="7"/>
    </row>
    <row r="92" spans="1:14">
      <c r="A92" s="5"/>
      <c r="E92" s="3" t="e">
        <f>VLOOKUP(TablaMarimba6[[#This Row],[Equipo]],[1]Catalogos!$V$4:$W$55,2,FALSE)</f>
        <v>#N/A</v>
      </c>
      <c r="F92" s="6"/>
      <c r="G92" s="12"/>
      <c r="H92" s="6">
        <f>IF(ROW()=5,F92-G92,H91+F92-G92)</f>
        <v>520</v>
      </c>
      <c r="I92" s="7">
        <v>28.3</v>
      </c>
      <c r="J92" s="7">
        <f>IFERROR((F92+G92)*I92,0)</f>
        <v>0</v>
      </c>
      <c r="K92" s="7" t="e">
        <f>L91+M91-N91</f>
        <v>#VALUE!</v>
      </c>
      <c r="L92" s="7" t="e">
        <f>(TablaMarimba6[[#This Row],[Saldo inicial(vales)]]-TablaMarimba6[[#This Row],[Importe]])</f>
        <v>#VALUE!</v>
      </c>
      <c r="M92" s="7" t="str">
        <f>IF(A92="","", WEEKNUM(A92, 2))</f>
        <v/>
      </c>
      <c r="N92" s="7"/>
    </row>
    <row r="93" spans="1:14">
      <c r="A93" s="5"/>
      <c r="E93" s="3" t="e">
        <f>VLOOKUP(TablaMarimba6[[#This Row],[Equipo]],[1]Catalogos!$V$4:$W$55,2,FALSE)</f>
        <v>#N/A</v>
      </c>
      <c r="F93" s="6"/>
      <c r="G93" s="12"/>
      <c r="H93" s="6">
        <f>IF(ROW()=5,F93-G93,H92+F93-G93)</f>
        <v>520</v>
      </c>
      <c r="I93" s="7">
        <v>28.3</v>
      </c>
      <c r="J93" s="7">
        <f>IFERROR((F93+G93)*I93,0)</f>
        <v>0</v>
      </c>
      <c r="K93" s="7" t="e">
        <f>L92+M92-N92</f>
        <v>#VALUE!</v>
      </c>
      <c r="L93" s="7" t="e">
        <f>(TablaMarimba6[[#This Row],[Saldo inicial(vales)]]-TablaMarimba6[[#This Row],[Importe]])</f>
        <v>#VALUE!</v>
      </c>
      <c r="M93" s="7" t="str">
        <f>IF(A93="","", WEEKNUM(A93, 2))</f>
        <v/>
      </c>
      <c r="N93" s="7"/>
    </row>
    <row r="94" spans="1:14">
      <c r="A94" s="5"/>
      <c r="E94" s="3" t="e">
        <f>VLOOKUP(TablaMarimba6[[#This Row],[Equipo]],[1]Catalogos!$V$4:$W$55,2,FALSE)</f>
        <v>#N/A</v>
      </c>
      <c r="F94" s="6"/>
      <c r="G94" s="12"/>
      <c r="H94" s="6">
        <f>IF(ROW()=5,F94-G94,H93+F94-G94)</f>
        <v>520</v>
      </c>
      <c r="I94" s="7">
        <v>28.3</v>
      </c>
      <c r="J94" s="7">
        <f>IFERROR((F94+G94)*I94,0)</f>
        <v>0</v>
      </c>
      <c r="K94" s="7" t="e">
        <f>L93+M93-N93</f>
        <v>#VALUE!</v>
      </c>
      <c r="L94" s="7" t="e">
        <f>(TablaMarimba6[[#This Row],[Saldo inicial(vales)]]-TablaMarimba6[[#This Row],[Importe]])</f>
        <v>#VALUE!</v>
      </c>
      <c r="M94" s="7" t="str">
        <f>IF(A94="","", WEEKNUM(A94, 2))</f>
        <v/>
      </c>
      <c r="N94" s="7"/>
    </row>
    <row r="95" spans="1:14">
      <c r="A95" s="5"/>
      <c r="E95" s="3" t="e">
        <f>VLOOKUP(TablaMarimba6[[#This Row],[Equipo]],[1]Catalogos!$V$4:$W$55,2,FALSE)</f>
        <v>#N/A</v>
      </c>
      <c r="F95" s="6"/>
      <c r="G95" s="12"/>
      <c r="H95" s="6">
        <f>IF(ROW()=5,F95-G95,H94+F95-G95)</f>
        <v>520</v>
      </c>
      <c r="I95" s="7">
        <v>28.3</v>
      </c>
      <c r="J95" s="7">
        <f>IFERROR((F95+G95)*I95,0)</f>
        <v>0</v>
      </c>
      <c r="K95" s="7" t="e">
        <f>L94+M94-N94</f>
        <v>#VALUE!</v>
      </c>
      <c r="L95" s="7" t="e">
        <f>(TablaMarimba6[[#This Row],[Saldo inicial(vales)]]-TablaMarimba6[[#This Row],[Importe]])</f>
        <v>#VALUE!</v>
      </c>
      <c r="M95" s="7" t="str">
        <f>IF(A95="","", WEEKNUM(A95, 2))</f>
        <v/>
      </c>
      <c r="N95" s="7"/>
    </row>
    <row r="96" spans="1:14">
      <c r="A96" s="5"/>
      <c r="E96" s="3" t="e">
        <f>VLOOKUP(TablaMarimba6[[#This Row],[Equipo]],[1]Catalogos!$V$4:$W$55,2,FALSE)</f>
        <v>#N/A</v>
      </c>
      <c r="F96" s="6"/>
      <c r="G96" s="12"/>
      <c r="H96" s="6">
        <f>IF(ROW()=5,F96-G96,H95+F96-G96)</f>
        <v>520</v>
      </c>
      <c r="I96" s="7">
        <v>28.3</v>
      </c>
      <c r="J96" s="7">
        <f>IFERROR((F96+G96)*I96,0)</f>
        <v>0</v>
      </c>
      <c r="K96" s="7" t="e">
        <f>L95+M95-N95</f>
        <v>#VALUE!</v>
      </c>
      <c r="L96" s="7" t="e">
        <f>(TablaMarimba6[[#This Row],[Saldo inicial(vales)]]-TablaMarimba6[[#This Row],[Importe]])</f>
        <v>#VALUE!</v>
      </c>
      <c r="M96" s="7" t="str">
        <f>IF(A96="","", WEEKNUM(A96, 2))</f>
        <v/>
      </c>
      <c r="N96" s="7"/>
    </row>
    <row r="97" spans="1:14">
      <c r="A97" s="5"/>
      <c r="E97" s="3" t="e">
        <f>VLOOKUP(TablaMarimba6[[#This Row],[Equipo]],[1]Catalogos!$V$4:$W$55,2,FALSE)</f>
        <v>#N/A</v>
      </c>
      <c r="F97" s="6"/>
      <c r="G97" s="12"/>
      <c r="H97" s="6">
        <f>IF(ROW()=5,F97-G97,H96+F97-G97)</f>
        <v>520</v>
      </c>
      <c r="I97" s="7">
        <v>28.3</v>
      </c>
      <c r="J97" s="7">
        <f>IFERROR((F97+G97)*I97,0)</f>
        <v>0</v>
      </c>
      <c r="K97" s="7" t="e">
        <f>L96+M96-N96</f>
        <v>#VALUE!</v>
      </c>
      <c r="L97" s="7" t="e">
        <f>(TablaMarimba6[[#This Row],[Saldo inicial(vales)]]-TablaMarimba6[[#This Row],[Importe]])</f>
        <v>#VALUE!</v>
      </c>
      <c r="M97" s="7" t="str">
        <f>IF(A97="","", WEEKNUM(A97, 2))</f>
        <v/>
      </c>
      <c r="N97" s="7"/>
    </row>
    <row r="98" spans="1:14">
      <c r="A98" s="5"/>
      <c r="E98" s="3" t="e">
        <f>VLOOKUP(TablaMarimba6[[#This Row],[Equipo]],[1]Catalogos!$V$4:$W$55,2,FALSE)</f>
        <v>#N/A</v>
      </c>
      <c r="F98" s="6"/>
      <c r="G98" s="12"/>
      <c r="H98" s="6">
        <f>IF(ROW()=5,F98-G98,H97+F98-G98)</f>
        <v>520</v>
      </c>
      <c r="I98" s="7">
        <v>28.3</v>
      </c>
      <c r="J98" s="7">
        <f>IFERROR((F98+G98)*I98,0)</f>
        <v>0</v>
      </c>
      <c r="K98" s="7" t="e">
        <f>L97+M97-N97</f>
        <v>#VALUE!</v>
      </c>
      <c r="L98" s="7" t="e">
        <f>(TablaMarimba6[[#This Row],[Saldo inicial(vales)]]-TablaMarimba6[[#This Row],[Importe]])</f>
        <v>#VALUE!</v>
      </c>
      <c r="M98" s="7" t="str">
        <f>IF(A98="","", WEEKNUM(A98, 2))</f>
        <v/>
      </c>
      <c r="N98" s="7"/>
    </row>
    <row r="99" spans="1:14">
      <c r="A99" s="5"/>
      <c r="E99" s="3" t="e">
        <f>VLOOKUP(TablaMarimba6[[#This Row],[Equipo]],[1]Catalogos!$V$4:$W$55,2,FALSE)</f>
        <v>#N/A</v>
      </c>
      <c r="F99" s="6"/>
      <c r="G99" s="12"/>
      <c r="H99" s="6">
        <f>IF(ROW()=5,F99-G99,H98+F99-G99)</f>
        <v>520</v>
      </c>
      <c r="I99" s="7">
        <v>28.3</v>
      </c>
      <c r="J99" s="7">
        <f>IFERROR((F99+G99)*I99,0)</f>
        <v>0</v>
      </c>
      <c r="K99" s="7" t="e">
        <f>L98+M98-N98</f>
        <v>#VALUE!</v>
      </c>
      <c r="L99" s="7" t="e">
        <f>(TablaMarimba6[[#This Row],[Saldo inicial(vales)]]-TablaMarimba6[[#This Row],[Importe]])</f>
        <v>#VALUE!</v>
      </c>
      <c r="M99" s="7" t="str">
        <f>IF(A99="","", WEEKNUM(A99, 2))</f>
        <v/>
      </c>
      <c r="N99" s="7"/>
    </row>
    <row r="100" spans="1:14">
      <c r="A100" s="5"/>
      <c r="E100" s="3" t="e">
        <f>VLOOKUP(TablaMarimba6[[#This Row],[Equipo]],[1]Catalogos!$V$4:$W$55,2,FALSE)</f>
        <v>#N/A</v>
      </c>
      <c r="F100" s="6"/>
      <c r="G100" s="12"/>
      <c r="H100" s="6">
        <f>IF(ROW()=5,F100-G100,H99+F100-G100)</f>
        <v>520</v>
      </c>
      <c r="I100" s="7">
        <v>28.3</v>
      </c>
      <c r="J100" s="7">
        <f>IFERROR((F100+G100)*I100,0)</f>
        <v>0</v>
      </c>
      <c r="K100" s="7" t="e">
        <f>L99+M99-N99</f>
        <v>#VALUE!</v>
      </c>
      <c r="L100" s="7" t="e">
        <f>(TablaMarimba6[[#This Row],[Saldo inicial(vales)]]-TablaMarimba6[[#This Row],[Importe]])</f>
        <v>#VALUE!</v>
      </c>
      <c r="M100" s="7" t="str">
        <f>IF(A100="","", WEEKNUM(A100, 2))</f>
        <v/>
      </c>
      <c r="N100" s="7"/>
    </row>
    <row r="101" spans="1:14">
      <c r="A101" s="5"/>
      <c r="E101" s="3" t="e">
        <f>VLOOKUP(TablaMarimba6[[#This Row],[Equipo]],[1]Catalogos!$V$4:$W$55,2,FALSE)</f>
        <v>#N/A</v>
      </c>
      <c r="F101" s="6"/>
      <c r="G101" s="12"/>
      <c r="H101" s="6">
        <f>IF(ROW()=5,F101-G101,H100+F101-G101)</f>
        <v>520</v>
      </c>
      <c r="I101" s="7">
        <v>28.3</v>
      </c>
      <c r="J101" s="7">
        <f>IFERROR((F101+G101)*I101,0)</f>
        <v>0</v>
      </c>
      <c r="K101" s="7" t="e">
        <f>L100+M100-N100</f>
        <v>#VALUE!</v>
      </c>
      <c r="L101" s="7" t="e">
        <f>(TablaMarimba6[[#This Row],[Saldo inicial(vales)]]-TablaMarimba6[[#This Row],[Importe]])</f>
        <v>#VALUE!</v>
      </c>
      <c r="M101" s="7" t="str">
        <f>IF(A101="","", WEEKNUM(A101, 2))</f>
        <v/>
      </c>
      <c r="N101" s="7"/>
    </row>
    <row r="102" spans="1:14">
      <c r="A102" s="5"/>
      <c r="E102" s="3" t="e">
        <f>VLOOKUP(TablaMarimba6[[#This Row],[Equipo]],[1]Catalogos!$V$4:$W$55,2,FALSE)</f>
        <v>#N/A</v>
      </c>
      <c r="F102" s="6"/>
      <c r="G102" s="12"/>
      <c r="H102" s="6">
        <f>IF(ROW()=5,F102-G102,H101+F102-G102)</f>
        <v>520</v>
      </c>
      <c r="I102" s="7">
        <v>28.3</v>
      </c>
      <c r="J102" s="7">
        <f>IFERROR((F102+G102)*I102,0)</f>
        <v>0</v>
      </c>
      <c r="K102" s="7" t="e">
        <f>L101+M101-N101</f>
        <v>#VALUE!</v>
      </c>
      <c r="L102" s="7" t="e">
        <f>(TablaMarimba6[[#This Row],[Saldo inicial(vales)]]-TablaMarimba6[[#This Row],[Importe]])</f>
        <v>#VALUE!</v>
      </c>
      <c r="M102" s="7" t="str">
        <f>IF(A102="","", WEEKNUM(A102, 2))</f>
        <v/>
      </c>
      <c r="N102" s="7"/>
    </row>
    <row r="103" spans="1:14">
      <c r="A103" s="5"/>
      <c r="E103" s="3" t="e">
        <f>VLOOKUP(TablaMarimba6[[#This Row],[Equipo]],[1]Catalogos!$V$4:$W$55,2,FALSE)</f>
        <v>#N/A</v>
      </c>
      <c r="F103" s="6"/>
      <c r="G103" s="12"/>
      <c r="H103" s="6">
        <f>IF(ROW()=5,F103-G103,H102+F103-G103)</f>
        <v>520</v>
      </c>
      <c r="I103" s="7">
        <v>28.3</v>
      </c>
      <c r="J103" s="7">
        <f>IFERROR((F103+G103)*I103,0)</f>
        <v>0</v>
      </c>
      <c r="K103" s="7" t="e">
        <f>L102+M102-N102</f>
        <v>#VALUE!</v>
      </c>
      <c r="L103" s="7" t="e">
        <f>(TablaMarimba6[[#This Row],[Saldo inicial(vales)]]-TablaMarimba6[[#This Row],[Importe]])</f>
        <v>#VALUE!</v>
      </c>
      <c r="M103" s="7" t="str">
        <f>IF(A103="","", WEEKNUM(A103, 2))</f>
        <v/>
      </c>
      <c r="N103" s="7"/>
    </row>
    <row r="104" spans="1:14">
      <c r="A104" s="5"/>
      <c r="E104" s="3" t="e">
        <f>VLOOKUP(TablaMarimba6[[#This Row],[Equipo]],[1]Catalogos!$V$4:$W$55,2,FALSE)</f>
        <v>#N/A</v>
      </c>
      <c r="F104" s="6"/>
      <c r="G104" s="12"/>
      <c r="H104" s="6">
        <f>IF(ROW()=5,F104-G104,H103+F104-G104)</f>
        <v>520</v>
      </c>
      <c r="I104" s="7">
        <v>28.3</v>
      </c>
      <c r="J104" s="7">
        <f>IFERROR((F104+G104)*I104,0)</f>
        <v>0</v>
      </c>
      <c r="K104" s="7" t="e">
        <f>L103+M103-N103</f>
        <v>#VALUE!</v>
      </c>
      <c r="L104" s="7" t="e">
        <f>(TablaMarimba6[[#This Row],[Saldo inicial(vales)]]-TablaMarimba6[[#This Row],[Importe]])</f>
        <v>#VALUE!</v>
      </c>
      <c r="M104" s="7" t="str">
        <f>IF(A104="","", WEEKNUM(A104, 2))</f>
        <v/>
      </c>
      <c r="N104" s="7"/>
    </row>
    <row r="105" spans="1:14">
      <c r="A105" s="5"/>
      <c r="E105" s="3" t="e">
        <f>VLOOKUP(TablaMarimba6[[#This Row],[Equipo]],[1]Catalogos!$V$4:$W$55,2,FALSE)</f>
        <v>#N/A</v>
      </c>
      <c r="F105" s="6"/>
      <c r="G105" s="12"/>
      <c r="H105" s="6">
        <f>IF(ROW()=5,F105-G105,H104+F105-G105)</f>
        <v>520</v>
      </c>
      <c r="I105" s="7">
        <v>28.3</v>
      </c>
      <c r="J105" s="7">
        <f>IFERROR((F105+G105)*I105,0)</f>
        <v>0</v>
      </c>
      <c r="K105" s="7" t="e">
        <f>L104+M104-N104</f>
        <v>#VALUE!</v>
      </c>
      <c r="L105" s="7" t="e">
        <f>(TablaMarimba6[[#This Row],[Saldo inicial(vales)]]-TablaMarimba6[[#This Row],[Importe]])</f>
        <v>#VALUE!</v>
      </c>
      <c r="M105" s="7" t="str">
        <f>IF(A105="","", WEEKNUM(A105, 2))</f>
        <v/>
      </c>
      <c r="N105" s="7"/>
    </row>
    <row r="106" spans="1:14">
      <c r="A106" s="5"/>
      <c r="E106" s="3" t="e">
        <f>VLOOKUP(TablaMarimba6[[#This Row],[Equipo]],[1]Catalogos!$V$4:$W$55,2,FALSE)</f>
        <v>#N/A</v>
      </c>
      <c r="F106" s="6"/>
      <c r="G106" s="12"/>
      <c r="H106" s="6">
        <f>IF(ROW()=5,F106-G106,H105+F106-G106)</f>
        <v>520</v>
      </c>
      <c r="I106" s="7">
        <v>28.3</v>
      </c>
      <c r="J106" s="7">
        <f>IFERROR((F106+G106)*I106,0)</f>
        <v>0</v>
      </c>
      <c r="K106" s="7" t="e">
        <f>L105+M105-N105</f>
        <v>#VALUE!</v>
      </c>
      <c r="L106" s="7" t="e">
        <f>(TablaMarimba6[[#This Row],[Saldo inicial(vales)]]-TablaMarimba6[[#This Row],[Importe]])</f>
        <v>#VALUE!</v>
      </c>
      <c r="M106" s="7" t="str">
        <f>IF(A106="","", WEEKNUM(A106, 2))</f>
        <v/>
      </c>
      <c r="N106" s="7"/>
    </row>
    <row r="107" spans="1:14">
      <c r="A107" s="5"/>
      <c r="E107" s="3" t="e">
        <f>VLOOKUP(TablaMarimba6[[#This Row],[Equipo]],[1]Catalogos!$V$4:$W$55,2,FALSE)</f>
        <v>#N/A</v>
      </c>
      <c r="F107" s="6"/>
      <c r="G107" s="12"/>
      <c r="H107" s="6">
        <f>IF(ROW()=5,F107-G107,H106+F107-G107)</f>
        <v>520</v>
      </c>
      <c r="I107" s="7">
        <v>28.3</v>
      </c>
      <c r="J107" s="7">
        <f>IFERROR((F107+G107)*I107,0)</f>
        <v>0</v>
      </c>
      <c r="K107" s="7" t="e">
        <f>L106+M106-N106</f>
        <v>#VALUE!</v>
      </c>
      <c r="L107" s="7" t="e">
        <f>(TablaMarimba6[[#This Row],[Saldo inicial(vales)]]-TablaMarimba6[[#This Row],[Importe]])</f>
        <v>#VALUE!</v>
      </c>
      <c r="M107" s="7" t="str">
        <f>IF(A107="","", WEEKNUM(A107, 2))</f>
        <v/>
      </c>
      <c r="N107" s="7"/>
    </row>
    <row r="108" spans="1:14">
      <c r="A108" s="5"/>
      <c r="E108" s="3" t="e">
        <f>VLOOKUP(TablaMarimba6[[#This Row],[Equipo]],[1]Catalogos!$V$4:$W$55,2,FALSE)</f>
        <v>#N/A</v>
      </c>
      <c r="F108" s="6"/>
      <c r="G108" s="12"/>
      <c r="H108" s="6">
        <f>IF(ROW()=5,F108-G108,H107+F108-G108)</f>
        <v>520</v>
      </c>
      <c r="I108" s="7">
        <v>28.3</v>
      </c>
      <c r="J108" s="7">
        <f>IFERROR((F108+G108)*I108,0)</f>
        <v>0</v>
      </c>
      <c r="K108" s="7" t="e">
        <f>L107+M107-N107</f>
        <v>#VALUE!</v>
      </c>
      <c r="L108" s="7" t="e">
        <f>(TablaMarimba6[[#This Row],[Saldo inicial(vales)]]-TablaMarimba6[[#This Row],[Importe]])</f>
        <v>#VALUE!</v>
      </c>
      <c r="M108" s="7" t="str">
        <f>IF(A108="","", WEEKNUM(A108, 2))</f>
        <v/>
      </c>
      <c r="N108" s="7"/>
    </row>
    <row r="109" spans="1:14">
      <c r="A109" s="5"/>
      <c r="E109" s="3" t="e">
        <f>VLOOKUP(TablaMarimba6[[#This Row],[Equipo]],[1]Catalogos!$V$4:$W$55,2,FALSE)</f>
        <v>#N/A</v>
      </c>
      <c r="F109" s="6"/>
      <c r="G109" s="12"/>
      <c r="H109" s="6">
        <f>IF(ROW()=5,F109-G109,H108+F109-G109)</f>
        <v>520</v>
      </c>
      <c r="I109" s="7">
        <v>28.3</v>
      </c>
      <c r="J109" s="7">
        <f>IFERROR((F109+G109)*I109,0)</f>
        <v>0</v>
      </c>
      <c r="K109" s="7" t="e">
        <f>L108+M108-N108</f>
        <v>#VALUE!</v>
      </c>
      <c r="L109" s="7" t="e">
        <f>(TablaMarimba6[[#This Row],[Saldo inicial(vales)]]-TablaMarimba6[[#This Row],[Importe]])</f>
        <v>#VALUE!</v>
      </c>
      <c r="M109" s="7" t="str">
        <f>IF(A109="","", WEEKNUM(A109, 2))</f>
        <v/>
      </c>
      <c r="N109" s="7"/>
    </row>
    <row r="110" spans="1:14">
      <c r="A110" s="5"/>
      <c r="E110" s="3" t="e">
        <f>VLOOKUP(TablaMarimba6[[#This Row],[Equipo]],[1]Catalogos!$V$4:$W$55,2,FALSE)</f>
        <v>#N/A</v>
      </c>
      <c r="F110" s="6"/>
      <c r="G110" s="12"/>
      <c r="H110" s="6">
        <f>IF(ROW()=5,F110-G110,H109+F110-G110)</f>
        <v>520</v>
      </c>
      <c r="I110" s="7">
        <v>28.3</v>
      </c>
      <c r="J110" s="7">
        <f>IFERROR((F110+G110)*I110,0)</f>
        <v>0</v>
      </c>
      <c r="K110" s="7" t="e">
        <f>L109+M109-N109</f>
        <v>#VALUE!</v>
      </c>
      <c r="L110" s="7" t="e">
        <f>(TablaMarimba6[[#This Row],[Saldo inicial(vales)]]-TablaMarimba6[[#This Row],[Importe]])</f>
        <v>#VALUE!</v>
      </c>
      <c r="M110" s="7" t="str">
        <f>IF(A110="","", WEEKNUM(A110, 2))</f>
        <v/>
      </c>
      <c r="N110" s="7"/>
    </row>
    <row r="111" spans="1:14">
      <c r="A111" s="5"/>
      <c r="E111" s="3" t="e">
        <f>VLOOKUP(TablaMarimba6[[#This Row],[Equipo]],[1]Catalogos!$V$4:$W$55,2,FALSE)</f>
        <v>#N/A</v>
      </c>
      <c r="F111" s="6"/>
      <c r="G111" s="12"/>
      <c r="H111" s="6">
        <f>IF(ROW()=5,F111-G111,H110+F111-G111)</f>
        <v>520</v>
      </c>
      <c r="I111" s="7">
        <v>28.3</v>
      </c>
      <c r="J111" s="7">
        <f>IFERROR((F111+G111)*I111,0)</f>
        <v>0</v>
      </c>
      <c r="K111" s="7" t="e">
        <f>L110+M110-N110</f>
        <v>#VALUE!</v>
      </c>
      <c r="L111" s="7" t="e">
        <f>(TablaMarimba6[[#This Row],[Saldo inicial(vales)]]-TablaMarimba6[[#This Row],[Importe]])</f>
        <v>#VALUE!</v>
      </c>
      <c r="M111" s="7" t="str">
        <f>IF(A111="","", WEEKNUM(A111, 2))</f>
        <v/>
      </c>
      <c r="N111" s="7"/>
    </row>
    <row r="112" spans="1:14">
      <c r="A112" s="5"/>
      <c r="E112" s="3" t="e">
        <f>VLOOKUP(TablaMarimba6[[#This Row],[Equipo]],[1]Catalogos!$V$4:$W$55,2,FALSE)</f>
        <v>#N/A</v>
      </c>
      <c r="F112" s="6"/>
      <c r="G112" s="12"/>
      <c r="H112" s="6">
        <f>IF(ROW()=5,F112-G112,H111+F112-G112)</f>
        <v>520</v>
      </c>
      <c r="I112" s="7">
        <v>28.3</v>
      </c>
      <c r="J112" s="7">
        <f>IFERROR((F112+G112)*I112,0)</f>
        <v>0</v>
      </c>
      <c r="K112" s="7" t="e">
        <f>L111+M111-N111</f>
        <v>#VALUE!</v>
      </c>
      <c r="L112" s="7" t="e">
        <f>(TablaMarimba6[[#This Row],[Saldo inicial(vales)]]-TablaMarimba6[[#This Row],[Importe]])</f>
        <v>#VALUE!</v>
      </c>
      <c r="M112" s="7" t="str">
        <f>IF(A112="","", WEEKNUM(A112, 2))</f>
        <v/>
      </c>
      <c r="N112" s="7"/>
    </row>
    <row r="113" spans="1:14">
      <c r="A113" s="5"/>
      <c r="E113" s="3" t="e">
        <f>VLOOKUP(TablaMarimba6[[#This Row],[Equipo]],[1]Catalogos!$V$4:$W$55,2,FALSE)</f>
        <v>#N/A</v>
      </c>
      <c r="F113" s="6"/>
      <c r="G113" s="12"/>
      <c r="H113" s="6">
        <f>IF(ROW()=5,F113-G113,H112+F113-G113)</f>
        <v>520</v>
      </c>
      <c r="I113" s="7">
        <v>28.3</v>
      </c>
      <c r="J113" s="7">
        <f>IFERROR((F113+G113)*I113,0)</f>
        <v>0</v>
      </c>
      <c r="K113" s="7" t="e">
        <f>L112+M112-N112</f>
        <v>#VALUE!</v>
      </c>
      <c r="L113" s="7" t="e">
        <f>(TablaMarimba6[[#This Row],[Saldo inicial(vales)]]-TablaMarimba6[[#This Row],[Importe]])</f>
        <v>#VALUE!</v>
      </c>
      <c r="M113" s="7" t="str">
        <f>IF(A113="","", WEEKNUM(A113, 2))</f>
        <v/>
      </c>
      <c r="N113" s="7"/>
    </row>
    <row r="114" spans="1:14">
      <c r="A114" s="5"/>
      <c r="E114" s="3" t="e">
        <f>VLOOKUP(TablaMarimba6[[#This Row],[Equipo]],[1]Catalogos!$V$4:$W$55,2,FALSE)</f>
        <v>#N/A</v>
      </c>
      <c r="F114" s="6"/>
      <c r="G114" s="12"/>
      <c r="H114" s="6">
        <f>IF(ROW()=5,F114-G114,H113+F114-G114)</f>
        <v>520</v>
      </c>
      <c r="I114" s="7">
        <v>28.3</v>
      </c>
      <c r="J114" s="7">
        <f>IFERROR((F114+G114)*I114,0)</f>
        <v>0</v>
      </c>
      <c r="K114" s="7" t="e">
        <f>L113+M113-N113</f>
        <v>#VALUE!</v>
      </c>
      <c r="L114" s="7" t="e">
        <f>(TablaMarimba6[[#This Row],[Saldo inicial(vales)]]-TablaMarimba6[[#This Row],[Importe]])</f>
        <v>#VALUE!</v>
      </c>
      <c r="M114" s="7" t="str">
        <f>IF(A114="","", WEEKNUM(A114, 2))</f>
        <v/>
      </c>
      <c r="N114" s="7"/>
    </row>
    <row r="115" spans="1:14">
      <c r="A115" s="5"/>
      <c r="E115" s="3" t="e">
        <f>VLOOKUP(TablaMarimba6[[#This Row],[Equipo]],[1]Catalogos!$V$4:$W$55,2,FALSE)</f>
        <v>#N/A</v>
      </c>
      <c r="F115" s="6"/>
      <c r="G115" s="12"/>
      <c r="H115" s="6">
        <f>IF(ROW()=5,F115-G115,H114+F115-G115)</f>
        <v>520</v>
      </c>
      <c r="I115" s="7">
        <v>28.3</v>
      </c>
      <c r="J115" s="7">
        <f>IFERROR((F115+G115)*I115,0)</f>
        <v>0</v>
      </c>
      <c r="K115" s="7" t="e">
        <f>L114+M114-N114</f>
        <v>#VALUE!</v>
      </c>
      <c r="L115" s="7" t="e">
        <f>(TablaMarimba6[[#This Row],[Saldo inicial(vales)]]-TablaMarimba6[[#This Row],[Importe]])</f>
        <v>#VALUE!</v>
      </c>
      <c r="M115" s="7" t="str">
        <f>IF(A115="","", WEEKNUM(A115, 2))</f>
        <v/>
      </c>
      <c r="N115" s="7"/>
    </row>
    <row r="116" spans="1:14">
      <c r="A116" s="5"/>
      <c r="E116" s="3" t="e">
        <f>VLOOKUP(TablaMarimba6[[#This Row],[Equipo]],[1]Catalogos!$V$4:$W$55,2,FALSE)</f>
        <v>#N/A</v>
      </c>
      <c r="F116" s="6"/>
      <c r="G116" s="12"/>
      <c r="H116" s="6">
        <f>IF(ROW()=5,F116-G116,H115+F116-G116)</f>
        <v>520</v>
      </c>
      <c r="I116" s="7">
        <v>28.3</v>
      </c>
      <c r="J116" s="7">
        <f>IFERROR((F116+G116)*I116,0)</f>
        <v>0</v>
      </c>
      <c r="K116" s="7" t="e">
        <f>L115+M115-N115</f>
        <v>#VALUE!</v>
      </c>
      <c r="L116" s="7" t="e">
        <f>(TablaMarimba6[[#This Row],[Saldo inicial(vales)]]-TablaMarimba6[[#This Row],[Importe]])</f>
        <v>#VALUE!</v>
      </c>
      <c r="M116" s="7" t="str">
        <f>IF(A116="","", WEEKNUM(A116, 2))</f>
        <v/>
      </c>
      <c r="N116" s="7"/>
    </row>
    <row r="117" spans="1:14">
      <c r="A117" s="5"/>
      <c r="E117" s="3" t="e">
        <f>VLOOKUP(TablaMarimba6[[#This Row],[Equipo]],[1]Catalogos!$V$4:$W$55,2,FALSE)</f>
        <v>#N/A</v>
      </c>
      <c r="F117" s="6"/>
      <c r="G117" s="12"/>
      <c r="H117" s="6">
        <f>IF(ROW()=5,F117-G117,H116+F117-G117)</f>
        <v>520</v>
      </c>
      <c r="I117" s="7">
        <v>28.3</v>
      </c>
      <c r="J117" s="7">
        <f>IFERROR((F117+G117)*I117,0)</f>
        <v>0</v>
      </c>
      <c r="K117" s="7" t="e">
        <f>L116+M116-N116</f>
        <v>#VALUE!</v>
      </c>
      <c r="L117" s="7" t="e">
        <f>(TablaMarimba6[[#This Row],[Saldo inicial(vales)]]-TablaMarimba6[[#This Row],[Importe]])</f>
        <v>#VALUE!</v>
      </c>
      <c r="M117" s="7" t="str">
        <f>IF(A117="","", WEEKNUM(A117, 2))</f>
        <v/>
      </c>
      <c r="N117" s="7"/>
    </row>
    <row r="118" spans="1:14">
      <c r="A118" s="5"/>
      <c r="E118" s="3" t="e">
        <f>VLOOKUP(TablaMarimba6[[#This Row],[Equipo]],[1]Catalogos!$V$4:$W$55,2,FALSE)</f>
        <v>#N/A</v>
      </c>
      <c r="F118" s="6"/>
      <c r="G118" s="12"/>
      <c r="H118" s="6">
        <f>IF(ROW()=5,F118-G118,H117+F118-G118)</f>
        <v>520</v>
      </c>
      <c r="I118" s="7">
        <v>28.3</v>
      </c>
      <c r="J118" s="7">
        <f>IFERROR((F118+G118)*I118,0)</f>
        <v>0</v>
      </c>
      <c r="K118" s="7" t="e">
        <f>L117+M117-N117</f>
        <v>#VALUE!</v>
      </c>
      <c r="L118" s="7" t="e">
        <f>(TablaMarimba6[[#This Row],[Saldo inicial(vales)]]-TablaMarimba6[[#This Row],[Importe]])</f>
        <v>#VALUE!</v>
      </c>
      <c r="M118" s="7" t="str">
        <f>IF(A118="","", WEEKNUM(A118, 2))</f>
        <v/>
      </c>
      <c r="N118" s="7"/>
    </row>
    <row r="119" spans="1:14">
      <c r="A119" s="5"/>
      <c r="E119" s="3" t="e">
        <f>VLOOKUP(TablaMarimba6[[#This Row],[Equipo]],[1]Catalogos!$V$4:$W$55,2,FALSE)</f>
        <v>#N/A</v>
      </c>
      <c r="F119" s="6"/>
      <c r="G119" s="12"/>
      <c r="H119" s="6">
        <f>IF(ROW()=5,F119-G119,H118+F119-G119)</f>
        <v>520</v>
      </c>
      <c r="I119" s="7">
        <v>28.3</v>
      </c>
      <c r="J119" s="7">
        <f>IFERROR((F119+G119)*I119,0)</f>
        <v>0</v>
      </c>
      <c r="K119" s="7" t="e">
        <f>L118+M118-N118</f>
        <v>#VALUE!</v>
      </c>
      <c r="L119" s="7" t="e">
        <f>(TablaMarimba6[[#This Row],[Saldo inicial(vales)]]-TablaMarimba6[[#This Row],[Importe]])</f>
        <v>#VALUE!</v>
      </c>
      <c r="M119" s="7" t="str">
        <f>IF(A119="","", WEEKNUM(A119, 2))</f>
        <v/>
      </c>
      <c r="N119" s="7"/>
    </row>
    <row r="120" spans="1:14">
      <c r="A120" s="5"/>
      <c r="E120" s="3" t="e">
        <f>VLOOKUP(TablaMarimba6[[#This Row],[Equipo]],[1]Catalogos!$V$4:$W$55,2,FALSE)</f>
        <v>#N/A</v>
      </c>
      <c r="F120" s="6"/>
      <c r="G120" s="12"/>
      <c r="H120" s="6">
        <f>IF(ROW()=5,F120-G120,H119+F120-G120)</f>
        <v>520</v>
      </c>
      <c r="I120" s="7">
        <v>28.3</v>
      </c>
      <c r="J120" s="7">
        <f>IFERROR((F120+G120)*I120,0)</f>
        <v>0</v>
      </c>
      <c r="K120" s="7" t="e">
        <f>L119+M119-N119</f>
        <v>#VALUE!</v>
      </c>
      <c r="L120" s="7" t="e">
        <f>(TablaMarimba6[[#This Row],[Saldo inicial(vales)]]-TablaMarimba6[[#This Row],[Importe]])</f>
        <v>#VALUE!</v>
      </c>
      <c r="M120" s="7" t="str">
        <f>IF(A120="","", WEEKNUM(A120, 2))</f>
        <v/>
      </c>
      <c r="N120" s="7"/>
    </row>
    <row r="121" spans="1:14">
      <c r="A121" s="5"/>
      <c r="E121" s="3" t="e">
        <f>VLOOKUP(TablaMarimba6[[#This Row],[Equipo]],[1]Catalogos!$V$4:$W$55,2,FALSE)</f>
        <v>#N/A</v>
      </c>
      <c r="F121" s="6"/>
      <c r="G121" s="12"/>
      <c r="H121" s="6">
        <f>IF(ROW()=5,F121-G121,H120+F121-G121)</f>
        <v>520</v>
      </c>
      <c r="I121" s="7">
        <v>28.3</v>
      </c>
      <c r="J121" s="7">
        <f>IFERROR((F121+G121)*I121,0)</f>
        <v>0</v>
      </c>
      <c r="K121" s="7" t="e">
        <f>L120+M120-N120</f>
        <v>#VALUE!</v>
      </c>
      <c r="L121" s="7" t="e">
        <f>(TablaMarimba6[[#This Row],[Saldo inicial(vales)]]-TablaMarimba6[[#This Row],[Importe]])</f>
        <v>#VALUE!</v>
      </c>
      <c r="M121" s="7" t="str">
        <f>IF(A121="","", WEEKNUM(A121, 2))</f>
        <v/>
      </c>
      <c r="N121" s="7"/>
    </row>
    <row r="122" spans="1:14">
      <c r="A122" s="5"/>
      <c r="E122" s="3" t="e">
        <f>VLOOKUP(TablaMarimba6[[#This Row],[Equipo]],[1]Catalogos!$V$4:$W$55,2,FALSE)</f>
        <v>#N/A</v>
      </c>
      <c r="F122" s="6"/>
      <c r="G122" s="12"/>
      <c r="H122" s="6">
        <f>IF(ROW()=5,F122-G122,H121+F122-G122)</f>
        <v>520</v>
      </c>
      <c r="I122" s="7">
        <v>28.3</v>
      </c>
      <c r="J122" s="7">
        <f>IFERROR((F122+G122)*I122,0)</f>
        <v>0</v>
      </c>
      <c r="K122" s="7" t="e">
        <f>L121+M121-N121</f>
        <v>#VALUE!</v>
      </c>
      <c r="L122" s="7" t="e">
        <f>(TablaMarimba6[[#This Row],[Saldo inicial(vales)]]-TablaMarimba6[[#This Row],[Importe]])</f>
        <v>#VALUE!</v>
      </c>
      <c r="M122" s="7" t="str">
        <f>IF(A122="","", WEEKNUM(A122, 2))</f>
        <v/>
      </c>
      <c r="N122" s="7"/>
    </row>
    <row r="123" spans="1:14">
      <c r="A123" s="5"/>
      <c r="E123" s="3" t="e">
        <f>VLOOKUP(TablaMarimba6[[#This Row],[Equipo]],[1]Catalogos!$V$4:$W$55,2,FALSE)</f>
        <v>#N/A</v>
      </c>
      <c r="F123" s="6"/>
      <c r="G123" s="12"/>
      <c r="H123" s="6">
        <f>IF(ROW()=5,F123-G123,H122+F123-G123)</f>
        <v>520</v>
      </c>
      <c r="I123" s="7">
        <v>28.3</v>
      </c>
      <c r="J123" s="7">
        <f>IFERROR((F123+G123)*I123,0)</f>
        <v>0</v>
      </c>
      <c r="K123" s="7" t="e">
        <f>L122+M122-N122</f>
        <v>#VALUE!</v>
      </c>
      <c r="L123" s="7" t="e">
        <f>(TablaMarimba6[[#This Row],[Saldo inicial(vales)]]-TablaMarimba6[[#This Row],[Importe]])</f>
        <v>#VALUE!</v>
      </c>
      <c r="M123" s="7" t="str">
        <f>IF(A123="","", WEEKNUM(A123, 2))</f>
        <v/>
      </c>
      <c r="N123" s="7"/>
    </row>
    <row r="124" spans="1:14">
      <c r="A124" s="5"/>
      <c r="E124" s="3" t="e">
        <f>VLOOKUP(TablaMarimba6[[#This Row],[Equipo]],[1]Catalogos!$V$4:$W$55,2,FALSE)</f>
        <v>#N/A</v>
      </c>
      <c r="F124" s="6"/>
      <c r="G124" s="12"/>
      <c r="H124" s="6">
        <f>IF(ROW()=5,F124-G124,H123+F124-G124)</f>
        <v>520</v>
      </c>
      <c r="I124" s="7">
        <v>28.3</v>
      </c>
      <c r="J124" s="7">
        <f>IFERROR((F124+G124)*I124,0)</f>
        <v>0</v>
      </c>
      <c r="K124" s="7" t="e">
        <f>L123+M123-N123</f>
        <v>#VALUE!</v>
      </c>
      <c r="L124" s="7" t="e">
        <f>(TablaMarimba6[[#This Row],[Saldo inicial(vales)]]-TablaMarimba6[[#This Row],[Importe]])</f>
        <v>#VALUE!</v>
      </c>
      <c r="M124" s="7" t="str">
        <f>IF(A124="","", WEEKNUM(A124, 2))</f>
        <v/>
      </c>
      <c r="N124" s="7"/>
    </row>
    <row r="125" spans="1:14">
      <c r="A125" s="5"/>
      <c r="E125" s="3" t="e">
        <f>VLOOKUP(TablaMarimba6[[#This Row],[Equipo]],[1]Catalogos!$V$4:$W$55,2,FALSE)</f>
        <v>#N/A</v>
      </c>
      <c r="F125" s="6"/>
      <c r="G125" s="12"/>
      <c r="H125" s="6">
        <f>IF(ROW()=5,F125-G125,H124+F125-G125)</f>
        <v>520</v>
      </c>
      <c r="I125" s="7">
        <v>28.3</v>
      </c>
      <c r="J125" s="7">
        <f>IFERROR((F125+G125)*I125,0)</f>
        <v>0</v>
      </c>
      <c r="K125" s="7" t="e">
        <f>L124+M124-N124</f>
        <v>#VALUE!</v>
      </c>
      <c r="L125" s="7" t="e">
        <f>(TablaMarimba6[[#This Row],[Saldo inicial(vales)]]-TablaMarimba6[[#This Row],[Importe]])</f>
        <v>#VALUE!</v>
      </c>
      <c r="M125" s="7" t="str">
        <f>IF(A125="","", WEEKNUM(A125, 2))</f>
        <v/>
      </c>
      <c r="N125" s="7"/>
    </row>
    <row r="126" spans="1:14">
      <c r="A126" s="5"/>
      <c r="E126" s="3" t="e">
        <f>VLOOKUP(TablaMarimba6[[#This Row],[Equipo]],[1]Catalogos!$V$4:$W$55,2,FALSE)</f>
        <v>#N/A</v>
      </c>
      <c r="F126" s="6"/>
      <c r="G126" s="12"/>
      <c r="H126" s="6">
        <f>IF(ROW()=5,F126-G126,H125+F126-G126)</f>
        <v>520</v>
      </c>
      <c r="I126" s="7">
        <v>28.3</v>
      </c>
      <c r="J126" s="7">
        <f>IFERROR((F126+G126)*I126,0)</f>
        <v>0</v>
      </c>
      <c r="K126" s="7" t="e">
        <f>L125+M125-N125</f>
        <v>#VALUE!</v>
      </c>
      <c r="L126" s="7" t="e">
        <f>(TablaMarimba6[[#This Row],[Saldo inicial(vales)]]-TablaMarimba6[[#This Row],[Importe]])</f>
        <v>#VALUE!</v>
      </c>
      <c r="M126" s="7" t="str">
        <f>IF(A126="","", WEEKNUM(A126, 2))</f>
        <v/>
      </c>
      <c r="N126" s="7"/>
    </row>
    <row r="127" spans="1:14">
      <c r="A127" s="5"/>
      <c r="E127" s="3" t="e">
        <f>VLOOKUP(TablaMarimba6[[#This Row],[Equipo]],[1]Catalogos!$V$4:$W$55,2,FALSE)</f>
        <v>#N/A</v>
      </c>
      <c r="F127" s="6"/>
      <c r="G127" s="12"/>
      <c r="H127" s="6">
        <f>IF(ROW()=5,F127-G127,H126+F127-G127)</f>
        <v>520</v>
      </c>
      <c r="I127" s="7">
        <v>28.3</v>
      </c>
      <c r="J127" s="7">
        <f>IFERROR((F127+G127)*I127,0)</f>
        <v>0</v>
      </c>
      <c r="K127" s="7" t="e">
        <f>L126+M126-N126</f>
        <v>#VALUE!</v>
      </c>
      <c r="L127" s="7" t="e">
        <f>(TablaMarimba6[[#This Row],[Saldo inicial(vales)]]-TablaMarimba6[[#This Row],[Importe]])</f>
        <v>#VALUE!</v>
      </c>
      <c r="M127" s="7" t="str">
        <f>IF(A127="","", WEEKNUM(A127, 2))</f>
        <v/>
      </c>
      <c r="N127" s="7"/>
    </row>
    <row r="128" spans="1:14">
      <c r="A128" s="5"/>
      <c r="E128" s="3" t="e">
        <f>VLOOKUP(TablaMarimba6[[#This Row],[Equipo]],[1]Catalogos!$V$4:$W$55,2,FALSE)</f>
        <v>#N/A</v>
      </c>
      <c r="F128" s="6"/>
      <c r="G128" s="12"/>
      <c r="H128" s="6">
        <f>IF(ROW()=5,F128-G128,H127+F128-G128)</f>
        <v>520</v>
      </c>
      <c r="I128" s="7">
        <v>28.3</v>
      </c>
      <c r="J128" s="7">
        <f>IFERROR((F128+G128)*I128,0)</f>
        <v>0</v>
      </c>
      <c r="K128" s="7" t="e">
        <f>L127+M127-N127</f>
        <v>#VALUE!</v>
      </c>
      <c r="L128" s="7" t="e">
        <f>(TablaMarimba6[[#This Row],[Saldo inicial(vales)]]-TablaMarimba6[[#This Row],[Importe]])</f>
        <v>#VALUE!</v>
      </c>
      <c r="M128" s="7" t="str">
        <f>IF(A128="","", WEEKNUM(A128, 2))</f>
        <v/>
      </c>
      <c r="N128" s="7"/>
    </row>
    <row r="129" spans="1:14">
      <c r="A129" s="5"/>
      <c r="E129" s="3" t="e">
        <f>VLOOKUP(TablaMarimba6[[#This Row],[Equipo]],[1]Catalogos!$V$4:$W$55,2,FALSE)</f>
        <v>#N/A</v>
      </c>
      <c r="F129" s="6"/>
      <c r="G129" s="12"/>
      <c r="H129" s="6">
        <f>IF(ROW()=5,F129-G129,H128+F129-G129)</f>
        <v>520</v>
      </c>
      <c r="I129" s="7">
        <v>28.3</v>
      </c>
      <c r="J129" s="7">
        <f>IFERROR((F129+G129)*I129,0)</f>
        <v>0</v>
      </c>
      <c r="K129" s="7" t="e">
        <f>L128+M128-N128</f>
        <v>#VALUE!</v>
      </c>
      <c r="L129" s="7" t="e">
        <f>(TablaMarimba6[[#This Row],[Saldo inicial(vales)]]-TablaMarimba6[[#This Row],[Importe]])</f>
        <v>#VALUE!</v>
      </c>
      <c r="M129" s="7" t="str">
        <f>IF(A129="","", WEEKNUM(A129, 2))</f>
        <v/>
      </c>
      <c r="N129" s="7"/>
    </row>
    <row r="130" spans="1:14">
      <c r="A130" s="5"/>
      <c r="E130" s="3" t="e">
        <f>VLOOKUP(TablaMarimba6[[#This Row],[Equipo]],[1]Catalogos!$V$4:$W$55,2,FALSE)</f>
        <v>#N/A</v>
      </c>
      <c r="F130" s="6"/>
      <c r="G130" s="12"/>
      <c r="H130" s="6">
        <f>IF(ROW()=5,F130-G130,H129+F130-G130)</f>
        <v>520</v>
      </c>
      <c r="I130" s="7">
        <v>28.3</v>
      </c>
      <c r="J130" s="7">
        <f>IFERROR((F130+G130)*I130,0)</f>
        <v>0</v>
      </c>
      <c r="K130" s="7" t="e">
        <f>L129+M129-N129</f>
        <v>#VALUE!</v>
      </c>
      <c r="L130" s="7" t="e">
        <f>(TablaMarimba6[[#This Row],[Saldo inicial(vales)]]-TablaMarimba6[[#This Row],[Importe]])</f>
        <v>#VALUE!</v>
      </c>
      <c r="M130" s="7" t="str">
        <f>IF(A130="","", WEEKNUM(A130, 2))</f>
        <v/>
      </c>
      <c r="N130" s="7"/>
    </row>
    <row r="131" spans="1:14">
      <c r="A131" s="5"/>
      <c r="E131" s="3" t="e">
        <f>VLOOKUP(TablaMarimba6[[#This Row],[Equipo]],[1]Catalogos!$V$4:$W$55,2,FALSE)</f>
        <v>#N/A</v>
      </c>
      <c r="F131" s="6"/>
      <c r="G131" s="12"/>
      <c r="H131" s="6">
        <f>IF(ROW()=5,F131-G131,H130+F131-G131)</f>
        <v>520</v>
      </c>
      <c r="I131" s="7">
        <v>28.3</v>
      </c>
      <c r="J131" s="7">
        <f>IFERROR((F131+G131)*I131,0)</f>
        <v>0</v>
      </c>
      <c r="K131" s="7" t="e">
        <f>L130+M130-N130</f>
        <v>#VALUE!</v>
      </c>
      <c r="L131" s="7" t="e">
        <f>(TablaMarimba6[[#This Row],[Saldo inicial(vales)]]-TablaMarimba6[[#This Row],[Importe]])</f>
        <v>#VALUE!</v>
      </c>
      <c r="M131" s="7" t="str">
        <f>IF(A131="","", WEEKNUM(A131, 2))</f>
        <v/>
      </c>
      <c r="N131" s="7"/>
    </row>
    <row r="132" spans="1:14">
      <c r="A132" s="5"/>
      <c r="E132" s="3" t="e">
        <f>VLOOKUP(TablaMarimba6[[#This Row],[Equipo]],[1]Catalogos!$V$4:$W$55,2,FALSE)</f>
        <v>#N/A</v>
      </c>
      <c r="F132" s="6"/>
      <c r="G132" s="12"/>
      <c r="H132" s="6">
        <f>IF(ROW()=5,F132-G132,H131+F132-G132)</f>
        <v>520</v>
      </c>
      <c r="I132" s="7">
        <v>28.3</v>
      </c>
      <c r="J132" s="7">
        <f>IFERROR((F132+G132)*I132,0)</f>
        <v>0</v>
      </c>
      <c r="K132" s="7" t="e">
        <f>L131+M131-N131</f>
        <v>#VALUE!</v>
      </c>
      <c r="L132" s="7" t="e">
        <f>(TablaMarimba6[[#This Row],[Saldo inicial(vales)]]-TablaMarimba6[[#This Row],[Importe]])</f>
        <v>#VALUE!</v>
      </c>
      <c r="M132" s="7" t="str">
        <f>IF(A132="","", WEEKNUM(A132, 2))</f>
        <v/>
      </c>
      <c r="N132" s="7"/>
    </row>
    <row r="133" spans="1:14">
      <c r="A133" s="5"/>
      <c r="E133" s="3" t="e">
        <f>VLOOKUP(TablaMarimba6[[#This Row],[Equipo]],[1]Catalogos!$V$4:$W$55,2,FALSE)</f>
        <v>#N/A</v>
      </c>
      <c r="F133" s="6"/>
      <c r="G133" s="12"/>
      <c r="H133" s="6">
        <f>IF(ROW()=5,F133-G133,H132+F133-G133)</f>
        <v>520</v>
      </c>
      <c r="I133" s="7">
        <v>28.3</v>
      </c>
      <c r="J133" s="7">
        <f>IFERROR((F133+G133)*I133,0)</f>
        <v>0</v>
      </c>
      <c r="K133" s="7" t="e">
        <f>L132+M132-N132</f>
        <v>#VALUE!</v>
      </c>
      <c r="L133" s="7" t="e">
        <f>(TablaMarimba6[[#This Row],[Saldo inicial(vales)]]-TablaMarimba6[[#This Row],[Importe]])</f>
        <v>#VALUE!</v>
      </c>
      <c r="M133" s="7" t="str">
        <f>IF(A133="","", WEEKNUM(A133, 2))</f>
        <v/>
      </c>
      <c r="N133" s="7"/>
    </row>
    <row r="134" spans="1:14">
      <c r="A134" s="5"/>
      <c r="E134" s="3" t="e">
        <f>VLOOKUP(TablaMarimba6[[#This Row],[Equipo]],[1]Catalogos!$V$4:$W$55,2,FALSE)</f>
        <v>#N/A</v>
      </c>
      <c r="F134" s="6"/>
      <c r="G134" s="12"/>
      <c r="H134" s="6">
        <f>IF(ROW()=5,F134-G134,H133+F134-G134)</f>
        <v>520</v>
      </c>
      <c r="I134" s="7">
        <v>28.3</v>
      </c>
      <c r="J134" s="7">
        <f>IFERROR((F134+G134)*I134,0)</f>
        <v>0</v>
      </c>
      <c r="K134" s="7" t="e">
        <f>L133+M133-N133</f>
        <v>#VALUE!</v>
      </c>
      <c r="L134" s="7" t="e">
        <f>(TablaMarimba6[[#This Row],[Saldo inicial(vales)]]-TablaMarimba6[[#This Row],[Importe]])</f>
        <v>#VALUE!</v>
      </c>
      <c r="M134" s="7" t="str">
        <f>IF(A134="","", WEEKNUM(A134, 2))</f>
        <v/>
      </c>
      <c r="N134" s="7"/>
    </row>
    <row r="135" spans="1:14">
      <c r="A135" s="5"/>
      <c r="E135" s="3" t="e">
        <f>VLOOKUP(TablaMarimba6[[#This Row],[Equipo]],[1]Catalogos!$V$4:$W$55,2,FALSE)</f>
        <v>#N/A</v>
      </c>
      <c r="F135" s="6"/>
      <c r="G135" s="12"/>
      <c r="H135" s="6">
        <f>IF(ROW()=5,F135-G135,H134+F135-G135)</f>
        <v>520</v>
      </c>
      <c r="I135" s="7">
        <v>28.3</v>
      </c>
      <c r="J135" s="7">
        <f>IFERROR((F135+G135)*I135,0)</f>
        <v>0</v>
      </c>
      <c r="K135" s="7" t="e">
        <f>L134+M134-N134</f>
        <v>#VALUE!</v>
      </c>
      <c r="L135" s="7" t="e">
        <f>(TablaMarimba6[[#This Row],[Saldo inicial(vales)]]-TablaMarimba6[[#This Row],[Importe]])</f>
        <v>#VALUE!</v>
      </c>
      <c r="M135" s="7" t="str">
        <f>IF(A135="","", WEEKNUM(A135, 2))</f>
        <v/>
      </c>
      <c r="N135" s="7"/>
    </row>
    <row r="136" spans="1:14">
      <c r="A136" s="5"/>
      <c r="E136" s="3" t="e">
        <f>VLOOKUP(TablaMarimba6[[#This Row],[Equipo]],[1]Catalogos!$V$4:$W$55,2,FALSE)</f>
        <v>#N/A</v>
      </c>
      <c r="F136" s="6"/>
      <c r="G136" s="12"/>
      <c r="H136" s="6">
        <f>IF(ROW()=5,F136-G136,H135+F136-G136)</f>
        <v>520</v>
      </c>
      <c r="I136" s="7">
        <v>28.3</v>
      </c>
      <c r="J136" s="7">
        <f>IFERROR((F136+G136)*I136,0)</f>
        <v>0</v>
      </c>
      <c r="K136" s="7" t="e">
        <f>L135+M135-N135</f>
        <v>#VALUE!</v>
      </c>
      <c r="L136" s="7" t="e">
        <f>(TablaMarimba6[[#This Row],[Saldo inicial(vales)]]-TablaMarimba6[[#This Row],[Importe]])</f>
        <v>#VALUE!</v>
      </c>
      <c r="M136" s="7" t="str">
        <f>IF(A136="","", WEEKNUM(A136, 2))</f>
        <v/>
      </c>
      <c r="N136" s="7"/>
    </row>
    <row r="137" spans="1:14">
      <c r="A137" s="5"/>
      <c r="E137" s="3" t="e">
        <f>VLOOKUP(TablaMarimba6[[#This Row],[Equipo]],[1]Catalogos!$V$4:$W$55,2,FALSE)</f>
        <v>#N/A</v>
      </c>
      <c r="F137" s="6"/>
      <c r="G137" s="12"/>
      <c r="H137" s="6">
        <f>IF(ROW()=5,F137-G137,H136+F137-G137)</f>
        <v>520</v>
      </c>
      <c r="I137" s="7">
        <v>28.3</v>
      </c>
      <c r="J137" s="7">
        <f>IFERROR((F137+G137)*I137,0)</f>
        <v>0</v>
      </c>
      <c r="K137" s="7" t="e">
        <f>L136+M136-N136</f>
        <v>#VALUE!</v>
      </c>
      <c r="L137" s="7" t="e">
        <f>(TablaMarimba6[[#This Row],[Saldo inicial(vales)]]-TablaMarimba6[[#This Row],[Importe]])</f>
        <v>#VALUE!</v>
      </c>
      <c r="M137" s="7" t="str">
        <f>IF(A137="","", WEEKNUM(A137, 2))</f>
        <v/>
      </c>
      <c r="N137" s="7"/>
    </row>
    <row r="138" spans="1:14">
      <c r="A138" s="5"/>
      <c r="E138" s="3" t="e">
        <f>VLOOKUP(TablaMarimba6[[#This Row],[Equipo]],[1]Catalogos!$V$4:$W$55,2,FALSE)</f>
        <v>#N/A</v>
      </c>
      <c r="F138" s="6"/>
      <c r="G138" s="12"/>
      <c r="H138" s="6">
        <f>IF(ROW()=5,F138-G138,H137+F138-G138)</f>
        <v>520</v>
      </c>
      <c r="I138" s="7">
        <v>28.3</v>
      </c>
      <c r="J138" s="7">
        <f>IFERROR((F138+G138)*I138,0)</f>
        <v>0</v>
      </c>
      <c r="K138" s="7" t="e">
        <f>L137+M137-N137</f>
        <v>#VALUE!</v>
      </c>
      <c r="L138" s="7" t="e">
        <f>(TablaMarimba6[[#This Row],[Saldo inicial(vales)]]-TablaMarimba6[[#This Row],[Importe]])</f>
        <v>#VALUE!</v>
      </c>
      <c r="M138" s="7" t="str">
        <f>IF(A138="","", WEEKNUM(A138, 2))</f>
        <v/>
      </c>
      <c r="N138" s="7"/>
    </row>
    <row r="139" spans="1:14">
      <c r="A139" s="5"/>
      <c r="E139" s="3" t="e">
        <f>VLOOKUP(TablaMarimba6[[#This Row],[Equipo]],[1]Catalogos!$V$4:$W$55,2,FALSE)</f>
        <v>#N/A</v>
      </c>
      <c r="F139" s="6"/>
      <c r="G139" s="12"/>
      <c r="H139" s="6">
        <f>IF(ROW()=5,F139-G139,H138+F139-G139)</f>
        <v>520</v>
      </c>
      <c r="I139" s="7">
        <v>28.3</v>
      </c>
      <c r="J139" s="7">
        <f>IFERROR((F139+G139)*I139,0)</f>
        <v>0</v>
      </c>
      <c r="K139" s="7" t="e">
        <f>L138+M138-N138</f>
        <v>#VALUE!</v>
      </c>
      <c r="L139" s="7" t="e">
        <f>(TablaMarimba6[[#This Row],[Saldo inicial(vales)]]-TablaMarimba6[[#This Row],[Importe]])</f>
        <v>#VALUE!</v>
      </c>
      <c r="M139" s="7" t="str">
        <f>IF(A139="","", WEEKNUM(A139, 2))</f>
        <v/>
      </c>
      <c r="N139" s="7"/>
    </row>
    <row r="140" spans="1:14">
      <c r="A140" s="5"/>
      <c r="E140" s="3" t="e">
        <f>VLOOKUP(TablaMarimba6[[#This Row],[Equipo]],[1]Catalogos!$V$4:$W$55,2,FALSE)</f>
        <v>#N/A</v>
      </c>
      <c r="F140" s="6"/>
      <c r="G140" s="12"/>
      <c r="H140" s="6">
        <f>IF(ROW()=5,F140-G140,H139+F140-G140)</f>
        <v>520</v>
      </c>
      <c r="I140" s="7">
        <v>28.3</v>
      </c>
      <c r="J140" s="7">
        <f>IFERROR((F140+G140)*I140,0)</f>
        <v>0</v>
      </c>
      <c r="K140" s="7" t="e">
        <f>L139+M139-N139</f>
        <v>#VALUE!</v>
      </c>
      <c r="L140" s="7" t="e">
        <f>(TablaMarimba6[[#This Row],[Saldo inicial(vales)]]-TablaMarimba6[[#This Row],[Importe]])</f>
        <v>#VALUE!</v>
      </c>
      <c r="M140" s="7" t="str">
        <f>IF(A140="","", WEEKNUM(A140, 2))</f>
        <v/>
      </c>
      <c r="N140" s="7"/>
    </row>
    <row r="141" spans="1:14">
      <c r="A141" s="5"/>
      <c r="E141" s="3" t="e">
        <f>VLOOKUP(TablaMarimba6[[#This Row],[Equipo]],[1]Catalogos!$V$4:$W$55,2,FALSE)</f>
        <v>#N/A</v>
      </c>
      <c r="F141" s="6"/>
      <c r="G141" s="12"/>
      <c r="H141" s="6">
        <f>IF(ROW()=5,F141-G141,H140+F141-G141)</f>
        <v>520</v>
      </c>
      <c r="I141" s="7">
        <v>28.3</v>
      </c>
      <c r="J141" s="7">
        <f>IFERROR((F141+G141)*I141,0)</f>
        <v>0</v>
      </c>
      <c r="K141" s="7" t="e">
        <f>L140+M140-N140</f>
        <v>#VALUE!</v>
      </c>
      <c r="L141" s="7" t="e">
        <f>(TablaMarimba6[[#This Row],[Saldo inicial(vales)]]-TablaMarimba6[[#This Row],[Importe]])</f>
        <v>#VALUE!</v>
      </c>
      <c r="M141" s="7" t="str">
        <f>IF(A141="","", WEEKNUM(A141, 2))</f>
        <v/>
      </c>
      <c r="N141" s="7"/>
    </row>
    <row r="142" spans="1:14">
      <c r="A142" s="5"/>
      <c r="E142" s="3" t="e">
        <f>VLOOKUP(TablaMarimba6[[#This Row],[Equipo]],[1]Catalogos!$V$4:$W$55,2,FALSE)</f>
        <v>#N/A</v>
      </c>
      <c r="F142" s="6"/>
      <c r="G142" s="12"/>
      <c r="H142" s="6">
        <f>IF(ROW()=5,F142-G142,H141+F142-G142)</f>
        <v>520</v>
      </c>
      <c r="I142" s="7">
        <v>28.3</v>
      </c>
      <c r="J142" s="7">
        <f>IFERROR((F142+G142)*I142,0)</f>
        <v>0</v>
      </c>
      <c r="K142" s="7" t="e">
        <f>L141+M141-N141</f>
        <v>#VALUE!</v>
      </c>
      <c r="L142" s="7" t="e">
        <f>(TablaMarimba6[[#This Row],[Saldo inicial(vales)]]-TablaMarimba6[[#This Row],[Importe]])</f>
        <v>#VALUE!</v>
      </c>
      <c r="M142" s="7" t="str">
        <f>IF(A142="","", WEEKNUM(A142, 2))</f>
        <v/>
      </c>
      <c r="N142" s="7"/>
    </row>
    <row r="143" spans="1:14">
      <c r="A143" s="5"/>
      <c r="E143" s="3" t="e">
        <f>VLOOKUP(TablaMarimba6[[#This Row],[Equipo]],[1]Catalogos!$V$4:$W$55,2,FALSE)</f>
        <v>#N/A</v>
      </c>
      <c r="F143" s="6"/>
      <c r="G143" s="12"/>
      <c r="H143" s="6">
        <f>IF(ROW()=5,F143-G143,H142+F143-G143)</f>
        <v>520</v>
      </c>
      <c r="I143" s="7">
        <v>28.3</v>
      </c>
      <c r="J143" s="7">
        <f>IFERROR((F143+G143)*I143,0)</f>
        <v>0</v>
      </c>
      <c r="K143" s="7" t="e">
        <f>L142+M142-N142</f>
        <v>#VALUE!</v>
      </c>
      <c r="L143" s="7" t="e">
        <f>(TablaMarimba6[[#This Row],[Saldo inicial(vales)]]-TablaMarimba6[[#This Row],[Importe]])</f>
        <v>#VALUE!</v>
      </c>
      <c r="M143" s="7" t="str">
        <f>IF(A143="","", WEEKNUM(A143, 2))</f>
        <v/>
      </c>
      <c r="N143" s="7"/>
    </row>
    <row r="144" spans="1:14">
      <c r="A144" s="5"/>
      <c r="E144" s="3" t="e">
        <f>VLOOKUP(TablaMarimba6[[#This Row],[Equipo]],[1]Catalogos!$V$4:$W$55,2,FALSE)</f>
        <v>#N/A</v>
      </c>
      <c r="F144" s="6"/>
      <c r="G144" s="12"/>
      <c r="H144" s="6">
        <f>IF(ROW()=5,F144-G144,H143+F144-G144)</f>
        <v>520</v>
      </c>
      <c r="I144" s="7">
        <v>28.3</v>
      </c>
      <c r="J144" s="7">
        <f>IFERROR((F144+G144)*I144,0)</f>
        <v>0</v>
      </c>
      <c r="K144" s="7" t="e">
        <f>L143+M143-N143</f>
        <v>#VALUE!</v>
      </c>
      <c r="L144" s="7" t="e">
        <f>(TablaMarimba6[[#This Row],[Saldo inicial(vales)]]-TablaMarimba6[[#This Row],[Importe]])</f>
        <v>#VALUE!</v>
      </c>
      <c r="M144" s="7" t="str">
        <f>IF(A144="","", WEEKNUM(A144, 2))</f>
        <v/>
      </c>
      <c r="N144" s="7"/>
    </row>
    <row r="145" spans="1:14">
      <c r="A145" s="5"/>
      <c r="E145" s="3" t="e">
        <f>VLOOKUP(TablaMarimba6[[#This Row],[Equipo]],[1]Catalogos!$V$4:$W$55,2,FALSE)</f>
        <v>#N/A</v>
      </c>
      <c r="F145" s="6"/>
      <c r="G145" s="12"/>
      <c r="H145" s="6">
        <f>IF(ROW()=5,F145-G145,H144+F145-G145)</f>
        <v>520</v>
      </c>
      <c r="I145" s="7">
        <v>28.3</v>
      </c>
      <c r="J145" s="7">
        <f>IFERROR((F145+G145)*I145,0)</f>
        <v>0</v>
      </c>
      <c r="K145" s="7" t="e">
        <f>L144+M144-N144</f>
        <v>#VALUE!</v>
      </c>
      <c r="L145" s="7" t="e">
        <f>(TablaMarimba6[[#This Row],[Saldo inicial(vales)]]-TablaMarimba6[[#This Row],[Importe]])</f>
        <v>#VALUE!</v>
      </c>
      <c r="M145" s="7" t="str">
        <f>IF(A145="","", WEEKNUM(A145, 2))</f>
        <v/>
      </c>
      <c r="N145" s="7"/>
    </row>
    <row r="146" spans="1:14">
      <c r="A146" s="5"/>
      <c r="E146" s="3" t="e">
        <f>VLOOKUP(TablaMarimba6[[#This Row],[Equipo]],[1]Catalogos!$V$4:$W$55,2,FALSE)</f>
        <v>#N/A</v>
      </c>
      <c r="F146" s="6"/>
      <c r="G146" s="12"/>
      <c r="H146" s="6">
        <f>IF(ROW()=5,F146-G146,H145+F146-G146)</f>
        <v>520</v>
      </c>
      <c r="I146" s="7">
        <v>28.3</v>
      </c>
      <c r="J146" s="7">
        <f>IFERROR((F146+G146)*I146,0)</f>
        <v>0</v>
      </c>
      <c r="K146" s="7" t="e">
        <f>L145+M145-N145</f>
        <v>#VALUE!</v>
      </c>
      <c r="L146" s="7" t="e">
        <f>(TablaMarimba6[[#This Row],[Saldo inicial(vales)]]-TablaMarimba6[[#This Row],[Importe]])</f>
        <v>#VALUE!</v>
      </c>
      <c r="M146" s="7" t="str">
        <f>IF(A146="","", WEEKNUM(A146, 2))</f>
        <v/>
      </c>
      <c r="N146" s="7"/>
    </row>
    <row r="147" spans="1:14">
      <c r="A147" s="5"/>
      <c r="E147" s="3" t="e">
        <f>VLOOKUP(TablaMarimba6[[#This Row],[Equipo]],[1]Catalogos!$V$4:$W$55,2,FALSE)</f>
        <v>#N/A</v>
      </c>
      <c r="F147" s="6"/>
      <c r="G147" s="12"/>
      <c r="H147" s="6">
        <f>IF(ROW()=5,F147-G147,H146+F147-G147)</f>
        <v>520</v>
      </c>
      <c r="I147" s="7">
        <v>28.3</v>
      </c>
      <c r="J147" s="7">
        <f>IFERROR((F147+G147)*I147,0)</f>
        <v>0</v>
      </c>
      <c r="K147" s="7" t="e">
        <f>L146+M146-N146</f>
        <v>#VALUE!</v>
      </c>
      <c r="L147" s="7" t="e">
        <f>(TablaMarimba6[[#This Row],[Saldo inicial(vales)]]-TablaMarimba6[[#This Row],[Importe]])</f>
        <v>#VALUE!</v>
      </c>
      <c r="M147" s="7" t="str">
        <f>IF(A147="","", WEEKNUM(A147, 2))</f>
        <v/>
      </c>
      <c r="N147" s="7"/>
    </row>
    <row r="148" spans="1:14">
      <c r="A148" s="5"/>
      <c r="E148" s="3" t="e">
        <f>VLOOKUP(TablaMarimba6[[#This Row],[Equipo]],[1]Catalogos!$V$4:$W$55,2,FALSE)</f>
        <v>#N/A</v>
      </c>
      <c r="F148" s="6"/>
      <c r="G148" s="12"/>
      <c r="H148" s="6">
        <f>IF(ROW()=5,F148-G148,H147+F148-G148)</f>
        <v>520</v>
      </c>
      <c r="I148" s="7">
        <v>28.3</v>
      </c>
      <c r="J148" s="7">
        <f>IFERROR((F148+G148)*I148,0)</f>
        <v>0</v>
      </c>
      <c r="K148" s="7" t="e">
        <f>L147+M147-N147</f>
        <v>#VALUE!</v>
      </c>
      <c r="L148" s="7" t="e">
        <f>(TablaMarimba6[[#This Row],[Saldo inicial(vales)]]-TablaMarimba6[[#This Row],[Importe]])</f>
        <v>#VALUE!</v>
      </c>
      <c r="M148" s="7" t="str">
        <f>IF(A148="","", WEEKNUM(A148, 2))</f>
        <v/>
      </c>
      <c r="N148" s="7"/>
    </row>
    <row r="149" spans="1:14">
      <c r="A149" s="5"/>
      <c r="E149" s="3" t="e">
        <f>VLOOKUP(TablaMarimba6[[#This Row],[Equipo]],[1]Catalogos!$V$4:$W$55,2,FALSE)</f>
        <v>#N/A</v>
      </c>
      <c r="F149" s="6"/>
      <c r="G149" s="12"/>
      <c r="H149" s="6">
        <f>IF(ROW()=5,F149-G149,H148+F149-G149)</f>
        <v>520</v>
      </c>
      <c r="I149" s="7">
        <v>28.3</v>
      </c>
      <c r="J149" s="7">
        <f>IFERROR((F149+G149)*I149,0)</f>
        <v>0</v>
      </c>
      <c r="K149" s="7" t="e">
        <f>L148+M148-N148</f>
        <v>#VALUE!</v>
      </c>
      <c r="L149" s="7" t="e">
        <f>(TablaMarimba6[[#This Row],[Saldo inicial(vales)]]-TablaMarimba6[[#This Row],[Importe]])</f>
        <v>#VALUE!</v>
      </c>
      <c r="M149" s="7" t="str">
        <f>IF(A149="","", WEEKNUM(A149, 2))</f>
        <v/>
      </c>
      <c r="N149" s="7"/>
    </row>
    <row r="150" spans="1:14">
      <c r="A150" s="5"/>
      <c r="E150" s="3" t="e">
        <f>VLOOKUP(TablaMarimba6[[#This Row],[Equipo]],[1]Catalogos!$V$4:$W$55,2,FALSE)</f>
        <v>#N/A</v>
      </c>
      <c r="F150" s="6"/>
      <c r="G150" s="12"/>
      <c r="H150" s="6">
        <f>IF(ROW()=5,F150-G150,H149+F150-G150)</f>
        <v>520</v>
      </c>
      <c r="I150" s="7">
        <v>28.3</v>
      </c>
      <c r="J150" s="7">
        <f>IFERROR((F150+G150)*I150,0)</f>
        <v>0</v>
      </c>
      <c r="K150" s="7" t="e">
        <f>L149+M149-N149</f>
        <v>#VALUE!</v>
      </c>
      <c r="L150" s="7" t="e">
        <f>(TablaMarimba6[[#This Row],[Saldo inicial(vales)]]-TablaMarimba6[[#This Row],[Importe]])</f>
        <v>#VALUE!</v>
      </c>
      <c r="M150" s="7" t="str">
        <f>IF(A150="","", WEEKNUM(A150, 2))</f>
        <v/>
      </c>
      <c r="N150" s="7"/>
    </row>
    <row r="151" spans="1:14">
      <c r="A151" s="5"/>
      <c r="E151" s="3" t="e">
        <f>VLOOKUP(TablaMarimba6[[#This Row],[Equipo]],[1]Catalogos!$V$4:$W$55,2,FALSE)</f>
        <v>#N/A</v>
      </c>
      <c r="F151" s="6"/>
      <c r="G151" s="12"/>
      <c r="H151" s="6">
        <f>IF(ROW()=5,F151-G151,H150+F151-G151)</f>
        <v>520</v>
      </c>
      <c r="I151" s="7">
        <v>28.3</v>
      </c>
      <c r="J151" s="7">
        <f>IFERROR((F151+G151)*I151,0)</f>
        <v>0</v>
      </c>
      <c r="K151" s="7" t="e">
        <f>L150+M150-N150</f>
        <v>#VALUE!</v>
      </c>
      <c r="L151" s="7" t="e">
        <f>(TablaMarimba6[[#This Row],[Saldo inicial(vales)]]-TablaMarimba6[[#This Row],[Importe]])</f>
        <v>#VALUE!</v>
      </c>
      <c r="M151" s="7" t="str">
        <f>IF(A151="","", WEEKNUM(A151, 2))</f>
        <v/>
      </c>
      <c r="N151" s="7"/>
    </row>
    <row r="152" spans="1:14">
      <c r="A152" s="5"/>
      <c r="E152" s="3" t="e">
        <f>VLOOKUP(TablaMarimba6[[#This Row],[Equipo]],[1]Catalogos!$V$4:$W$55,2,FALSE)</f>
        <v>#N/A</v>
      </c>
      <c r="F152" s="6"/>
      <c r="G152" s="12"/>
      <c r="H152" s="6">
        <f>IF(ROW()=5,F152-G152,H151+F152-G152)</f>
        <v>520</v>
      </c>
      <c r="I152" s="7">
        <v>28.3</v>
      </c>
      <c r="J152" s="7">
        <f>IFERROR((F152+G152)*I152,0)</f>
        <v>0</v>
      </c>
      <c r="K152" s="7" t="e">
        <f>L151+M151-N151</f>
        <v>#VALUE!</v>
      </c>
      <c r="L152" s="7" t="e">
        <f>(TablaMarimba6[[#This Row],[Saldo inicial(vales)]]-TablaMarimba6[[#This Row],[Importe]])</f>
        <v>#VALUE!</v>
      </c>
      <c r="M152" s="7" t="str">
        <f>IF(A152="","", WEEKNUM(A152, 2))</f>
        <v/>
      </c>
      <c r="N152" s="7"/>
    </row>
    <row r="153" spans="1:14">
      <c r="A153" s="5"/>
      <c r="E153" s="3" t="e">
        <f>VLOOKUP(TablaMarimba6[[#This Row],[Equipo]],[1]Catalogos!$V$4:$W$55,2,FALSE)</f>
        <v>#N/A</v>
      </c>
      <c r="F153" s="6"/>
      <c r="G153" s="12"/>
      <c r="H153" s="6">
        <f>IF(ROW()=5,F153-G153,H152+F153-G153)</f>
        <v>520</v>
      </c>
      <c r="I153" s="7">
        <v>28.3</v>
      </c>
      <c r="J153" s="7">
        <f>IFERROR((F153+G153)*I153,0)</f>
        <v>0</v>
      </c>
      <c r="K153" s="7" t="e">
        <f>L152+M152-N152</f>
        <v>#VALUE!</v>
      </c>
      <c r="L153" s="7" t="e">
        <f>(TablaMarimba6[[#This Row],[Saldo inicial(vales)]]-TablaMarimba6[[#This Row],[Importe]])</f>
        <v>#VALUE!</v>
      </c>
      <c r="M153" s="7" t="str">
        <f>IF(A153="","", WEEKNUM(A153, 2))</f>
        <v/>
      </c>
      <c r="N153" s="7"/>
    </row>
    <row r="154" spans="1:14">
      <c r="A154" s="5"/>
      <c r="E154" s="3" t="e">
        <f>VLOOKUP(TablaMarimba6[[#This Row],[Equipo]],[1]Catalogos!$V$4:$W$55,2,FALSE)</f>
        <v>#N/A</v>
      </c>
      <c r="F154" s="6"/>
      <c r="G154" s="12"/>
      <c r="H154" s="6">
        <f>IF(ROW()=5,F154-G154,H153+F154-G154)</f>
        <v>520</v>
      </c>
      <c r="I154" s="7">
        <v>28.3</v>
      </c>
      <c r="J154" s="7">
        <f>IFERROR((F154+G154)*I154,0)</f>
        <v>0</v>
      </c>
      <c r="K154" s="7" t="e">
        <f>L153+M153-N153</f>
        <v>#VALUE!</v>
      </c>
      <c r="L154" s="7" t="e">
        <f>(TablaMarimba6[[#This Row],[Saldo inicial(vales)]]-TablaMarimba6[[#This Row],[Importe]])</f>
        <v>#VALUE!</v>
      </c>
      <c r="M154" s="7" t="str">
        <f>IF(A154="","", WEEKNUM(A154, 2))</f>
        <v/>
      </c>
      <c r="N154" s="7"/>
    </row>
    <row r="155" spans="1:14">
      <c r="A155" s="5"/>
      <c r="E155" s="3" t="e">
        <f>VLOOKUP(TablaMarimba6[[#This Row],[Equipo]],[1]Catalogos!$V$4:$W$55,2,FALSE)</f>
        <v>#N/A</v>
      </c>
      <c r="F155" s="6"/>
      <c r="G155" s="12"/>
      <c r="H155" s="6">
        <f>IF(ROW()=5,F155-G155,H154+F155-G155)</f>
        <v>520</v>
      </c>
      <c r="I155" s="7">
        <v>28.3</v>
      </c>
      <c r="J155" s="7">
        <f>IFERROR((F155+G155)*I155,0)</f>
        <v>0</v>
      </c>
      <c r="K155" s="7" t="e">
        <f>L154+M154-N154</f>
        <v>#VALUE!</v>
      </c>
      <c r="L155" s="7" t="e">
        <f>(TablaMarimba6[[#This Row],[Saldo inicial(vales)]]-TablaMarimba6[[#This Row],[Importe]])</f>
        <v>#VALUE!</v>
      </c>
      <c r="M155" s="7" t="str">
        <f>IF(A155="","", WEEKNUM(A155, 2))</f>
        <v/>
      </c>
      <c r="N155" s="7"/>
    </row>
    <row r="156" spans="1:14">
      <c r="A156" s="5"/>
      <c r="E156" s="3" t="e">
        <f>VLOOKUP(TablaMarimba6[[#This Row],[Equipo]],[1]Catalogos!$V$4:$W$55,2,FALSE)</f>
        <v>#N/A</v>
      </c>
      <c r="F156" s="6"/>
      <c r="G156" s="12"/>
      <c r="H156" s="6">
        <f>IF(ROW()=5,F156-G156,H155+F156-G156)</f>
        <v>520</v>
      </c>
      <c r="I156" s="7">
        <v>28.3</v>
      </c>
      <c r="J156" s="7">
        <f>IFERROR((F156+G156)*I156,0)</f>
        <v>0</v>
      </c>
      <c r="K156" s="7" t="e">
        <f>L155+M155-N155</f>
        <v>#VALUE!</v>
      </c>
      <c r="L156" s="7" t="e">
        <f>(TablaMarimba6[[#This Row],[Saldo inicial(vales)]]-TablaMarimba6[[#This Row],[Importe]])</f>
        <v>#VALUE!</v>
      </c>
      <c r="M156" s="7" t="str">
        <f>IF(A156="","", WEEKNUM(A156, 2))</f>
        <v/>
      </c>
      <c r="N156" s="7"/>
    </row>
    <row r="157" spans="1:14">
      <c r="A157" s="5"/>
      <c r="E157" s="3" t="e">
        <f>VLOOKUP(TablaMarimba6[[#This Row],[Equipo]],[1]Catalogos!$V$4:$W$55,2,FALSE)</f>
        <v>#N/A</v>
      </c>
      <c r="F157" s="6"/>
      <c r="G157" s="12"/>
      <c r="H157" s="6">
        <f>IF(ROW()=5,F157-G157,H156+F157-G157)</f>
        <v>520</v>
      </c>
      <c r="I157" s="7">
        <v>28.3</v>
      </c>
      <c r="J157" s="7">
        <f>IFERROR((F157+G157)*I157,0)</f>
        <v>0</v>
      </c>
      <c r="K157" s="7" t="e">
        <f>L156+M156-N156</f>
        <v>#VALUE!</v>
      </c>
      <c r="L157" s="7" t="e">
        <f>(TablaMarimba6[[#This Row],[Saldo inicial(vales)]]-TablaMarimba6[[#This Row],[Importe]])</f>
        <v>#VALUE!</v>
      </c>
      <c r="M157" s="7" t="str">
        <f>IF(A157="","", WEEKNUM(A157, 2))</f>
        <v/>
      </c>
      <c r="N157" s="7"/>
    </row>
    <row r="158" spans="1:14">
      <c r="A158" s="5"/>
      <c r="E158" s="3" t="e">
        <f>VLOOKUP(TablaMarimba6[[#This Row],[Equipo]],[1]Catalogos!$V$4:$W$55,2,FALSE)</f>
        <v>#N/A</v>
      </c>
      <c r="F158" s="6"/>
      <c r="G158" s="12"/>
      <c r="H158" s="6">
        <f>IF(ROW()=5,F158-G158,H157+F158-G158)</f>
        <v>520</v>
      </c>
      <c r="I158" s="7">
        <v>28.3</v>
      </c>
      <c r="J158" s="7">
        <f>IFERROR((F158+G158)*I158,0)</f>
        <v>0</v>
      </c>
      <c r="K158" s="7" t="e">
        <f>L157+M157-N157</f>
        <v>#VALUE!</v>
      </c>
      <c r="L158" s="7" t="e">
        <f>(TablaMarimba6[[#This Row],[Saldo inicial(vales)]]-TablaMarimba6[[#This Row],[Importe]])</f>
        <v>#VALUE!</v>
      </c>
      <c r="M158" s="7" t="str">
        <f>IF(A158="","", WEEKNUM(A158, 2))</f>
        <v/>
      </c>
      <c r="N158" s="7"/>
    </row>
    <row r="159" spans="1:14">
      <c r="A159" s="5"/>
      <c r="E159" s="3" t="e">
        <f>VLOOKUP(TablaMarimba6[[#This Row],[Equipo]],[1]Catalogos!$V$4:$W$55,2,FALSE)</f>
        <v>#N/A</v>
      </c>
      <c r="F159" s="6"/>
      <c r="G159" s="12"/>
      <c r="H159" s="6">
        <f>IF(ROW()=5,F159-G159,H158+F159-G159)</f>
        <v>520</v>
      </c>
      <c r="I159" s="7">
        <v>28.3</v>
      </c>
      <c r="J159" s="7">
        <f>IFERROR((F159+G159)*I159,0)</f>
        <v>0</v>
      </c>
      <c r="K159" s="7" t="e">
        <f>L158+M158-N158</f>
        <v>#VALUE!</v>
      </c>
      <c r="L159" s="7" t="e">
        <f>(TablaMarimba6[[#This Row],[Saldo inicial(vales)]]-TablaMarimba6[[#This Row],[Importe]])</f>
        <v>#VALUE!</v>
      </c>
      <c r="M159" s="7" t="str">
        <f>IF(A159="","", WEEKNUM(A159, 2))</f>
        <v/>
      </c>
      <c r="N159" s="7"/>
    </row>
    <row r="160" spans="1:14">
      <c r="A160" s="5"/>
      <c r="E160" s="3" t="e">
        <f>VLOOKUP(TablaMarimba6[[#This Row],[Equipo]],[1]Catalogos!$V$4:$W$55,2,FALSE)</f>
        <v>#N/A</v>
      </c>
      <c r="F160" s="6"/>
      <c r="G160" s="12"/>
      <c r="H160" s="6">
        <f>IF(ROW()=5,F160-G160,H159+F160-G160)</f>
        <v>520</v>
      </c>
      <c r="I160" s="7">
        <v>28.3</v>
      </c>
      <c r="J160" s="7">
        <f>IFERROR((F160+G160)*I160,0)</f>
        <v>0</v>
      </c>
      <c r="K160" s="7" t="e">
        <f>L159+M159-N159</f>
        <v>#VALUE!</v>
      </c>
      <c r="L160" s="7" t="e">
        <f>(TablaMarimba6[[#This Row],[Saldo inicial(vales)]]-TablaMarimba6[[#This Row],[Importe]])</f>
        <v>#VALUE!</v>
      </c>
      <c r="M160" s="7" t="str">
        <f>IF(A160="","", WEEKNUM(A160, 2))</f>
        <v/>
      </c>
      <c r="N160" s="7"/>
    </row>
    <row r="161" spans="1:14">
      <c r="A161" s="5"/>
      <c r="E161" s="3" t="e">
        <f>VLOOKUP(TablaMarimba6[[#This Row],[Equipo]],[1]Catalogos!$V$4:$W$55,2,FALSE)</f>
        <v>#N/A</v>
      </c>
      <c r="F161" s="6"/>
      <c r="G161" s="12"/>
      <c r="H161" s="6">
        <f>IF(ROW()=5,F161-G161,H160+F161-G161)</f>
        <v>520</v>
      </c>
      <c r="I161" s="7">
        <v>28.3</v>
      </c>
      <c r="J161" s="7">
        <f>IFERROR((F161+G161)*I161,0)</f>
        <v>0</v>
      </c>
      <c r="K161" s="7" t="e">
        <f>L160+M160-N160</f>
        <v>#VALUE!</v>
      </c>
      <c r="L161" s="7" t="e">
        <f>(TablaMarimba6[[#This Row],[Saldo inicial(vales)]]-TablaMarimba6[[#This Row],[Importe]])</f>
        <v>#VALUE!</v>
      </c>
      <c r="M161" s="7" t="str">
        <f>IF(A161="","", WEEKNUM(A161, 2))</f>
        <v/>
      </c>
      <c r="N161" s="7"/>
    </row>
    <row r="162" spans="1:14">
      <c r="A162" s="5"/>
      <c r="E162" s="3" t="e">
        <f>VLOOKUP(TablaMarimba6[[#This Row],[Equipo]],[1]Catalogos!$V$4:$W$55,2,FALSE)</f>
        <v>#N/A</v>
      </c>
      <c r="F162" s="6"/>
      <c r="G162" s="12"/>
      <c r="H162" s="6">
        <f>IF(ROW()=5,F162-G162,H161+F162-G162)</f>
        <v>520</v>
      </c>
      <c r="I162" s="7">
        <v>28.3</v>
      </c>
      <c r="J162" s="7">
        <f>IFERROR((F162+G162)*I162,0)</f>
        <v>0</v>
      </c>
      <c r="K162" s="7" t="e">
        <f>L161+M161-N161</f>
        <v>#VALUE!</v>
      </c>
      <c r="L162" s="7" t="e">
        <f>(TablaMarimba6[[#This Row],[Saldo inicial(vales)]]-TablaMarimba6[[#This Row],[Importe]])</f>
        <v>#VALUE!</v>
      </c>
      <c r="M162" s="7" t="str">
        <f>IF(A162="","", WEEKNUM(A162, 2))</f>
        <v/>
      </c>
      <c r="N162" s="7"/>
    </row>
    <row r="163" spans="1:14">
      <c r="A163" s="5"/>
      <c r="E163" s="3" t="e">
        <f>VLOOKUP(TablaMarimba6[[#This Row],[Equipo]],[1]Catalogos!$V$4:$W$55,2,FALSE)</f>
        <v>#N/A</v>
      </c>
      <c r="F163" s="6"/>
      <c r="G163" s="12"/>
      <c r="H163" s="6">
        <f>IF(ROW()=5,F163-G163,H162+F163-G163)</f>
        <v>520</v>
      </c>
      <c r="I163" s="7">
        <v>28.3</v>
      </c>
      <c r="J163" s="7">
        <f>IFERROR((F163+G163)*I163,0)</f>
        <v>0</v>
      </c>
      <c r="K163" s="7" t="e">
        <f>L162+M162-N162</f>
        <v>#VALUE!</v>
      </c>
      <c r="L163" s="7" t="e">
        <f>(TablaMarimba6[[#This Row],[Saldo inicial(vales)]]-TablaMarimba6[[#This Row],[Importe]])</f>
        <v>#VALUE!</v>
      </c>
      <c r="M163" s="7" t="str">
        <f>IF(A163="","", WEEKNUM(A163, 2))</f>
        <v/>
      </c>
      <c r="N163" s="7"/>
    </row>
    <row r="164" spans="1:14">
      <c r="A164" s="5"/>
      <c r="E164" s="3" t="e">
        <f>VLOOKUP(TablaMarimba6[[#This Row],[Equipo]],[1]Catalogos!$V$4:$W$55,2,FALSE)</f>
        <v>#N/A</v>
      </c>
      <c r="F164" s="6"/>
      <c r="G164" s="12"/>
      <c r="H164" s="6">
        <f>IF(ROW()=5,F164-G164,H163+F164-G164)</f>
        <v>520</v>
      </c>
      <c r="I164" s="7">
        <v>28.3</v>
      </c>
      <c r="J164" s="7">
        <f>IFERROR((F164+G164)*I164,0)</f>
        <v>0</v>
      </c>
      <c r="K164" s="7" t="e">
        <f>L163+M163-N163</f>
        <v>#VALUE!</v>
      </c>
      <c r="L164" s="7" t="e">
        <f>(TablaMarimba6[[#This Row],[Saldo inicial(vales)]]-TablaMarimba6[[#This Row],[Importe]])</f>
        <v>#VALUE!</v>
      </c>
      <c r="M164" s="7" t="str">
        <f>IF(A164="","", WEEKNUM(A164, 2))</f>
        <v/>
      </c>
      <c r="N164" s="7"/>
    </row>
    <row r="165" spans="1:14">
      <c r="A165" s="5"/>
      <c r="E165" s="3" t="e">
        <f>VLOOKUP(TablaMarimba6[[#This Row],[Equipo]],[1]Catalogos!$V$4:$W$55,2,FALSE)</f>
        <v>#N/A</v>
      </c>
      <c r="F165" s="6"/>
      <c r="G165" s="12"/>
      <c r="H165" s="6">
        <f>IF(ROW()=5,F165-G165,H164+F165-G165)</f>
        <v>520</v>
      </c>
      <c r="I165" s="7">
        <v>28.3</v>
      </c>
      <c r="J165" s="7">
        <f>IFERROR((F165+G165)*I165,0)</f>
        <v>0</v>
      </c>
      <c r="K165" s="7" t="e">
        <f>L164+M164-N164</f>
        <v>#VALUE!</v>
      </c>
      <c r="L165" s="7" t="e">
        <f>(TablaMarimba6[[#This Row],[Saldo inicial(vales)]]-TablaMarimba6[[#This Row],[Importe]])</f>
        <v>#VALUE!</v>
      </c>
      <c r="M165" s="7" t="str">
        <f>IF(A165="","", WEEKNUM(A165, 2))</f>
        <v/>
      </c>
      <c r="N165" s="7"/>
    </row>
    <row r="166" spans="1:14">
      <c r="A166" s="5"/>
      <c r="E166" s="3" t="e">
        <f>VLOOKUP(TablaMarimba6[[#This Row],[Equipo]],[1]Catalogos!$V$4:$W$55,2,FALSE)</f>
        <v>#N/A</v>
      </c>
      <c r="F166" s="6"/>
      <c r="G166" s="12"/>
      <c r="H166" s="6">
        <f>IF(ROW()=5,F166-G166,H165+F166-G166)</f>
        <v>520</v>
      </c>
      <c r="I166" s="7">
        <v>28.3</v>
      </c>
      <c r="J166" s="7">
        <f>IFERROR((F166+G166)*I166,0)</f>
        <v>0</v>
      </c>
      <c r="K166" s="7" t="e">
        <f>L165+M165-N165</f>
        <v>#VALUE!</v>
      </c>
      <c r="L166" s="7" t="e">
        <f>(TablaMarimba6[[#This Row],[Saldo inicial(vales)]]-TablaMarimba6[[#This Row],[Importe]])</f>
        <v>#VALUE!</v>
      </c>
      <c r="M166" s="7" t="str">
        <f>IF(A166="","", WEEKNUM(A166, 2))</f>
        <v/>
      </c>
      <c r="N166" s="7"/>
    </row>
    <row r="167" spans="1:14">
      <c r="A167" s="5"/>
      <c r="E167" s="3" t="e">
        <f>VLOOKUP(TablaMarimba6[[#This Row],[Equipo]],[1]Catalogos!$V$4:$W$55,2,FALSE)</f>
        <v>#N/A</v>
      </c>
      <c r="F167" s="6"/>
      <c r="G167" s="12"/>
      <c r="H167" s="6">
        <f>IF(ROW()=5,F167-G167,H166+F167-G167)</f>
        <v>520</v>
      </c>
      <c r="I167" s="7">
        <v>28.3</v>
      </c>
      <c r="J167" s="7">
        <f>IFERROR((F167+G167)*I167,0)</f>
        <v>0</v>
      </c>
      <c r="K167" s="7" t="e">
        <f>L166+M166-N166</f>
        <v>#VALUE!</v>
      </c>
      <c r="L167" s="7" t="e">
        <f>(TablaMarimba6[[#This Row],[Saldo inicial(vales)]]-TablaMarimba6[[#This Row],[Importe]])</f>
        <v>#VALUE!</v>
      </c>
      <c r="M167" s="7" t="str">
        <f>IF(A167="","", WEEKNUM(A167, 2))</f>
        <v/>
      </c>
      <c r="N167" s="7"/>
    </row>
    <row r="168" spans="1:14">
      <c r="A168" s="5"/>
      <c r="E168" s="3" t="e">
        <f>VLOOKUP(TablaMarimba6[[#This Row],[Equipo]],[1]Catalogos!$V$4:$W$55,2,FALSE)</f>
        <v>#N/A</v>
      </c>
      <c r="F168" s="6"/>
      <c r="G168" s="12"/>
      <c r="H168" s="6">
        <f>IF(ROW()=5,F168-G168,H167+F168-G168)</f>
        <v>520</v>
      </c>
      <c r="I168" s="7">
        <v>28.3</v>
      </c>
      <c r="J168" s="7">
        <f>IFERROR((F168+G168)*I168,0)</f>
        <v>0</v>
      </c>
      <c r="K168" s="7" t="e">
        <f>L167+M167-N167</f>
        <v>#VALUE!</v>
      </c>
      <c r="L168" s="7" t="e">
        <f>(TablaMarimba6[[#This Row],[Saldo inicial(vales)]]-TablaMarimba6[[#This Row],[Importe]])</f>
        <v>#VALUE!</v>
      </c>
      <c r="M168" s="7" t="str">
        <f>IF(A168="","", WEEKNUM(A168, 2))</f>
        <v/>
      </c>
      <c r="N168" s="7"/>
    </row>
    <row r="169" spans="1:14">
      <c r="A169" s="5"/>
      <c r="E169" s="3" t="e">
        <f>VLOOKUP(TablaMarimba6[[#This Row],[Equipo]],[1]Catalogos!$V$4:$W$55,2,FALSE)</f>
        <v>#N/A</v>
      </c>
      <c r="F169" s="6"/>
      <c r="G169" s="12"/>
      <c r="H169" s="6">
        <f>IF(ROW()=5,F169-G169,H168+F169-G169)</f>
        <v>520</v>
      </c>
      <c r="I169" s="7">
        <v>28.3</v>
      </c>
      <c r="J169" s="7">
        <f>IFERROR((F169+G169)*I169,0)</f>
        <v>0</v>
      </c>
      <c r="K169" s="7" t="e">
        <f>L168+M168-N168</f>
        <v>#VALUE!</v>
      </c>
      <c r="L169" s="7" t="e">
        <f>(TablaMarimba6[[#This Row],[Saldo inicial(vales)]]-TablaMarimba6[[#This Row],[Importe]])</f>
        <v>#VALUE!</v>
      </c>
      <c r="M169" s="7" t="str">
        <f>IF(A169="","", WEEKNUM(A169, 2))</f>
        <v/>
      </c>
      <c r="N169" s="7"/>
    </row>
    <row r="170" spans="1:14">
      <c r="A170" s="5"/>
      <c r="E170" s="3" t="e">
        <f>VLOOKUP(TablaMarimba6[[#This Row],[Equipo]],[1]Catalogos!$V$4:$W$55,2,FALSE)</f>
        <v>#N/A</v>
      </c>
      <c r="F170" s="6"/>
      <c r="G170" s="12"/>
      <c r="H170" s="6">
        <f>IF(ROW()=5,F170-G170,H169+F170-G170)</f>
        <v>520</v>
      </c>
      <c r="I170" s="7">
        <v>28.3</v>
      </c>
      <c r="J170" s="7">
        <f>IFERROR((F170+G170)*I170,0)</f>
        <v>0</v>
      </c>
      <c r="K170" s="7" t="e">
        <f>L169+M169-N169</f>
        <v>#VALUE!</v>
      </c>
      <c r="L170" s="7" t="e">
        <f>(TablaMarimba6[[#This Row],[Saldo inicial(vales)]]-TablaMarimba6[[#This Row],[Importe]])</f>
        <v>#VALUE!</v>
      </c>
      <c r="M170" s="7" t="str">
        <f>IF(A170="","", WEEKNUM(A170, 2))</f>
        <v/>
      </c>
      <c r="N170" s="7"/>
    </row>
    <row r="171" spans="1:14">
      <c r="A171" s="5"/>
      <c r="E171" s="3" t="e">
        <f>VLOOKUP(TablaMarimba6[[#This Row],[Equipo]],[1]Catalogos!$V$4:$W$55,2,FALSE)</f>
        <v>#N/A</v>
      </c>
      <c r="F171" s="6"/>
      <c r="G171" s="12"/>
      <c r="H171" s="6">
        <f>IF(ROW()=5,F171-G171,H170+F171-G171)</f>
        <v>520</v>
      </c>
      <c r="I171" s="7">
        <v>28.3</v>
      </c>
      <c r="J171" s="7">
        <f>IFERROR((F171+G171)*I171,0)</f>
        <v>0</v>
      </c>
      <c r="K171" s="7" t="e">
        <f>L170+M170-N170</f>
        <v>#VALUE!</v>
      </c>
      <c r="L171" s="7" t="e">
        <f>(TablaMarimba6[[#This Row],[Saldo inicial(vales)]]-TablaMarimba6[[#This Row],[Importe]])</f>
        <v>#VALUE!</v>
      </c>
      <c r="M171" s="7" t="str">
        <f>IF(A171="","", WEEKNUM(A171, 2))</f>
        <v/>
      </c>
      <c r="N171" s="7"/>
    </row>
    <row r="172" spans="1:14">
      <c r="A172" s="5"/>
      <c r="E172" s="3" t="e">
        <f>VLOOKUP(TablaMarimba6[[#This Row],[Equipo]],[1]Catalogos!$V$4:$W$55,2,FALSE)</f>
        <v>#N/A</v>
      </c>
      <c r="F172" s="6"/>
      <c r="G172" s="12"/>
      <c r="H172" s="6">
        <f>IF(ROW()=5,F172-G172,H171+F172-G172)</f>
        <v>520</v>
      </c>
      <c r="I172" s="7">
        <v>28.3</v>
      </c>
      <c r="J172" s="7">
        <f>IFERROR((F172+G172)*I172,0)</f>
        <v>0</v>
      </c>
      <c r="K172" s="7" t="e">
        <f>L171+M171-N171</f>
        <v>#VALUE!</v>
      </c>
      <c r="L172" s="7" t="e">
        <f>(TablaMarimba6[[#This Row],[Saldo inicial(vales)]]-TablaMarimba6[[#This Row],[Importe]])</f>
        <v>#VALUE!</v>
      </c>
      <c r="M172" s="7" t="str">
        <f>IF(A172="","", WEEKNUM(A172, 2))</f>
        <v/>
      </c>
      <c r="N172" s="7"/>
    </row>
    <row r="173" spans="1:14">
      <c r="A173" s="5"/>
      <c r="E173" s="3" t="e">
        <f>VLOOKUP(TablaMarimba6[[#This Row],[Equipo]],[1]Catalogos!$V$4:$W$55,2,FALSE)</f>
        <v>#N/A</v>
      </c>
      <c r="F173" s="6"/>
      <c r="G173" s="12"/>
      <c r="H173" s="6">
        <f>IF(ROW()=5,F173-G173,H172+F173-G173)</f>
        <v>520</v>
      </c>
      <c r="I173" s="7">
        <v>28.3</v>
      </c>
      <c r="J173" s="7">
        <f>IFERROR((F173+G173)*I173,0)</f>
        <v>0</v>
      </c>
      <c r="K173" s="7" t="e">
        <f>L172+M172-N172</f>
        <v>#VALUE!</v>
      </c>
      <c r="L173" s="7" t="e">
        <f>(TablaMarimba6[[#This Row],[Saldo inicial(vales)]]-TablaMarimba6[[#This Row],[Importe]])</f>
        <v>#VALUE!</v>
      </c>
      <c r="M173" s="7" t="str">
        <f>IF(A173="","", WEEKNUM(A173, 2))</f>
        <v/>
      </c>
      <c r="N173" s="7"/>
    </row>
    <row r="174" spans="1:14">
      <c r="A174" s="5"/>
      <c r="E174" s="3" t="e">
        <f>VLOOKUP(TablaMarimba6[[#This Row],[Equipo]],[1]Catalogos!$V$4:$W$55,2,FALSE)</f>
        <v>#N/A</v>
      </c>
      <c r="F174" s="6"/>
      <c r="G174" s="12"/>
      <c r="H174" s="6">
        <f>IF(ROW()=5,F174-G174,H173+F174-G174)</f>
        <v>520</v>
      </c>
      <c r="I174" s="7">
        <v>28.3</v>
      </c>
      <c r="J174" s="7">
        <f>IFERROR((F174+G174)*I174,0)</f>
        <v>0</v>
      </c>
      <c r="K174" s="7" t="e">
        <f>L173+M173-N173</f>
        <v>#VALUE!</v>
      </c>
      <c r="L174" s="7" t="e">
        <f>(TablaMarimba6[[#This Row],[Saldo inicial(vales)]]-TablaMarimba6[[#This Row],[Importe]])</f>
        <v>#VALUE!</v>
      </c>
      <c r="M174" s="7" t="str">
        <f>IF(A174="","", WEEKNUM(A174, 2))</f>
        <v/>
      </c>
      <c r="N174" s="7"/>
    </row>
    <row r="175" spans="1:14">
      <c r="A175" s="5"/>
      <c r="E175" s="3" t="e">
        <f>VLOOKUP(TablaMarimba6[[#This Row],[Equipo]],[1]Catalogos!$V$4:$W$55,2,FALSE)</f>
        <v>#N/A</v>
      </c>
      <c r="F175" s="6"/>
      <c r="G175" s="12"/>
      <c r="H175" s="6">
        <f>IF(ROW()=5,F175-G175,H174+F175-G175)</f>
        <v>520</v>
      </c>
      <c r="I175" s="7">
        <v>28.3</v>
      </c>
      <c r="J175" s="7">
        <f>IFERROR((F175+G175)*I175,0)</f>
        <v>0</v>
      </c>
      <c r="K175" s="7" t="e">
        <f>L174+M174-N174</f>
        <v>#VALUE!</v>
      </c>
      <c r="L175" s="7" t="e">
        <f>(TablaMarimba6[[#This Row],[Saldo inicial(vales)]]-TablaMarimba6[[#This Row],[Importe]])</f>
        <v>#VALUE!</v>
      </c>
      <c r="M175" s="7" t="str">
        <f>IF(A175="","", WEEKNUM(A175, 2))</f>
        <v/>
      </c>
      <c r="N175" s="7"/>
    </row>
    <row r="176" spans="1:14">
      <c r="A176" s="5"/>
      <c r="E176" s="3" t="e">
        <f>VLOOKUP(TablaMarimba6[[#This Row],[Equipo]],[1]Catalogos!$V$4:$W$55,2,FALSE)</f>
        <v>#N/A</v>
      </c>
      <c r="F176" s="6"/>
      <c r="G176" s="12"/>
      <c r="H176" s="6">
        <f>IF(ROW()=5,F176-G176,H175+F176-G176)</f>
        <v>520</v>
      </c>
      <c r="I176" s="7">
        <v>28.3</v>
      </c>
      <c r="J176" s="7">
        <f>IFERROR((F176+G176)*I176,0)</f>
        <v>0</v>
      </c>
      <c r="K176" s="7" t="e">
        <f>L175+M175-N175</f>
        <v>#VALUE!</v>
      </c>
      <c r="L176" s="7" t="e">
        <f>(TablaMarimba6[[#This Row],[Saldo inicial(vales)]]-TablaMarimba6[[#This Row],[Importe]])</f>
        <v>#VALUE!</v>
      </c>
      <c r="M176" s="7" t="str">
        <f>IF(A176="","", WEEKNUM(A176, 2))</f>
        <v/>
      </c>
      <c r="N176" s="7"/>
    </row>
    <row r="177" spans="1:14">
      <c r="A177" s="5"/>
      <c r="E177" s="3" t="e">
        <f>VLOOKUP(TablaMarimba6[[#This Row],[Equipo]],[1]Catalogos!$V$4:$W$55,2,FALSE)</f>
        <v>#N/A</v>
      </c>
      <c r="F177" s="6"/>
      <c r="G177" s="12"/>
      <c r="H177" s="6">
        <f>IF(ROW()=5,F177-G177,H176+F177-G177)</f>
        <v>520</v>
      </c>
      <c r="I177" s="7">
        <v>28.3</v>
      </c>
      <c r="J177" s="7">
        <f>IFERROR((F177+G177)*I177,0)</f>
        <v>0</v>
      </c>
      <c r="K177" s="7" t="e">
        <f>L176+M176-N176</f>
        <v>#VALUE!</v>
      </c>
      <c r="L177" s="7" t="e">
        <f>(TablaMarimba6[[#This Row],[Saldo inicial(vales)]]-TablaMarimba6[[#This Row],[Importe]])</f>
        <v>#VALUE!</v>
      </c>
      <c r="M177" s="7" t="str">
        <f>IF(A177="","", WEEKNUM(A177, 2))</f>
        <v/>
      </c>
      <c r="N177" s="7"/>
    </row>
    <row r="178" spans="1:14">
      <c r="A178" s="5"/>
      <c r="E178" s="3" t="e">
        <f>VLOOKUP(TablaMarimba6[[#This Row],[Equipo]],[1]Catalogos!$V$4:$W$55,2,FALSE)</f>
        <v>#N/A</v>
      </c>
      <c r="F178" s="6"/>
      <c r="G178" s="12"/>
      <c r="H178" s="6">
        <f>IF(ROW()=5,F178-G178,H177+F178-G178)</f>
        <v>520</v>
      </c>
      <c r="I178" s="7">
        <v>28.3</v>
      </c>
      <c r="J178" s="7">
        <f>IFERROR((F178+G178)*I178,0)</f>
        <v>0</v>
      </c>
      <c r="K178" s="7" t="e">
        <f>L177+M177-N177</f>
        <v>#VALUE!</v>
      </c>
      <c r="L178" s="7" t="e">
        <f>(TablaMarimba6[[#This Row],[Saldo inicial(vales)]]-TablaMarimba6[[#This Row],[Importe]])</f>
        <v>#VALUE!</v>
      </c>
      <c r="M178" s="7" t="str">
        <f>IF(A178="","", WEEKNUM(A178, 2))</f>
        <v/>
      </c>
      <c r="N178" s="7"/>
    </row>
    <row r="179" spans="1:14">
      <c r="A179" s="5"/>
      <c r="E179" s="3" t="e">
        <f>VLOOKUP(TablaMarimba6[[#This Row],[Equipo]],[1]Catalogos!$V$4:$W$55,2,FALSE)</f>
        <v>#N/A</v>
      </c>
      <c r="F179" s="6"/>
      <c r="G179" s="12"/>
      <c r="H179" s="6">
        <f>IF(ROW()=5,F179-G179,H178+F179-G179)</f>
        <v>520</v>
      </c>
      <c r="I179" s="7">
        <v>28.3</v>
      </c>
      <c r="J179" s="7">
        <f>IFERROR((F179+G179)*I179,0)</f>
        <v>0</v>
      </c>
      <c r="K179" s="7" t="e">
        <f>L178+M178-N178</f>
        <v>#VALUE!</v>
      </c>
      <c r="L179" s="7" t="e">
        <f>(TablaMarimba6[[#This Row],[Saldo inicial(vales)]]-TablaMarimba6[[#This Row],[Importe]])</f>
        <v>#VALUE!</v>
      </c>
      <c r="M179" s="7" t="str">
        <f>IF(A179="","", WEEKNUM(A179, 2))</f>
        <v/>
      </c>
      <c r="N179" s="7"/>
    </row>
    <row r="180" spans="1:14">
      <c r="A180" s="5"/>
      <c r="E180" s="3" t="e">
        <f>VLOOKUP(TablaMarimba6[[#This Row],[Equipo]],[1]Catalogos!$V$4:$W$55,2,FALSE)</f>
        <v>#N/A</v>
      </c>
      <c r="F180" s="6"/>
      <c r="G180" s="12"/>
      <c r="H180" s="6">
        <f>IF(ROW()=5,F180-G180,H179+F180-G180)</f>
        <v>520</v>
      </c>
      <c r="I180" s="7">
        <v>28.3</v>
      </c>
      <c r="J180" s="7">
        <f>IFERROR((F180+G180)*I180,0)</f>
        <v>0</v>
      </c>
      <c r="K180" s="7" t="e">
        <f>L179+M179-N179</f>
        <v>#VALUE!</v>
      </c>
      <c r="L180" s="7" t="e">
        <f>(TablaMarimba6[[#This Row],[Saldo inicial(vales)]]-TablaMarimba6[[#This Row],[Importe]])</f>
        <v>#VALUE!</v>
      </c>
      <c r="M180" s="7" t="str">
        <f>IF(A180="","", WEEKNUM(A180, 2))</f>
        <v/>
      </c>
      <c r="N180" s="7"/>
    </row>
    <row r="181" spans="1:14">
      <c r="A181" s="5"/>
      <c r="E181" s="3" t="e">
        <f>VLOOKUP(TablaMarimba6[[#This Row],[Equipo]],[1]Catalogos!$V$4:$W$55,2,FALSE)</f>
        <v>#N/A</v>
      </c>
      <c r="F181" s="6"/>
      <c r="G181" s="12"/>
      <c r="H181" s="6">
        <f>IF(ROW()=5,F181-G181,H180+F181-G181)</f>
        <v>520</v>
      </c>
      <c r="I181" s="7">
        <v>28.3</v>
      </c>
      <c r="J181" s="7">
        <f>IFERROR((F181+G181)*I181,0)</f>
        <v>0</v>
      </c>
      <c r="K181" s="7" t="e">
        <f>L180+M180-N180</f>
        <v>#VALUE!</v>
      </c>
      <c r="L181" s="7" t="e">
        <f>(TablaMarimba6[[#This Row],[Saldo inicial(vales)]]-TablaMarimba6[[#This Row],[Importe]])</f>
        <v>#VALUE!</v>
      </c>
      <c r="M181" s="7" t="str">
        <f>IF(A181="","", WEEKNUM(A181, 2))</f>
        <v/>
      </c>
      <c r="N181" s="7"/>
    </row>
    <row r="182" spans="1:14">
      <c r="A182" s="5"/>
      <c r="E182" s="3" t="e">
        <f>VLOOKUP(TablaMarimba6[[#This Row],[Equipo]],[1]Catalogos!$V$4:$W$55,2,FALSE)</f>
        <v>#N/A</v>
      </c>
      <c r="F182" s="6"/>
      <c r="G182" s="12"/>
      <c r="H182" s="6">
        <f>IF(ROW()=5,F182-G182,H181+F182-G182)</f>
        <v>520</v>
      </c>
      <c r="I182" s="7">
        <v>28.3</v>
      </c>
      <c r="J182" s="7">
        <f>IFERROR((F182+G182)*I182,0)</f>
        <v>0</v>
      </c>
      <c r="K182" s="7" t="e">
        <f>L181+M181-N181</f>
        <v>#VALUE!</v>
      </c>
      <c r="L182" s="7" t="e">
        <f>(TablaMarimba6[[#This Row],[Saldo inicial(vales)]]-TablaMarimba6[[#This Row],[Importe]])</f>
        <v>#VALUE!</v>
      </c>
      <c r="M182" s="7" t="str">
        <f>IF(A182="","", WEEKNUM(A182, 2))</f>
        <v/>
      </c>
      <c r="N182" s="7"/>
    </row>
    <row r="183" spans="1:14">
      <c r="A183" s="5"/>
      <c r="E183" s="3" t="e">
        <f>VLOOKUP(TablaMarimba6[[#This Row],[Equipo]],[1]Catalogos!$V$4:$W$55,2,FALSE)</f>
        <v>#N/A</v>
      </c>
      <c r="F183" s="6"/>
      <c r="G183" s="12"/>
      <c r="H183" s="6">
        <f>IF(ROW()=5,F183-G183,H182+F183-G183)</f>
        <v>520</v>
      </c>
      <c r="I183" s="7">
        <v>28.3</v>
      </c>
      <c r="J183" s="7">
        <f>IFERROR((F183+G183)*I183,0)</f>
        <v>0</v>
      </c>
      <c r="K183" s="7" t="e">
        <f>L182+M182-N182</f>
        <v>#VALUE!</v>
      </c>
      <c r="L183" s="7" t="e">
        <f>(TablaMarimba6[[#This Row],[Saldo inicial(vales)]]-TablaMarimba6[[#This Row],[Importe]])</f>
        <v>#VALUE!</v>
      </c>
      <c r="M183" s="7" t="str">
        <f>IF(A183="","", WEEKNUM(A183, 2))</f>
        <v/>
      </c>
      <c r="N183" s="7"/>
    </row>
    <row r="184" spans="1:14">
      <c r="A184" s="5"/>
      <c r="E184" s="3" t="e">
        <f>VLOOKUP(TablaMarimba6[[#This Row],[Equipo]],[1]Catalogos!$V$4:$W$55,2,FALSE)</f>
        <v>#N/A</v>
      </c>
      <c r="F184" s="6"/>
      <c r="G184" s="12"/>
      <c r="H184" s="6">
        <f>IF(ROW()=5,F184-G184,H183+F184-G184)</f>
        <v>520</v>
      </c>
      <c r="I184" s="7">
        <v>28.3</v>
      </c>
      <c r="J184" s="7">
        <f>IFERROR((F184+G184)*I184,0)</f>
        <v>0</v>
      </c>
      <c r="K184" s="7" t="e">
        <f>L183+M183-N183</f>
        <v>#VALUE!</v>
      </c>
      <c r="L184" s="7" t="e">
        <f>(TablaMarimba6[[#This Row],[Saldo inicial(vales)]]-TablaMarimba6[[#This Row],[Importe]])</f>
        <v>#VALUE!</v>
      </c>
      <c r="M184" s="7" t="str">
        <f>IF(A184="","", WEEKNUM(A184, 2))</f>
        <v/>
      </c>
      <c r="N184" s="7"/>
    </row>
    <row r="185" spans="1:14">
      <c r="A185" s="5"/>
      <c r="E185" s="3" t="e">
        <f>VLOOKUP(TablaMarimba6[[#This Row],[Equipo]],[1]Catalogos!$V$4:$W$55,2,FALSE)</f>
        <v>#N/A</v>
      </c>
      <c r="F185" s="6"/>
      <c r="G185" s="12"/>
      <c r="H185" s="6">
        <f>IF(ROW()=5,F185-G185,H184+F185-G185)</f>
        <v>520</v>
      </c>
      <c r="I185" s="7">
        <v>28.3</v>
      </c>
      <c r="J185" s="7">
        <f>IFERROR((F185+G185)*I185,0)</f>
        <v>0</v>
      </c>
      <c r="K185" s="7" t="e">
        <f>L184+M184-N184</f>
        <v>#VALUE!</v>
      </c>
      <c r="L185" s="7" t="e">
        <f>(TablaMarimba6[[#This Row],[Saldo inicial(vales)]]-TablaMarimba6[[#This Row],[Importe]])</f>
        <v>#VALUE!</v>
      </c>
      <c r="M185" s="7" t="str">
        <f>IF(A185="","", WEEKNUM(A185, 2))</f>
        <v/>
      </c>
      <c r="N185" s="7"/>
    </row>
    <row r="186" spans="1:14">
      <c r="A186" s="5"/>
      <c r="E186" s="3" t="e">
        <f>VLOOKUP(TablaMarimba6[[#This Row],[Equipo]],[1]Catalogos!$V$4:$W$55,2,FALSE)</f>
        <v>#N/A</v>
      </c>
      <c r="F186" s="6"/>
      <c r="G186" s="12"/>
      <c r="H186" s="6">
        <f>IF(ROW()=5,F186-G186,H185+F186-G186)</f>
        <v>520</v>
      </c>
      <c r="I186" s="7">
        <v>28.3</v>
      </c>
      <c r="J186" s="7">
        <f>IFERROR((F186+G186)*I186,0)</f>
        <v>0</v>
      </c>
      <c r="K186" s="7" t="e">
        <f>L185+M185-N185</f>
        <v>#VALUE!</v>
      </c>
      <c r="L186" s="7" t="e">
        <f>(TablaMarimba6[[#This Row],[Saldo inicial(vales)]]-TablaMarimba6[[#This Row],[Importe]])</f>
        <v>#VALUE!</v>
      </c>
      <c r="M186" s="7" t="str">
        <f>IF(A186="","", WEEKNUM(A186, 2))</f>
        <v/>
      </c>
      <c r="N186" s="7"/>
    </row>
    <row r="187" spans="1:14">
      <c r="A187" s="5"/>
      <c r="E187" s="3" t="e">
        <f>VLOOKUP(TablaMarimba6[[#This Row],[Equipo]],[1]Catalogos!$V$4:$W$55,2,FALSE)</f>
        <v>#N/A</v>
      </c>
      <c r="F187" s="6"/>
      <c r="G187" s="12"/>
      <c r="H187" s="6">
        <f>IF(ROW()=5,F187-G187,H186+F187-G187)</f>
        <v>520</v>
      </c>
      <c r="I187" s="7">
        <v>28.3</v>
      </c>
      <c r="J187" s="7">
        <f>IFERROR((F187+G187)*I187,0)</f>
        <v>0</v>
      </c>
      <c r="K187" s="7" t="e">
        <f>L186+M186-N186</f>
        <v>#VALUE!</v>
      </c>
      <c r="L187" s="7" t="e">
        <f>(TablaMarimba6[[#This Row],[Saldo inicial(vales)]]-TablaMarimba6[[#This Row],[Importe]])</f>
        <v>#VALUE!</v>
      </c>
      <c r="M187" s="7" t="str">
        <f>IF(A187="","", WEEKNUM(A187, 2))</f>
        <v/>
      </c>
      <c r="N187" s="7"/>
    </row>
    <row r="188" spans="1:14">
      <c r="A188" s="5"/>
      <c r="E188" s="3" t="e">
        <f>VLOOKUP(TablaMarimba6[[#This Row],[Equipo]],[1]Catalogos!$V$4:$W$55,2,FALSE)</f>
        <v>#N/A</v>
      </c>
      <c r="F188" s="6"/>
      <c r="G188" s="12"/>
      <c r="H188" s="6">
        <f>IF(ROW()=5,F188-G188,H187+F188-G188)</f>
        <v>520</v>
      </c>
      <c r="I188" s="7">
        <v>28.3</v>
      </c>
      <c r="J188" s="7">
        <f>IFERROR((F188+G188)*I188,0)</f>
        <v>0</v>
      </c>
      <c r="K188" s="7" t="e">
        <f>L187+M187-N187</f>
        <v>#VALUE!</v>
      </c>
      <c r="L188" s="7" t="e">
        <f>(TablaMarimba6[[#This Row],[Saldo inicial(vales)]]-TablaMarimba6[[#This Row],[Importe]])</f>
        <v>#VALUE!</v>
      </c>
      <c r="M188" s="7" t="str">
        <f>IF(A188="","", WEEKNUM(A188, 2))</f>
        <v/>
      </c>
      <c r="N188" s="7"/>
    </row>
    <row r="189" spans="1:14">
      <c r="A189" s="5"/>
      <c r="E189" s="3" t="e">
        <f>VLOOKUP(TablaMarimba6[[#This Row],[Equipo]],[1]Catalogos!$V$4:$W$55,2,FALSE)</f>
        <v>#N/A</v>
      </c>
      <c r="F189" s="6"/>
      <c r="G189" s="12"/>
      <c r="H189" s="6">
        <f>IF(ROW()=5,F189-G189,H188+F189-G189)</f>
        <v>520</v>
      </c>
      <c r="I189" s="7">
        <v>28.3</v>
      </c>
      <c r="J189" s="7">
        <f>IFERROR((F189+G189)*I189,0)</f>
        <v>0</v>
      </c>
      <c r="K189" s="7" t="e">
        <f>L188+M188-N188</f>
        <v>#VALUE!</v>
      </c>
      <c r="L189" s="7" t="e">
        <f>(TablaMarimba6[[#This Row],[Saldo inicial(vales)]]-TablaMarimba6[[#This Row],[Importe]])</f>
        <v>#VALUE!</v>
      </c>
      <c r="M189" s="7" t="str">
        <f>IF(A189="","", WEEKNUM(A189, 2))</f>
        <v/>
      </c>
      <c r="N189" s="7"/>
    </row>
    <row r="190" spans="1:14">
      <c r="A190" s="5"/>
      <c r="E190" s="3" t="e">
        <f>VLOOKUP(TablaMarimba6[[#This Row],[Equipo]],[1]Catalogos!$V$4:$W$55,2,FALSE)</f>
        <v>#N/A</v>
      </c>
      <c r="F190" s="6"/>
      <c r="G190" s="12"/>
      <c r="H190" s="6">
        <f>IF(ROW()=5,F190-G190,H189+F190-G190)</f>
        <v>520</v>
      </c>
      <c r="I190" s="7">
        <v>28.3</v>
      </c>
      <c r="J190" s="7">
        <f>IFERROR((F190+G190)*I190,0)</f>
        <v>0</v>
      </c>
      <c r="K190" s="7" t="e">
        <f>L189+M189-N189</f>
        <v>#VALUE!</v>
      </c>
      <c r="L190" s="7" t="e">
        <f>(TablaMarimba6[[#This Row],[Saldo inicial(vales)]]-TablaMarimba6[[#This Row],[Importe]])</f>
        <v>#VALUE!</v>
      </c>
      <c r="M190" s="7" t="str">
        <f>IF(A190="","", WEEKNUM(A190, 2))</f>
        <v/>
      </c>
      <c r="N190" s="7"/>
    </row>
    <row r="191" spans="1:14">
      <c r="A191" s="5"/>
      <c r="E191" s="3" t="e">
        <f>VLOOKUP(TablaMarimba6[[#This Row],[Equipo]],[1]Catalogos!$V$4:$W$55,2,FALSE)</f>
        <v>#N/A</v>
      </c>
      <c r="F191" s="6"/>
      <c r="G191" s="12"/>
      <c r="H191" s="6">
        <f>IF(ROW()=5,F191-G191,H190+F191-G191)</f>
        <v>520</v>
      </c>
      <c r="I191" s="7">
        <v>28.3</v>
      </c>
      <c r="J191" s="7">
        <f>IFERROR((F191+G191)*I191,0)</f>
        <v>0</v>
      </c>
      <c r="K191" s="7" t="e">
        <f>L190+M190-N190</f>
        <v>#VALUE!</v>
      </c>
      <c r="L191" s="7" t="e">
        <f>(TablaMarimba6[[#This Row],[Saldo inicial(vales)]]-TablaMarimba6[[#This Row],[Importe]])</f>
        <v>#VALUE!</v>
      </c>
      <c r="M191" s="7" t="str">
        <f>IF(A191="","", WEEKNUM(A191, 2))</f>
        <v/>
      </c>
      <c r="N191" s="7"/>
    </row>
    <row r="192" spans="1:14">
      <c r="A192" s="5"/>
      <c r="E192" s="3" t="e">
        <f>VLOOKUP(TablaMarimba6[[#This Row],[Equipo]],[1]Catalogos!$V$4:$W$55,2,FALSE)</f>
        <v>#N/A</v>
      </c>
      <c r="F192" s="6"/>
      <c r="G192" s="12"/>
      <c r="H192" s="6">
        <f>IF(ROW()=5,F192-G192,H191+F192-G192)</f>
        <v>520</v>
      </c>
      <c r="I192" s="7">
        <v>28.3</v>
      </c>
      <c r="J192" s="7">
        <f>IFERROR((F192+G192)*I192,0)</f>
        <v>0</v>
      </c>
      <c r="K192" s="7" t="e">
        <f>L191+M191-N191</f>
        <v>#VALUE!</v>
      </c>
      <c r="L192" s="7" t="e">
        <f>(TablaMarimba6[[#This Row],[Saldo inicial(vales)]]-TablaMarimba6[[#This Row],[Importe]])</f>
        <v>#VALUE!</v>
      </c>
      <c r="M192" s="7" t="str">
        <f>IF(A192="","", WEEKNUM(A192, 2))</f>
        <v/>
      </c>
      <c r="N192" s="7"/>
    </row>
    <row r="193" spans="1:14">
      <c r="A193" s="5"/>
      <c r="E193" s="3" t="e">
        <f>VLOOKUP(TablaMarimba6[[#This Row],[Equipo]],[1]Catalogos!$V$4:$W$55,2,FALSE)</f>
        <v>#N/A</v>
      </c>
      <c r="F193" s="6"/>
      <c r="G193" s="12"/>
      <c r="H193" s="6">
        <f>IF(ROW()=5,F193-G193,H192+F193-G193)</f>
        <v>520</v>
      </c>
      <c r="I193" s="7">
        <v>28.3</v>
      </c>
      <c r="J193" s="7">
        <f>IFERROR((F193+G193)*I193,0)</f>
        <v>0</v>
      </c>
      <c r="K193" s="7" t="e">
        <f>L192+M192-N192</f>
        <v>#VALUE!</v>
      </c>
      <c r="L193" s="7" t="e">
        <f>(TablaMarimba6[[#This Row],[Saldo inicial(vales)]]-TablaMarimba6[[#This Row],[Importe]])</f>
        <v>#VALUE!</v>
      </c>
      <c r="M193" s="7" t="str">
        <f>IF(A193="","", WEEKNUM(A193, 2))</f>
        <v/>
      </c>
      <c r="N193" s="7"/>
    </row>
    <row r="194" spans="1:14">
      <c r="A194" s="5"/>
      <c r="E194" s="3" t="e">
        <f>VLOOKUP(TablaMarimba6[[#This Row],[Equipo]],[1]Catalogos!$V$4:$W$55,2,FALSE)</f>
        <v>#N/A</v>
      </c>
      <c r="F194" s="6"/>
      <c r="G194" s="12"/>
      <c r="H194" s="6">
        <f>IF(ROW()=5,F194-G194,H193+F194-G194)</f>
        <v>520</v>
      </c>
      <c r="I194" s="7">
        <v>28.3</v>
      </c>
      <c r="J194" s="7">
        <f>IFERROR((F194+G194)*I194,0)</f>
        <v>0</v>
      </c>
      <c r="K194" s="7" t="e">
        <f>L193+M193-N193</f>
        <v>#VALUE!</v>
      </c>
      <c r="L194" s="7" t="e">
        <f>(TablaMarimba6[[#This Row],[Saldo inicial(vales)]]-TablaMarimba6[[#This Row],[Importe]])</f>
        <v>#VALUE!</v>
      </c>
      <c r="M194" s="7" t="str">
        <f>IF(A194="","", WEEKNUM(A194, 2))</f>
        <v/>
      </c>
      <c r="N194" s="7"/>
    </row>
    <row r="195" spans="1:14">
      <c r="A195" s="5"/>
      <c r="E195" s="3" t="e">
        <f>VLOOKUP(TablaMarimba6[[#This Row],[Equipo]],[1]Catalogos!$V$4:$W$55,2,FALSE)</f>
        <v>#N/A</v>
      </c>
      <c r="F195" s="6"/>
      <c r="G195" s="12"/>
      <c r="H195" s="6">
        <f>IF(ROW()=5,F195-G195,H194+F195-G195)</f>
        <v>520</v>
      </c>
      <c r="I195" s="7">
        <v>28.3</v>
      </c>
      <c r="J195" s="7">
        <f>IFERROR((F195+G195)*I195,0)</f>
        <v>0</v>
      </c>
      <c r="K195" s="7" t="e">
        <f>L194+M194-N194</f>
        <v>#VALUE!</v>
      </c>
      <c r="L195" s="7" t="e">
        <f>(TablaMarimba6[[#This Row],[Saldo inicial(vales)]]-TablaMarimba6[[#This Row],[Importe]])</f>
        <v>#VALUE!</v>
      </c>
      <c r="M195" s="7" t="str">
        <f>IF(A195="","", WEEKNUM(A195, 2))</f>
        <v/>
      </c>
      <c r="N195" s="7"/>
    </row>
    <row r="196" spans="1:14">
      <c r="A196" s="5"/>
      <c r="E196" s="3" t="e">
        <f>VLOOKUP(TablaMarimba6[[#This Row],[Equipo]],[1]Catalogos!$V$4:$W$55,2,FALSE)</f>
        <v>#N/A</v>
      </c>
      <c r="F196" s="6"/>
      <c r="G196" s="12"/>
      <c r="H196" s="6">
        <f>IF(ROW()=5,F196-G196,H195+F196-G196)</f>
        <v>520</v>
      </c>
      <c r="I196" s="7">
        <v>28.3</v>
      </c>
      <c r="J196" s="7">
        <f>IFERROR((F196+G196)*I196,0)</f>
        <v>0</v>
      </c>
      <c r="K196" s="7" t="e">
        <f>L195+M195-N195</f>
        <v>#VALUE!</v>
      </c>
      <c r="L196" s="7" t="e">
        <f>(TablaMarimba6[[#This Row],[Saldo inicial(vales)]]-TablaMarimba6[[#This Row],[Importe]])</f>
        <v>#VALUE!</v>
      </c>
      <c r="M196" s="7" t="str">
        <f>IF(A196="","", WEEKNUM(A196, 2))</f>
        <v/>
      </c>
      <c r="N196" s="7"/>
    </row>
    <row r="197" spans="1:14">
      <c r="A197" s="5"/>
      <c r="E197" s="3" t="e">
        <f>VLOOKUP(TablaMarimba6[[#This Row],[Equipo]],[1]Catalogos!$V$4:$W$55,2,FALSE)</f>
        <v>#N/A</v>
      </c>
      <c r="F197" s="6"/>
      <c r="G197" s="12"/>
      <c r="H197" s="6">
        <f>IF(ROW()=5,F197-G197,H196+F197-G197)</f>
        <v>520</v>
      </c>
      <c r="I197" s="7">
        <v>28.3</v>
      </c>
      <c r="J197" s="7">
        <f>IFERROR((F197+G197)*I197,0)</f>
        <v>0</v>
      </c>
      <c r="K197" s="7" t="e">
        <f>L196+M196-N196</f>
        <v>#VALUE!</v>
      </c>
      <c r="L197" s="7" t="e">
        <f>(TablaMarimba6[[#This Row],[Saldo inicial(vales)]]-TablaMarimba6[[#This Row],[Importe]])</f>
        <v>#VALUE!</v>
      </c>
      <c r="M197" s="7" t="str">
        <f>IF(A197="","", WEEKNUM(A197, 2))</f>
        <v/>
      </c>
      <c r="N197" s="7"/>
    </row>
    <row r="198" spans="1:14">
      <c r="A198" s="5"/>
      <c r="E198" s="3" t="e">
        <f>VLOOKUP(TablaMarimba6[[#This Row],[Equipo]],[1]Catalogos!$V$4:$W$55,2,FALSE)</f>
        <v>#N/A</v>
      </c>
      <c r="F198" s="6"/>
      <c r="G198" s="12"/>
      <c r="H198" s="6">
        <f>IF(ROW()=5,F198-G198,H197+F198-G198)</f>
        <v>520</v>
      </c>
      <c r="I198" s="7">
        <v>28.3</v>
      </c>
      <c r="J198" s="7">
        <f>IFERROR((F198+G198)*I198,0)</f>
        <v>0</v>
      </c>
      <c r="K198" s="7" t="e">
        <f>L197+M197-N197</f>
        <v>#VALUE!</v>
      </c>
      <c r="L198" s="7" t="e">
        <f>(TablaMarimba6[[#This Row],[Saldo inicial(vales)]]-TablaMarimba6[[#This Row],[Importe]])</f>
        <v>#VALUE!</v>
      </c>
      <c r="M198" s="7" t="str">
        <f>IF(A198="","", WEEKNUM(A198, 2))</f>
        <v/>
      </c>
      <c r="N198" s="7"/>
    </row>
    <row r="199" spans="1:14">
      <c r="A199" s="5"/>
      <c r="E199" s="3" t="e">
        <f>VLOOKUP(TablaMarimba6[[#This Row],[Equipo]],[1]Catalogos!$V$4:$W$55,2,FALSE)</f>
        <v>#N/A</v>
      </c>
      <c r="F199" s="6"/>
      <c r="G199" s="12"/>
      <c r="H199" s="6">
        <f>IF(ROW()=5,F199-G199,H198+F199-G199)</f>
        <v>520</v>
      </c>
      <c r="I199" s="7">
        <v>28.3</v>
      </c>
      <c r="J199" s="7">
        <f>IFERROR((F199+G199)*I199,0)</f>
        <v>0</v>
      </c>
      <c r="K199" s="7" t="e">
        <f>L198+M198-N198</f>
        <v>#VALUE!</v>
      </c>
      <c r="L199" s="7" t="e">
        <f>(TablaMarimba6[[#This Row],[Saldo inicial(vales)]]-TablaMarimba6[[#This Row],[Importe]])</f>
        <v>#VALUE!</v>
      </c>
      <c r="M199" s="7" t="str">
        <f>IF(A199="","", WEEKNUM(A199, 2))</f>
        <v/>
      </c>
      <c r="N199" s="7"/>
    </row>
    <row r="200" spans="1:14">
      <c r="A200" s="5"/>
      <c r="E200" s="3" t="e">
        <f>VLOOKUP(TablaMarimba6[[#This Row],[Equipo]],[1]Catalogos!$V$4:$W$55,2,FALSE)</f>
        <v>#N/A</v>
      </c>
      <c r="F200" s="6"/>
      <c r="G200" s="12"/>
      <c r="H200" s="6">
        <f>IF(ROW()=5,F200-G200,H199+F200-G200)</f>
        <v>520</v>
      </c>
      <c r="I200" s="7">
        <v>28.3</v>
      </c>
      <c r="J200" s="7">
        <f>IFERROR((F200+G200)*I200,0)</f>
        <v>0</v>
      </c>
      <c r="K200" s="7" t="e">
        <f>L199+M199-N199</f>
        <v>#VALUE!</v>
      </c>
      <c r="L200" s="7" t="e">
        <f>(TablaMarimba6[[#This Row],[Saldo inicial(vales)]]-TablaMarimba6[[#This Row],[Importe]])</f>
        <v>#VALUE!</v>
      </c>
      <c r="M200" s="7" t="str">
        <f>IF(A200="","", WEEKNUM(A200, 2))</f>
        <v/>
      </c>
      <c r="N200" s="7"/>
    </row>
    <row r="201" spans="1:14">
      <c r="A201" s="5"/>
      <c r="E201" s="3" t="e">
        <f>VLOOKUP(TablaMarimba6[[#This Row],[Equipo]],[1]Catalogos!$V$4:$W$55,2,FALSE)</f>
        <v>#N/A</v>
      </c>
      <c r="F201" s="6"/>
      <c r="G201" s="12"/>
      <c r="H201" s="6">
        <f>IF(ROW()=5,F201-G201,H200+F201-G201)</f>
        <v>520</v>
      </c>
      <c r="I201" s="7">
        <v>28.3</v>
      </c>
      <c r="J201" s="7">
        <f>IFERROR((F201+G201)*I201,0)</f>
        <v>0</v>
      </c>
      <c r="K201" s="7" t="e">
        <f>L200+M200-N200</f>
        <v>#VALUE!</v>
      </c>
      <c r="L201" s="7" t="e">
        <f>(TablaMarimba6[[#This Row],[Saldo inicial(vales)]]-TablaMarimba6[[#This Row],[Importe]])</f>
        <v>#VALUE!</v>
      </c>
      <c r="M201" s="7" t="str">
        <f>IF(A201="","", WEEKNUM(A201, 2))</f>
        <v/>
      </c>
      <c r="N201" s="7"/>
    </row>
    <row r="202" spans="1:14">
      <c r="A202" s="5"/>
      <c r="E202" s="3" t="e">
        <f>VLOOKUP(TablaMarimba6[[#This Row],[Equipo]],[1]Catalogos!$V$4:$W$55,2,FALSE)</f>
        <v>#N/A</v>
      </c>
      <c r="F202" s="6"/>
      <c r="G202" s="12"/>
      <c r="H202" s="6">
        <f>IF(ROW()=5,F202-G202,H201+F202-G202)</f>
        <v>520</v>
      </c>
      <c r="I202" s="7">
        <v>28.3</v>
      </c>
      <c r="J202" s="7">
        <f>IFERROR((F202+G202)*I202,0)</f>
        <v>0</v>
      </c>
      <c r="K202" s="7" t="e">
        <f>L201+M201-N201</f>
        <v>#VALUE!</v>
      </c>
      <c r="L202" s="7" t="e">
        <f>(TablaMarimba6[[#This Row],[Saldo inicial(vales)]]-TablaMarimba6[[#This Row],[Importe]])</f>
        <v>#VALUE!</v>
      </c>
      <c r="M202" s="7" t="str">
        <f>IF(A202="","", WEEKNUM(A202, 2))</f>
        <v/>
      </c>
      <c r="N202" s="7"/>
    </row>
    <row r="203" spans="1:14">
      <c r="A203" s="5"/>
      <c r="E203" s="3" t="e">
        <f>VLOOKUP(TablaMarimba6[[#This Row],[Equipo]],[1]Catalogos!$V$4:$W$55,2,FALSE)</f>
        <v>#N/A</v>
      </c>
      <c r="F203" s="6"/>
      <c r="G203" s="12"/>
      <c r="H203" s="6">
        <f>IF(ROW()=5,F203-G203,H202+F203-G203)</f>
        <v>520</v>
      </c>
      <c r="I203" s="7">
        <v>28.3</v>
      </c>
      <c r="J203" s="7">
        <f>IFERROR((F203+G203)*I203,0)</f>
        <v>0</v>
      </c>
      <c r="K203" s="7" t="e">
        <f>L202+M202-N202</f>
        <v>#VALUE!</v>
      </c>
      <c r="L203" s="7" t="e">
        <f>(TablaMarimba6[[#This Row],[Saldo inicial(vales)]]-TablaMarimba6[[#This Row],[Importe]])</f>
        <v>#VALUE!</v>
      </c>
      <c r="M203" s="7" t="str">
        <f>IF(A203="","", WEEKNUM(A203, 2))</f>
        <v/>
      </c>
      <c r="N203" s="7"/>
    </row>
    <row r="204" spans="1:14">
      <c r="A204" s="5"/>
      <c r="E204" s="3" t="e">
        <f>VLOOKUP(TablaMarimba6[[#This Row],[Equipo]],[1]Catalogos!$V$4:$W$55,2,FALSE)</f>
        <v>#N/A</v>
      </c>
      <c r="F204" s="6"/>
      <c r="G204" s="12"/>
      <c r="H204" s="6">
        <f>IF(ROW()=5,F204-G204,H203+F204-G204)</f>
        <v>520</v>
      </c>
      <c r="I204" s="7">
        <v>28.3</v>
      </c>
      <c r="J204" s="7">
        <f>IFERROR((F204+G204)*I204,0)</f>
        <v>0</v>
      </c>
      <c r="K204" s="7" t="e">
        <f>L203+M203-N203</f>
        <v>#VALUE!</v>
      </c>
      <c r="L204" s="7" t="e">
        <f>(TablaMarimba6[[#This Row],[Saldo inicial(vales)]]-TablaMarimba6[[#This Row],[Importe]])</f>
        <v>#VALUE!</v>
      </c>
      <c r="M204" s="7" t="str">
        <f>IF(A204="","", WEEKNUM(A204, 2))</f>
        <v/>
      </c>
      <c r="N204" s="7"/>
    </row>
    <row r="205" spans="1:14">
      <c r="A205" s="5"/>
      <c r="E205" s="3" t="e">
        <f>VLOOKUP(TablaMarimba6[[#This Row],[Equipo]],[1]Catalogos!$V$4:$W$55,2,FALSE)</f>
        <v>#N/A</v>
      </c>
      <c r="F205" s="6"/>
      <c r="G205" s="12"/>
      <c r="H205" s="6">
        <f>IF(ROW()=5,F205-G205,H204+F205-G205)</f>
        <v>520</v>
      </c>
      <c r="I205" s="7">
        <v>28.3</v>
      </c>
      <c r="J205" s="7">
        <f>IFERROR((F205+G205)*I205,0)</f>
        <v>0</v>
      </c>
      <c r="K205" s="7" t="e">
        <f>L204+M204-N204</f>
        <v>#VALUE!</v>
      </c>
      <c r="L205" s="7" t="e">
        <f>(TablaMarimba6[[#This Row],[Saldo inicial(vales)]]-TablaMarimba6[[#This Row],[Importe]])</f>
        <v>#VALUE!</v>
      </c>
      <c r="M205" s="7" t="str">
        <f>IF(A205="","", WEEKNUM(A205, 2))</f>
        <v/>
      </c>
      <c r="N205" s="7"/>
    </row>
    <row r="206" spans="1:14">
      <c r="A206" s="5"/>
      <c r="E206" s="3" t="e">
        <f>VLOOKUP(TablaMarimba6[[#This Row],[Equipo]],[1]Catalogos!$V$4:$W$55,2,FALSE)</f>
        <v>#N/A</v>
      </c>
      <c r="F206" s="6"/>
      <c r="G206" s="12"/>
      <c r="H206" s="6">
        <f>IF(ROW()=5,F206-G206,H205+F206-G206)</f>
        <v>520</v>
      </c>
      <c r="I206" s="7">
        <v>28.3</v>
      </c>
      <c r="J206" s="7">
        <f>IFERROR((F206+G206)*I206,0)</f>
        <v>0</v>
      </c>
      <c r="K206" s="7" t="e">
        <f>L205+M205-N205</f>
        <v>#VALUE!</v>
      </c>
      <c r="L206" s="7" t="e">
        <f>(TablaMarimba6[[#This Row],[Saldo inicial(vales)]]-TablaMarimba6[[#This Row],[Importe]])</f>
        <v>#VALUE!</v>
      </c>
      <c r="M206" s="7" t="str">
        <f>IF(A206="","", WEEKNUM(A206, 2))</f>
        <v/>
      </c>
      <c r="N206" s="7"/>
    </row>
    <row r="207" spans="1:14">
      <c r="M207" s="3" t="str">
        <f>IF(A207="","", WEEKNUM(A207, 2))</f>
        <v/>
      </c>
    </row>
    <row r="208" spans="1:14">
      <c r="M208" s="3" t="str">
        <f>IF(A208="","", WEEKNUM(A208, 2))</f>
        <v/>
      </c>
    </row>
    <row r="209" spans="13:13">
      <c r="M209" s="3" t="str">
        <f>IF(A209="","", WEEKNUM(A209, 2))</f>
        <v/>
      </c>
    </row>
    <row r="210" spans="13:13">
      <c r="M210" s="3" t="str">
        <f>IF(A210="","", WEEKNUM(A210, 2))</f>
        <v/>
      </c>
    </row>
    <row r="211" spans="13:13">
      <c r="M211" s="3" t="str">
        <f>IF(A211="","", WEEKNUM(A211, 2))</f>
        <v/>
      </c>
    </row>
    <row r="212" spans="13:13">
      <c r="M212" s="3" t="str">
        <f>IF(A212="","", WEEKNUM(A212, 2))</f>
        <v/>
      </c>
    </row>
    <row r="213" spans="13:13">
      <c r="M213" s="3" t="str">
        <f>IF(A213="","", WEEKNUM(A213, 2))</f>
        <v/>
      </c>
    </row>
    <row r="214" spans="13:13">
      <c r="M214" s="3" t="str">
        <f>IF(A214="","", WEEKNUM(A214, 2))</f>
        <v/>
      </c>
    </row>
    <row r="215" spans="13:13">
      <c r="M215" s="3" t="str">
        <f>IF(A215="","", WEEKNUM(A215, 2))</f>
        <v/>
      </c>
    </row>
    <row r="216" spans="13:13">
      <c r="M216" s="3" t="str">
        <f>IF(A216="","", WEEKNUM(A216, 2))</f>
        <v/>
      </c>
    </row>
    <row r="217" spans="13:13">
      <c r="M217" s="3" t="str">
        <f>IF(A217="","", WEEKNUM(A217, 2))</f>
        <v/>
      </c>
    </row>
    <row r="218" spans="13:13">
      <c r="M218" s="3" t="str">
        <f>IF(A218="","", WEEKNUM(A218, 2))</f>
        <v/>
      </c>
    </row>
    <row r="219" spans="13:13">
      <c r="M219" s="3" t="str">
        <f>IF(A219="","", WEEKNUM(A219, 2))</f>
        <v/>
      </c>
    </row>
    <row r="220" spans="13:13">
      <c r="M220" s="3" t="str">
        <f>IF(A220="","", WEEKNUM(A220, 2))</f>
        <v/>
      </c>
    </row>
    <row r="221" spans="13:13">
      <c r="M221" s="3" t="str">
        <f>IF(A221="","", WEEKNUM(A221, 2))</f>
        <v/>
      </c>
    </row>
    <row r="222" spans="13:13">
      <c r="M222" s="3" t="str">
        <f>IF(A222="","", WEEKNUM(A222, 2))</f>
        <v/>
      </c>
    </row>
    <row r="223" spans="13:13">
      <c r="M223" s="3" t="str">
        <f>IF(A223="","", WEEKNUM(A223, 2))</f>
        <v/>
      </c>
    </row>
    <row r="224" spans="13:13">
      <c r="M224" s="3" t="str">
        <f>IF(A224="","", WEEKNUM(A224, 2))</f>
        <v/>
      </c>
    </row>
    <row r="225" spans="13:13">
      <c r="M225" s="3" t="str">
        <f>IF(A225="","", WEEKNUM(A225, 2))</f>
        <v/>
      </c>
    </row>
    <row r="226" spans="13:13">
      <c r="M226" s="3" t="str">
        <f>IF(A226="","", WEEKNUM(A226, 2))</f>
        <v/>
      </c>
    </row>
    <row r="227" spans="13:13">
      <c r="M227" s="3" t="str">
        <f>IF(A227="","", WEEKNUM(A227, 2))</f>
        <v/>
      </c>
    </row>
    <row r="228" spans="13:13">
      <c r="M228" s="3" t="str">
        <f>IF(A228="","", WEEKNUM(A228, 2))</f>
        <v/>
      </c>
    </row>
    <row r="229" spans="13:13">
      <c r="M229" s="3" t="str">
        <f>IF(A229="","", WEEKNUM(A229, 2))</f>
        <v/>
      </c>
    </row>
    <row r="230" spans="13:13">
      <c r="M230" s="3" t="str">
        <f>IF(A230="","", WEEKNUM(A230, 2))</f>
        <v/>
      </c>
    </row>
    <row r="231" spans="13:13">
      <c r="M231" s="3" t="str">
        <f>IF(A231="","", WEEKNUM(A231, 2))</f>
        <v/>
      </c>
    </row>
    <row r="232" spans="13:13">
      <c r="M232" s="3" t="str">
        <f>IF(A232="","", WEEKNUM(A232, 2))</f>
        <v/>
      </c>
    </row>
    <row r="233" spans="13:13">
      <c r="M233" s="3" t="str">
        <f>IF(A233="","", WEEKNUM(A233, 2))</f>
        <v/>
      </c>
    </row>
    <row r="234" spans="13:13">
      <c r="M234" s="3" t="str">
        <f>IF(A234="","", WEEKNUM(A234, 2))</f>
        <v/>
      </c>
    </row>
    <row r="235" spans="13:13">
      <c r="M235" s="3" t="str">
        <f>IF(A235="","", WEEKNUM(A235, 2))</f>
        <v/>
      </c>
    </row>
    <row r="236" spans="13:13">
      <c r="M236" s="3" t="str">
        <f>IF(A236="","", WEEKNUM(A236, 2))</f>
        <v/>
      </c>
    </row>
    <row r="237" spans="13:13">
      <c r="M237" s="3" t="str">
        <f>IF(A237="","", WEEKNUM(A237, 2))</f>
        <v/>
      </c>
    </row>
    <row r="238" spans="13:13">
      <c r="M238" s="3" t="str">
        <f>IF(A238="","", WEEKNUM(A238, 2))</f>
        <v/>
      </c>
    </row>
    <row r="239" spans="13:13">
      <c r="M239" s="3" t="str">
        <f>IF(A239="","", WEEKNUM(A239, 2))</f>
        <v/>
      </c>
    </row>
    <row r="240" spans="13:13">
      <c r="M240" s="3" t="str">
        <f>IF(A240="","", WEEKNUM(A240, 2))</f>
        <v/>
      </c>
    </row>
    <row r="241" spans="13:13">
      <c r="M241" s="3" t="str">
        <f>IF(A241="","", WEEKNUM(A241, 2))</f>
        <v/>
      </c>
    </row>
    <row r="242" spans="13:13">
      <c r="M242" s="3" t="str">
        <f>IF(A242="","", WEEKNUM(A242, 2))</f>
        <v/>
      </c>
    </row>
    <row r="243" spans="13:13">
      <c r="M243" s="3" t="str">
        <f>IF(A243="","", WEEKNUM(A243, 2))</f>
        <v/>
      </c>
    </row>
    <row r="244" spans="13:13">
      <c r="M244" s="3" t="str">
        <f>IF(A244="","", WEEKNUM(A244, 2))</f>
        <v/>
      </c>
    </row>
    <row r="245" spans="13:13">
      <c r="M245" s="3" t="str">
        <f>IF(A245="","", WEEKNUM(A245, 2))</f>
        <v/>
      </c>
    </row>
    <row r="246" spans="13:13">
      <c r="M246" s="3" t="str">
        <f>IF(A246="","", WEEKNUM(A246, 2))</f>
        <v/>
      </c>
    </row>
    <row r="247" spans="13:13">
      <c r="M247" s="3" t="str">
        <f>IF(A247="","", WEEKNUM(A247, 2))</f>
        <v/>
      </c>
    </row>
    <row r="248" spans="13:13">
      <c r="M248" s="3" t="str">
        <f>IF(A248="","", WEEKNUM(A248, 2))</f>
        <v/>
      </c>
    </row>
    <row r="249" spans="13:13">
      <c r="M249" s="3" t="str">
        <f>IF(A249="","", WEEKNUM(A249, 2))</f>
        <v/>
      </c>
    </row>
    <row r="250" spans="13:13">
      <c r="M250" s="3" t="str">
        <f>IF(A250="","", WEEKNUM(A250, 2))</f>
        <v/>
      </c>
    </row>
    <row r="251" spans="13:13">
      <c r="M251" s="3" t="str">
        <f>IF(A251="","", WEEKNUM(A251, 2))</f>
        <v/>
      </c>
    </row>
    <row r="252" spans="13:13">
      <c r="M252" s="3" t="str">
        <f>IF(A252="","", WEEKNUM(A252, 2))</f>
        <v/>
      </c>
    </row>
    <row r="253" spans="13:13">
      <c r="M253" s="3" t="str">
        <f>IF(A253="","", WEEKNUM(A253, 2))</f>
        <v/>
      </c>
    </row>
    <row r="254" spans="13:13">
      <c r="M254" s="3" t="str">
        <f>IF(A254="","", WEEKNUM(A254, 2))</f>
        <v/>
      </c>
    </row>
    <row r="255" spans="13:13">
      <c r="M255" s="3" t="str">
        <f>IF(A255="","", WEEKNUM(A255, 2))</f>
        <v/>
      </c>
    </row>
    <row r="256" spans="13:13">
      <c r="M256" s="3" t="str">
        <f>IF(A256="","", WEEKNUM(A256, 2))</f>
        <v/>
      </c>
    </row>
    <row r="257" spans="13:13">
      <c r="M257" s="3" t="str">
        <f>IF(A257="","", WEEKNUM(A257, 2))</f>
        <v/>
      </c>
    </row>
    <row r="258" spans="13:13">
      <c r="M258" s="3" t="str">
        <f>IF(A258="","", WEEKNUM(A258, 2))</f>
        <v/>
      </c>
    </row>
    <row r="259" spans="13:13">
      <c r="M259" s="3" t="str">
        <f>IF(A259="","", WEEKNUM(A259, 2))</f>
        <v/>
      </c>
    </row>
    <row r="260" spans="13:13">
      <c r="M260" s="3" t="str">
        <f>IF(A260="","", WEEKNUM(A260, 2))</f>
        <v/>
      </c>
    </row>
    <row r="261" spans="13:13">
      <c r="M261" s="3" t="str">
        <f>IF(A261="","", WEEKNUM(A261, 2))</f>
        <v/>
      </c>
    </row>
    <row r="262" spans="13:13">
      <c r="M262" s="3" t="str">
        <f>IF(A262="","", WEEKNUM(A262, 2))</f>
        <v/>
      </c>
    </row>
    <row r="263" spans="13:13">
      <c r="M263" s="3" t="str">
        <f>IF(A263="","", WEEKNUM(A263, 2))</f>
        <v/>
      </c>
    </row>
    <row r="264" spans="13:13">
      <c r="M264" s="3" t="str">
        <f>IF(A264="","", WEEKNUM(A264, 2))</f>
        <v/>
      </c>
    </row>
    <row r="265" spans="13:13">
      <c r="M265" s="3" t="str">
        <f>IF(A265="","", WEEKNUM(A265, 2))</f>
        <v/>
      </c>
    </row>
    <row r="266" spans="13:13">
      <c r="M266" s="3" t="str">
        <f>IF(A266="","", WEEKNUM(A266, 2))</f>
        <v/>
      </c>
    </row>
    <row r="267" spans="13:13">
      <c r="M267" s="3" t="str">
        <f>IF(A267="","", WEEKNUM(A267, 2))</f>
        <v/>
      </c>
    </row>
    <row r="268" spans="13:13">
      <c r="M268" s="3" t="str">
        <f>IF(A268="","", WEEKNUM(A268, 2))</f>
        <v/>
      </c>
    </row>
    <row r="269" spans="13:13">
      <c r="M269" s="3" t="str">
        <f>IF(A269="","", WEEKNUM(A269, 2))</f>
        <v/>
      </c>
    </row>
    <row r="270" spans="13:13">
      <c r="M270" s="3" t="str">
        <f>IF(A270="","", WEEKNUM(A270, 2))</f>
        <v/>
      </c>
    </row>
    <row r="271" spans="13:13">
      <c r="M271" s="3" t="str">
        <f>IF(A271="","", WEEKNUM(A271, 2))</f>
        <v/>
      </c>
    </row>
    <row r="272" spans="13:13">
      <c r="M272" s="3" t="str">
        <f>IF(A272="","", WEEKNUM(A272, 2))</f>
        <v/>
      </c>
    </row>
    <row r="273" spans="13:13">
      <c r="M273" s="3" t="str">
        <f>IF(A273="","", WEEKNUM(A273, 2))</f>
        <v/>
      </c>
    </row>
    <row r="274" spans="13:13">
      <c r="M274" s="3" t="str">
        <f>IF(A274="","", WEEKNUM(A274, 2))</f>
        <v/>
      </c>
    </row>
    <row r="275" spans="13:13">
      <c r="M275" s="3" t="str">
        <f>IF(A275="","", WEEKNUM(A275, 2))</f>
        <v/>
      </c>
    </row>
    <row r="276" spans="13:13">
      <c r="M276" s="3" t="str">
        <f>IF(A276="","", WEEKNUM(A276, 2))</f>
        <v/>
      </c>
    </row>
    <row r="277" spans="13:13">
      <c r="M277" s="3" t="str">
        <f>IF(A277="","", WEEKNUM(A277, 2))</f>
        <v/>
      </c>
    </row>
    <row r="278" spans="13:13">
      <c r="M278" s="3" t="str">
        <f>IF(A278="","", WEEKNUM(A278, 2))</f>
        <v/>
      </c>
    </row>
    <row r="279" spans="13:13">
      <c r="M279" s="3" t="str">
        <f>IF(A279="","", WEEKNUM(A279, 2))</f>
        <v/>
      </c>
    </row>
    <row r="280" spans="13:13">
      <c r="M280" s="3" t="str">
        <f>IF(A280="","", WEEKNUM(A280, 2))</f>
        <v/>
      </c>
    </row>
    <row r="281" spans="13:13">
      <c r="M281" s="3" t="str">
        <f>IF(A281="","", WEEKNUM(A281, 2))</f>
        <v/>
      </c>
    </row>
    <row r="282" spans="13:13">
      <c r="M282" s="3" t="str">
        <f>IF(A282="","", WEEKNUM(A282, 2))</f>
        <v/>
      </c>
    </row>
    <row r="283" spans="13:13">
      <c r="M283" s="3" t="str">
        <f>IF(A283="","", WEEKNUM(A283, 2))</f>
        <v/>
      </c>
    </row>
    <row r="284" spans="13:13">
      <c r="M284" s="3" t="str">
        <f>IF(A284="","", WEEKNUM(A284, 2))</f>
        <v/>
      </c>
    </row>
    <row r="285" spans="13:13">
      <c r="M285" s="3" t="str">
        <f>IF(A285="","", WEEKNUM(A285, 2))</f>
        <v/>
      </c>
    </row>
    <row r="286" spans="13:13">
      <c r="M286" s="3" t="str">
        <f>IF(A286="","", WEEKNUM(A286, 2))</f>
        <v/>
      </c>
    </row>
    <row r="287" spans="13:13">
      <c r="M287" s="3" t="str">
        <f>IF(A287="","", WEEKNUM(A287, 2))</f>
        <v/>
      </c>
    </row>
    <row r="288" spans="13:13">
      <c r="M288" s="3" t="str">
        <f>IF(A288="","", WEEKNUM(A288, 2))</f>
        <v/>
      </c>
    </row>
    <row r="289" spans="13:13">
      <c r="M289" s="3" t="str">
        <f>IF(A289="","", WEEKNUM(A289, 2))</f>
        <v/>
      </c>
    </row>
    <row r="290" spans="13:13">
      <c r="M290" s="3" t="str">
        <f>IF(A290="","", WEEKNUM(A290, 2))</f>
        <v/>
      </c>
    </row>
    <row r="291" spans="13:13">
      <c r="M291" s="3" t="str">
        <f>IF(A291="","", WEEKNUM(A291, 2))</f>
        <v/>
      </c>
    </row>
    <row r="292" spans="13:13">
      <c r="M292" s="3" t="str">
        <f>IF(A292="","", WEEKNUM(A292, 2))</f>
        <v/>
      </c>
    </row>
    <row r="293" spans="13:13">
      <c r="M293" s="3" t="str">
        <f>IF(A293="","", WEEKNUM(A293, 2))</f>
        <v/>
      </c>
    </row>
    <row r="294" spans="13:13">
      <c r="M294" s="3" t="str">
        <f>IF(A294="","", WEEKNUM(A294, 2))</f>
        <v/>
      </c>
    </row>
    <row r="295" spans="13:13">
      <c r="M295" s="3" t="str">
        <f>IF(A295="","", WEEKNUM(A295, 2))</f>
        <v/>
      </c>
    </row>
    <row r="296" spans="13:13">
      <c r="M296" s="3" t="str">
        <f>IF(A296="","", WEEKNUM(A296, 2))</f>
        <v/>
      </c>
    </row>
    <row r="297" spans="13:13">
      <c r="M297" s="3" t="str">
        <f>IF(A297="","", WEEKNUM(A297, 2))</f>
        <v/>
      </c>
    </row>
    <row r="298" spans="13:13">
      <c r="M298" s="3" t="str">
        <f>IF(A298="","", WEEKNUM(A298, 2))</f>
        <v/>
      </c>
    </row>
    <row r="299" spans="13:13">
      <c r="M299" s="3" t="str">
        <f>IF(A299="","", WEEKNUM(A299, 2))</f>
        <v/>
      </c>
    </row>
    <row r="300" spans="13:13">
      <c r="M300" s="3" t="str">
        <f>IF(A300="","", WEEKNUM(A300, 2))</f>
        <v/>
      </c>
    </row>
    <row r="301" spans="13:13">
      <c r="M301" s="3" t="str">
        <f>IF(A301="","", WEEKNUM(A301, 2))</f>
        <v/>
      </c>
    </row>
    <row r="302" spans="13:13">
      <c r="M302" s="3" t="str">
        <f>IF(A302="","", WEEKNUM(A302, 2))</f>
        <v/>
      </c>
    </row>
    <row r="303" spans="13:13">
      <c r="M303" s="3" t="str">
        <f>IF(A303="","", WEEKNUM(A303, 2))</f>
        <v/>
      </c>
    </row>
    <row r="304" spans="13:13">
      <c r="M304" s="3" t="str">
        <f>IF(A304="","", WEEKNUM(A304, 2))</f>
        <v/>
      </c>
    </row>
    <row r="305" spans="13:13">
      <c r="M305" s="3" t="str">
        <f>IF(A305="","", WEEKNUM(A305, 2))</f>
        <v/>
      </c>
    </row>
    <row r="306" spans="13:13">
      <c r="M306" s="3" t="str">
        <f>IF(A306="","", WEEKNUM(A306, 2))</f>
        <v/>
      </c>
    </row>
    <row r="307" spans="13:13">
      <c r="M307" s="3" t="str">
        <f>IF(A307="","", WEEKNUM(A307, 2))</f>
        <v/>
      </c>
    </row>
    <row r="308" spans="13:13">
      <c r="M308" s="3" t="str">
        <f>IF(A308="","", WEEKNUM(A308, 2))</f>
        <v/>
      </c>
    </row>
    <row r="309" spans="13:13">
      <c r="M309" s="3" t="str">
        <f>IF(A309="","", WEEKNUM(A309, 2))</f>
        <v/>
      </c>
    </row>
    <row r="310" spans="13:13">
      <c r="M310" s="3" t="str">
        <f>IF(A310="","", WEEKNUM(A310, 2))</f>
        <v/>
      </c>
    </row>
    <row r="311" spans="13:13">
      <c r="M311" s="3" t="str">
        <f>IF(A311="","", WEEKNUM(A311, 2))</f>
        <v/>
      </c>
    </row>
    <row r="312" spans="13:13">
      <c r="M312" s="3" t="str">
        <f>IF(A312="","", WEEKNUM(A312, 2))</f>
        <v/>
      </c>
    </row>
    <row r="313" spans="13:13">
      <c r="M313" s="3" t="str">
        <f>IF(A313="","", WEEKNUM(A313, 2))</f>
        <v/>
      </c>
    </row>
    <row r="314" spans="13:13">
      <c r="M314" s="3" t="str">
        <f>IF(A314="","", WEEKNUM(A314, 2))</f>
        <v/>
      </c>
    </row>
    <row r="315" spans="13:13">
      <c r="M315" s="3" t="str">
        <f>IF(A315="","", WEEKNUM(A315, 2))</f>
        <v/>
      </c>
    </row>
    <row r="316" spans="13:13">
      <c r="M316" s="3" t="str">
        <f>IF(A316="","", WEEKNUM(A316, 2))</f>
        <v/>
      </c>
    </row>
    <row r="317" spans="13:13">
      <c r="M317" s="3" t="str">
        <f>IF(A317="","", WEEKNUM(A317, 2))</f>
        <v/>
      </c>
    </row>
    <row r="318" spans="13:13">
      <c r="M318" s="3" t="str">
        <f>IF(A318="","", WEEKNUM(A318, 2))</f>
        <v/>
      </c>
    </row>
    <row r="319" spans="13:13">
      <c r="M319" s="3" t="str">
        <f>IF(A319="","", WEEKNUM(A319, 2))</f>
        <v/>
      </c>
    </row>
    <row r="320" spans="13:13">
      <c r="M320" s="3" t="str">
        <f>IF(A320="","", WEEKNUM(A320, 2))</f>
        <v/>
      </c>
    </row>
    <row r="321" spans="13:13">
      <c r="M321" s="3" t="str">
        <f>IF(A321="","", WEEKNUM(A321, 2))</f>
        <v/>
      </c>
    </row>
    <row r="322" spans="13:13">
      <c r="M322" s="3" t="str">
        <f>IF(A322="","", WEEKNUM(A322, 2))</f>
        <v/>
      </c>
    </row>
    <row r="323" spans="13:13">
      <c r="M323" s="3" t="str">
        <f>IF(A323="","", WEEKNUM(A323, 2))</f>
        <v/>
      </c>
    </row>
    <row r="324" spans="13:13">
      <c r="M324" s="3" t="str">
        <f>IF(A324="","", WEEKNUM(A324, 2))</f>
        <v/>
      </c>
    </row>
    <row r="325" spans="13:13">
      <c r="M325" s="3" t="str">
        <f>IF(A325="","", WEEKNUM(A325, 2))</f>
        <v/>
      </c>
    </row>
    <row r="326" spans="13:13">
      <c r="M326" s="3" t="str">
        <f>IF(A326="","", WEEKNUM(A326, 2))</f>
        <v/>
      </c>
    </row>
    <row r="327" spans="13:13">
      <c r="M327" s="3" t="str">
        <f>IF(A327="","", WEEKNUM(A327, 2))</f>
        <v/>
      </c>
    </row>
    <row r="328" spans="13:13">
      <c r="M328" s="3" t="str">
        <f>IF(A328="","", WEEKNUM(A328, 2))</f>
        <v/>
      </c>
    </row>
    <row r="329" spans="13:13">
      <c r="M329" s="3" t="str">
        <f>IF(A329="","", WEEKNUM(A329, 2))</f>
        <v/>
      </c>
    </row>
    <row r="330" spans="13:13">
      <c r="M330" s="3" t="str">
        <f>IF(A330="","", WEEKNUM(A330, 2))</f>
        <v/>
      </c>
    </row>
    <row r="331" spans="13:13">
      <c r="M331" s="3" t="str">
        <f>IF(A331="","", WEEKNUM(A331, 2))</f>
        <v/>
      </c>
    </row>
    <row r="332" spans="13:13">
      <c r="M332" s="3" t="str">
        <f>IF(A332="","", WEEKNUM(A332, 2))</f>
        <v/>
      </c>
    </row>
    <row r="333" spans="13:13">
      <c r="M333" s="3" t="str">
        <f>IF(A333="","", WEEKNUM(A333, 2))</f>
        <v/>
      </c>
    </row>
    <row r="334" spans="13:13">
      <c r="M334" s="3" t="str">
        <f>IF(A334="","", WEEKNUM(A334, 2))</f>
        <v/>
      </c>
    </row>
    <row r="335" spans="13:13">
      <c r="M335" s="3" t="str">
        <f>IF(A335="","", WEEKNUM(A335, 2))</f>
        <v/>
      </c>
    </row>
    <row r="336" spans="13:13">
      <c r="M336" s="3" t="str">
        <f>IF(A336="","", WEEKNUM(A336, 2))</f>
        <v/>
      </c>
    </row>
    <row r="337" spans="13:13">
      <c r="M337" s="3" t="str">
        <f>IF(A337="","", WEEKNUM(A337, 2))</f>
        <v/>
      </c>
    </row>
    <row r="338" spans="13:13">
      <c r="M338" s="3" t="str">
        <f>IF(A338="","", WEEKNUM(A338, 2))</f>
        <v/>
      </c>
    </row>
    <row r="339" spans="13:13">
      <c r="M339" s="3" t="str">
        <f>IF(A339="","", WEEKNUM(A339, 2))</f>
        <v/>
      </c>
    </row>
    <row r="340" spans="13:13">
      <c r="M340" s="3" t="str">
        <f>IF(A340="","", WEEKNUM(A340, 2))</f>
        <v/>
      </c>
    </row>
    <row r="341" spans="13:13">
      <c r="M341" s="3" t="str">
        <f>IF(A341="","", WEEKNUM(A341, 2))</f>
        <v/>
      </c>
    </row>
    <row r="342" spans="13:13">
      <c r="M342" s="3" t="str">
        <f>IF(A342="","", WEEKNUM(A342, 2))</f>
        <v/>
      </c>
    </row>
    <row r="343" spans="13:13">
      <c r="M343" s="3" t="str">
        <f>IF(A343="","", WEEKNUM(A343, 2))</f>
        <v/>
      </c>
    </row>
    <row r="344" spans="13:13">
      <c r="M344" s="3" t="str">
        <f>IF(A344="","", WEEKNUM(A344, 2))</f>
        <v/>
      </c>
    </row>
    <row r="345" spans="13:13">
      <c r="M345" s="3" t="str">
        <f>IF(A345="","", WEEKNUM(A345, 2))</f>
        <v/>
      </c>
    </row>
    <row r="346" spans="13:13">
      <c r="M346" s="3" t="str">
        <f>IF(A346="","", WEEKNUM(A346, 2))</f>
        <v/>
      </c>
    </row>
    <row r="347" spans="13:13">
      <c r="M347" s="3" t="str">
        <f>IF(A347="","", WEEKNUM(A347, 2))</f>
        <v/>
      </c>
    </row>
    <row r="348" spans="13:13">
      <c r="M348" s="3" t="str">
        <f>IF(A348="","", WEEKNUM(A348, 2))</f>
        <v/>
      </c>
    </row>
    <row r="349" spans="13:13">
      <c r="M349" s="3" t="str">
        <f>IF(A349="","", WEEKNUM(A349, 2))</f>
        <v/>
      </c>
    </row>
    <row r="350" spans="13:13">
      <c r="M350" s="3" t="str">
        <f>IF(A350="","", WEEKNUM(A350, 2))</f>
        <v/>
      </c>
    </row>
    <row r="351" spans="13:13">
      <c r="M351" s="3" t="str">
        <f>IF(A351="","", WEEKNUM(A351, 2))</f>
        <v/>
      </c>
    </row>
    <row r="352" spans="13:13">
      <c r="M352" s="3" t="str">
        <f>IF(A352="","", WEEKNUM(A352, 2))</f>
        <v/>
      </c>
    </row>
    <row r="353" spans="13:13">
      <c r="M353" s="3" t="str">
        <f>IF(A353="","", WEEKNUM(A353, 2))</f>
        <v/>
      </c>
    </row>
    <row r="354" spans="13:13">
      <c r="M354" s="3" t="str">
        <f>IF(A354="","", WEEKNUM(A354, 2))</f>
        <v/>
      </c>
    </row>
    <row r="355" spans="13:13">
      <c r="M355" s="3" t="str">
        <f>IF(A355="","", WEEKNUM(A355, 2))</f>
        <v/>
      </c>
    </row>
    <row r="356" spans="13:13">
      <c r="M356" s="3" t="str">
        <f>IF(A356="","", WEEKNUM(A356, 2))</f>
        <v/>
      </c>
    </row>
    <row r="357" spans="13:13">
      <c r="M357" s="3" t="str">
        <f>IF(A357="","", WEEKNUM(A357, 2))</f>
        <v/>
      </c>
    </row>
    <row r="358" spans="13:13">
      <c r="M358" s="3" t="str">
        <f>IF(A358="","", WEEKNUM(A358, 2))</f>
        <v/>
      </c>
    </row>
    <row r="359" spans="13:13">
      <c r="M359" s="3" t="str">
        <f>IF(A359="","", WEEKNUM(A359, 2))</f>
        <v/>
      </c>
    </row>
    <row r="360" spans="13:13">
      <c r="M360" s="3" t="str">
        <f>IF(A360="","", WEEKNUM(A360, 2))</f>
        <v/>
      </c>
    </row>
    <row r="361" spans="13:13">
      <c r="M361" s="3" t="str">
        <f>IF(A361="","", WEEKNUM(A361, 2))</f>
        <v/>
      </c>
    </row>
    <row r="362" spans="13:13">
      <c r="M362" s="3" t="str">
        <f>IF(A362="","", WEEKNUM(A362, 2))</f>
        <v/>
      </c>
    </row>
    <row r="363" spans="13:13">
      <c r="M363" s="3" t="str">
        <f>IF(A363="","", WEEKNUM(A363, 2))</f>
        <v/>
      </c>
    </row>
    <row r="364" spans="13:13">
      <c r="M364" s="3" t="str">
        <f>IF(A364="","", WEEKNUM(A364, 2))</f>
        <v/>
      </c>
    </row>
    <row r="365" spans="13:13">
      <c r="M365" s="3" t="str">
        <f>IF(A365="","", WEEKNUM(A365, 2))</f>
        <v/>
      </c>
    </row>
    <row r="366" spans="13:13">
      <c r="M366" s="3" t="str">
        <f>IF(A366="","", WEEKNUM(A366, 2))</f>
        <v/>
      </c>
    </row>
    <row r="367" spans="13:13">
      <c r="M367" s="3" t="str">
        <f>IF(A367="","", WEEKNUM(A367, 2))</f>
        <v/>
      </c>
    </row>
    <row r="368" spans="13:13">
      <c r="M368" s="3" t="str">
        <f>IF(A368="","", WEEKNUM(A368, 2))</f>
        <v/>
      </c>
    </row>
    <row r="369" spans="13:13">
      <c r="M369" s="3" t="str">
        <f>IF(A369="","", WEEKNUM(A369, 2))</f>
        <v/>
      </c>
    </row>
    <row r="370" spans="13:13">
      <c r="M370" s="3" t="str">
        <f>IF(A370="","", WEEKNUM(A370, 2))</f>
        <v/>
      </c>
    </row>
    <row r="371" spans="13:13">
      <c r="M371" s="3" t="str">
        <f>IF(A371="","", WEEKNUM(A371, 2))</f>
        <v/>
      </c>
    </row>
    <row r="372" spans="13:13">
      <c r="M372" s="3" t="str">
        <f>IF(A372="","", WEEKNUM(A372, 2))</f>
        <v/>
      </c>
    </row>
    <row r="373" spans="13:13">
      <c r="M373" s="3" t="str">
        <f>IF(A373="","", WEEKNUM(A373, 2))</f>
        <v/>
      </c>
    </row>
    <row r="374" spans="13:13">
      <c r="M374" s="3" t="str">
        <f>IF(A374="","", WEEKNUM(A374, 2))</f>
        <v/>
      </c>
    </row>
    <row r="375" spans="13:13">
      <c r="M375" s="3" t="str">
        <f>IF(A375="","", WEEKNUM(A375, 2))</f>
        <v/>
      </c>
    </row>
    <row r="376" spans="13:13">
      <c r="M376" s="3" t="str">
        <f>IF(A376="","", WEEKNUM(A376, 2))</f>
        <v/>
      </c>
    </row>
    <row r="377" spans="13:13">
      <c r="M377" s="3" t="str">
        <f>IF(A377="","", WEEKNUM(A377, 2))</f>
        <v/>
      </c>
    </row>
    <row r="378" spans="13:13">
      <c r="M378" s="3" t="str">
        <f>IF(A378="","", WEEKNUM(A378, 2))</f>
        <v/>
      </c>
    </row>
    <row r="379" spans="13:13">
      <c r="M379" s="3" t="str">
        <f>IF(A379="","", WEEKNUM(A379, 2))</f>
        <v/>
      </c>
    </row>
    <row r="380" spans="13:13">
      <c r="M380" s="3" t="str">
        <f>IF(A380="","", WEEKNUM(A380, 2))</f>
        <v/>
      </c>
    </row>
    <row r="381" spans="13:13">
      <c r="M381" s="3" t="str">
        <f>IF(A381="","", WEEKNUM(A381, 2))</f>
        <v/>
      </c>
    </row>
    <row r="382" spans="13:13">
      <c r="M382" s="3" t="str">
        <f>IF(A382="","", WEEKNUM(A382, 2))</f>
        <v/>
      </c>
    </row>
    <row r="383" spans="13:13">
      <c r="M383" s="3" t="str">
        <f>IF(A383="","", WEEKNUM(A383, 2))</f>
        <v/>
      </c>
    </row>
    <row r="384" spans="13:13">
      <c r="M384" s="3" t="str">
        <f>IF(A384="","", WEEKNUM(A384, 2))</f>
        <v/>
      </c>
    </row>
    <row r="385" spans="13:13">
      <c r="M385" s="3" t="str">
        <f>IF(A385="","", WEEKNUM(A385, 2))</f>
        <v/>
      </c>
    </row>
    <row r="386" spans="13:13">
      <c r="M386" s="3" t="str">
        <f>IF(A386="","", WEEKNUM(A386, 2))</f>
        <v/>
      </c>
    </row>
    <row r="387" spans="13:13">
      <c r="M387" s="3" t="str">
        <f>IF(A387="","", WEEKNUM(A387, 2))</f>
        <v/>
      </c>
    </row>
    <row r="388" spans="13:13">
      <c r="M388" s="3" t="str">
        <f>IF(A388="","", WEEKNUM(A388, 2))</f>
        <v/>
      </c>
    </row>
    <row r="389" spans="13:13">
      <c r="M389" s="3" t="str">
        <f>IF(A389="","", WEEKNUM(A389, 2))</f>
        <v/>
      </c>
    </row>
    <row r="390" spans="13:13">
      <c r="M390" s="3" t="str">
        <f>IF(A390="","", WEEKNUM(A390, 2))</f>
        <v/>
      </c>
    </row>
    <row r="391" spans="13:13">
      <c r="M391" s="3" t="str">
        <f>IF(A391="","", WEEKNUM(A391, 2))</f>
        <v/>
      </c>
    </row>
    <row r="392" spans="13:13">
      <c r="M392" s="3" t="str">
        <f>IF(A392="","", WEEKNUM(A392, 2))</f>
        <v/>
      </c>
    </row>
    <row r="393" spans="13:13">
      <c r="M393" s="3" t="str">
        <f>IF(A393="","", WEEKNUM(A393, 2))</f>
        <v/>
      </c>
    </row>
    <row r="394" spans="13:13">
      <c r="M394" s="3" t="str">
        <f>IF(A394="","", WEEKNUM(A394, 2))</f>
        <v/>
      </c>
    </row>
    <row r="395" spans="13:13">
      <c r="M395" s="3" t="str">
        <f>IF(A395="","", WEEKNUM(A395, 2))</f>
        <v/>
      </c>
    </row>
    <row r="396" spans="13:13">
      <c r="M396" s="3" t="str">
        <f>IF(A396="","", WEEKNUM(A396, 2))</f>
        <v/>
      </c>
    </row>
    <row r="397" spans="13:13">
      <c r="M397" s="3" t="str">
        <f>IF(A397="","", WEEKNUM(A397, 2))</f>
        <v/>
      </c>
    </row>
    <row r="398" spans="13:13">
      <c r="M398" s="3" t="str">
        <f>IF(A398="","", WEEKNUM(A398, 2))</f>
        <v/>
      </c>
    </row>
    <row r="399" spans="13:13">
      <c r="M399" s="3" t="str">
        <f>IF(A399="","", WEEKNUM(A399, 2))</f>
        <v/>
      </c>
    </row>
    <row r="400" spans="13:13">
      <c r="M400" s="3" t="str">
        <f>IF(A400="","", WEEKNUM(A400, 2))</f>
        <v/>
      </c>
    </row>
    <row r="401" spans="13:13">
      <c r="M401" s="3" t="str">
        <f>IF(A401="","", WEEKNUM(A401, 2))</f>
        <v/>
      </c>
    </row>
    <row r="402" spans="13:13">
      <c r="M402" s="3" t="str">
        <f>IF(A402="","", WEEKNUM(A402, 2))</f>
        <v/>
      </c>
    </row>
    <row r="403" spans="13:13">
      <c r="M403" s="3" t="str">
        <f>IF(A403="","", WEEKNUM(A403, 2))</f>
        <v/>
      </c>
    </row>
    <row r="404" spans="13:13">
      <c r="M404" s="3" t="str">
        <f>IF(A404="","", WEEKNUM(A404, 2))</f>
        <v/>
      </c>
    </row>
    <row r="405" spans="13:13">
      <c r="M405" s="3" t="str">
        <f>IF(A405="","", WEEKNUM(A405, 2))</f>
        <v/>
      </c>
    </row>
    <row r="406" spans="13:13">
      <c r="M406" s="3" t="str">
        <f>IF(A406="","", WEEKNUM(A406, 2))</f>
        <v/>
      </c>
    </row>
    <row r="407" spans="13:13">
      <c r="M407" s="3" t="str">
        <f>IF(A407="","", WEEKNUM(A407, 2))</f>
        <v/>
      </c>
    </row>
    <row r="408" spans="13:13">
      <c r="M408" s="3" t="str">
        <f>IF(A408="","", WEEKNUM(A408, 2))</f>
        <v/>
      </c>
    </row>
    <row r="409" spans="13:13">
      <c r="M409" s="3" t="str">
        <f>IF(A409="","", WEEKNUM(A409, 2))</f>
        <v/>
      </c>
    </row>
    <row r="410" spans="13:13">
      <c r="M410" s="3" t="str">
        <f>IF(A410="","", WEEKNUM(A410, 2))</f>
        <v/>
      </c>
    </row>
    <row r="411" spans="13:13">
      <c r="M411" s="3" t="str">
        <f>IF(A411="","", WEEKNUM(A411, 2))</f>
        <v/>
      </c>
    </row>
    <row r="412" spans="13:13">
      <c r="M412" s="3" t="str">
        <f>IF(A412="","", WEEKNUM(A412, 2))</f>
        <v/>
      </c>
    </row>
    <row r="413" spans="13:13">
      <c r="M413" s="3" t="str">
        <f>IF(A413="","", WEEKNUM(A413, 2))</f>
        <v/>
      </c>
    </row>
    <row r="414" spans="13:13">
      <c r="M414" s="3" t="str">
        <f>IF(A414="","", WEEKNUM(A414, 2))</f>
        <v/>
      </c>
    </row>
    <row r="415" spans="13:13">
      <c r="M415" s="3" t="str">
        <f>IF(A415="","", WEEKNUM(A415, 2))</f>
        <v/>
      </c>
    </row>
    <row r="416" spans="13:13">
      <c r="M416" s="3" t="str">
        <f>IF(A416="","", WEEKNUM(A416, 2))</f>
        <v/>
      </c>
    </row>
    <row r="417" spans="13:13">
      <c r="M417" s="3" t="str">
        <f>IF(A417="","", WEEKNUM(A417, 2))</f>
        <v/>
      </c>
    </row>
    <row r="418" spans="13:13">
      <c r="M418" s="3" t="str">
        <f>IF(A418="","", WEEKNUM(A418, 2))</f>
        <v/>
      </c>
    </row>
    <row r="419" spans="13:13">
      <c r="M419" s="3" t="str">
        <f>IF(A419="","", WEEKNUM(A419, 2))</f>
        <v/>
      </c>
    </row>
    <row r="420" spans="13:13">
      <c r="M420" s="3" t="str">
        <f>IF(A420="","", WEEKNUM(A420, 2))</f>
        <v/>
      </c>
    </row>
    <row r="421" spans="13:13">
      <c r="M421" s="3" t="str">
        <f>IF(A421="","", WEEKNUM(A421, 2))</f>
        <v/>
      </c>
    </row>
    <row r="422" spans="13:13">
      <c r="M422" s="3" t="str">
        <f>IF(A422="","", WEEKNUM(A422, 2))</f>
        <v/>
      </c>
    </row>
    <row r="423" spans="13:13">
      <c r="M423" s="3" t="str">
        <f>IF(A423="","", WEEKNUM(A423, 2))</f>
        <v/>
      </c>
    </row>
    <row r="424" spans="13:13">
      <c r="M424" s="3" t="str">
        <f>IF(A424="","", WEEKNUM(A424, 2))</f>
        <v/>
      </c>
    </row>
    <row r="425" spans="13:13">
      <c r="M425" s="3" t="str">
        <f>IF(A425="","", WEEKNUM(A425, 2))</f>
        <v/>
      </c>
    </row>
    <row r="426" spans="13:13">
      <c r="M426" s="3" t="str">
        <f>IF(A426="","", WEEKNUM(A426, 2))</f>
        <v/>
      </c>
    </row>
    <row r="427" spans="13:13">
      <c r="M427" s="3" t="str">
        <f>IF(A427="","", WEEKNUM(A427, 2))</f>
        <v/>
      </c>
    </row>
    <row r="428" spans="13:13">
      <c r="M428" s="3" t="str">
        <f>IF(A428="","", WEEKNUM(A428, 2))</f>
        <v/>
      </c>
    </row>
    <row r="429" spans="13:13">
      <c r="M429" s="3" t="str">
        <f>IF(A429="","", WEEKNUM(A429, 2))</f>
        <v/>
      </c>
    </row>
    <row r="430" spans="13:13">
      <c r="M430" s="3" t="str">
        <f>IF(A430="","", WEEKNUM(A430, 2))</f>
        <v/>
      </c>
    </row>
    <row r="431" spans="13:13">
      <c r="M431" s="3" t="str">
        <f>IF(A431="","", WEEKNUM(A431, 2))</f>
        <v/>
      </c>
    </row>
    <row r="432" spans="13:13">
      <c r="M432" s="3" t="str">
        <f>IF(A432="","", WEEKNUM(A432, 2))</f>
        <v/>
      </c>
    </row>
    <row r="433" spans="13:13">
      <c r="M433" s="3" t="str">
        <f>IF(A433="","", WEEKNUM(A433, 2))</f>
        <v/>
      </c>
    </row>
    <row r="434" spans="13:13">
      <c r="M434" s="3" t="str">
        <f>IF(A434="","", WEEKNUM(A434, 2))</f>
        <v/>
      </c>
    </row>
    <row r="435" spans="13:13">
      <c r="M435" s="3" t="str">
        <f>IF(A435="","", WEEKNUM(A435, 2))</f>
        <v/>
      </c>
    </row>
    <row r="436" spans="13:13">
      <c r="M436" s="3" t="str">
        <f>IF(A436="","", WEEKNUM(A436, 2))</f>
        <v/>
      </c>
    </row>
    <row r="437" spans="13:13">
      <c r="M437" s="3" t="str">
        <f>IF(A437="","", WEEKNUM(A437, 2))</f>
        <v/>
      </c>
    </row>
    <row r="438" spans="13:13">
      <c r="M438" s="3" t="str">
        <f>IF(A438="","", WEEKNUM(A438, 2))</f>
        <v/>
      </c>
    </row>
    <row r="439" spans="13:13">
      <c r="M439" s="3" t="str">
        <f>IF(A439="","", WEEKNUM(A439, 2))</f>
        <v/>
      </c>
    </row>
    <row r="440" spans="13:13">
      <c r="M440" s="3" t="str">
        <f>IF(A440="","", WEEKNUM(A440, 2))</f>
        <v/>
      </c>
    </row>
    <row r="441" spans="13:13">
      <c r="M441" s="3" t="str">
        <f>IF(A441="","", WEEKNUM(A441, 2))</f>
        <v/>
      </c>
    </row>
    <row r="442" spans="13:13">
      <c r="M442" s="3" t="str">
        <f>IF(A442="","", WEEKNUM(A442, 2))</f>
        <v/>
      </c>
    </row>
    <row r="443" spans="13:13">
      <c r="M443" s="3" t="str">
        <f>IF(A443="","", WEEKNUM(A443, 2))</f>
        <v/>
      </c>
    </row>
    <row r="444" spans="13:13">
      <c r="M444" s="3" t="str">
        <f>IF(A444="","", WEEKNUM(A444, 2))</f>
        <v/>
      </c>
    </row>
    <row r="445" spans="13:13">
      <c r="M445" s="3" t="str">
        <f>IF(A445="","", WEEKNUM(A445, 2))</f>
        <v/>
      </c>
    </row>
    <row r="446" spans="13:13">
      <c r="M446" s="3" t="str">
        <f>IF(A446="","", WEEKNUM(A446, 2))</f>
        <v/>
      </c>
    </row>
    <row r="447" spans="13:13">
      <c r="M447" s="3" t="str">
        <f>IF(A447="","", WEEKNUM(A447, 2))</f>
        <v/>
      </c>
    </row>
    <row r="448" spans="13:13">
      <c r="M448" s="3" t="str">
        <f>IF(A448="","", WEEKNUM(A448, 2))</f>
        <v/>
      </c>
    </row>
    <row r="449" spans="13:13">
      <c r="M449" s="3" t="str">
        <f>IF(A449="","", WEEKNUM(A449, 2))</f>
        <v/>
      </c>
    </row>
    <row r="450" spans="13:13">
      <c r="M450" s="3" t="str">
        <f>IF(A450="","", WEEKNUM(A450, 2))</f>
        <v/>
      </c>
    </row>
    <row r="451" spans="13:13">
      <c r="M451" s="3" t="str">
        <f>IF(A451="","", WEEKNUM(A451, 2))</f>
        <v/>
      </c>
    </row>
    <row r="452" spans="13:13">
      <c r="M452" s="3" t="str">
        <f>IF(A452="","", WEEKNUM(A452, 2))</f>
        <v/>
      </c>
    </row>
    <row r="453" spans="13:13">
      <c r="M453" s="3" t="str">
        <f>IF(A453="","", WEEKNUM(A453, 2))</f>
        <v/>
      </c>
    </row>
    <row r="454" spans="13:13">
      <c r="M454" s="3" t="str">
        <f>IF(A454="","", WEEKNUM(A454, 2))</f>
        <v/>
      </c>
    </row>
    <row r="455" spans="13:13">
      <c r="M455" s="3" t="str">
        <f>IF(A455="","", WEEKNUM(A455, 2))</f>
        <v/>
      </c>
    </row>
    <row r="456" spans="13:13">
      <c r="M456" s="3" t="str">
        <f>IF(A456="","", WEEKNUM(A456, 2))</f>
        <v/>
      </c>
    </row>
    <row r="457" spans="13:13">
      <c r="M457" s="3" t="str">
        <f>IF(A457="","", WEEKNUM(A457, 2))</f>
        <v/>
      </c>
    </row>
    <row r="458" spans="13:13">
      <c r="M458" s="3" t="str">
        <f>IF(A458="","", WEEKNUM(A458, 2))</f>
        <v/>
      </c>
    </row>
    <row r="459" spans="13:13">
      <c r="M459" s="3" t="str">
        <f>IF(A459="","", WEEKNUM(A459, 2))</f>
        <v/>
      </c>
    </row>
    <row r="460" spans="13:13">
      <c r="M460" s="3" t="str">
        <f>IF(A460="","", WEEKNUM(A460, 2))</f>
        <v/>
      </c>
    </row>
    <row r="461" spans="13:13">
      <c r="M461" s="3" t="str">
        <f>IF(A461="","", WEEKNUM(A461, 2))</f>
        <v/>
      </c>
    </row>
    <row r="462" spans="13:13">
      <c r="M462" s="3" t="str">
        <f>IF(A462="","", WEEKNUM(A462, 2))</f>
        <v/>
      </c>
    </row>
    <row r="463" spans="13:13">
      <c r="M463" s="3" t="str">
        <f>IF(A463="","", WEEKNUM(A463, 2))</f>
        <v/>
      </c>
    </row>
    <row r="464" spans="13:13">
      <c r="M464" s="3" t="str">
        <f>IF(A464="","", WEEKNUM(A464, 2))</f>
        <v/>
      </c>
    </row>
    <row r="465" spans="13:13">
      <c r="M465" s="3" t="str">
        <f>IF(A465="","", WEEKNUM(A465, 2))</f>
        <v/>
      </c>
    </row>
    <row r="466" spans="13:13">
      <c r="M466" s="3" t="str">
        <f>IF(A466="","", WEEKNUM(A466, 2))</f>
        <v/>
      </c>
    </row>
    <row r="467" spans="13:13">
      <c r="M467" s="3" t="str">
        <f>IF(A467="","", WEEKNUM(A467, 2))</f>
        <v/>
      </c>
    </row>
    <row r="468" spans="13:13">
      <c r="M468" s="3" t="str">
        <f>IF(A468="","", WEEKNUM(A468, 2))</f>
        <v/>
      </c>
    </row>
    <row r="469" spans="13:13">
      <c r="M469" s="3" t="str">
        <f>IF(A469="","", WEEKNUM(A469, 2))</f>
        <v/>
      </c>
    </row>
    <row r="470" spans="13:13">
      <c r="M470" s="3" t="str">
        <f>IF(A470="","", WEEKNUM(A470, 2))</f>
        <v/>
      </c>
    </row>
    <row r="471" spans="13:13">
      <c r="M471" s="3" t="str">
        <f>IF(A471="","", WEEKNUM(A471, 2))</f>
        <v/>
      </c>
    </row>
    <row r="472" spans="13:13">
      <c r="M472" s="3" t="str">
        <f>IF(A472="","", WEEKNUM(A472, 2))</f>
        <v/>
      </c>
    </row>
    <row r="473" spans="13:13">
      <c r="M473" s="3" t="str">
        <f>IF(A473="","", WEEKNUM(A473, 2))</f>
        <v/>
      </c>
    </row>
    <row r="474" spans="13:13">
      <c r="M474" s="3" t="str">
        <f>IF(A474="","", WEEKNUM(A474, 2))</f>
        <v/>
      </c>
    </row>
    <row r="475" spans="13:13">
      <c r="M475" s="3" t="str">
        <f>IF(A475="","", WEEKNUM(A475, 2))</f>
        <v/>
      </c>
    </row>
    <row r="476" spans="13:13">
      <c r="M476" s="3" t="str">
        <f>IF(A476="","", WEEKNUM(A476, 2))</f>
        <v/>
      </c>
    </row>
    <row r="477" spans="13:13">
      <c r="M477" s="3" t="str">
        <f>IF(A477="","", WEEKNUM(A477, 2))</f>
        <v/>
      </c>
    </row>
    <row r="478" spans="13:13">
      <c r="M478" s="3" t="str">
        <f>IF(A478="","", WEEKNUM(A478, 2))</f>
        <v/>
      </c>
    </row>
    <row r="479" spans="13:13">
      <c r="M479" s="3" t="str">
        <f>IF(A479="","", WEEKNUM(A479, 2))</f>
        <v/>
      </c>
    </row>
    <row r="480" spans="13:13">
      <c r="M480" s="3" t="str">
        <f>IF(A480="","", WEEKNUM(A480, 2))</f>
        <v/>
      </c>
    </row>
    <row r="481" spans="13:13">
      <c r="M481" s="3" t="str">
        <f>IF(A481="","", WEEKNUM(A481, 2))</f>
        <v/>
      </c>
    </row>
    <row r="482" spans="13:13">
      <c r="M482" s="3" t="str">
        <f>IF(A482="","", WEEKNUM(A482, 2))</f>
        <v/>
      </c>
    </row>
    <row r="483" spans="13:13">
      <c r="M483" s="3" t="str">
        <f>IF(A483="","", WEEKNUM(A483, 2))</f>
        <v/>
      </c>
    </row>
    <row r="484" spans="13:13">
      <c r="M484" s="3" t="str">
        <f>IF(A484="","", WEEKNUM(A484, 2))</f>
        <v/>
      </c>
    </row>
    <row r="485" spans="13:13">
      <c r="M485" s="3" t="str">
        <f>IF(A485="","", WEEKNUM(A485, 2))</f>
        <v/>
      </c>
    </row>
    <row r="486" spans="13:13">
      <c r="M486" s="3" t="str">
        <f>IF(A486="","", WEEKNUM(A486, 2))</f>
        <v/>
      </c>
    </row>
    <row r="487" spans="13:13">
      <c r="M487" s="3" t="str">
        <f>IF(A487="","", WEEKNUM(A487, 2))</f>
        <v/>
      </c>
    </row>
    <row r="488" spans="13:13">
      <c r="M488" s="3" t="str">
        <f>IF(A488="","", WEEKNUM(A488, 2))</f>
        <v/>
      </c>
    </row>
    <row r="489" spans="13:13">
      <c r="M489" s="3" t="str">
        <f>IF(A489="","", WEEKNUM(A489, 2))</f>
        <v/>
      </c>
    </row>
    <row r="490" spans="13:13">
      <c r="M490" s="3" t="str">
        <f>IF(A490="","", WEEKNUM(A490, 2))</f>
        <v/>
      </c>
    </row>
    <row r="491" spans="13:13">
      <c r="M491" s="3" t="str">
        <f>IF(A491="","", WEEKNUM(A491, 2))</f>
        <v/>
      </c>
    </row>
    <row r="492" spans="13:13">
      <c r="M492" s="3" t="str">
        <f>IF(A492="","", WEEKNUM(A492, 2))</f>
        <v/>
      </c>
    </row>
    <row r="493" spans="13:13">
      <c r="M493" s="3" t="str">
        <f>IF(A493="","", WEEKNUM(A493, 2))</f>
        <v/>
      </c>
    </row>
    <row r="494" spans="13:13">
      <c r="M494" s="3" t="str">
        <f>IF(A494="","", WEEKNUM(A494, 2))</f>
        <v/>
      </c>
    </row>
    <row r="495" spans="13:13">
      <c r="M495" s="3" t="str">
        <f>IF(A495="","", WEEKNUM(A495, 2))</f>
        <v/>
      </c>
    </row>
    <row r="496" spans="13:13">
      <c r="M496" s="3" t="str">
        <f>IF(A496="","", WEEKNUM(A496, 2))</f>
        <v/>
      </c>
    </row>
    <row r="497" spans="13:13">
      <c r="M497" s="3" t="str">
        <f>IF(A497="","", WEEKNUM(A497, 2))</f>
        <v/>
      </c>
    </row>
    <row r="498" spans="13:13">
      <c r="M498" s="3" t="str">
        <f>IF(A498="","", WEEKNUM(A498, 2))</f>
        <v/>
      </c>
    </row>
    <row r="499" spans="13:13">
      <c r="M499" s="3" t="str">
        <f>IF(A499="","", WEEKNUM(A499, 2))</f>
        <v/>
      </c>
    </row>
    <row r="500" spans="13:13">
      <c r="M500" s="3" t="str">
        <f>IF(A500="","", WEEKNUM(A500, 2))</f>
        <v/>
      </c>
    </row>
    <row r="501" spans="13:13">
      <c r="M501" s="3" t="str">
        <f>IF(A501="","", WEEKNUM(A501, 2))</f>
        <v/>
      </c>
    </row>
    <row r="502" spans="13:13">
      <c r="M502" s="3" t="str">
        <f>IF(A502="","", WEEKNUM(A502, 2))</f>
        <v/>
      </c>
    </row>
    <row r="503" spans="13:13">
      <c r="M503" s="3" t="str">
        <f>IF(A503="","", WEEKNUM(A503, 2))</f>
        <v/>
      </c>
    </row>
    <row r="504" spans="13:13">
      <c r="M504" s="3" t="str">
        <f>IF(A504="","", WEEKNUM(A504, 2))</f>
        <v/>
      </c>
    </row>
    <row r="505" spans="13:13">
      <c r="M505" s="3" t="str">
        <f>IF(A505="","", WEEKNUM(A505, 2))</f>
        <v/>
      </c>
    </row>
    <row r="506" spans="13:13">
      <c r="M506" s="3" t="str">
        <f>IF(A506="","", WEEKNUM(A506, 2))</f>
        <v/>
      </c>
    </row>
    <row r="507" spans="13:13">
      <c r="M507" s="3" t="str">
        <f>IF(A507="","", WEEKNUM(A507, 2))</f>
        <v/>
      </c>
    </row>
    <row r="508" spans="13:13">
      <c r="M508" s="3" t="str">
        <f>IF(A508="","", WEEKNUM(A508, 2))</f>
        <v/>
      </c>
    </row>
    <row r="509" spans="13:13">
      <c r="M509" s="3" t="str">
        <f>IF(A509="","", WEEKNUM(A509, 2))</f>
        <v/>
      </c>
    </row>
    <row r="510" spans="13:13">
      <c r="M510" s="3" t="str">
        <f>IF(A510="","", WEEKNUM(A510, 2))</f>
        <v/>
      </c>
    </row>
    <row r="511" spans="13:13">
      <c r="M511" s="3" t="str">
        <f>IF(A511="","", WEEKNUM(A511, 2))</f>
        <v/>
      </c>
    </row>
    <row r="512" spans="13:13">
      <c r="M512" s="3" t="str">
        <f>IF(A512="","", WEEKNUM(A512, 2))</f>
        <v/>
      </c>
    </row>
    <row r="513" spans="13:13">
      <c r="M513" s="3" t="str">
        <f>IF(A513="","", WEEKNUM(A513, 2))</f>
        <v/>
      </c>
    </row>
    <row r="514" spans="13:13">
      <c r="M514" s="3" t="str">
        <f>IF(A514="","", WEEKNUM(A514, 2))</f>
        <v/>
      </c>
    </row>
    <row r="515" spans="13:13">
      <c r="M515" s="3" t="str">
        <f>IF(A515="","", WEEKNUM(A515, 2))</f>
        <v/>
      </c>
    </row>
    <row r="516" spans="13:13">
      <c r="M516" s="3" t="str">
        <f>IF(A516="","", WEEKNUM(A516, 2))</f>
        <v/>
      </c>
    </row>
    <row r="517" spans="13:13">
      <c r="M517" s="3" t="str">
        <f>IF(A517="","", WEEKNUM(A517, 2))</f>
        <v/>
      </c>
    </row>
    <row r="518" spans="13:13">
      <c r="M518" s="3" t="str">
        <f>IF(A518="","", WEEKNUM(A518, 2))</f>
        <v/>
      </c>
    </row>
    <row r="519" spans="13:13">
      <c r="M519" s="3" t="str">
        <f>IF(A519="","", WEEKNUM(A519, 2))</f>
        <v/>
      </c>
    </row>
    <row r="520" spans="13:13">
      <c r="M520" s="3" t="str">
        <f>IF(A520="","", WEEKNUM(A520, 2))</f>
        <v/>
      </c>
    </row>
    <row r="521" spans="13:13">
      <c r="M521" s="3" t="str">
        <f>IF(A521="","", WEEKNUM(A521, 2))</f>
        <v/>
      </c>
    </row>
    <row r="522" spans="13:13">
      <c r="M522" s="3" t="str">
        <f>IF(A522="","", WEEKNUM(A522, 2))</f>
        <v/>
      </c>
    </row>
    <row r="523" spans="13:13">
      <c r="M523" s="3" t="str">
        <f>IF(A523="","", WEEKNUM(A523, 2))</f>
        <v/>
      </c>
    </row>
    <row r="524" spans="13:13">
      <c r="M524" s="3" t="str">
        <f>IF(A524="","", WEEKNUM(A524, 2))</f>
        <v/>
      </c>
    </row>
    <row r="525" spans="13:13">
      <c r="M525" s="3" t="str">
        <f>IF(A525="","", WEEKNUM(A525, 2))</f>
        <v/>
      </c>
    </row>
    <row r="526" spans="13:13">
      <c r="M526" s="3" t="str">
        <f>IF(A526="","", WEEKNUM(A526, 2))</f>
        <v/>
      </c>
    </row>
    <row r="527" spans="13:13">
      <c r="M527" s="3" t="str">
        <f>IF(A527="","", WEEKNUM(A527, 2))</f>
        <v/>
      </c>
    </row>
    <row r="528" spans="13:13">
      <c r="M528" s="3" t="str">
        <f>IF(A528="","", WEEKNUM(A528, 2))</f>
        <v/>
      </c>
    </row>
    <row r="529" spans="13:13">
      <c r="M529" s="3" t="str">
        <f>IF(A529="","", WEEKNUM(A529, 2))</f>
        <v/>
      </c>
    </row>
    <row r="530" spans="13:13">
      <c r="M530" s="3" t="str">
        <f>IF(A530="","", WEEKNUM(A530, 2))</f>
        <v/>
      </c>
    </row>
    <row r="531" spans="13:13">
      <c r="M531" s="3" t="str">
        <f>IF(A531="","", WEEKNUM(A531, 2))</f>
        <v/>
      </c>
    </row>
    <row r="532" spans="13:13">
      <c r="M532" s="3" t="str">
        <f>IF(A532="","", WEEKNUM(A532, 2))</f>
        <v/>
      </c>
    </row>
    <row r="533" spans="13:13">
      <c r="M533" s="3" t="str">
        <f>IF(A533="","", WEEKNUM(A533, 2))</f>
        <v/>
      </c>
    </row>
    <row r="534" spans="13:13">
      <c r="M534" s="3" t="str">
        <f>IF(A534="","", WEEKNUM(A534, 2))</f>
        <v/>
      </c>
    </row>
    <row r="535" spans="13:13">
      <c r="M535" s="3" t="str">
        <f>IF(A535="","", WEEKNUM(A535, 2))</f>
        <v/>
      </c>
    </row>
    <row r="536" spans="13:13">
      <c r="M536" s="3" t="str">
        <f>IF(A536="","", WEEKNUM(A536, 2))</f>
        <v/>
      </c>
    </row>
    <row r="537" spans="13:13">
      <c r="M537" s="3" t="str">
        <f>IF(A537="","", WEEKNUM(A537, 2))</f>
        <v/>
      </c>
    </row>
    <row r="538" spans="13:13">
      <c r="M538" s="3" t="str">
        <f>IF(A538="","", WEEKNUM(A538, 2))</f>
        <v/>
      </c>
    </row>
    <row r="539" spans="13:13">
      <c r="M539" s="3" t="str">
        <f>IF(A539="","", WEEKNUM(A539, 2))</f>
        <v/>
      </c>
    </row>
    <row r="540" spans="13:13">
      <c r="M540" s="3" t="str">
        <f>IF(A540="","", WEEKNUM(A540, 2))</f>
        <v/>
      </c>
    </row>
    <row r="541" spans="13:13">
      <c r="M541" s="3" t="str">
        <f>IF(A541="","", WEEKNUM(A541, 2))</f>
        <v/>
      </c>
    </row>
    <row r="542" spans="13:13">
      <c r="M542" s="3" t="str">
        <f>IF(A542="","", WEEKNUM(A542, 2))</f>
        <v/>
      </c>
    </row>
    <row r="543" spans="13:13">
      <c r="M543" s="3" t="str">
        <f>IF(A543="","", WEEKNUM(A543, 2))</f>
        <v/>
      </c>
    </row>
    <row r="544" spans="13:13">
      <c r="M544" s="3" t="str">
        <f>IF(A544="","", WEEKNUM(A544, 2))</f>
        <v/>
      </c>
    </row>
    <row r="545" spans="13:13">
      <c r="M545" s="3" t="str">
        <f>IF(A545="","", WEEKNUM(A545, 2))</f>
        <v/>
      </c>
    </row>
    <row r="546" spans="13:13">
      <c r="M546" s="3" t="str">
        <f>IF(A546="","", WEEKNUM(A546, 2))</f>
        <v/>
      </c>
    </row>
    <row r="547" spans="13:13">
      <c r="M547" s="3" t="str">
        <f>IF(A547="","", WEEKNUM(A547, 2))</f>
        <v/>
      </c>
    </row>
    <row r="548" spans="13:13">
      <c r="M548" s="3" t="str">
        <f>IF(A548="","", WEEKNUM(A548, 2))</f>
        <v/>
      </c>
    </row>
    <row r="549" spans="13:13">
      <c r="M549" s="3" t="str">
        <f>IF(A549="","", WEEKNUM(A549, 2))</f>
        <v/>
      </c>
    </row>
    <row r="550" spans="13:13">
      <c r="M550" s="3" t="str">
        <f>IF(A550="","", WEEKNUM(A550, 2))</f>
        <v/>
      </c>
    </row>
    <row r="551" spans="13:13">
      <c r="M551" s="3" t="str">
        <f>IF(A551="","", WEEKNUM(A551, 2))</f>
        <v/>
      </c>
    </row>
    <row r="552" spans="13:13">
      <c r="M552" s="3" t="str">
        <f>IF(A552="","", WEEKNUM(A552, 2))</f>
        <v/>
      </c>
    </row>
    <row r="553" spans="13:13">
      <c r="M553" s="3" t="str">
        <f>IF(A553="","", WEEKNUM(A553, 2))</f>
        <v/>
      </c>
    </row>
    <row r="554" spans="13:13">
      <c r="M554" s="3" t="str">
        <f>IF(A554="","", WEEKNUM(A554, 2))</f>
        <v/>
      </c>
    </row>
    <row r="555" spans="13:13">
      <c r="M555" s="3" t="str">
        <f>IF(A555="","", WEEKNUM(A555, 2))</f>
        <v/>
      </c>
    </row>
    <row r="556" spans="13:13">
      <c r="M556" s="3" t="str">
        <f>IF(A556="","", WEEKNUM(A556, 2))</f>
        <v/>
      </c>
    </row>
    <row r="557" spans="13:13">
      <c r="M557" s="3" t="str">
        <f>IF(A557="","", WEEKNUM(A557, 2))</f>
        <v/>
      </c>
    </row>
    <row r="558" spans="13:13">
      <c r="M558" s="3" t="str">
        <f>IF(A558="","", WEEKNUM(A558, 2))</f>
        <v/>
      </c>
    </row>
    <row r="559" spans="13:13">
      <c r="M559" s="3" t="str">
        <f>IF(A559="","", WEEKNUM(A559, 2))</f>
        <v/>
      </c>
    </row>
    <row r="560" spans="13:13">
      <c r="M560" s="3" t="str">
        <f>IF(A560="","", WEEKNUM(A560, 2))</f>
        <v/>
      </c>
    </row>
    <row r="561" spans="13:13">
      <c r="M561" s="3" t="str">
        <f>IF(A561="","", WEEKNUM(A561, 2))</f>
        <v/>
      </c>
    </row>
    <row r="562" spans="13:13">
      <c r="M562" s="3" t="str">
        <f>IF(A562="","", WEEKNUM(A562, 2))</f>
        <v/>
      </c>
    </row>
    <row r="563" spans="13:13">
      <c r="M563" s="3" t="str">
        <f>IF(A563="","", WEEKNUM(A563, 2))</f>
        <v/>
      </c>
    </row>
    <row r="564" spans="13:13">
      <c r="M564" s="3" t="str">
        <f>IF(A564="","", WEEKNUM(A564, 2))</f>
        <v/>
      </c>
    </row>
    <row r="565" spans="13:13">
      <c r="M565" s="3" t="str">
        <f>IF(A565="","", WEEKNUM(A565, 2))</f>
        <v/>
      </c>
    </row>
    <row r="566" spans="13:13">
      <c r="M566" s="3" t="str">
        <f>IF(A566="","", WEEKNUM(A566, 2))</f>
        <v/>
      </c>
    </row>
    <row r="567" spans="13:13">
      <c r="M567" s="3" t="str">
        <f>IF(A567="","", WEEKNUM(A567, 2))</f>
        <v/>
      </c>
    </row>
    <row r="568" spans="13:13">
      <c r="M568" s="3" t="str">
        <f>IF(A568="","", WEEKNUM(A568, 2))</f>
        <v/>
      </c>
    </row>
    <row r="569" spans="13:13">
      <c r="M569" s="3" t="str">
        <f>IF(A569="","", WEEKNUM(A569, 2))</f>
        <v/>
      </c>
    </row>
    <row r="570" spans="13:13">
      <c r="M570" s="3" t="str">
        <f>IF(A570="","", WEEKNUM(A570, 2))</f>
        <v/>
      </c>
    </row>
    <row r="571" spans="13:13">
      <c r="M571" s="3" t="str">
        <f>IF(A571="","", WEEKNUM(A571, 2))</f>
        <v/>
      </c>
    </row>
    <row r="572" spans="13:13">
      <c r="M572" s="3" t="str">
        <f>IF(A572="","", WEEKNUM(A572, 2))</f>
        <v/>
      </c>
    </row>
    <row r="573" spans="13:13">
      <c r="M573" s="3" t="str">
        <f>IF(A573="","", WEEKNUM(A573, 2))</f>
        <v/>
      </c>
    </row>
    <row r="574" spans="13:13">
      <c r="M574" s="3" t="str">
        <f>IF(A574="","", WEEKNUM(A574, 2))</f>
        <v/>
      </c>
    </row>
    <row r="575" spans="13:13">
      <c r="M575" s="3" t="str">
        <f>IF(A575="","", WEEKNUM(A575, 2))</f>
        <v/>
      </c>
    </row>
    <row r="576" spans="13:13">
      <c r="M576" s="3" t="str">
        <f>IF(A576="","", WEEKNUM(A576, 2))</f>
        <v/>
      </c>
    </row>
    <row r="577" spans="13:13">
      <c r="M577" s="3" t="str">
        <f>IF(A577="","", WEEKNUM(A577, 2))</f>
        <v/>
      </c>
    </row>
    <row r="578" spans="13:13">
      <c r="M578" s="3" t="str">
        <f>IF(A578="","", WEEKNUM(A578, 2))</f>
        <v/>
      </c>
    </row>
    <row r="579" spans="13:13">
      <c r="M579" s="3" t="str">
        <f>IF(A579="","", WEEKNUM(A579, 2))</f>
        <v/>
      </c>
    </row>
    <row r="580" spans="13:13">
      <c r="M580" s="3" t="str">
        <f>IF(A580="","", WEEKNUM(A580, 2))</f>
        <v/>
      </c>
    </row>
    <row r="581" spans="13:13">
      <c r="M581" s="3" t="str">
        <f>IF(A581="","", WEEKNUM(A581, 2))</f>
        <v/>
      </c>
    </row>
    <row r="582" spans="13:13">
      <c r="M582" s="3" t="str">
        <f>IF(A582="","", WEEKNUM(A582, 2))</f>
        <v/>
      </c>
    </row>
    <row r="583" spans="13:13">
      <c r="M583" s="3" t="str">
        <f>IF(A583="","", WEEKNUM(A583, 2))</f>
        <v/>
      </c>
    </row>
    <row r="584" spans="13:13">
      <c r="M584" s="3" t="str">
        <f>IF(A584="","", WEEKNUM(A584, 2))</f>
        <v/>
      </c>
    </row>
    <row r="585" spans="13:13">
      <c r="M585" s="3" t="str">
        <f>IF(A585="","", WEEKNUM(A585, 2))</f>
        <v/>
      </c>
    </row>
    <row r="586" spans="13:13">
      <c r="M586" s="3" t="str">
        <f>IF(A586="","", WEEKNUM(A586, 2))</f>
        <v/>
      </c>
    </row>
    <row r="587" spans="13:13">
      <c r="M587" s="3" t="str">
        <f>IF(A587="","", WEEKNUM(A587, 2))</f>
        <v/>
      </c>
    </row>
    <row r="588" spans="13:13">
      <c r="M588" s="3" t="str">
        <f>IF(A588="","", WEEKNUM(A588, 2))</f>
        <v/>
      </c>
    </row>
    <row r="589" spans="13:13">
      <c r="M589" s="3" t="str">
        <f>IF(A589="","", WEEKNUM(A589, 2))</f>
        <v/>
      </c>
    </row>
    <row r="590" spans="13:13">
      <c r="M590" s="3" t="str">
        <f>IF(A590="","", WEEKNUM(A590, 2))</f>
        <v/>
      </c>
    </row>
    <row r="591" spans="13:13">
      <c r="M591" s="3" t="str">
        <f>IF(A591="","", WEEKNUM(A591, 2))</f>
        <v/>
      </c>
    </row>
    <row r="592" spans="13:13">
      <c r="M592" s="3" t="str">
        <f>IF(A592="","", WEEKNUM(A592, 2))</f>
        <v/>
      </c>
    </row>
    <row r="593" spans="13:13">
      <c r="M593" s="3" t="str">
        <f>IF(A593="","", WEEKNUM(A593, 2))</f>
        <v/>
      </c>
    </row>
    <row r="594" spans="13:13">
      <c r="M594" s="3" t="str">
        <f>IF(A594="","", WEEKNUM(A594, 2))</f>
        <v/>
      </c>
    </row>
    <row r="595" spans="13:13">
      <c r="M595" s="3" t="str">
        <f>IF(A595="","", WEEKNUM(A595, 2))</f>
        <v/>
      </c>
    </row>
    <row r="596" spans="13:13">
      <c r="M596" s="3" t="str">
        <f>IF(A596="","", WEEKNUM(A596, 2))</f>
        <v/>
      </c>
    </row>
    <row r="597" spans="13:13">
      <c r="M597" s="3" t="str">
        <f>IF(A597="","", WEEKNUM(A597, 2))</f>
        <v/>
      </c>
    </row>
    <row r="598" spans="13:13">
      <c r="M598" s="3" t="str">
        <f>IF(A598="","", WEEKNUM(A598, 2))</f>
        <v/>
      </c>
    </row>
    <row r="599" spans="13:13">
      <c r="M599" s="3" t="str">
        <f>IF(A599="","", WEEKNUM(A599, 2))</f>
        <v/>
      </c>
    </row>
    <row r="600" spans="13:13">
      <c r="M600" s="3" t="str">
        <f>IF(A600="","", WEEKNUM(A600, 2))</f>
        <v/>
      </c>
    </row>
    <row r="601" spans="13:13">
      <c r="M601" s="3" t="str">
        <f>IF(A601="","", WEEKNUM(A601, 2))</f>
        <v/>
      </c>
    </row>
    <row r="602" spans="13:13">
      <c r="M602" s="3" t="str">
        <f>IF(A602="","", WEEKNUM(A602, 2))</f>
        <v/>
      </c>
    </row>
    <row r="603" spans="13:13">
      <c r="M603" s="3" t="str">
        <f>IF(A603="","", WEEKNUM(A603, 2))</f>
        <v/>
      </c>
    </row>
    <row r="604" spans="13:13">
      <c r="M604" s="3" t="str">
        <f>IF(A604="","", WEEKNUM(A604, 2))</f>
        <v/>
      </c>
    </row>
    <row r="605" spans="13:13">
      <c r="M605" s="3" t="str">
        <f>IF(A605="","", WEEKNUM(A605, 2))</f>
        <v/>
      </c>
    </row>
    <row r="606" spans="13:13">
      <c r="M606" s="3" t="str">
        <f>IF(A606="","", WEEKNUM(A606, 2))</f>
        <v/>
      </c>
    </row>
    <row r="607" spans="13:13">
      <c r="M607" s="3" t="str">
        <f>IF(A607="","", WEEKNUM(A607, 2))</f>
        <v/>
      </c>
    </row>
    <row r="608" spans="13:13">
      <c r="M608" s="3" t="str">
        <f>IF(A608="","", WEEKNUM(A608, 2))</f>
        <v/>
      </c>
    </row>
    <row r="609" spans="13:13">
      <c r="M609" s="3" t="str">
        <f>IF(A609="","", WEEKNUM(A609, 2))</f>
        <v/>
      </c>
    </row>
    <row r="610" spans="13:13">
      <c r="M610" s="3" t="str">
        <f>IF(A610="","", WEEKNUM(A610, 2))</f>
        <v/>
      </c>
    </row>
    <row r="611" spans="13:13">
      <c r="M611" s="3" t="str">
        <f>IF(A611="","", WEEKNUM(A611, 2))</f>
        <v/>
      </c>
    </row>
    <row r="612" spans="13:13">
      <c r="M612" s="3" t="str">
        <f>IF(A612="","", WEEKNUM(A612, 2))</f>
        <v/>
      </c>
    </row>
    <row r="613" spans="13:13">
      <c r="M613" s="3" t="str">
        <f>IF(A613="","", WEEKNUM(A613, 2))</f>
        <v/>
      </c>
    </row>
    <row r="614" spans="13:13">
      <c r="M614" s="3" t="str">
        <f>IF(A614="","", WEEKNUM(A614, 2))</f>
        <v/>
      </c>
    </row>
    <row r="615" spans="13:13">
      <c r="M615" s="3" t="str">
        <f>IF(A615="","", WEEKNUM(A615, 2))</f>
        <v/>
      </c>
    </row>
    <row r="616" spans="13:13">
      <c r="M616" s="3" t="str">
        <f>IF(A616="","", WEEKNUM(A616, 2))</f>
        <v/>
      </c>
    </row>
    <row r="617" spans="13:13">
      <c r="M617" s="3" t="str">
        <f>IF(A617="","", WEEKNUM(A617, 2))</f>
        <v/>
      </c>
    </row>
    <row r="618" spans="13:13">
      <c r="M618" s="3" t="str">
        <f>IF(A618="","", WEEKNUM(A618, 2))</f>
        <v/>
      </c>
    </row>
    <row r="619" spans="13:13">
      <c r="M619" s="3" t="str">
        <f>IF(A619="","", WEEKNUM(A619, 2))</f>
        <v/>
      </c>
    </row>
    <row r="620" spans="13:13">
      <c r="M620" s="3" t="str">
        <f>IF(A620="","", WEEKNUM(A620, 2))</f>
        <v/>
      </c>
    </row>
    <row r="621" spans="13:13">
      <c r="M621" s="3" t="str">
        <f>IF(A621="","", WEEKNUM(A621, 2))</f>
        <v/>
      </c>
    </row>
    <row r="622" spans="13:13">
      <c r="M622" s="3" t="str">
        <f>IF(A622="","", WEEKNUM(A622, 2))</f>
        <v/>
      </c>
    </row>
    <row r="623" spans="13:13">
      <c r="M623" s="3" t="str">
        <f>IF(A623="","", WEEKNUM(A623, 2))</f>
        <v/>
      </c>
    </row>
    <row r="624" spans="13:13">
      <c r="M624" s="3" t="str">
        <f>IF(A624="","", WEEKNUM(A624, 2))</f>
        <v/>
      </c>
    </row>
    <row r="625" spans="13:13">
      <c r="M625" s="3" t="str">
        <f>IF(A625="","", WEEKNUM(A625, 2))</f>
        <v/>
      </c>
    </row>
    <row r="626" spans="13:13">
      <c r="M626" s="3" t="str">
        <f>IF(A626="","", WEEKNUM(A626, 2))</f>
        <v/>
      </c>
    </row>
    <row r="627" spans="13:13">
      <c r="M627" s="3" t="str">
        <f>IF(A627="","", WEEKNUM(A627, 2))</f>
        <v/>
      </c>
    </row>
    <row r="628" spans="13:13">
      <c r="M628" s="3" t="str">
        <f>IF(A628="","", WEEKNUM(A628, 2))</f>
        <v/>
      </c>
    </row>
    <row r="629" spans="13:13">
      <c r="M629" s="3" t="str">
        <f>IF(A629="","", WEEKNUM(A629, 2))</f>
        <v/>
      </c>
    </row>
    <row r="630" spans="13:13">
      <c r="M630" s="3" t="str">
        <f>IF(A630="","", WEEKNUM(A630, 2))</f>
        <v/>
      </c>
    </row>
    <row r="631" spans="13:13">
      <c r="M631" s="3" t="str">
        <f>IF(A631="","", WEEKNUM(A631, 2))</f>
        <v/>
      </c>
    </row>
    <row r="632" spans="13:13">
      <c r="M632" s="3" t="str">
        <f>IF(A632="","", WEEKNUM(A632, 2))</f>
        <v/>
      </c>
    </row>
    <row r="633" spans="13:13">
      <c r="M633" s="3" t="str">
        <f>IF(A633="","", WEEKNUM(A633, 2))</f>
        <v/>
      </c>
    </row>
    <row r="634" spans="13:13">
      <c r="M634" s="3" t="str">
        <f>IF(A634="","", WEEKNUM(A634, 2))</f>
        <v/>
      </c>
    </row>
    <row r="635" spans="13:13">
      <c r="M635" s="3" t="str">
        <f>IF(A635="","", WEEKNUM(A635, 2))</f>
        <v/>
      </c>
    </row>
    <row r="636" spans="13:13">
      <c r="M636" s="3" t="str">
        <f>IF(A636="","", WEEKNUM(A636, 2))</f>
        <v/>
      </c>
    </row>
    <row r="637" spans="13:13">
      <c r="M637" s="3" t="str">
        <f>IF(A637="","", WEEKNUM(A637, 2))</f>
        <v/>
      </c>
    </row>
    <row r="638" spans="13:13">
      <c r="M638" s="3" t="str">
        <f>IF(A638="","", WEEKNUM(A638, 2))</f>
        <v/>
      </c>
    </row>
    <row r="639" spans="13:13">
      <c r="M639" s="3" t="str">
        <f>IF(A639="","", WEEKNUM(A639, 2))</f>
        <v/>
      </c>
    </row>
    <row r="640" spans="13:13">
      <c r="M640" s="3" t="str">
        <f>IF(A640="","", WEEKNUM(A640, 2))</f>
        <v/>
      </c>
    </row>
    <row r="641" spans="13:13">
      <c r="M641" s="3" t="str">
        <f>IF(A641="","", WEEKNUM(A641, 2))</f>
        <v/>
      </c>
    </row>
    <row r="642" spans="13:13">
      <c r="M642" s="3" t="str">
        <f>IF(A642="","", WEEKNUM(A642, 2))</f>
        <v/>
      </c>
    </row>
    <row r="643" spans="13:13">
      <c r="M643" s="3" t="str">
        <f>IF(A643="","", WEEKNUM(A643, 2))</f>
        <v/>
      </c>
    </row>
    <row r="644" spans="13:13">
      <c r="M644" s="3" t="str">
        <f>IF(A644="","", WEEKNUM(A644, 2))</f>
        <v/>
      </c>
    </row>
    <row r="645" spans="13:13">
      <c r="M645" s="3" t="str">
        <f>IF(A645="","", WEEKNUM(A645, 2))</f>
        <v/>
      </c>
    </row>
    <row r="646" spans="13:13">
      <c r="M646" s="3" t="str">
        <f>IF(A646="","", WEEKNUM(A646, 2))</f>
        <v/>
      </c>
    </row>
    <row r="647" spans="13:13">
      <c r="M647" s="3" t="str">
        <f>IF(A647="","", WEEKNUM(A647, 2))</f>
        <v/>
      </c>
    </row>
    <row r="648" spans="13:13">
      <c r="M648" s="3" t="str">
        <f>IF(A648="","", WEEKNUM(A648, 2))</f>
        <v/>
      </c>
    </row>
    <row r="649" spans="13:13">
      <c r="M649" s="3" t="str">
        <f>IF(A649="","", WEEKNUM(A649, 2))</f>
        <v/>
      </c>
    </row>
    <row r="650" spans="13:13">
      <c r="M650" s="3" t="str">
        <f>IF(A650="","", WEEKNUM(A650, 2))</f>
        <v/>
      </c>
    </row>
    <row r="651" spans="13:13">
      <c r="M651" s="3" t="str">
        <f>IF(A651="","", WEEKNUM(A651, 2))</f>
        <v/>
      </c>
    </row>
    <row r="652" spans="13:13">
      <c r="M652" s="3" t="str">
        <f>IF(A652="","", WEEKNUM(A652, 2))</f>
        <v/>
      </c>
    </row>
    <row r="653" spans="13:13">
      <c r="M653" s="3" t="str">
        <f>IF(A653="","", WEEKNUM(A653, 2))</f>
        <v/>
      </c>
    </row>
    <row r="654" spans="13:13">
      <c r="M654" s="3" t="str">
        <f>IF(A654="","", WEEKNUM(A654, 2))</f>
        <v/>
      </c>
    </row>
    <row r="655" spans="13:13">
      <c r="M655" s="3" t="str">
        <f>IF(A655="","", WEEKNUM(A655, 2))</f>
        <v/>
      </c>
    </row>
    <row r="656" spans="13:13">
      <c r="M656" s="3" t="str">
        <f>IF(A656="","", WEEKNUM(A656, 2))</f>
        <v/>
      </c>
    </row>
    <row r="657" spans="13:13">
      <c r="M657" s="3" t="str">
        <f>IF(A657="","", WEEKNUM(A657, 2))</f>
        <v/>
      </c>
    </row>
    <row r="658" spans="13:13">
      <c r="M658" s="3" t="str">
        <f>IF(A658="","", WEEKNUM(A658, 2))</f>
        <v/>
      </c>
    </row>
    <row r="659" spans="13:13">
      <c r="M659" s="3" t="str">
        <f>IF(A659="","", WEEKNUM(A659, 2))</f>
        <v/>
      </c>
    </row>
    <row r="660" spans="13:13">
      <c r="M660" s="3" t="str">
        <f>IF(A660="","", WEEKNUM(A660, 2))</f>
        <v/>
      </c>
    </row>
    <row r="661" spans="13:13">
      <c r="M661" s="3" t="str">
        <f>IF(A661="","", WEEKNUM(A661, 2))</f>
        <v/>
      </c>
    </row>
    <row r="662" spans="13:13">
      <c r="M662" s="3" t="str">
        <f>IF(A662="","", WEEKNUM(A662, 2))</f>
        <v/>
      </c>
    </row>
    <row r="663" spans="13:13">
      <c r="M663" s="3" t="str">
        <f>IF(A663="","", WEEKNUM(A663, 2))</f>
        <v/>
      </c>
    </row>
    <row r="664" spans="13:13">
      <c r="M664" s="3" t="str">
        <f>IF(A664="","", WEEKNUM(A664, 2))</f>
        <v/>
      </c>
    </row>
    <row r="665" spans="13:13">
      <c r="M665" s="3" t="str">
        <f>IF(A665="","", WEEKNUM(A665, 2))</f>
        <v/>
      </c>
    </row>
    <row r="666" spans="13:13">
      <c r="M666" s="3" t="str">
        <f>IF(A666="","", WEEKNUM(A666, 2))</f>
        <v/>
      </c>
    </row>
    <row r="667" spans="13:13">
      <c r="M667" s="3" t="str">
        <f>IF(A667="","", WEEKNUM(A667, 2))</f>
        <v/>
      </c>
    </row>
    <row r="668" spans="13:13">
      <c r="M668" s="3" t="str">
        <f>IF(A668="","", WEEKNUM(A668, 2))</f>
        <v/>
      </c>
    </row>
    <row r="669" spans="13:13">
      <c r="M669" s="3" t="str">
        <f>IF(A669="","", WEEKNUM(A669, 2))</f>
        <v/>
      </c>
    </row>
    <row r="670" spans="13:13">
      <c r="M670" s="3" t="str">
        <f>IF(A670="","", WEEKNUM(A670, 2))</f>
        <v/>
      </c>
    </row>
    <row r="671" spans="13:13">
      <c r="M671" s="3" t="str">
        <f>IF(A671="","", WEEKNUM(A671, 2))</f>
        <v/>
      </c>
    </row>
    <row r="672" spans="13:13">
      <c r="M672" s="3" t="str">
        <f>IF(A672="","", WEEKNUM(A672, 2))</f>
        <v/>
      </c>
    </row>
    <row r="673" spans="13:13">
      <c r="M673" s="3" t="str">
        <f>IF(A673="","", WEEKNUM(A673, 2))</f>
        <v/>
      </c>
    </row>
    <row r="674" spans="13:13">
      <c r="M674" s="3" t="str">
        <f>IF(A674="","", WEEKNUM(A674, 2))</f>
        <v/>
      </c>
    </row>
    <row r="675" spans="13:13">
      <c r="M675" s="3" t="str">
        <f>IF(A675="","", WEEKNUM(A675, 2))</f>
        <v/>
      </c>
    </row>
    <row r="676" spans="13:13">
      <c r="M676" s="3" t="str">
        <f>IF(A676="","", WEEKNUM(A676, 2))</f>
        <v/>
      </c>
    </row>
    <row r="677" spans="13:13">
      <c r="M677" s="3" t="str">
        <f>IF(A677="","", WEEKNUM(A677, 2))</f>
        <v/>
      </c>
    </row>
    <row r="678" spans="13:13">
      <c r="M678" s="3" t="str">
        <f>IF(A678="","", WEEKNUM(A678, 2))</f>
        <v/>
      </c>
    </row>
    <row r="679" spans="13:13">
      <c r="M679" s="3" t="str">
        <f>IF(A679="","", WEEKNUM(A679, 2))</f>
        <v/>
      </c>
    </row>
    <row r="680" spans="13:13">
      <c r="M680" s="3" t="str">
        <f>IF(A680="","", WEEKNUM(A680, 2))</f>
        <v/>
      </c>
    </row>
    <row r="681" spans="13:13">
      <c r="M681" s="3" t="str">
        <f>IF(A681="","", WEEKNUM(A681, 2))</f>
        <v/>
      </c>
    </row>
    <row r="682" spans="13:13">
      <c r="M682" s="3" t="str">
        <f>IF(A682="","", WEEKNUM(A682, 2))</f>
        <v/>
      </c>
    </row>
    <row r="683" spans="13:13">
      <c r="M683" s="3" t="str">
        <f>IF(A683="","", WEEKNUM(A683, 2))</f>
        <v/>
      </c>
    </row>
    <row r="684" spans="13:13">
      <c r="M684" s="3" t="str">
        <f>IF(A684="","", WEEKNUM(A684, 2))</f>
        <v/>
      </c>
    </row>
    <row r="685" spans="13:13">
      <c r="M685" s="3" t="str">
        <f>IF(A685="","", WEEKNUM(A685, 2))</f>
        <v/>
      </c>
    </row>
    <row r="686" spans="13:13">
      <c r="M686" s="3" t="str">
        <f>IF(A686="","", WEEKNUM(A686, 2))</f>
        <v/>
      </c>
    </row>
    <row r="687" spans="13:13">
      <c r="M687" s="3" t="str">
        <f>IF(A687="","", WEEKNUM(A687, 2))</f>
        <v/>
      </c>
    </row>
    <row r="688" spans="13:13">
      <c r="M688" s="3" t="str">
        <f>IF(A688="","", WEEKNUM(A688, 2))</f>
        <v/>
      </c>
    </row>
    <row r="689" spans="13:13">
      <c r="M689" s="3" t="str">
        <f>IF(A689="","", WEEKNUM(A689, 2))</f>
        <v/>
      </c>
    </row>
    <row r="690" spans="13:13">
      <c r="M690" s="3" t="str">
        <f>IF(A690="","", WEEKNUM(A690, 2))</f>
        <v/>
      </c>
    </row>
    <row r="691" spans="13:13">
      <c r="M691" s="3" t="str">
        <f>IF(A691="","", WEEKNUM(A691, 2))</f>
        <v/>
      </c>
    </row>
    <row r="692" spans="13:13">
      <c r="M692" s="3" t="str">
        <f>IF(A692="","", WEEKNUM(A692, 2))</f>
        <v/>
      </c>
    </row>
    <row r="693" spans="13:13">
      <c r="M693" s="3" t="str">
        <f>IF(A693="","", WEEKNUM(A693, 2))</f>
        <v/>
      </c>
    </row>
    <row r="694" spans="13:13">
      <c r="M694" s="3" t="str">
        <f>IF(A694="","", WEEKNUM(A694, 2))</f>
        <v/>
      </c>
    </row>
    <row r="695" spans="13:13">
      <c r="M695" s="3" t="str">
        <f>IF(A695="","", WEEKNUM(A695, 2))</f>
        <v/>
      </c>
    </row>
    <row r="696" spans="13:13">
      <c r="M696" s="3" t="str">
        <f>IF(A696="","", WEEKNUM(A696, 2))</f>
        <v/>
      </c>
    </row>
    <row r="697" spans="13:13">
      <c r="M697" s="3" t="str">
        <f>IF(A697="","", WEEKNUM(A697, 2))</f>
        <v/>
      </c>
    </row>
    <row r="698" spans="13:13">
      <c r="M698" s="3" t="str">
        <f>IF(A698="","", WEEKNUM(A698, 2))</f>
        <v/>
      </c>
    </row>
    <row r="699" spans="13:13">
      <c r="M699" s="3" t="str">
        <f>IF(A699="","", WEEKNUM(A699, 2))</f>
        <v/>
      </c>
    </row>
    <row r="700" spans="13:13">
      <c r="M700" s="3" t="str">
        <f>IF(A700="","", WEEKNUM(A700, 2))</f>
        <v/>
      </c>
    </row>
    <row r="701" spans="13:13">
      <c r="M701" s="3" t="str">
        <f>IF(A701="","", WEEKNUM(A701, 2))</f>
        <v/>
      </c>
    </row>
    <row r="702" spans="13:13">
      <c r="M702" s="3" t="str">
        <f>IF(A702="","", WEEKNUM(A702, 2))</f>
        <v/>
      </c>
    </row>
    <row r="703" spans="13:13">
      <c r="M703" s="3" t="str">
        <f>IF(A703="","", WEEKNUM(A703, 2))</f>
        <v/>
      </c>
    </row>
    <row r="704" spans="13:13">
      <c r="M704" s="3" t="str">
        <f>IF(A704="","", WEEKNUM(A704, 2))</f>
        <v/>
      </c>
    </row>
    <row r="705" spans="13:13">
      <c r="M705" s="3" t="str">
        <f>IF(A705="","", WEEKNUM(A705, 2))</f>
        <v/>
      </c>
    </row>
    <row r="706" spans="13:13">
      <c r="M706" s="3" t="str">
        <f>IF(A706="","", WEEKNUM(A706, 2))</f>
        <v/>
      </c>
    </row>
    <row r="707" spans="13:13">
      <c r="M707" s="3" t="str">
        <f>IF(A707="","", WEEKNUM(A707, 2))</f>
        <v/>
      </c>
    </row>
    <row r="708" spans="13:13">
      <c r="M708" s="3" t="str">
        <f>IF(A708="","", WEEKNUM(A708, 2))</f>
        <v/>
      </c>
    </row>
    <row r="709" spans="13:13">
      <c r="M709" s="3" t="str">
        <f>IF(A709="","", WEEKNUM(A709, 2))</f>
        <v/>
      </c>
    </row>
    <row r="710" spans="13:13">
      <c r="M710" s="3" t="str">
        <f>IF(A710="","", WEEKNUM(A710, 2))</f>
        <v/>
      </c>
    </row>
    <row r="711" spans="13:13">
      <c r="M711" s="3" t="str">
        <f>IF(A711="","", WEEKNUM(A711, 2))</f>
        <v/>
      </c>
    </row>
    <row r="712" spans="13:13">
      <c r="M712" s="3" t="str">
        <f>IF(A712="","", WEEKNUM(A712, 2))</f>
        <v/>
      </c>
    </row>
    <row r="713" spans="13:13">
      <c r="M713" s="3" t="str">
        <f>IF(A713="","", WEEKNUM(A713, 2))</f>
        <v/>
      </c>
    </row>
    <row r="714" spans="13:13">
      <c r="M714" s="3" t="str">
        <f>IF(A714="","", WEEKNUM(A714, 2))</f>
        <v/>
      </c>
    </row>
    <row r="715" spans="13:13">
      <c r="M715" s="3" t="str">
        <f>IF(A715="","", WEEKNUM(A715, 2))</f>
        <v/>
      </c>
    </row>
    <row r="716" spans="13:13">
      <c r="M716" s="3" t="str">
        <f>IF(A716="","", WEEKNUM(A716, 2))</f>
        <v/>
      </c>
    </row>
    <row r="717" spans="13:13">
      <c r="M717" s="3" t="str">
        <f>IF(A717="","", WEEKNUM(A717, 2))</f>
        <v/>
      </c>
    </row>
    <row r="718" spans="13:13">
      <c r="M718" s="3" t="str">
        <f>IF(A718="","", WEEKNUM(A718, 2))</f>
        <v/>
      </c>
    </row>
    <row r="719" spans="13:13">
      <c r="M719" s="3" t="str">
        <f>IF(A719="","", WEEKNUM(A719, 2))</f>
        <v/>
      </c>
    </row>
    <row r="720" spans="13:13">
      <c r="M720" s="3" t="str">
        <f>IF(A720="","", WEEKNUM(A720, 2))</f>
        <v/>
      </c>
    </row>
    <row r="721" spans="13:13">
      <c r="M721" s="3" t="str">
        <f>IF(A721="","", WEEKNUM(A721, 2))</f>
        <v/>
      </c>
    </row>
    <row r="722" spans="13:13">
      <c r="M722" s="3" t="str">
        <f>IF(A722="","", WEEKNUM(A722, 2))</f>
        <v/>
      </c>
    </row>
    <row r="723" spans="13:13">
      <c r="M723" s="3" t="str">
        <f>IF(A723="","", WEEKNUM(A723, 2))</f>
        <v/>
      </c>
    </row>
    <row r="724" spans="13:13">
      <c r="M724" s="3" t="str">
        <f>IF(A724="","", WEEKNUM(A724, 2))</f>
        <v/>
      </c>
    </row>
    <row r="725" spans="13:13">
      <c r="M725" s="3" t="str">
        <f>IF(A725="","", WEEKNUM(A725, 2))</f>
        <v/>
      </c>
    </row>
    <row r="726" spans="13:13">
      <c r="M726" s="3" t="str">
        <f>IF(A726="","", WEEKNUM(A726, 2))</f>
        <v/>
      </c>
    </row>
    <row r="727" spans="13:13">
      <c r="M727" s="3" t="str">
        <f>IF(A727="","", WEEKNUM(A727, 2))</f>
        <v/>
      </c>
    </row>
    <row r="728" spans="13:13">
      <c r="M728" s="3" t="str">
        <f>IF(A728="","", WEEKNUM(A728, 2))</f>
        <v/>
      </c>
    </row>
    <row r="729" spans="13:13">
      <c r="M729" s="3" t="str">
        <f>IF(A729="","", WEEKNUM(A729, 2))</f>
        <v/>
      </c>
    </row>
    <row r="730" spans="13:13">
      <c r="M730" s="3" t="str">
        <f>IF(A730="","", WEEKNUM(A730, 2))</f>
        <v/>
      </c>
    </row>
    <row r="731" spans="13:13">
      <c r="M731" s="3" t="str">
        <f>IF(A731="","", WEEKNUM(A731, 2))</f>
        <v/>
      </c>
    </row>
    <row r="732" spans="13:13">
      <c r="M732" s="3" t="str">
        <f>IF(A732="","", WEEKNUM(A732, 2))</f>
        <v/>
      </c>
    </row>
    <row r="733" spans="13:13">
      <c r="M733" s="3" t="str">
        <f>IF(A733="","", WEEKNUM(A733, 2))</f>
        <v/>
      </c>
    </row>
    <row r="734" spans="13:13">
      <c r="M734" s="3" t="str">
        <f>IF(A734="","", WEEKNUM(A734, 2))</f>
        <v/>
      </c>
    </row>
    <row r="735" spans="13:13">
      <c r="M735" s="3" t="str">
        <f>IF(A735="","", WEEKNUM(A735, 2))</f>
        <v/>
      </c>
    </row>
    <row r="736" spans="13:13">
      <c r="M736" s="3" t="str">
        <f>IF(A736="","", WEEKNUM(A736, 2))</f>
        <v/>
      </c>
    </row>
    <row r="737" spans="13:13">
      <c r="M737" s="3" t="str">
        <f>IF(A737="","", WEEKNUM(A737, 2))</f>
        <v/>
      </c>
    </row>
    <row r="738" spans="13:13">
      <c r="M738" s="3" t="str">
        <f>IF(A738="","", WEEKNUM(A738, 2))</f>
        <v/>
      </c>
    </row>
    <row r="739" spans="13:13">
      <c r="M739" s="3" t="str">
        <f>IF(A739="","", WEEKNUM(A739, 2))</f>
        <v/>
      </c>
    </row>
    <row r="740" spans="13:13">
      <c r="M740" s="3" t="str">
        <f>IF(A740="","", WEEKNUM(A740, 2))</f>
        <v/>
      </c>
    </row>
    <row r="741" spans="13:13">
      <c r="M741" s="3" t="str">
        <f>IF(A741="","", WEEKNUM(A741, 2))</f>
        <v/>
      </c>
    </row>
    <row r="742" spans="13:13">
      <c r="M742" s="3" t="str">
        <f>IF(A742="","", WEEKNUM(A742, 2))</f>
        <v/>
      </c>
    </row>
    <row r="743" spans="13:13">
      <c r="M743" s="3" t="str">
        <f>IF(A743="","", WEEKNUM(A743, 2))</f>
        <v/>
      </c>
    </row>
    <row r="744" spans="13:13">
      <c r="M744" s="3" t="str">
        <f>IF(A744="","", WEEKNUM(A744, 2))</f>
        <v/>
      </c>
    </row>
    <row r="745" spans="13:13">
      <c r="M745" s="3" t="str">
        <f>IF(A745="","", WEEKNUM(A745, 2))</f>
        <v/>
      </c>
    </row>
    <row r="746" spans="13:13">
      <c r="M746" s="3" t="str">
        <f>IF(A746="","", WEEKNUM(A746, 2))</f>
        <v/>
      </c>
    </row>
    <row r="747" spans="13:13">
      <c r="M747" s="3" t="str">
        <f>IF(A747="","", WEEKNUM(A747, 2))</f>
        <v/>
      </c>
    </row>
    <row r="748" spans="13:13">
      <c r="M748" s="3" t="str">
        <f>IF(A748="","", WEEKNUM(A748, 2))</f>
        <v/>
      </c>
    </row>
    <row r="749" spans="13:13">
      <c r="M749" s="3" t="str">
        <f>IF(A749="","", WEEKNUM(A749, 2))</f>
        <v/>
      </c>
    </row>
    <row r="750" spans="13:13">
      <c r="M750" s="3" t="str">
        <f>IF(A750="","", WEEKNUM(A750, 2))</f>
        <v/>
      </c>
    </row>
    <row r="751" spans="13:13">
      <c r="M751" s="3" t="str">
        <f>IF(A751="","", WEEKNUM(A751, 2))</f>
        <v/>
      </c>
    </row>
    <row r="752" spans="13:13">
      <c r="M752" s="3" t="str">
        <f>IF(A752="","", WEEKNUM(A752, 2))</f>
        <v/>
      </c>
    </row>
    <row r="753" spans="13:13">
      <c r="M753" s="3" t="str">
        <f>IF(A753="","", WEEKNUM(A753, 2))</f>
        <v/>
      </c>
    </row>
    <row r="754" spans="13:13">
      <c r="M754" s="3" t="str">
        <f>IF(A754="","", WEEKNUM(A754, 2))</f>
        <v/>
      </c>
    </row>
    <row r="755" spans="13:13">
      <c r="M755" s="3" t="str">
        <f>IF(A755="","", WEEKNUM(A755, 2))</f>
        <v/>
      </c>
    </row>
    <row r="756" spans="13:13">
      <c r="M756" s="3" t="str">
        <f>IF(A756="","", WEEKNUM(A756, 2))</f>
        <v/>
      </c>
    </row>
    <row r="757" spans="13:13">
      <c r="M757" s="3" t="str">
        <f>IF(A757="","", WEEKNUM(A757, 2))</f>
        <v/>
      </c>
    </row>
    <row r="758" spans="13:13">
      <c r="M758" s="3" t="str">
        <f>IF(A758="","", WEEKNUM(A758, 2))</f>
        <v/>
      </c>
    </row>
    <row r="759" spans="13:13">
      <c r="M759" s="3" t="str">
        <f>IF(A759="","", WEEKNUM(A759, 2))</f>
        <v/>
      </c>
    </row>
    <row r="760" spans="13:13">
      <c r="M760" s="3" t="str">
        <f>IF(A760="","", WEEKNUM(A760, 2))</f>
        <v/>
      </c>
    </row>
    <row r="761" spans="13:13">
      <c r="M761" s="3" t="str">
        <f>IF(A761="","", WEEKNUM(A761, 2))</f>
        <v/>
      </c>
    </row>
    <row r="762" spans="13:13">
      <c r="M762" s="3" t="str">
        <f>IF(A762="","", WEEKNUM(A762, 2))</f>
        <v/>
      </c>
    </row>
    <row r="763" spans="13:13">
      <c r="M763" s="3" t="str">
        <f>IF(A763="","", WEEKNUM(A763, 2))</f>
        <v/>
      </c>
    </row>
    <row r="764" spans="13:13">
      <c r="M764" s="3" t="str">
        <f>IF(A764="","", WEEKNUM(A764, 2))</f>
        <v/>
      </c>
    </row>
    <row r="765" spans="13:13">
      <c r="M765" s="3" t="str">
        <f>IF(A765="","", WEEKNUM(A765, 2))</f>
        <v/>
      </c>
    </row>
    <row r="766" spans="13:13">
      <c r="M766" s="3" t="str">
        <f>IF(A766="","", WEEKNUM(A766, 2))</f>
        <v/>
      </c>
    </row>
    <row r="767" spans="13:13">
      <c r="M767" s="3" t="str">
        <f>IF(A767="","", WEEKNUM(A767, 2))</f>
        <v/>
      </c>
    </row>
    <row r="768" spans="13:13">
      <c r="M768" s="3" t="str">
        <f>IF(A768="","", WEEKNUM(A768, 2))</f>
        <v/>
      </c>
    </row>
    <row r="769" spans="13:13">
      <c r="M769" s="3" t="str">
        <f>IF(A769="","", WEEKNUM(A769, 2))</f>
        <v/>
      </c>
    </row>
    <row r="770" spans="13:13">
      <c r="M770" s="3" t="str">
        <f>IF(A770="","", WEEKNUM(A770, 2))</f>
        <v/>
      </c>
    </row>
    <row r="771" spans="13:13">
      <c r="M771" s="3" t="str">
        <f>IF(A771="","", WEEKNUM(A771, 2))</f>
        <v/>
      </c>
    </row>
    <row r="772" spans="13:13">
      <c r="M772" s="3" t="str">
        <f>IF(A772="","", WEEKNUM(A772, 2))</f>
        <v/>
      </c>
    </row>
    <row r="773" spans="13:13">
      <c r="M773" s="3" t="str">
        <f>IF(A773="","", WEEKNUM(A773, 2))</f>
        <v/>
      </c>
    </row>
    <row r="774" spans="13:13">
      <c r="M774" s="3" t="str">
        <f>IF(A774="","", WEEKNUM(A774, 2))</f>
        <v/>
      </c>
    </row>
    <row r="775" spans="13:13">
      <c r="M775" s="3" t="str">
        <f>IF(A775="","", WEEKNUM(A775, 2))</f>
        <v/>
      </c>
    </row>
    <row r="776" spans="13:13">
      <c r="M776" s="3" t="str">
        <f>IF(A776="","", WEEKNUM(A776, 2))</f>
        <v/>
      </c>
    </row>
    <row r="777" spans="13:13">
      <c r="M777" s="3" t="str">
        <f>IF(A777="","", WEEKNUM(A777, 2))</f>
        <v/>
      </c>
    </row>
    <row r="778" spans="13:13">
      <c r="M778" s="3" t="str">
        <f>IF(A778="","", WEEKNUM(A778, 2))</f>
        <v/>
      </c>
    </row>
    <row r="779" spans="13:13">
      <c r="M779" s="3" t="str">
        <f>IF(A779="","", WEEKNUM(A779, 2))</f>
        <v/>
      </c>
    </row>
    <row r="780" spans="13:13">
      <c r="M780" s="3" t="str">
        <f>IF(A780="","", WEEKNUM(A780, 2))</f>
        <v/>
      </c>
    </row>
    <row r="781" spans="13:13">
      <c r="M781" s="3" t="str">
        <f>IF(A781="","", WEEKNUM(A781, 2))</f>
        <v/>
      </c>
    </row>
    <row r="782" spans="13:13">
      <c r="M782" s="3" t="str">
        <f>IF(A782="","", WEEKNUM(A782, 2))</f>
        <v/>
      </c>
    </row>
    <row r="783" spans="13:13">
      <c r="M783" s="3" t="str">
        <f>IF(A783="","", WEEKNUM(A783, 2))</f>
        <v/>
      </c>
    </row>
    <row r="784" spans="13:13">
      <c r="M784" s="3" t="str">
        <f>IF(A784="","", WEEKNUM(A784, 2))</f>
        <v/>
      </c>
    </row>
    <row r="785" spans="13:13">
      <c r="M785" s="3" t="str">
        <f>IF(A785="","", WEEKNUM(A785, 2))</f>
        <v/>
      </c>
    </row>
    <row r="786" spans="13:13">
      <c r="M786" s="3" t="str">
        <f>IF(A786="","", WEEKNUM(A786, 2))</f>
        <v/>
      </c>
    </row>
    <row r="787" spans="13:13">
      <c r="M787" s="3" t="str">
        <f>IF(A787="","", WEEKNUM(A787, 2))</f>
        <v/>
      </c>
    </row>
    <row r="788" spans="13:13">
      <c r="M788" s="3" t="str">
        <f>IF(A788="","", WEEKNUM(A788, 2))</f>
        <v/>
      </c>
    </row>
    <row r="789" spans="13:13">
      <c r="M789" s="3" t="str">
        <f>IF(A789="","", WEEKNUM(A789, 2))</f>
        <v/>
      </c>
    </row>
    <row r="790" spans="13:13">
      <c r="M790" s="3" t="str">
        <f>IF(A790="","", WEEKNUM(A790, 2))</f>
        <v/>
      </c>
    </row>
    <row r="791" spans="13:13">
      <c r="M791" s="3" t="str">
        <f>IF(A791="","", WEEKNUM(A791, 2))</f>
        <v/>
      </c>
    </row>
    <row r="792" spans="13:13">
      <c r="M792" s="3" t="str">
        <f>IF(A792="","", WEEKNUM(A792, 2))</f>
        <v/>
      </c>
    </row>
    <row r="793" spans="13:13">
      <c r="M793" s="3" t="str">
        <f>IF(A793="","", WEEKNUM(A793, 2))</f>
        <v/>
      </c>
    </row>
    <row r="794" spans="13:13">
      <c r="M794" s="3" t="str">
        <f>IF(A794="","", WEEKNUM(A794, 2))</f>
        <v/>
      </c>
    </row>
    <row r="795" spans="13:13">
      <c r="M795" s="3" t="str">
        <f>IF(A795="","", WEEKNUM(A795, 2))</f>
        <v/>
      </c>
    </row>
    <row r="796" spans="13:13">
      <c r="M796" s="3" t="str">
        <f>IF(A796="","", WEEKNUM(A796, 2))</f>
        <v/>
      </c>
    </row>
    <row r="797" spans="13:13">
      <c r="M797" s="3" t="str">
        <f>IF(A797="","", WEEKNUM(A797, 2))</f>
        <v/>
      </c>
    </row>
    <row r="798" spans="13:13">
      <c r="M798" s="3" t="str">
        <f>IF(A798="","", WEEKNUM(A798, 2))</f>
        <v/>
      </c>
    </row>
    <row r="799" spans="13:13">
      <c r="M799" s="3" t="str">
        <f>IF(A799="","", WEEKNUM(A799, 2))</f>
        <v/>
      </c>
    </row>
    <row r="800" spans="13:13">
      <c r="M800" s="3" t="str">
        <f>IF(A800="","", WEEKNUM(A800, 2))</f>
        <v/>
      </c>
    </row>
    <row r="801" spans="13:13">
      <c r="M801" s="3" t="str">
        <f>IF(A801="","", WEEKNUM(A801, 2))</f>
        <v/>
      </c>
    </row>
    <row r="802" spans="13:13">
      <c r="M802" s="3" t="str">
        <f>IF(A802="","", WEEKNUM(A802, 2))</f>
        <v/>
      </c>
    </row>
    <row r="803" spans="13:13">
      <c r="M803" s="3" t="str">
        <f>IF(A803="","", WEEKNUM(A803, 2))</f>
        <v/>
      </c>
    </row>
    <row r="804" spans="13:13">
      <c r="M804" s="3" t="str">
        <f>IF(A804="","", WEEKNUM(A804, 2))</f>
        <v/>
      </c>
    </row>
    <row r="805" spans="13:13">
      <c r="M805" s="3" t="str">
        <f>IF(A805="","", WEEKNUM(A805, 2))</f>
        <v/>
      </c>
    </row>
    <row r="806" spans="13:13">
      <c r="M806" s="3" t="str">
        <f>IF(A806="","", WEEKNUM(A806, 2))</f>
        <v/>
      </c>
    </row>
    <row r="807" spans="13:13">
      <c r="M807" s="3" t="str">
        <f>IF(A807="","", WEEKNUM(A807, 2))</f>
        <v/>
      </c>
    </row>
    <row r="808" spans="13:13">
      <c r="M808" s="3" t="str">
        <f>IF(A808="","", WEEKNUM(A808, 2))</f>
        <v/>
      </c>
    </row>
    <row r="809" spans="13:13">
      <c r="M809" s="3" t="str">
        <f>IF(A809="","", WEEKNUM(A809, 2))</f>
        <v/>
      </c>
    </row>
    <row r="810" spans="13:13">
      <c r="M810" s="3" t="str">
        <f>IF(A810="","", WEEKNUM(A810, 2))</f>
        <v/>
      </c>
    </row>
    <row r="811" spans="13:13">
      <c r="M811" s="3" t="str">
        <f>IF(A811="","", WEEKNUM(A811, 2))</f>
        <v/>
      </c>
    </row>
    <row r="812" spans="13:13">
      <c r="M812" s="3" t="str">
        <f>IF(A812="","", WEEKNUM(A812, 2))</f>
        <v/>
      </c>
    </row>
    <row r="813" spans="13:13">
      <c r="M813" s="3" t="str">
        <f>IF(A813="","", WEEKNUM(A813, 2))</f>
        <v/>
      </c>
    </row>
    <row r="814" spans="13:13">
      <c r="M814" s="3" t="str">
        <f>IF(A814="","", WEEKNUM(A814, 2))</f>
        <v/>
      </c>
    </row>
    <row r="815" spans="13:13">
      <c r="M815" s="3" t="str">
        <f>IF(A815="","", WEEKNUM(A815, 2))</f>
        <v/>
      </c>
    </row>
    <row r="816" spans="13:13">
      <c r="M816" s="3" t="str">
        <f>IF(A816="","", WEEKNUM(A816, 2))</f>
        <v/>
      </c>
    </row>
    <row r="817" spans="13:13">
      <c r="M817" s="3" t="str">
        <f>IF(A817="","", WEEKNUM(A817, 2))</f>
        <v/>
      </c>
    </row>
    <row r="818" spans="13:13">
      <c r="M818" s="3" t="str">
        <f>IF(A818="","", WEEKNUM(A818, 2))</f>
        <v/>
      </c>
    </row>
    <row r="819" spans="13:13">
      <c r="M819" s="3" t="str">
        <f>IF(A819="","", WEEKNUM(A819, 2))</f>
        <v/>
      </c>
    </row>
    <row r="820" spans="13:13">
      <c r="M820" s="3" t="str">
        <f>IF(A820="","", WEEKNUM(A820, 2))</f>
        <v/>
      </c>
    </row>
    <row r="821" spans="13:13">
      <c r="M821" s="3" t="str">
        <f>IF(A821="","", WEEKNUM(A821, 2))</f>
        <v/>
      </c>
    </row>
    <row r="822" spans="13:13">
      <c r="M822" s="3" t="str">
        <f>IF(A822="","", WEEKNUM(A822, 2))</f>
        <v/>
      </c>
    </row>
    <row r="823" spans="13:13">
      <c r="M823" s="3" t="str">
        <f>IF(A823="","", WEEKNUM(A823, 2))</f>
        <v/>
      </c>
    </row>
    <row r="824" spans="13:13">
      <c r="M824" s="3" t="str">
        <f>IF(A824="","", WEEKNUM(A824, 2))</f>
        <v/>
      </c>
    </row>
    <row r="825" spans="13:13">
      <c r="M825" s="3" t="str">
        <f>IF(A825="","", WEEKNUM(A825, 2))</f>
        <v/>
      </c>
    </row>
    <row r="826" spans="13:13">
      <c r="M826" s="3" t="str">
        <f>IF(A826="","", WEEKNUM(A826, 2))</f>
        <v/>
      </c>
    </row>
    <row r="827" spans="13:13">
      <c r="M827" s="3" t="str">
        <f>IF(A827="","", WEEKNUM(A827, 2))</f>
        <v/>
      </c>
    </row>
    <row r="828" spans="13:13">
      <c r="M828" s="3" t="str">
        <f>IF(A828="","", WEEKNUM(A828, 2))</f>
        <v/>
      </c>
    </row>
    <row r="829" spans="13:13">
      <c r="M829" s="3" t="str">
        <f>IF(A829="","", WEEKNUM(A829, 2))</f>
        <v/>
      </c>
    </row>
    <row r="830" spans="13:13">
      <c r="M830" s="3" t="str">
        <f>IF(A830="","", WEEKNUM(A830, 2))</f>
        <v/>
      </c>
    </row>
    <row r="831" spans="13:13">
      <c r="M831" s="3" t="str">
        <f>IF(A831="","", WEEKNUM(A831, 2))</f>
        <v/>
      </c>
    </row>
    <row r="832" spans="13:13">
      <c r="M832" s="3" t="str">
        <f>IF(A832="","", WEEKNUM(A832, 2))</f>
        <v/>
      </c>
    </row>
    <row r="833" spans="13:13">
      <c r="M833" s="3" t="str">
        <f>IF(A833="","", WEEKNUM(A833, 2))</f>
        <v/>
      </c>
    </row>
    <row r="834" spans="13:13">
      <c r="M834" s="3" t="str">
        <f>IF(A834="","", WEEKNUM(A834, 2))</f>
        <v/>
      </c>
    </row>
    <row r="835" spans="13:13">
      <c r="M835" s="3" t="str">
        <f>IF(A835="","", WEEKNUM(A835, 2))</f>
        <v/>
      </c>
    </row>
    <row r="836" spans="13:13">
      <c r="M836" s="3" t="str">
        <f>IF(A836="","", WEEKNUM(A836, 2))</f>
        <v/>
      </c>
    </row>
    <row r="837" spans="13:13">
      <c r="M837" s="3" t="str">
        <f>IF(A837="","", WEEKNUM(A837, 2))</f>
        <v/>
      </c>
    </row>
    <row r="838" spans="13:13">
      <c r="M838" s="3" t="str">
        <f>IF(A838="","", WEEKNUM(A838, 2))</f>
        <v/>
      </c>
    </row>
    <row r="839" spans="13:13">
      <c r="M839" s="3" t="str">
        <f>IF(A839="","", WEEKNUM(A839, 2))</f>
        <v/>
      </c>
    </row>
    <row r="840" spans="13:13">
      <c r="M840" s="3" t="str">
        <f>IF(A840="","", WEEKNUM(A840, 2))</f>
        <v/>
      </c>
    </row>
    <row r="841" spans="13:13">
      <c r="M841" s="3" t="str">
        <f>IF(A841="","", WEEKNUM(A841, 2))</f>
        <v/>
      </c>
    </row>
    <row r="842" spans="13:13">
      <c r="M842" s="3" t="str">
        <f>IF(A842="","", WEEKNUM(A842, 2))</f>
        <v/>
      </c>
    </row>
    <row r="843" spans="13:13">
      <c r="M843" s="3" t="str">
        <f>IF(A843="","", WEEKNUM(A843, 2))</f>
        <v/>
      </c>
    </row>
    <row r="844" spans="13:13">
      <c r="M844" s="3" t="str">
        <f>IF(A844="","", WEEKNUM(A844, 2))</f>
        <v/>
      </c>
    </row>
    <row r="845" spans="13:13">
      <c r="M845" s="3" t="str">
        <f>IF(A845="","", WEEKNUM(A845, 2))</f>
        <v/>
      </c>
    </row>
    <row r="846" spans="13:13">
      <c r="M846" s="3" t="str">
        <f>IF(A846="","", WEEKNUM(A846, 2))</f>
        <v/>
      </c>
    </row>
    <row r="847" spans="13:13">
      <c r="M847" s="3" t="str">
        <f>IF(A847="","", WEEKNUM(A847, 2))</f>
        <v/>
      </c>
    </row>
    <row r="848" spans="13:13">
      <c r="M848" s="3" t="str">
        <f>IF(A848="","", WEEKNUM(A848, 2))</f>
        <v/>
      </c>
    </row>
    <row r="849" spans="13:13">
      <c r="M849" s="3" t="str">
        <f>IF(A849="","", WEEKNUM(A849, 2))</f>
        <v/>
      </c>
    </row>
    <row r="850" spans="13:13">
      <c r="M850" s="3" t="str">
        <f>IF(A850="","", WEEKNUM(A850, 2))</f>
        <v/>
      </c>
    </row>
    <row r="851" spans="13:13">
      <c r="M851" s="3" t="str">
        <f>IF(A851="","", WEEKNUM(A851, 2))</f>
        <v/>
      </c>
    </row>
    <row r="852" spans="13:13">
      <c r="M852" s="3" t="str">
        <f>IF(A852="","", WEEKNUM(A852, 2))</f>
        <v/>
      </c>
    </row>
    <row r="853" spans="13:13">
      <c r="M853" s="3" t="str">
        <f>IF(A853="","", WEEKNUM(A853, 2))</f>
        <v/>
      </c>
    </row>
    <row r="854" spans="13:13">
      <c r="M854" s="3" t="str">
        <f>IF(A854="","", WEEKNUM(A854, 2))</f>
        <v/>
      </c>
    </row>
    <row r="855" spans="13:13">
      <c r="M855" s="3" t="str">
        <f>IF(A855="","", WEEKNUM(A855, 2))</f>
        <v/>
      </c>
    </row>
    <row r="856" spans="13:13">
      <c r="M856" s="3" t="str">
        <f>IF(A856="","", WEEKNUM(A856, 2))</f>
        <v/>
      </c>
    </row>
    <row r="857" spans="13:13">
      <c r="M857" s="3" t="str">
        <f>IF(A857="","", WEEKNUM(A857, 2))</f>
        <v/>
      </c>
    </row>
    <row r="858" spans="13:13">
      <c r="M858" s="3" t="str">
        <f>IF(A858="","", WEEKNUM(A858, 2))</f>
        <v/>
      </c>
    </row>
    <row r="859" spans="13:13">
      <c r="M859" s="3" t="str">
        <f>IF(A859="","", WEEKNUM(A859, 2))</f>
        <v/>
      </c>
    </row>
    <row r="860" spans="13:13">
      <c r="M860" s="3" t="str">
        <f>IF(A860="","", WEEKNUM(A860, 2))</f>
        <v/>
      </c>
    </row>
    <row r="861" spans="13:13">
      <c r="M861" s="3" t="str">
        <f>IF(A861="","", WEEKNUM(A861, 2))</f>
        <v/>
      </c>
    </row>
    <row r="862" spans="13:13">
      <c r="M862" s="3" t="str">
        <f>IF(A862="","", WEEKNUM(A862, 2))</f>
        <v/>
      </c>
    </row>
    <row r="863" spans="13:13">
      <c r="M863" s="3" t="str">
        <f>IF(A863="","", WEEKNUM(A863, 2))</f>
        <v/>
      </c>
    </row>
    <row r="864" spans="13:13">
      <c r="M864" s="3" t="str">
        <f>IF(A864="","", WEEKNUM(A864, 2))</f>
        <v/>
      </c>
    </row>
    <row r="865" spans="13:13">
      <c r="M865" s="3" t="str">
        <f>IF(A865="","", WEEKNUM(A865, 2))</f>
        <v/>
      </c>
    </row>
    <row r="866" spans="13:13">
      <c r="M866" s="3" t="str">
        <f>IF(A866="","", WEEKNUM(A866, 2))</f>
        <v/>
      </c>
    </row>
    <row r="867" spans="13:13">
      <c r="M867" s="3" t="str">
        <f>IF(A867="","", WEEKNUM(A867, 2))</f>
        <v/>
      </c>
    </row>
    <row r="868" spans="13:13">
      <c r="M868" s="3" t="str">
        <f>IF(A868="","", WEEKNUM(A868, 2))</f>
        <v/>
      </c>
    </row>
    <row r="869" spans="13:13">
      <c r="M869" s="3" t="str">
        <f>IF(A869="","", WEEKNUM(A869, 2))</f>
        <v/>
      </c>
    </row>
    <row r="870" spans="13:13">
      <c r="M870" s="3" t="str">
        <f>IF(A870="","", WEEKNUM(A870, 2))</f>
        <v/>
      </c>
    </row>
    <row r="871" spans="13:13">
      <c r="M871" s="3" t="str">
        <f>IF(A871="","", WEEKNUM(A871, 2))</f>
        <v/>
      </c>
    </row>
    <row r="872" spans="13:13">
      <c r="M872" s="3" t="str">
        <f>IF(A872="","", WEEKNUM(A872, 2))</f>
        <v/>
      </c>
    </row>
    <row r="873" spans="13:13">
      <c r="M873" s="3" t="str">
        <f>IF(A873="","", WEEKNUM(A873, 2))</f>
        <v/>
      </c>
    </row>
    <row r="874" spans="13:13">
      <c r="M874" s="3" t="str">
        <f>IF(A874="","", WEEKNUM(A874, 2))</f>
        <v/>
      </c>
    </row>
    <row r="875" spans="13:13">
      <c r="M875" s="3" t="str">
        <f>IF(A875="","", WEEKNUM(A875, 2))</f>
        <v/>
      </c>
    </row>
    <row r="876" spans="13:13">
      <c r="M876" s="3" t="str">
        <f>IF(A876="","", WEEKNUM(A876, 2))</f>
        <v/>
      </c>
    </row>
    <row r="877" spans="13:13">
      <c r="M877" s="3" t="str">
        <f>IF(A877="","", WEEKNUM(A877, 2))</f>
        <v/>
      </c>
    </row>
    <row r="878" spans="13:13">
      <c r="M878" s="3" t="str">
        <f>IF(A878="","", WEEKNUM(A878, 2))</f>
        <v/>
      </c>
    </row>
    <row r="879" spans="13:13">
      <c r="M879" s="3" t="str">
        <f>IF(A879="","", WEEKNUM(A879, 2))</f>
        <v/>
      </c>
    </row>
    <row r="880" spans="13:13">
      <c r="M880" s="3" t="str">
        <f>IF(A880="","", WEEKNUM(A880, 2))</f>
        <v/>
      </c>
    </row>
    <row r="881" spans="13:13">
      <c r="M881" s="3" t="str">
        <f>IF(A881="","", WEEKNUM(A881, 2))</f>
        <v/>
      </c>
    </row>
    <row r="882" spans="13:13">
      <c r="M882" s="3" t="str">
        <f>IF(A882="","", WEEKNUM(A882, 2))</f>
        <v/>
      </c>
    </row>
    <row r="883" spans="13:13">
      <c r="M883" s="3" t="str">
        <f>IF(A883="","", WEEKNUM(A883, 2))</f>
        <v/>
      </c>
    </row>
    <row r="884" spans="13:13">
      <c r="M884" s="3" t="str">
        <f>IF(A884="","", WEEKNUM(A884, 2))</f>
        <v/>
      </c>
    </row>
    <row r="885" spans="13:13">
      <c r="M885" s="3" t="str">
        <f>IF(A885="","", WEEKNUM(A885, 2))</f>
        <v/>
      </c>
    </row>
    <row r="886" spans="13:13">
      <c r="M886" s="3" t="str">
        <f>IF(A886="","", WEEKNUM(A886, 2))</f>
        <v/>
      </c>
    </row>
    <row r="887" spans="13:13">
      <c r="M887" s="3" t="str">
        <f>IF(A887="","", WEEKNUM(A887, 2))</f>
        <v/>
      </c>
    </row>
    <row r="888" spans="13:13">
      <c r="M888" s="3" t="str">
        <f>IF(A888="","", WEEKNUM(A888, 2))</f>
        <v/>
      </c>
    </row>
    <row r="889" spans="13:13">
      <c r="M889" s="3" t="str">
        <f>IF(A889="","", WEEKNUM(A889, 2))</f>
        <v/>
      </c>
    </row>
    <row r="890" spans="13:13">
      <c r="M890" s="3" t="str">
        <f>IF(A890="","", WEEKNUM(A890, 2))</f>
        <v/>
      </c>
    </row>
    <row r="891" spans="13:13">
      <c r="M891" s="3" t="str">
        <f>IF(A891="","", WEEKNUM(A891, 2))</f>
        <v/>
      </c>
    </row>
    <row r="892" spans="13:13">
      <c r="M892" s="3" t="str">
        <f>IF(A892="","", WEEKNUM(A892, 2))</f>
        <v/>
      </c>
    </row>
    <row r="893" spans="13:13">
      <c r="M893" s="3" t="str">
        <f>IF(A893="","", WEEKNUM(A893, 2))</f>
        <v/>
      </c>
    </row>
    <row r="894" spans="13:13">
      <c r="M894" s="3" t="str">
        <f>IF(A894="","", WEEKNUM(A894, 2))</f>
        <v/>
      </c>
    </row>
    <row r="895" spans="13:13">
      <c r="M895" s="3" t="str">
        <f>IF(A895="","", WEEKNUM(A895, 2))</f>
        <v/>
      </c>
    </row>
    <row r="896" spans="13:13">
      <c r="M896" s="3" t="str">
        <f>IF(A896="","", WEEKNUM(A896, 2))</f>
        <v/>
      </c>
    </row>
    <row r="897" spans="13:13">
      <c r="M897" s="3" t="str">
        <f>IF(A897="","", WEEKNUM(A897, 2))</f>
        <v/>
      </c>
    </row>
    <row r="898" spans="13:13">
      <c r="M898" s="3" t="str">
        <f>IF(A898="","", WEEKNUM(A898, 2))</f>
        <v/>
      </c>
    </row>
    <row r="899" spans="13:13">
      <c r="M899" s="3" t="str">
        <f>IF(A899="","", WEEKNUM(A899, 2))</f>
        <v/>
      </c>
    </row>
    <row r="900" spans="13:13">
      <c r="M900" s="3" t="str">
        <f>IF(A900="","", WEEKNUM(A900, 2))</f>
        <v/>
      </c>
    </row>
    <row r="901" spans="13:13">
      <c r="M901" s="3" t="str">
        <f>IF(A901="","", WEEKNUM(A901, 2))</f>
        <v/>
      </c>
    </row>
    <row r="902" spans="13:13">
      <c r="M902" s="3" t="str">
        <f>IF(A902="","", WEEKNUM(A902, 2))</f>
        <v/>
      </c>
    </row>
    <row r="903" spans="13:13">
      <c r="M903" s="3" t="str">
        <f>IF(A903="","", WEEKNUM(A903, 2))</f>
        <v/>
      </c>
    </row>
    <row r="904" spans="13:13">
      <c r="M904" s="3" t="str">
        <f>IF(A904="","", WEEKNUM(A904, 2))</f>
        <v/>
      </c>
    </row>
    <row r="905" spans="13:13">
      <c r="M905" s="3" t="str">
        <f>IF(A905="","", WEEKNUM(A905, 2))</f>
        <v/>
      </c>
    </row>
    <row r="906" spans="13:13">
      <c r="M906" s="3" t="str">
        <f>IF(A906="","", WEEKNUM(A906, 2))</f>
        <v/>
      </c>
    </row>
    <row r="907" spans="13:13">
      <c r="M907" s="3" t="str">
        <f>IF(A907="","", WEEKNUM(A907, 2))</f>
        <v/>
      </c>
    </row>
    <row r="908" spans="13:13">
      <c r="M908" s="3" t="str">
        <f>IF(A908="","", WEEKNUM(A908, 2))</f>
        <v/>
      </c>
    </row>
    <row r="909" spans="13:13">
      <c r="M909" s="3" t="str">
        <f>IF(A909="","", WEEKNUM(A909, 2))</f>
        <v/>
      </c>
    </row>
    <row r="910" spans="13:13">
      <c r="M910" s="3" t="str">
        <f>IF(A910="","", WEEKNUM(A910, 2))</f>
        <v/>
      </c>
    </row>
    <row r="911" spans="13:13">
      <c r="M911" s="3" t="str">
        <f>IF(A911="","", WEEKNUM(A911, 2))</f>
        <v/>
      </c>
    </row>
    <row r="912" spans="13:13">
      <c r="M912" s="3" t="str">
        <f>IF(A912="","", WEEKNUM(A912, 2))</f>
        <v/>
      </c>
    </row>
    <row r="913" spans="13:13">
      <c r="M913" s="3" t="str">
        <f>IF(A913="","", WEEKNUM(A913, 2))</f>
        <v/>
      </c>
    </row>
    <row r="914" spans="13:13">
      <c r="M914" s="3" t="str">
        <f>IF(A914="","", WEEKNUM(A914, 2))</f>
        <v/>
      </c>
    </row>
    <row r="915" spans="13:13">
      <c r="M915" s="3" t="str">
        <f>IF(A915="","", WEEKNUM(A915, 2))</f>
        <v/>
      </c>
    </row>
    <row r="916" spans="13:13">
      <c r="M916" s="3" t="str">
        <f>IF(A916="","", WEEKNUM(A916, 2))</f>
        <v/>
      </c>
    </row>
    <row r="917" spans="13:13">
      <c r="M917" s="3" t="str">
        <f>IF(A917="","", WEEKNUM(A917, 2))</f>
        <v/>
      </c>
    </row>
    <row r="918" spans="13:13">
      <c r="M918" s="3" t="str">
        <f>IF(A918="","", WEEKNUM(A918, 2))</f>
        <v/>
      </c>
    </row>
    <row r="919" spans="13:13">
      <c r="M919" s="3" t="str">
        <f>IF(A919="","", WEEKNUM(A919, 2))</f>
        <v/>
      </c>
    </row>
    <row r="920" spans="13:13">
      <c r="M920" s="3" t="str">
        <f>IF(A920="","", WEEKNUM(A920, 2))</f>
        <v/>
      </c>
    </row>
    <row r="921" spans="13:13">
      <c r="M921" s="3" t="str">
        <f>IF(A921="","", WEEKNUM(A921, 2))</f>
        <v/>
      </c>
    </row>
    <row r="922" spans="13:13">
      <c r="M922" s="3" t="str">
        <f>IF(A922="","", WEEKNUM(A922, 2))</f>
        <v/>
      </c>
    </row>
    <row r="923" spans="13:13">
      <c r="M923" s="3" t="str">
        <f>IF(A923="","", WEEKNUM(A923, 2))</f>
        <v/>
      </c>
    </row>
    <row r="924" spans="13:13">
      <c r="M924" s="3" t="str">
        <f>IF(A924="","", WEEKNUM(A924, 2))</f>
        <v/>
      </c>
    </row>
    <row r="925" spans="13:13">
      <c r="M925" s="3" t="str">
        <f>IF(A925="","", WEEKNUM(A925, 2))</f>
        <v/>
      </c>
    </row>
    <row r="926" spans="13:13">
      <c r="M926" s="3" t="str">
        <f>IF(A926="","", WEEKNUM(A926, 2))</f>
        <v/>
      </c>
    </row>
    <row r="927" spans="13:13">
      <c r="M927" s="3" t="str">
        <f>IF(A927="","", WEEKNUM(A927, 2))</f>
        <v/>
      </c>
    </row>
    <row r="928" spans="13:13">
      <c r="M928" s="3" t="str">
        <f>IF(A928="","", WEEKNUM(A928, 2))</f>
        <v/>
      </c>
    </row>
    <row r="929" spans="13:13">
      <c r="M929" s="3" t="str">
        <f>IF(A929="","", WEEKNUM(A929, 2))</f>
        <v/>
      </c>
    </row>
    <row r="930" spans="13:13">
      <c r="M930" s="3" t="str">
        <f>IF(A930="","", WEEKNUM(A930, 2))</f>
        <v/>
      </c>
    </row>
    <row r="931" spans="13:13">
      <c r="M931" s="3" t="str">
        <f>IF(A931="","", WEEKNUM(A931, 2))</f>
        <v/>
      </c>
    </row>
    <row r="932" spans="13:13">
      <c r="M932" s="3" t="str">
        <f>IF(A932="","", WEEKNUM(A932, 2))</f>
        <v/>
      </c>
    </row>
    <row r="933" spans="13:13">
      <c r="M933" s="3" t="str">
        <f>IF(A933="","", WEEKNUM(A933, 2))</f>
        <v/>
      </c>
    </row>
    <row r="934" spans="13:13">
      <c r="M934" s="3" t="str">
        <f>IF(A934="","", WEEKNUM(A934, 2))</f>
        <v/>
      </c>
    </row>
    <row r="935" spans="13:13">
      <c r="M935" s="3" t="str">
        <f>IF(A935="","", WEEKNUM(A935, 2))</f>
        <v/>
      </c>
    </row>
    <row r="936" spans="13:13">
      <c r="M936" s="3" t="str">
        <f>IF(A936="","", WEEKNUM(A936, 2))</f>
        <v/>
      </c>
    </row>
    <row r="937" spans="13:13">
      <c r="M937" s="3" t="str">
        <f>IF(A937="","", WEEKNUM(A937, 2))</f>
        <v/>
      </c>
    </row>
    <row r="938" spans="13:13">
      <c r="M938" s="3" t="str">
        <f>IF(A938="","", WEEKNUM(A938, 2))</f>
        <v/>
      </c>
    </row>
    <row r="939" spans="13:13">
      <c r="M939" s="3" t="str">
        <f>IF(A939="","", WEEKNUM(A939, 2))</f>
        <v/>
      </c>
    </row>
    <row r="940" spans="13:13">
      <c r="M940" s="3" t="str">
        <f>IF(A940="","", WEEKNUM(A940, 2))</f>
        <v/>
      </c>
    </row>
    <row r="941" spans="13:13">
      <c r="M941" s="3" t="str">
        <f>IF(A941="","", WEEKNUM(A941, 2))</f>
        <v/>
      </c>
    </row>
    <row r="942" spans="13:13">
      <c r="M942" s="3" t="str">
        <f>IF(A942="","", WEEKNUM(A942, 2))</f>
        <v/>
      </c>
    </row>
    <row r="943" spans="13:13">
      <c r="M943" s="3" t="str">
        <f>IF(A943="","", WEEKNUM(A943, 2))</f>
        <v/>
      </c>
    </row>
    <row r="944" spans="13:13">
      <c r="M944" s="3" t="str">
        <f>IF(A944="","", WEEKNUM(A944, 2))</f>
        <v/>
      </c>
    </row>
    <row r="945" spans="13:13">
      <c r="M945" s="3" t="str">
        <f>IF(A945="","", WEEKNUM(A945, 2))</f>
        <v/>
      </c>
    </row>
    <row r="946" spans="13:13">
      <c r="M946" s="3" t="str">
        <f>IF(A946="","", WEEKNUM(A946, 2))</f>
        <v/>
      </c>
    </row>
    <row r="947" spans="13:13">
      <c r="M947" s="3" t="str">
        <f>IF(A947="","", WEEKNUM(A947, 2))</f>
        <v/>
      </c>
    </row>
    <row r="948" spans="13:13">
      <c r="M948" s="3" t="str">
        <f>IF(A948="","", WEEKNUM(A948, 2))</f>
        <v/>
      </c>
    </row>
    <row r="949" spans="13:13">
      <c r="M949" s="3" t="str">
        <f>IF(A949="","", WEEKNUM(A949, 2))</f>
        <v/>
      </c>
    </row>
    <row r="950" spans="13:13">
      <c r="M950" s="3" t="str">
        <f>IF(A950="","", WEEKNUM(A950, 2))</f>
        <v/>
      </c>
    </row>
    <row r="951" spans="13:13">
      <c r="M951" s="3" t="str">
        <f>IF(A951="","", WEEKNUM(A951, 2))</f>
        <v/>
      </c>
    </row>
    <row r="952" spans="13:13">
      <c r="M952" s="3" t="str">
        <f>IF(A952="","", WEEKNUM(A952, 2))</f>
        <v/>
      </c>
    </row>
    <row r="953" spans="13:13">
      <c r="M953" s="3" t="str">
        <f>IF(A953="","", WEEKNUM(A953, 2))</f>
        <v/>
      </c>
    </row>
    <row r="954" spans="13:13">
      <c r="M954" s="3" t="str">
        <f>IF(A954="","", WEEKNUM(A954, 2))</f>
        <v/>
      </c>
    </row>
    <row r="955" spans="13:13">
      <c r="M955" s="3" t="str">
        <f>IF(A955="","", WEEKNUM(A955, 2))</f>
        <v/>
      </c>
    </row>
    <row r="956" spans="13:13">
      <c r="M956" s="3" t="str">
        <f>IF(A956="","", WEEKNUM(A956, 2))</f>
        <v/>
      </c>
    </row>
    <row r="957" spans="13:13">
      <c r="M957" s="3" t="str">
        <f>IF(A957="","", WEEKNUM(A957, 2))</f>
        <v/>
      </c>
    </row>
    <row r="958" spans="13:13">
      <c r="M958" s="3" t="str">
        <f>IF(A958="","", WEEKNUM(A958, 2))</f>
        <v/>
      </c>
    </row>
    <row r="959" spans="13:13">
      <c r="M959" s="3" t="str">
        <f>IF(A959="","", WEEKNUM(A959, 2))</f>
        <v/>
      </c>
    </row>
    <row r="960" spans="13:13">
      <c r="M960" s="3" t="str">
        <f>IF(A960="","", WEEKNUM(A960, 2))</f>
        <v/>
      </c>
    </row>
    <row r="961" spans="13:13">
      <c r="M961" s="3" t="str">
        <f>IF(A961="","", WEEKNUM(A961, 2))</f>
        <v/>
      </c>
    </row>
    <row r="962" spans="13:13">
      <c r="M962" s="3" t="str">
        <f>IF(A962="","", WEEKNUM(A962, 2))</f>
        <v/>
      </c>
    </row>
    <row r="963" spans="13:13">
      <c r="M963" s="3" t="str">
        <f>IF(A963="","", WEEKNUM(A963, 2))</f>
        <v/>
      </c>
    </row>
    <row r="964" spans="13:13">
      <c r="M964" s="3" t="str">
        <f>IF(A964="","", WEEKNUM(A964, 2))</f>
        <v/>
      </c>
    </row>
    <row r="965" spans="13:13">
      <c r="M965" s="3" t="str">
        <f>IF(A965="","", WEEKNUM(A965, 2))</f>
        <v/>
      </c>
    </row>
    <row r="966" spans="13:13">
      <c r="M966" s="3" t="str">
        <f>IF(A966="","", WEEKNUM(A966, 2))</f>
        <v/>
      </c>
    </row>
    <row r="967" spans="13:13">
      <c r="M967" s="3" t="str">
        <f>IF(A967="","", WEEKNUM(A967, 2))</f>
        <v/>
      </c>
    </row>
    <row r="968" spans="13:13">
      <c r="M968" s="3" t="str">
        <f>IF(A968="","", WEEKNUM(A968, 2))</f>
        <v/>
      </c>
    </row>
    <row r="969" spans="13:13">
      <c r="M969" s="3" t="str">
        <f>IF(A969="","", WEEKNUM(A969, 2))</f>
        <v/>
      </c>
    </row>
    <row r="970" spans="13:13">
      <c r="M970" s="3" t="str">
        <f>IF(A970="","", WEEKNUM(A970, 2))</f>
        <v/>
      </c>
    </row>
    <row r="971" spans="13:13">
      <c r="M971" s="3" t="str">
        <f>IF(A971="","", WEEKNUM(A971, 2))</f>
        <v/>
      </c>
    </row>
    <row r="972" spans="13:13">
      <c r="M972" s="3" t="str">
        <f>IF(A972="","", WEEKNUM(A972, 2))</f>
        <v/>
      </c>
    </row>
    <row r="973" spans="13:13">
      <c r="M973" s="3" t="str">
        <f>IF(A973="","", WEEKNUM(A973, 2))</f>
        <v/>
      </c>
    </row>
    <row r="974" spans="13:13">
      <c r="M974" s="3" t="str">
        <f>IF(A974="","", WEEKNUM(A974, 2))</f>
        <v/>
      </c>
    </row>
    <row r="975" spans="13:13">
      <c r="M975" s="3" t="str">
        <f>IF(A975="","", WEEKNUM(A975, 2))</f>
        <v/>
      </c>
    </row>
    <row r="976" spans="13:13">
      <c r="M976" s="3" t="str">
        <f>IF(A976="","", WEEKNUM(A976, 2))</f>
        <v/>
      </c>
    </row>
    <row r="977" spans="13:13">
      <c r="M977" s="3" t="str">
        <f>IF(A977="","", WEEKNUM(A977, 2))</f>
        <v/>
      </c>
    </row>
    <row r="978" spans="13:13">
      <c r="M978" s="3" t="str">
        <f>IF(A978="","", WEEKNUM(A978, 2))</f>
        <v/>
      </c>
    </row>
    <row r="979" spans="13:13">
      <c r="M979" s="3" t="str">
        <f>IF(A979="","", WEEKNUM(A979, 2))</f>
        <v/>
      </c>
    </row>
    <row r="980" spans="13:13">
      <c r="M980" s="3" t="str">
        <f>IF(A980="","", WEEKNUM(A980, 2))</f>
        <v/>
      </c>
    </row>
    <row r="981" spans="13:13">
      <c r="M981" s="3" t="str">
        <f>IF(A981="","", WEEKNUM(A981, 2))</f>
        <v/>
      </c>
    </row>
    <row r="982" spans="13:13">
      <c r="M982" s="3" t="str">
        <f>IF(A982="","", WEEKNUM(A982, 2))</f>
        <v/>
      </c>
    </row>
    <row r="983" spans="13:13">
      <c r="M983" s="3" t="str">
        <f>IF(A983="","", WEEKNUM(A983, 2))</f>
        <v/>
      </c>
    </row>
    <row r="984" spans="13:13">
      <c r="M984" s="3" t="str">
        <f>IF(A984="","", WEEKNUM(A984, 2))</f>
        <v/>
      </c>
    </row>
    <row r="985" spans="13:13">
      <c r="M985" s="3" t="str">
        <f>IF(A985="","", WEEKNUM(A985, 2))</f>
        <v/>
      </c>
    </row>
    <row r="986" spans="13:13">
      <c r="M986" s="3" t="str">
        <f>IF(A986="","", WEEKNUM(A986, 2))</f>
        <v/>
      </c>
    </row>
    <row r="987" spans="13:13">
      <c r="M987" s="3" t="str">
        <f>IF(A987="","", WEEKNUM(A987, 2))</f>
        <v/>
      </c>
    </row>
    <row r="988" spans="13:13">
      <c r="M988" s="3" t="str">
        <f>IF(A988="","", WEEKNUM(A988, 2))</f>
        <v/>
      </c>
    </row>
    <row r="989" spans="13:13">
      <c r="M989" s="3" t="str">
        <f>IF(A989="","", WEEKNUM(A989, 2))</f>
        <v/>
      </c>
    </row>
    <row r="990" spans="13:13">
      <c r="M990" s="3" t="str">
        <f>IF(A990="","", WEEKNUM(A990, 2))</f>
        <v/>
      </c>
    </row>
    <row r="991" spans="13:13">
      <c r="M991" s="3" t="str">
        <f>IF(A991="","", WEEKNUM(A991, 2))</f>
        <v/>
      </c>
    </row>
    <row r="992" spans="13:13">
      <c r="M992" s="3" t="str">
        <f>IF(A992="","", WEEKNUM(A992, 2))</f>
        <v/>
      </c>
    </row>
    <row r="993" spans="13:13">
      <c r="M993" s="3" t="str">
        <f>IF(A993="","", WEEKNUM(A993, 2))</f>
        <v/>
      </c>
    </row>
    <row r="994" spans="13:13">
      <c r="M994" s="3" t="str">
        <f>IF(A994="","", WEEKNUM(A994, 2))</f>
        <v/>
      </c>
    </row>
    <row r="995" spans="13:13">
      <c r="M995" s="3" t="str">
        <f>IF(A995="","", WEEKNUM(A995, 2))</f>
        <v/>
      </c>
    </row>
    <row r="996" spans="13:13">
      <c r="M996" s="3" t="str">
        <f>IF(A996="","", WEEKNUM(A996, 2))</f>
        <v/>
      </c>
    </row>
    <row r="997" spans="13:13">
      <c r="M997" s="3" t="str">
        <f>IF(A997="","", WEEKNUM(A997, 2))</f>
        <v/>
      </c>
    </row>
    <row r="998" spans="13:13">
      <c r="M998" s="3" t="str">
        <f>IF(A998="","", WEEKNUM(A998, 2))</f>
        <v/>
      </c>
    </row>
    <row r="999" spans="13:13">
      <c r="M999" s="3" t="str">
        <f>IF(A999="","", WEEKNUM(A999, 2))</f>
        <v/>
      </c>
    </row>
    <row r="1000" spans="13:13">
      <c r="M1000" s="3" t="str">
        <f>IF(A1000="","", WEEKNUM(A1000, 2))</f>
        <v/>
      </c>
    </row>
    <row r="1001" spans="13:13">
      <c r="M1001" s="3" t="str">
        <f>IF(A1001="","", WEEKNUM(A1001, 2))</f>
        <v/>
      </c>
    </row>
    <row r="1002" spans="13:13">
      <c r="M1002" s="3" t="str">
        <f>IF(A1002="","", WEEKNUM(A1002, 2))</f>
        <v/>
      </c>
    </row>
    <row r="1003" spans="13:13">
      <c r="M1003" s="3" t="str">
        <f>IF(A1003="","", WEEKNUM(A1003, 2))</f>
        <v/>
      </c>
    </row>
    <row r="1004" spans="13:13">
      <c r="M1004" s="3" t="str">
        <f>IF(A1004="","", WEEKNUM(A1004, 2))</f>
        <v/>
      </c>
    </row>
    <row r="1005" spans="13:13">
      <c r="M1005" s="3" t="str">
        <f>IF(A1005="","", WEEKNUM(A1005, 2))</f>
        <v/>
      </c>
    </row>
    <row r="1006" spans="13:13">
      <c r="M1006" s="3" t="str">
        <f>IF(A1006="","", WEEKNUM(A1006, 2))</f>
        <v/>
      </c>
    </row>
    <row r="1007" spans="13:13">
      <c r="M1007" s="3" t="str">
        <f>IF(A1007="","", WEEKNUM(A1007, 2))</f>
        <v/>
      </c>
    </row>
    <row r="1008" spans="13:13">
      <c r="M1008" s="3" t="str">
        <f>IF(A1008="","", WEEKNUM(A1008, 2))</f>
        <v/>
      </c>
    </row>
    <row r="1009" spans="13:13">
      <c r="M1009" s="3" t="str">
        <f>IF(A1009="","", WEEKNUM(A1009, 2))</f>
        <v/>
      </c>
    </row>
    <row r="1010" spans="13:13">
      <c r="M1010" s="3" t="str">
        <f>IF(A1010="","", WEEKNUM(A1010, 2))</f>
        <v/>
      </c>
    </row>
    <row r="1011" spans="13:13">
      <c r="M1011" s="3" t="str">
        <f>IF(A1011="","", WEEKNUM(A1011, 2))</f>
        <v/>
      </c>
    </row>
    <row r="1012" spans="13:13">
      <c r="M1012" s="3" t="str">
        <f>IF(A1012="","", WEEKNUM(A1012, 2))</f>
        <v/>
      </c>
    </row>
    <row r="1013" spans="13:13">
      <c r="M1013" s="3" t="str">
        <f>IF(A1013="","", WEEKNUM(A1013, 2))</f>
        <v/>
      </c>
    </row>
    <row r="1014" spans="13:13">
      <c r="M1014" s="3" t="str">
        <f>IF(A1014="","", WEEKNUM(A1014, 2))</f>
        <v/>
      </c>
    </row>
    <row r="1015" spans="13:13">
      <c r="M1015" s="3" t="str">
        <f>IF(A1015="","", WEEKNUM(A1015, 2))</f>
        <v/>
      </c>
    </row>
    <row r="1016" spans="13:13">
      <c r="M1016" s="3" t="str">
        <f>IF(A1016="","", WEEKNUM(A1016, 2))</f>
        <v/>
      </c>
    </row>
    <row r="1017" spans="13:13">
      <c r="M1017" s="3" t="str">
        <f>IF(A1017="","", WEEKNUM(A1017, 2))</f>
        <v/>
      </c>
    </row>
    <row r="1018" spans="13:13">
      <c r="M1018" s="3" t="str">
        <f>IF(A1018="","", WEEKNUM(A1018, 2))</f>
        <v/>
      </c>
    </row>
    <row r="1019" spans="13:13">
      <c r="M1019" s="3" t="str">
        <f>IF(A1019="","", WEEKNUM(A1019, 2))</f>
        <v/>
      </c>
    </row>
    <row r="1020" spans="13:13">
      <c r="M1020" s="3" t="str">
        <f>IF(A1020="","", WEEKNUM(A1020, 2))</f>
        <v/>
      </c>
    </row>
    <row r="1021" spans="13:13">
      <c r="M1021" s="3" t="str">
        <f>IF(A1021="","", WEEKNUM(A1021, 2))</f>
        <v/>
      </c>
    </row>
    <row r="1022" spans="13:13">
      <c r="M1022" s="3" t="str">
        <f>IF(A1022="","", WEEKNUM(A1022, 2))</f>
        <v/>
      </c>
    </row>
    <row r="1023" spans="13:13">
      <c r="M1023" s="3" t="str">
        <f>IF(A1023="","", WEEKNUM(A1023, 2))</f>
        <v/>
      </c>
    </row>
    <row r="1024" spans="13:13">
      <c r="M1024" s="3" t="str">
        <f>IF(A1024="","", WEEKNUM(A1024, 2))</f>
        <v/>
      </c>
    </row>
    <row r="1025" spans="13:13">
      <c r="M1025" s="3" t="str">
        <f>IF(A1025="","", WEEKNUM(A1025, 2))</f>
        <v/>
      </c>
    </row>
    <row r="1026" spans="13:13">
      <c r="M1026" s="3" t="str">
        <f>IF(A1026="","", WEEKNUM(A1026, 2))</f>
        <v/>
      </c>
    </row>
    <row r="1027" spans="13:13">
      <c r="M1027" s="3" t="str">
        <f>IF(A1027="","", WEEKNUM(A1027, 2))</f>
        <v/>
      </c>
    </row>
    <row r="1028" spans="13:13">
      <c r="M1028" s="3" t="str">
        <f>IF(A1028="","", WEEKNUM(A1028, 2))</f>
        <v/>
      </c>
    </row>
    <row r="1029" spans="13:13">
      <c r="M1029" s="3" t="str">
        <f>IF(A1029="","", WEEKNUM(A1029, 2))</f>
        <v/>
      </c>
    </row>
    <row r="1030" spans="13:13">
      <c r="M1030" s="3" t="str">
        <f>IF(A1030="","", WEEKNUM(A1030, 2))</f>
        <v/>
      </c>
    </row>
    <row r="1031" spans="13:13">
      <c r="M1031" s="3" t="str">
        <f>IF(A1031="","", WEEKNUM(A1031, 2))</f>
        <v/>
      </c>
    </row>
    <row r="1032" spans="13:13">
      <c r="M1032" s="3" t="str">
        <f>IF(A1032="","", WEEKNUM(A1032, 2))</f>
        <v/>
      </c>
    </row>
    <row r="1033" spans="13:13">
      <c r="M1033" s="3" t="str">
        <f>IF(A1033="","", WEEKNUM(A1033, 2))</f>
        <v/>
      </c>
    </row>
    <row r="1034" spans="13:13">
      <c r="M1034" s="3" t="str">
        <f>IF(A1034="","", WEEKNUM(A1034, 2))</f>
        <v/>
      </c>
    </row>
    <row r="1035" spans="13:13">
      <c r="M1035" s="3" t="str">
        <f>IF(A1035="","", WEEKNUM(A1035, 2))</f>
        <v/>
      </c>
    </row>
    <row r="1036" spans="13:13">
      <c r="M1036" s="3" t="str">
        <f>IF(A1036="","", WEEKNUM(A1036, 2))</f>
        <v/>
      </c>
    </row>
    <row r="1037" spans="13:13">
      <c r="M1037" s="3" t="str">
        <f>IF(A1037="","", WEEKNUM(A1037, 2))</f>
        <v/>
      </c>
    </row>
    <row r="1038" spans="13:13">
      <c r="M1038" s="3" t="str">
        <f>IF(A1038="","", WEEKNUM(A1038, 2))</f>
        <v/>
      </c>
    </row>
    <row r="1039" spans="13:13">
      <c r="M1039" s="3" t="str">
        <f>IF(A1039="","", WEEKNUM(A1039, 2))</f>
        <v/>
      </c>
    </row>
    <row r="1040" spans="13:13">
      <c r="M1040" s="3" t="str">
        <f>IF(A1040="","", WEEKNUM(A1040, 2))</f>
        <v/>
      </c>
    </row>
    <row r="1041" spans="13:13">
      <c r="M1041" s="3" t="str">
        <f>IF(A1041="","", WEEKNUM(A1041, 2))</f>
        <v/>
      </c>
    </row>
    <row r="1042" spans="13:13">
      <c r="M1042" s="3" t="str">
        <f>IF(A1042="","", WEEKNUM(A1042, 2))</f>
        <v/>
      </c>
    </row>
    <row r="1043" spans="13:13">
      <c r="M1043" s="3" t="str">
        <f>IF(A1043="","", WEEKNUM(A1043, 2))</f>
        <v/>
      </c>
    </row>
    <row r="1044" spans="13:13">
      <c r="M1044" s="3" t="str">
        <f>IF(A1044="","", WEEKNUM(A1044, 2))</f>
        <v/>
      </c>
    </row>
    <row r="1045" spans="13:13">
      <c r="M1045" s="3" t="str">
        <f>IF(A1045="","", WEEKNUM(A1045, 2))</f>
        <v/>
      </c>
    </row>
    <row r="1046" spans="13:13">
      <c r="M1046" s="3" t="str">
        <f>IF(A1046="","", WEEKNUM(A1046, 2))</f>
        <v/>
      </c>
    </row>
    <row r="1047" spans="13:13">
      <c r="M1047" s="3" t="str">
        <f>IF(A1047="","", WEEKNUM(A1047, 2))</f>
        <v/>
      </c>
    </row>
    <row r="1048" spans="13:13">
      <c r="M1048" s="3" t="str">
        <f>IF(A1048="","", WEEKNUM(A1048, 2))</f>
        <v/>
      </c>
    </row>
    <row r="1049" spans="13:13">
      <c r="M1049" s="3" t="str">
        <f>IF(A1049="","", WEEKNUM(A1049, 2))</f>
        <v/>
      </c>
    </row>
    <row r="1050" spans="13:13">
      <c r="M1050" s="3" t="str">
        <f>IF(A1050="","", WEEKNUM(A1050, 2))</f>
        <v/>
      </c>
    </row>
    <row r="1051" spans="13:13">
      <c r="M1051" s="3" t="str">
        <f>IF(A1051="","", WEEKNUM(A1051, 2))</f>
        <v/>
      </c>
    </row>
    <row r="1052" spans="13:13">
      <c r="M1052" s="3" t="str">
        <f>IF(A1052="","", WEEKNUM(A1052, 2))</f>
        <v/>
      </c>
    </row>
    <row r="1053" spans="13:13">
      <c r="M1053" s="3" t="str">
        <f>IF(A1053="","", WEEKNUM(A1053, 2))</f>
        <v/>
      </c>
    </row>
    <row r="1054" spans="13:13">
      <c r="M1054" s="3" t="str">
        <f>IF(A1054="","", WEEKNUM(A1054, 2))</f>
        <v/>
      </c>
    </row>
    <row r="1055" spans="13:13">
      <c r="M1055" s="3" t="str">
        <f>IF(A1055="","", WEEKNUM(A1055, 2))</f>
        <v/>
      </c>
    </row>
    <row r="1056" spans="13:13">
      <c r="M1056" s="3" t="str">
        <f>IF(A1056="","", WEEKNUM(A1056, 2))</f>
        <v/>
      </c>
    </row>
    <row r="1057" spans="13:13">
      <c r="M1057" s="3" t="str">
        <f>IF(A1057="","", WEEKNUM(A1057, 2))</f>
        <v/>
      </c>
    </row>
    <row r="1058" spans="13:13">
      <c r="M1058" s="3" t="str">
        <f>IF(A1058="","", WEEKNUM(A1058, 2))</f>
        <v/>
      </c>
    </row>
    <row r="1059" spans="13:13">
      <c r="M1059" s="3" t="str">
        <f>IF(A1059="","", WEEKNUM(A1059, 2))</f>
        <v/>
      </c>
    </row>
    <row r="1060" spans="13:13">
      <c r="M1060" s="3" t="str">
        <f>IF(A1060="","", WEEKNUM(A1060, 2))</f>
        <v/>
      </c>
    </row>
    <row r="1061" spans="13:13">
      <c r="M1061" s="3" t="str">
        <f>IF(A1061="","", WEEKNUM(A1061, 2))</f>
        <v/>
      </c>
    </row>
    <row r="1062" spans="13:13">
      <c r="M1062" s="3" t="str">
        <f>IF(A1062="","", WEEKNUM(A1062, 2))</f>
        <v/>
      </c>
    </row>
    <row r="1063" spans="13:13">
      <c r="M1063" s="3" t="str">
        <f>IF(A1063="","", WEEKNUM(A1063, 2))</f>
        <v/>
      </c>
    </row>
    <row r="1064" spans="13:13">
      <c r="M1064" s="3" t="str">
        <f>IF(A1064="","", WEEKNUM(A1064, 2))</f>
        <v/>
      </c>
    </row>
    <row r="1065" spans="13:13">
      <c r="M1065" s="3" t="str">
        <f>IF(A1065="","", WEEKNUM(A1065, 2))</f>
        <v/>
      </c>
    </row>
    <row r="1066" spans="13:13">
      <c r="M1066" s="3" t="str">
        <f>IF(A1066="","", WEEKNUM(A1066, 2))</f>
        <v/>
      </c>
    </row>
    <row r="1067" spans="13:13">
      <c r="M1067" s="3" t="str">
        <f>IF(A1067="","", WEEKNUM(A1067, 2))</f>
        <v/>
      </c>
    </row>
    <row r="1068" spans="13:13">
      <c r="M1068" s="3" t="str">
        <f>IF(A1068="","", WEEKNUM(A1068, 2))</f>
        <v/>
      </c>
    </row>
    <row r="1069" spans="13:13">
      <c r="M1069" s="3" t="str">
        <f>IF(A1069="","", WEEKNUM(A1069, 2))</f>
        <v/>
      </c>
    </row>
    <row r="1070" spans="13:13">
      <c r="M1070" s="3" t="str">
        <f>IF(A1070="","", WEEKNUM(A1070, 2))</f>
        <v/>
      </c>
    </row>
    <row r="1071" spans="13:13">
      <c r="M1071" s="3" t="str">
        <f>IF(A1071="","", WEEKNUM(A1071, 2))</f>
        <v/>
      </c>
    </row>
    <row r="1072" spans="13:13">
      <c r="M1072" s="3" t="str">
        <f>IF(A1072="","", WEEKNUM(A1072, 2))</f>
        <v/>
      </c>
    </row>
    <row r="1073" spans="13:13">
      <c r="M1073" s="3" t="str">
        <f>IF(A1073="","", WEEKNUM(A1073, 2))</f>
        <v/>
      </c>
    </row>
    <row r="1074" spans="13:13">
      <c r="M1074" s="3" t="str">
        <f>IF(A1074="","", WEEKNUM(A1074, 2))</f>
        <v/>
      </c>
    </row>
    <row r="1075" spans="13:13">
      <c r="M1075" s="3" t="str">
        <f>IF(A1075="","", WEEKNUM(A1075, 2))</f>
        <v/>
      </c>
    </row>
    <row r="1076" spans="13:13">
      <c r="M1076" s="3" t="str">
        <f>IF(A1076="","", WEEKNUM(A1076, 2))</f>
        <v/>
      </c>
    </row>
    <row r="1077" spans="13:13">
      <c r="M1077" s="3" t="str">
        <f>IF(A1077="","", WEEKNUM(A1077, 2))</f>
        <v/>
      </c>
    </row>
    <row r="1078" spans="13:13">
      <c r="M1078" s="3" t="str">
        <f>IF(A1078="","", WEEKNUM(A1078, 2))</f>
        <v/>
      </c>
    </row>
    <row r="1079" spans="13:13">
      <c r="M1079" s="3" t="str">
        <f>IF(A1079="","", WEEKNUM(A1079, 2))</f>
        <v/>
      </c>
    </row>
    <row r="1080" spans="13:13">
      <c r="M1080" s="3" t="str">
        <f>IF(A1080="","", WEEKNUM(A1080, 2))</f>
        <v/>
      </c>
    </row>
    <row r="1081" spans="13:13">
      <c r="M1081" s="3" t="str">
        <f>IF(A1081="","", WEEKNUM(A1081, 2))</f>
        <v/>
      </c>
    </row>
    <row r="1082" spans="13:13">
      <c r="M1082" s="3" t="str">
        <f>IF(A1082="","", WEEKNUM(A1082, 2))</f>
        <v/>
      </c>
    </row>
    <row r="1083" spans="13:13">
      <c r="M1083" s="3" t="str">
        <f>IF(A1083="","", WEEKNUM(A1083, 2))</f>
        <v/>
      </c>
    </row>
    <row r="1084" spans="13:13">
      <c r="M1084" s="3" t="str">
        <f>IF(A1084="","", WEEKNUM(A1084, 2))</f>
        <v/>
      </c>
    </row>
    <row r="1085" spans="13:13">
      <c r="M1085" s="3" t="str">
        <f>IF(A1085="","", WEEKNUM(A1085, 2))</f>
        <v/>
      </c>
    </row>
    <row r="1086" spans="13:13">
      <c r="M1086" s="3" t="str">
        <f>IF(A1086="","", WEEKNUM(A1086, 2))</f>
        <v/>
      </c>
    </row>
    <row r="1087" spans="13:13">
      <c r="M1087" s="3" t="str">
        <f>IF(A1087="","", WEEKNUM(A1087, 2))</f>
        <v/>
      </c>
    </row>
    <row r="1088" spans="13:13">
      <c r="M1088" s="3" t="str">
        <f>IF(A1088="","", WEEKNUM(A1088, 2))</f>
        <v/>
      </c>
    </row>
    <row r="1089" spans="13:13">
      <c r="M1089" s="3" t="str">
        <f>IF(A1089="","", WEEKNUM(A1089, 2))</f>
        <v/>
      </c>
    </row>
    <row r="1090" spans="13:13">
      <c r="M1090" s="3" t="str">
        <f>IF(A1090="","", WEEKNUM(A1090, 2))</f>
        <v/>
      </c>
    </row>
    <row r="1091" spans="13:13">
      <c r="M1091" s="3" t="str">
        <f>IF(A1091="","", WEEKNUM(A1091, 2))</f>
        <v/>
      </c>
    </row>
    <row r="1092" spans="13:13">
      <c r="M1092" s="3" t="str">
        <f>IF(A1092="","", WEEKNUM(A1092, 2))</f>
        <v/>
      </c>
    </row>
    <row r="1093" spans="13:13">
      <c r="M1093" s="3" t="str">
        <f>IF(A1093="","", WEEKNUM(A1093, 2))</f>
        <v/>
      </c>
    </row>
    <row r="1094" spans="13:13">
      <c r="M1094" s="3" t="str">
        <f>IF(A1094="","", WEEKNUM(A1094, 2))</f>
        <v/>
      </c>
    </row>
    <row r="1095" spans="13:13">
      <c r="M1095" s="3" t="str">
        <f>IF(A1095="","", WEEKNUM(A1095, 2))</f>
        <v/>
      </c>
    </row>
    <row r="1096" spans="13:13">
      <c r="M1096" s="3" t="str">
        <f>IF(A1096="","", WEEKNUM(A1096, 2))</f>
        <v/>
      </c>
    </row>
    <row r="1097" spans="13:13">
      <c r="M1097" s="3" t="str">
        <f>IF(A1097="","", WEEKNUM(A1097, 2))</f>
        <v/>
      </c>
    </row>
    <row r="1098" spans="13:13">
      <c r="M1098" s="3" t="str">
        <f>IF(A1098="","", WEEKNUM(A1098, 2))</f>
        <v/>
      </c>
    </row>
    <row r="1099" spans="13:13">
      <c r="M1099" s="3" t="str">
        <f>IF(A1099="","", WEEKNUM(A1099, 2))</f>
        <v/>
      </c>
    </row>
    <row r="1100" spans="13:13">
      <c r="M1100" s="3" t="str">
        <f>IF(A1100="","", WEEKNUM(A1100, 2))</f>
        <v/>
      </c>
    </row>
    <row r="1101" spans="13:13">
      <c r="M1101" s="3" t="str">
        <f>IF(A1101="","", WEEKNUM(A1101, 2))</f>
        <v/>
      </c>
    </row>
    <row r="1102" spans="13:13">
      <c r="M1102" s="3" t="str">
        <f>IF(A1102="","", WEEKNUM(A1102, 2))</f>
        <v/>
      </c>
    </row>
    <row r="1103" spans="13:13">
      <c r="M1103" s="3" t="str">
        <f>IF(A1103="","", WEEKNUM(A1103, 2))</f>
        <v/>
      </c>
    </row>
    <row r="1104" spans="13:13">
      <c r="M1104" s="3" t="str">
        <f>IF(A1104="","", WEEKNUM(A1104, 2))</f>
        <v/>
      </c>
    </row>
    <row r="1105" spans="13:13">
      <c r="M1105" s="3" t="str">
        <f>IF(A1105="","", WEEKNUM(A1105, 2))</f>
        <v/>
      </c>
    </row>
    <row r="1106" spans="13:13">
      <c r="M1106" s="3" t="str">
        <f>IF(A1106="","", WEEKNUM(A1106, 2))</f>
        <v/>
      </c>
    </row>
    <row r="1107" spans="13:13">
      <c r="M1107" s="3" t="str">
        <f>IF(A1107="","", WEEKNUM(A1107, 2))</f>
        <v/>
      </c>
    </row>
    <row r="1108" spans="13:13">
      <c r="M1108" s="3" t="str">
        <f>IF(A1108="","", WEEKNUM(A1108, 2))</f>
        <v/>
      </c>
    </row>
    <row r="1109" spans="13:13">
      <c r="M1109" s="3" t="str">
        <f>IF(A1109="","", WEEKNUM(A1109, 2))</f>
        <v/>
      </c>
    </row>
    <row r="1110" spans="13:13">
      <c r="M1110" s="3" t="str">
        <f>IF(A1110="","", WEEKNUM(A1110, 2))</f>
        <v/>
      </c>
    </row>
    <row r="1111" spans="13:13">
      <c r="M1111" s="3" t="str">
        <f>IF(A1111="","", WEEKNUM(A1111, 2))</f>
        <v/>
      </c>
    </row>
    <row r="1112" spans="13:13">
      <c r="M1112" s="3" t="str">
        <f>IF(A1112="","", WEEKNUM(A1112, 2))</f>
        <v/>
      </c>
    </row>
    <row r="1113" spans="13:13">
      <c r="M1113" s="3" t="str">
        <f>IF(A1113="","", WEEKNUM(A1113, 2))</f>
        <v/>
      </c>
    </row>
    <row r="1114" spans="13:13">
      <c r="M1114" s="3" t="str">
        <f>IF(A1114="","", WEEKNUM(A1114, 2))</f>
        <v/>
      </c>
    </row>
    <row r="1115" spans="13:13">
      <c r="M1115" s="3" t="str">
        <f>IF(A1115="","", WEEKNUM(A1115, 2))</f>
        <v/>
      </c>
    </row>
    <row r="1116" spans="13:13">
      <c r="M1116" s="3" t="str">
        <f>IF(A1116="","", WEEKNUM(A1116, 2))</f>
        <v/>
      </c>
    </row>
    <row r="1117" spans="13:13">
      <c r="M1117" s="3" t="str">
        <f>IF(A1117="","", WEEKNUM(A1117, 2))</f>
        <v/>
      </c>
    </row>
    <row r="1118" spans="13:13">
      <c r="M1118" s="3" t="str">
        <f>IF(A1118="","", WEEKNUM(A1118, 2))</f>
        <v/>
      </c>
    </row>
    <row r="1119" spans="13:13">
      <c r="M1119" s="3" t="str">
        <f>IF(A1119="","", WEEKNUM(A1119, 2))</f>
        <v/>
      </c>
    </row>
    <row r="1120" spans="13:13">
      <c r="M1120" s="3" t="str">
        <f>IF(A1120="","", WEEKNUM(A1120, 2))</f>
        <v/>
      </c>
    </row>
    <row r="1121" spans="13:13">
      <c r="M1121" s="3" t="str">
        <f>IF(A1121="","", WEEKNUM(A1121, 2))</f>
        <v/>
      </c>
    </row>
    <row r="1122" spans="13:13">
      <c r="M1122" s="3" t="str">
        <f>IF(A1122="","", WEEKNUM(A1122, 2))</f>
        <v/>
      </c>
    </row>
    <row r="1123" spans="13:13">
      <c r="M1123" s="3" t="str">
        <f>IF(A1123="","", WEEKNUM(A1123, 2))</f>
        <v/>
      </c>
    </row>
    <row r="1124" spans="13:13">
      <c r="M1124" s="3" t="str">
        <f>IF(A1124="","", WEEKNUM(A1124, 2))</f>
        <v/>
      </c>
    </row>
    <row r="1125" spans="13:13">
      <c r="M1125" s="3" t="str">
        <f>IF(A1125="","", WEEKNUM(A1125, 2))</f>
        <v/>
      </c>
    </row>
    <row r="1126" spans="13:13">
      <c r="M1126" s="3" t="str">
        <f>IF(A1126="","", WEEKNUM(A1126, 2))</f>
        <v/>
      </c>
    </row>
    <row r="1127" spans="13:13">
      <c r="M1127" s="3" t="str">
        <f>IF(A1127="","", WEEKNUM(A1127, 2))</f>
        <v/>
      </c>
    </row>
    <row r="1128" spans="13:13">
      <c r="M1128" s="3" t="str">
        <f>IF(A1128="","", WEEKNUM(A1128, 2))</f>
        <v/>
      </c>
    </row>
    <row r="1129" spans="13:13">
      <c r="M1129" s="3" t="str">
        <f>IF(A1129="","", WEEKNUM(A1129, 2))</f>
        <v/>
      </c>
    </row>
    <row r="1130" spans="13:13">
      <c r="M1130" s="3" t="str">
        <f>IF(A1130="","", WEEKNUM(A1130, 2))</f>
        <v/>
      </c>
    </row>
    <row r="1131" spans="13:13">
      <c r="M1131" s="3" t="str">
        <f>IF(A1131="","", WEEKNUM(A1131, 2))</f>
        <v/>
      </c>
    </row>
    <row r="1132" spans="13:13">
      <c r="M1132" s="3" t="str">
        <f>IF(A1132="","", WEEKNUM(A1132, 2))</f>
        <v/>
      </c>
    </row>
    <row r="1133" spans="13:13">
      <c r="M1133" s="3" t="str">
        <f>IF(A1133="","", WEEKNUM(A1133, 2))</f>
        <v/>
      </c>
    </row>
    <row r="1134" spans="13:13">
      <c r="M1134" s="3" t="str">
        <f>IF(A1134="","", WEEKNUM(A1134, 2))</f>
        <v/>
      </c>
    </row>
    <row r="1135" spans="13:13">
      <c r="M1135" s="3" t="str">
        <f>IF(A1135="","", WEEKNUM(A1135, 2))</f>
        <v/>
      </c>
    </row>
    <row r="1136" spans="13:13">
      <c r="M1136" s="3" t="str">
        <f>IF(A1136="","", WEEKNUM(A1136, 2))</f>
        <v/>
      </c>
    </row>
    <row r="1137" spans="13:13">
      <c r="M1137" s="3" t="str">
        <f>IF(A1137="","", WEEKNUM(A1137, 2))</f>
        <v/>
      </c>
    </row>
    <row r="1138" spans="13:13">
      <c r="M1138" s="3" t="str">
        <f>IF(A1138="","", WEEKNUM(A1138, 2))</f>
        <v/>
      </c>
    </row>
    <row r="1139" spans="13:13">
      <c r="M1139" s="3" t="str">
        <f>IF(A1139="","", WEEKNUM(A1139, 2))</f>
        <v/>
      </c>
    </row>
    <row r="1140" spans="13:13">
      <c r="M1140" s="3" t="str">
        <f>IF(A1140="","", WEEKNUM(A1140, 2))</f>
        <v/>
      </c>
    </row>
    <row r="1141" spans="13:13">
      <c r="M1141" s="3" t="str">
        <f>IF(A1141="","", WEEKNUM(A1141, 2))</f>
        <v/>
      </c>
    </row>
    <row r="1142" spans="13:13">
      <c r="M1142" s="3" t="str">
        <f>IF(A1142="","", WEEKNUM(A1142, 2))</f>
        <v/>
      </c>
    </row>
    <row r="1143" spans="13:13">
      <c r="M1143" s="3" t="str">
        <f>IF(A1143="","", WEEKNUM(A1143, 2))</f>
        <v/>
      </c>
    </row>
    <row r="1144" spans="13:13">
      <c r="M1144" s="3" t="str">
        <f>IF(A1144="","", WEEKNUM(A1144, 2))</f>
        <v/>
      </c>
    </row>
    <row r="1145" spans="13:13">
      <c r="M1145" s="3" t="str">
        <f>IF(A1145="","", WEEKNUM(A1145, 2))</f>
        <v/>
      </c>
    </row>
    <row r="1146" spans="13:13">
      <c r="M1146" s="3" t="str">
        <f>IF(A1146="","", WEEKNUM(A1146, 2))</f>
        <v/>
      </c>
    </row>
    <row r="1147" spans="13:13">
      <c r="M1147" s="3" t="str">
        <f>IF(A1147="","", WEEKNUM(A1147, 2))</f>
        <v/>
      </c>
    </row>
    <row r="1148" spans="13:13">
      <c r="M1148" s="3" t="str">
        <f>IF(A1148="","", WEEKNUM(A1148, 2))</f>
        <v/>
      </c>
    </row>
    <row r="1149" spans="13:13">
      <c r="M1149" s="3" t="str">
        <f>IF(A1149="","", WEEKNUM(A1149, 2))</f>
        <v/>
      </c>
    </row>
    <row r="1150" spans="13:13">
      <c r="M1150" s="3" t="str">
        <f>IF(A1150="","", WEEKNUM(A1150, 2))</f>
        <v/>
      </c>
    </row>
    <row r="1151" spans="13:13">
      <c r="M1151" s="3" t="str">
        <f>IF(A1151="","", WEEKNUM(A1151, 2))</f>
        <v/>
      </c>
    </row>
    <row r="1152" spans="13:13">
      <c r="M1152" s="3" t="str">
        <f>IF(A1152="","", WEEKNUM(A1152, 2))</f>
        <v/>
      </c>
    </row>
    <row r="1153" spans="13:13">
      <c r="M1153" s="3" t="str">
        <f>IF(A1153="","", WEEKNUM(A1153, 2))</f>
        <v/>
      </c>
    </row>
    <row r="1154" spans="13:13">
      <c r="M1154" s="3" t="str">
        <f>IF(A1154="","", WEEKNUM(A1154, 2))</f>
        <v/>
      </c>
    </row>
    <row r="1155" spans="13:13">
      <c r="M1155" s="3" t="str">
        <f>IF(A1155="","", WEEKNUM(A1155, 2))</f>
        <v/>
      </c>
    </row>
    <row r="1156" spans="13:13">
      <c r="M1156" s="3" t="str">
        <f>IF(A1156="","", WEEKNUM(A1156, 2))</f>
        <v/>
      </c>
    </row>
    <row r="1157" spans="13:13">
      <c r="M1157" s="3" t="str">
        <f>IF(A1157="","", WEEKNUM(A1157, 2))</f>
        <v/>
      </c>
    </row>
    <row r="1158" spans="13:13">
      <c r="M1158" s="3" t="str">
        <f>IF(A1158="","", WEEKNUM(A1158, 2))</f>
        <v/>
      </c>
    </row>
    <row r="1159" spans="13:13">
      <c r="M1159" s="3" t="str">
        <f>IF(A1159="","", WEEKNUM(A1159, 2))</f>
        <v/>
      </c>
    </row>
    <row r="1160" spans="13:13">
      <c r="M1160" s="3" t="str">
        <f>IF(A1160="","", WEEKNUM(A1160, 2))</f>
        <v/>
      </c>
    </row>
    <row r="1161" spans="13:13">
      <c r="M1161" s="3" t="str">
        <f>IF(A1161="","", WEEKNUM(A1161, 2))</f>
        <v/>
      </c>
    </row>
    <row r="1162" spans="13:13">
      <c r="M1162" s="3" t="str">
        <f>IF(A1162="","", WEEKNUM(A1162, 2))</f>
        <v/>
      </c>
    </row>
    <row r="1163" spans="13:13">
      <c r="M1163" s="3" t="str">
        <f>IF(A1163="","", WEEKNUM(A1163, 2))</f>
        <v/>
      </c>
    </row>
    <row r="1164" spans="13:13">
      <c r="M1164" s="3" t="str">
        <f>IF(A1164="","", WEEKNUM(A1164, 2))</f>
        <v/>
      </c>
    </row>
    <row r="1165" spans="13:13">
      <c r="M1165" s="3" t="str">
        <f>IF(A1165="","", WEEKNUM(A1165, 2))</f>
        <v/>
      </c>
    </row>
    <row r="1166" spans="13:13">
      <c r="M1166" s="3" t="str">
        <f>IF(A1166="","", WEEKNUM(A1166, 2))</f>
        <v/>
      </c>
    </row>
    <row r="1167" spans="13:13">
      <c r="M1167" s="3" t="str">
        <f>IF(A1167="","", WEEKNUM(A1167, 2))</f>
        <v/>
      </c>
    </row>
    <row r="1168" spans="13:13">
      <c r="M1168" s="3" t="str">
        <f>IF(A1168="","", WEEKNUM(A1168, 2))</f>
        <v/>
      </c>
    </row>
    <row r="1169" spans="13:13">
      <c r="M1169" s="3" t="str">
        <f>IF(A1169="","", WEEKNUM(A1169, 2))</f>
        <v/>
      </c>
    </row>
    <row r="1170" spans="13:13">
      <c r="M1170" s="3" t="str">
        <f>IF(A1170="","", WEEKNUM(A1170, 2))</f>
        <v/>
      </c>
    </row>
    <row r="1171" spans="13:13">
      <c r="M1171" s="3" t="str">
        <f>IF(A1171="","", WEEKNUM(A1171, 2))</f>
        <v/>
      </c>
    </row>
    <row r="1172" spans="13:13">
      <c r="M1172" s="3" t="str">
        <f>IF(A1172="","", WEEKNUM(A1172, 2))</f>
        <v/>
      </c>
    </row>
    <row r="1173" spans="13:13">
      <c r="M1173" s="3" t="str">
        <f>IF(A1173="","", WEEKNUM(A1173, 2))</f>
        <v/>
      </c>
    </row>
    <row r="1174" spans="13:13">
      <c r="M1174" s="3" t="str">
        <f>IF(A1174="","", WEEKNUM(A1174, 2))</f>
        <v/>
      </c>
    </row>
    <row r="1175" spans="13:13">
      <c r="M1175" s="3" t="str">
        <f>IF(A1175="","", WEEKNUM(A1175, 2))</f>
        <v/>
      </c>
    </row>
    <row r="1176" spans="13:13">
      <c r="M1176" s="3" t="str">
        <f>IF(A1176="","", WEEKNUM(A1176, 2))</f>
        <v/>
      </c>
    </row>
    <row r="1177" spans="13:13">
      <c r="M1177" s="3" t="str">
        <f>IF(A1177="","", WEEKNUM(A1177, 2))</f>
        <v/>
      </c>
    </row>
    <row r="1178" spans="13:13">
      <c r="M1178" s="3" t="str">
        <f>IF(A1178="","", WEEKNUM(A1178, 2))</f>
        <v/>
      </c>
    </row>
    <row r="1179" spans="13:13">
      <c r="M1179" s="3" t="str">
        <f>IF(A1179="","", WEEKNUM(A1179, 2))</f>
        <v/>
      </c>
    </row>
    <row r="1180" spans="13:13">
      <c r="M1180" s="3" t="str">
        <f>IF(A1180="","", WEEKNUM(A1180, 2))</f>
        <v/>
      </c>
    </row>
    <row r="1181" spans="13:13">
      <c r="M1181" s="3" t="str">
        <f>IF(A1181="","", WEEKNUM(A1181, 2))</f>
        <v/>
      </c>
    </row>
    <row r="1182" spans="13:13">
      <c r="M1182" s="3" t="str">
        <f>IF(A1182="","", WEEKNUM(A1182, 2))</f>
        <v/>
      </c>
    </row>
    <row r="1183" spans="13:13">
      <c r="M1183" s="3" t="str">
        <f>IF(A1183="","", WEEKNUM(A1183, 2))</f>
        <v/>
      </c>
    </row>
    <row r="1184" spans="13:13">
      <c r="M1184" s="3" t="str">
        <f>IF(A1184="","", WEEKNUM(A1184, 2))</f>
        <v/>
      </c>
    </row>
    <row r="1185" spans="13:13">
      <c r="M1185" s="3" t="str">
        <f>IF(A1185="","", WEEKNUM(A1185, 2))</f>
        <v/>
      </c>
    </row>
    <row r="1186" spans="13:13">
      <c r="M1186" s="3" t="str">
        <f>IF(A1186="","", WEEKNUM(A1186, 2))</f>
        <v/>
      </c>
    </row>
    <row r="1187" spans="13:13">
      <c r="M1187" s="3" t="str">
        <f>IF(A1187="","", WEEKNUM(A1187, 2))</f>
        <v/>
      </c>
    </row>
    <row r="1188" spans="13:13">
      <c r="M1188" s="3" t="str">
        <f>IF(A1188="","", WEEKNUM(A1188, 2))</f>
        <v/>
      </c>
    </row>
    <row r="1189" spans="13:13">
      <c r="M1189" s="3" t="str">
        <f>IF(A1189="","", WEEKNUM(A1189, 2))</f>
        <v/>
      </c>
    </row>
    <row r="1190" spans="13:13">
      <c r="M1190" s="3" t="str">
        <f>IF(A1190="","", WEEKNUM(A1190, 2))</f>
        <v/>
      </c>
    </row>
    <row r="1191" spans="13:13">
      <c r="M1191" s="3" t="str">
        <f>IF(A1191="","", WEEKNUM(A1191, 2))</f>
        <v/>
      </c>
    </row>
    <row r="1192" spans="13:13">
      <c r="M1192" s="3" t="str">
        <f>IF(A1192="","", WEEKNUM(A1192, 2))</f>
        <v/>
      </c>
    </row>
    <row r="1193" spans="13:13">
      <c r="M1193" s="3" t="str">
        <f>IF(A1193="","", WEEKNUM(A1193, 2))</f>
        <v/>
      </c>
    </row>
    <row r="1194" spans="13:13">
      <c r="M1194" s="3" t="str">
        <f>IF(A1194="","", WEEKNUM(A1194, 2))</f>
        <v/>
      </c>
    </row>
    <row r="1195" spans="13:13">
      <c r="M1195" s="3" t="str">
        <f>IF(A1195="","", WEEKNUM(A1195, 2))</f>
        <v/>
      </c>
    </row>
    <row r="1196" spans="13:13">
      <c r="M1196" s="3" t="str">
        <f>IF(A1196="","", WEEKNUM(A1196, 2))</f>
        <v/>
      </c>
    </row>
    <row r="1197" spans="13:13">
      <c r="M1197" s="3" t="str">
        <f>IF(A1197="","", WEEKNUM(A1197, 2))</f>
        <v/>
      </c>
    </row>
    <row r="1198" spans="13:13">
      <c r="M1198" s="3" t="str">
        <f>IF(A1198="","", WEEKNUM(A1198, 2))</f>
        <v/>
      </c>
    </row>
    <row r="1199" spans="13:13">
      <c r="M1199" s="3" t="str">
        <f>IF(A1199="","", WEEKNUM(A1199, 2))</f>
        <v/>
      </c>
    </row>
    <row r="1200" spans="13:13">
      <c r="M1200" s="3" t="str">
        <f>IF(A1200="","", WEEKNUM(A1200, 2))</f>
        <v/>
      </c>
    </row>
    <row r="1201" spans="13:13">
      <c r="M1201" s="3" t="str">
        <f>IF(A1201="","", WEEKNUM(A1201, 2))</f>
        <v/>
      </c>
    </row>
    <row r="1202" spans="13:13">
      <c r="M1202" s="3" t="str">
        <f>IF(A1202="","", WEEKNUM(A1202, 2))</f>
        <v/>
      </c>
    </row>
    <row r="1203" spans="13:13">
      <c r="M1203" s="3" t="str">
        <f>IF(A1203="","", WEEKNUM(A1203, 2))</f>
        <v/>
      </c>
    </row>
    <row r="1204" spans="13:13">
      <c r="M1204" s="3" t="str">
        <f>IF(A1204="","", WEEKNUM(A1204, 2))</f>
        <v/>
      </c>
    </row>
    <row r="1205" spans="13:13">
      <c r="M1205" s="3" t="str">
        <f>IF(A1205="","", WEEKNUM(A1205, 2))</f>
        <v/>
      </c>
    </row>
    <row r="1206" spans="13:13">
      <c r="M1206" s="3" t="str">
        <f>IF(A1206="","", WEEKNUM(A1206, 2))</f>
        <v/>
      </c>
    </row>
    <row r="1207" spans="13:13">
      <c r="M1207" s="3" t="str">
        <f>IF(A1207="","", WEEKNUM(A1207, 2))</f>
        <v/>
      </c>
    </row>
    <row r="1208" spans="13:13">
      <c r="M1208" s="3" t="str">
        <f>IF(A1208="","", WEEKNUM(A1208, 2))</f>
        <v/>
      </c>
    </row>
    <row r="1209" spans="13:13">
      <c r="M1209" s="3" t="str">
        <f>IF(A1209="","", WEEKNUM(A1209, 2))</f>
        <v/>
      </c>
    </row>
    <row r="1210" spans="13:13">
      <c r="M1210" s="3" t="str">
        <f>IF(A1210="","", WEEKNUM(A1210, 2))</f>
        <v/>
      </c>
    </row>
    <row r="1211" spans="13:13">
      <c r="M1211" s="3" t="str">
        <f>IF(A1211="","", WEEKNUM(A1211, 2))</f>
        <v/>
      </c>
    </row>
    <row r="1212" spans="13:13">
      <c r="M1212" s="3" t="str">
        <f>IF(A1212="","", WEEKNUM(A1212, 2))</f>
        <v/>
      </c>
    </row>
    <row r="1213" spans="13:13">
      <c r="M1213" s="3" t="str">
        <f>IF(A1213="","", WEEKNUM(A1213, 2))</f>
        <v/>
      </c>
    </row>
    <row r="1214" spans="13:13">
      <c r="M1214" s="3" t="str">
        <f>IF(A1214="","", WEEKNUM(A1214, 2))</f>
        <v/>
      </c>
    </row>
    <row r="1215" spans="13:13">
      <c r="M1215" s="3" t="str">
        <f>IF(A1215="","", WEEKNUM(A1215, 2))</f>
        <v/>
      </c>
    </row>
    <row r="1216" spans="13:13">
      <c r="M1216" s="3" t="str">
        <f>IF(A1216="","", WEEKNUM(A1216, 2))</f>
        <v/>
      </c>
    </row>
    <row r="1217" spans="13:13">
      <c r="M1217" s="3" t="str">
        <f>IF(A1217="","", WEEKNUM(A1217, 2))</f>
        <v/>
      </c>
    </row>
    <row r="1218" spans="13:13">
      <c r="M1218" s="3" t="str">
        <f>IF(A1218="","", WEEKNUM(A1218, 2))</f>
        <v/>
      </c>
    </row>
    <row r="1219" spans="13:13">
      <c r="M1219" s="3" t="str">
        <f>IF(A1219="","", WEEKNUM(A1219, 2))</f>
        <v/>
      </c>
    </row>
    <row r="1220" spans="13:13">
      <c r="M1220" s="3" t="str">
        <f>IF(A1220="","", WEEKNUM(A1220, 2))</f>
        <v/>
      </c>
    </row>
    <row r="1221" spans="13:13">
      <c r="M1221" s="3" t="str">
        <f>IF(A1221="","", WEEKNUM(A1221, 2))</f>
        <v/>
      </c>
    </row>
    <row r="1222" spans="13:13">
      <c r="M1222" s="3" t="str">
        <f>IF(A1222="","", WEEKNUM(A1222, 2))</f>
        <v/>
      </c>
    </row>
    <row r="1223" spans="13:13">
      <c r="M1223" s="3" t="str">
        <f>IF(A1223="","", WEEKNUM(A1223, 2))</f>
        <v/>
      </c>
    </row>
    <row r="1224" spans="13:13">
      <c r="M1224" s="3" t="str">
        <f>IF(A1224="","", WEEKNUM(A1224, 2))</f>
        <v/>
      </c>
    </row>
    <row r="1225" spans="13:13">
      <c r="M1225" s="3" t="str">
        <f>IF(A1225="","", WEEKNUM(A1225, 2))</f>
        <v/>
      </c>
    </row>
    <row r="1226" spans="13:13">
      <c r="M1226" s="3" t="str">
        <f>IF(A1226="","", WEEKNUM(A1226, 2))</f>
        <v/>
      </c>
    </row>
    <row r="1227" spans="13:13">
      <c r="M1227" s="3" t="str">
        <f>IF(A1227="","", WEEKNUM(A1227, 2))</f>
        <v/>
      </c>
    </row>
    <row r="1228" spans="13:13">
      <c r="M1228" s="3" t="str">
        <f>IF(A1228="","", WEEKNUM(A1228, 2))</f>
        <v/>
      </c>
    </row>
    <row r="1229" spans="13:13">
      <c r="M1229" s="3" t="str">
        <f>IF(A1229="","", WEEKNUM(A1229, 2))</f>
        <v/>
      </c>
    </row>
    <row r="1230" spans="13:13">
      <c r="M1230" s="3" t="str">
        <f>IF(A1230="","", WEEKNUM(A1230, 2))</f>
        <v/>
      </c>
    </row>
    <row r="1231" spans="13:13">
      <c r="M1231" s="3" t="str">
        <f>IF(A1231="","", WEEKNUM(A1231, 2))</f>
        <v/>
      </c>
    </row>
    <row r="1232" spans="13:13">
      <c r="M1232" s="3" t="str">
        <f>IF(A1232="","", WEEKNUM(A1232, 2))</f>
        <v/>
      </c>
    </row>
    <row r="1233" spans="13:13">
      <c r="M1233" s="3" t="str">
        <f>IF(A1233="","", WEEKNUM(A1233, 2))</f>
        <v/>
      </c>
    </row>
    <row r="1234" spans="13:13">
      <c r="M1234" s="3" t="str">
        <f>IF(A1234="","", WEEKNUM(A1234, 2))</f>
        <v/>
      </c>
    </row>
    <row r="1235" spans="13:13">
      <c r="M1235" s="3" t="str">
        <f>IF(A1235="","", WEEKNUM(A1235, 2))</f>
        <v/>
      </c>
    </row>
    <row r="1236" spans="13:13">
      <c r="M1236" s="3" t="str">
        <f>IF(A1236="","", WEEKNUM(A1236, 2))</f>
        <v/>
      </c>
    </row>
    <row r="1237" spans="13:13">
      <c r="M1237" s="3" t="str">
        <f>IF(A1237="","", WEEKNUM(A1237, 2))</f>
        <v/>
      </c>
    </row>
    <row r="1238" spans="13:13">
      <c r="M1238" s="3" t="str">
        <f>IF(A1238="","", WEEKNUM(A1238, 2))</f>
        <v/>
      </c>
    </row>
    <row r="1239" spans="13:13">
      <c r="M1239" s="3" t="str">
        <f>IF(A1239="","", WEEKNUM(A1239, 2))</f>
        <v/>
      </c>
    </row>
    <row r="1240" spans="13:13">
      <c r="M1240" s="3" t="str">
        <f>IF(A1240="","", WEEKNUM(A1240, 2))</f>
        <v/>
      </c>
    </row>
    <row r="1241" spans="13:13">
      <c r="M1241" s="3" t="str">
        <f>IF(A1241="","", WEEKNUM(A1241, 2))</f>
        <v/>
      </c>
    </row>
    <row r="1242" spans="13:13">
      <c r="M1242" s="3" t="str">
        <f>IF(A1242="","", WEEKNUM(A1242, 2))</f>
        <v/>
      </c>
    </row>
    <row r="1243" spans="13:13">
      <c r="M1243" s="3" t="str">
        <f>IF(A1243="","", WEEKNUM(A1243, 2))</f>
        <v/>
      </c>
    </row>
    <row r="1244" spans="13:13">
      <c r="M1244" s="3" t="str">
        <f>IF(A1244="","", WEEKNUM(A1244, 2))</f>
        <v/>
      </c>
    </row>
    <row r="1245" spans="13:13">
      <c r="M1245" s="3" t="str">
        <f>IF(A1245="","", WEEKNUM(A1245, 2))</f>
        <v/>
      </c>
    </row>
    <row r="1246" spans="13:13">
      <c r="M1246" s="3" t="str">
        <f>IF(A1246="","", WEEKNUM(A1246, 2))</f>
        <v/>
      </c>
    </row>
    <row r="1247" spans="13:13">
      <c r="M1247" s="3" t="str">
        <f>IF(A1247="","", WEEKNUM(A1247, 2))</f>
        <v/>
      </c>
    </row>
    <row r="1248" spans="13:13">
      <c r="M1248" s="3" t="str">
        <f>IF(A1248="","", WEEKNUM(A1248, 2))</f>
        <v/>
      </c>
    </row>
    <row r="1249" spans="13:13">
      <c r="M1249" s="3" t="str">
        <f>IF(A1249="","", WEEKNUM(A1249, 2))</f>
        <v/>
      </c>
    </row>
    <row r="1250" spans="13:13">
      <c r="M1250" s="3" t="str">
        <f>IF(A1250="","", WEEKNUM(A1250, 2))</f>
        <v/>
      </c>
    </row>
    <row r="1251" spans="13:13">
      <c r="M1251" s="3" t="str">
        <f>IF(A1251="","", WEEKNUM(A1251, 2))</f>
        <v/>
      </c>
    </row>
    <row r="1252" spans="13:13">
      <c r="M1252" s="3" t="str">
        <f>IF(A1252="","", WEEKNUM(A1252, 2))</f>
        <v/>
      </c>
    </row>
    <row r="1253" spans="13:13">
      <c r="M1253" s="3" t="str">
        <f>IF(A1253="","", WEEKNUM(A1253, 2))</f>
        <v/>
      </c>
    </row>
    <row r="1254" spans="13:13">
      <c r="M1254" s="3" t="str">
        <f>IF(A1254="","", WEEKNUM(A1254, 2))</f>
        <v/>
      </c>
    </row>
    <row r="1255" spans="13:13">
      <c r="M1255" s="3" t="str">
        <f>IF(A1255="","", WEEKNUM(A1255, 2))</f>
        <v/>
      </c>
    </row>
    <row r="1256" spans="13:13">
      <c r="M1256" s="3" t="str">
        <f>IF(A1256="","", WEEKNUM(A1256, 2))</f>
        <v/>
      </c>
    </row>
    <row r="1257" spans="13:13">
      <c r="M1257" s="3" t="str">
        <f>IF(A1257="","", WEEKNUM(A1257, 2))</f>
        <v/>
      </c>
    </row>
    <row r="1258" spans="13:13">
      <c r="M1258" s="3" t="str">
        <f>IF(A1258="","", WEEKNUM(A1258, 2))</f>
        <v/>
      </c>
    </row>
    <row r="1259" spans="13:13">
      <c r="M1259" s="3" t="str">
        <f>IF(A1259="","", WEEKNUM(A1259, 2))</f>
        <v/>
      </c>
    </row>
    <row r="1260" spans="13:13">
      <c r="M1260" s="3" t="str">
        <f>IF(A1260="","", WEEKNUM(A1260, 2))</f>
        <v/>
      </c>
    </row>
    <row r="1261" spans="13:13">
      <c r="M1261" s="3" t="str">
        <f>IF(A1261="","", WEEKNUM(A1261, 2))</f>
        <v/>
      </c>
    </row>
    <row r="1262" spans="13:13">
      <c r="M1262" s="3" t="str">
        <f>IF(A1262="","", WEEKNUM(A1262, 2))</f>
        <v/>
      </c>
    </row>
    <row r="1263" spans="13:13">
      <c r="M1263" s="3" t="str">
        <f>IF(A1263="","", WEEKNUM(A1263, 2))</f>
        <v/>
      </c>
    </row>
    <row r="1264" spans="13:13">
      <c r="M1264" s="3" t="str">
        <f>IF(A1264="","", WEEKNUM(A1264, 2))</f>
        <v/>
      </c>
    </row>
    <row r="1265" spans="13:13">
      <c r="M1265" s="3" t="str">
        <f>IF(A1265="","", WEEKNUM(A1265, 2))</f>
        <v/>
      </c>
    </row>
    <row r="1266" spans="13:13">
      <c r="M1266" s="3" t="str">
        <f>IF(A1266="","", WEEKNUM(A1266, 2))</f>
        <v/>
      </c>
    </row>
    <row r="1267" spans="13:13">
      <c r="M1267" s="3" t="str">
        <f>IF(A1267="","", WEEKNUM(A1267, 2))</f>
        <v/>
      </c>
    </row>
    <row r="1268" spans="13:13">
      <c r="M1268" s="3" t="str">
        <f>IF(A1268="","", WEEKNUM(A1268, 2))</f>
        <v/>
      </c>
    </row>
    <row r="1269" spans="13:13">
      <c r="M1269" s="3" t="str">
        <f>IF(A1269="","", WEEKNUM(A1269, 2))</f>
        <v/>
      </c>
    </row>
    <row r="1270" spans="13:13">
      <c r="M1270" s="3" t="str">
        <f>IF(A1270="","", WEEKNUM(A1270, 2))</f>
        <v/>
      </c>
    </row>
    <row r="1271" spans="13:13">
      <c r="M1271" s="3" t="str">
        <f>IF(A1271="","", WEEKNUM(A1271, 2))</f>
        <v/>
      </c>
    </row>
    <row r="1272" spans="13:13">
      <c r="M1272" s="3" t="str">
        <f>IF(A1272="","", WEEKNUM(A1272, 2))</f>
        <v/>
      </c>
    </row>
    <row r="1273" spans="13:13">
      <c r="M1273" s="3" t="str">
        <f>IF(A1273="","", WEEKNUM(A1273, 2))</f>
        <v/>
      </c>
    </row>
    <row r="1274" spans="13:13">
      <c r="M1274" s="3" t="str">
        <f>IF(A1274="","", WEEKNUM(A1274, 2))</f>
        <v/>
      </c>
    </row>
    <row r="1275" spans="13:13">
      <c r="M1275" s="3" t="str">
        <f>IF(A1275="","", WEEKNUM(A1275, 2))</f>
        <v/>
      </c>
    </row>
    <row r="1276" spans="13:13">
      <c r="M1276" s="3" t="str">
        <f>IF(A1276="","", WEEKNUM(A1276, 2))</f>
        <v/>
      </c>
    </row>
    <row r="1277" spans="13:13">
      <c r="M1277" s="3" t="str">
        <f>IF(A1277="","", WEEKNUM(A1277, 2))</f>
        <v/>
      </c>
    </row>
    <row r="1278" spans="13:13">
      <c r="M1278" s="3" t="str">
        <f>IF(A1278="","", WEEKNUM(A1278, 2))</f>
        <v/>
      </c>
    </row>
    <row r="1279" spans="13:13">
      <c r="M1279" s="3" t="str">
        <f>IF(A1279="","", WEEKNUM(A1279, 2))</f>
        <v/>
      </c>
    </row>
    <row r="1280" spans="13:13">
      <c r="M1280" s="3" t="str">
        <f>IF(A1280="","", WEEKNUM(A1280, 2))</f>
        <v/>
      </c>
    </row>
    <row r="1281" spans="13:13">
      <c r="M1281" s="3" t="str">
        <f>IF(A1281="","", WEEKNUM(A1281, 2))</f>
        <v/>
      </c>
    </row>
    <row r="1282" spans="13:13">
      <c r="M1282" s="3" t="str">
        <f>IF(A1282="","", WEEKNUM(A1282, 2))</f>
        <v/>
      </c>
    </row>
    <row r="1283" spans="13:13">
      <c r="M1283" s="3" t="str">
        <f>IF(A1283="","", WEEKNUM(A1283, 2))</f>
        <v/>
      </c>
    </row>
    <row r="1284" spans="13:13">
      <c r="M1284" s="3" t="str">
        <f>IF(A1284="","", WEEKNUM(A1284, 2))</f>
        <v/>
      </c>
    </row>
    <row r="1285" spans="13:13">
      <c r="M1285" s="3" t="str">
        <f>IF(A1285="","", WEEKNUM(A1285, 2))</f>
        <v/>
      </c>
    </row>
    <row r="1286" spans="13:13">
      <c r="M1286" s="3" t="str">
        <f>IF(A1286="","", WEEKNUM(A1286, 2))</f>
        <v/>
      </c>
    </row>
    <row r="1287" spans="13:13">
      <c r="M1287" s="3" t="str">
        <f>IF(A1287="","", WEEKNUM(A1287, 2))</f>
        <v/>
      </c>
    </row>
    <row r="1288" spans="13:13">
      <c r="M1288" s="3" t="str">
        <f>IF(A1288="","", WEEKNUM(A1288, 2))</f>
        <v/>
      </c>
    </row>
    <row r="1289" spans="13:13">
      <c r="M1289" s="3" t="str">
        <f>IF(A1289="","", WEEKNUM(A1289, 2))</f>
        <v/>
      </c>
    </row>
    <row r="1290" spans="13:13">
      <c r="M1290" s="3" t="str">
        <f>IF(A1290="","", WEEKNUM(A1290, 2))</f>
        <v/>
      </c>
    </row>
    <row r="1291" spans="13:13">
      <c r="M1291" s="3" t="str">
        <f>IF(A1291="","", WEEKNUM(A1291, 2))</f>
        <v/>
      </c>
    </row>
    <row r="1292" spans="13:13">
      <c r="M1292" s="3" t="str">
        <f>IF(A1292="","", WEEKNUM(A1292, 2))</f>
        <v/>
      </c>
    </row>
    <row r="1293" spans="13:13">
      <c r="M1293" s="3" t="str">
        <f>IF(A1293="","", WEEKNUM(A1293, 2))</f>
        <v/>
      </c>
    </row>
    <row r="1294" spans="13:13">
      <c r="M1294" s="3" t="str">
        <f>IF(A1294="","", WEEKNUM(A1294, 2))</f>
        <v/>
      </c>
    </row>
    <row r="1295" spans="13:13">
      <c r="M1295" s="3" t="str">
        <f>IF(A1295="","", WEEKNUM(A1295, 2))</f>
        <v/>
      </c>
    </row>
    <row r="1296" spans="13:13">
      <c r="M1296" s="3" t="str">
        <f>IF(A1296="","", WEEKNUM(A1296, 2))</f>
        <v/>
      </c>
    </row>
    <row r="1297" spans="13:13">
      <c r="M1297" s="3" t="str">
        <f>IF(A1297="","", WEEKNUM(A1297, 2))</f>
        <v/>
      </c>
    </row>
    <row r="1298" spans="13:13">
      <c r="M1298" s="3" t="str">
        <f>IF(A1298="","", WEEKNUM(A1298, 2))</f>
        <v/>
      </c>
    </row>
    <row r="1299" spans="13:13">
      <c r="M1299" s="3" t="str">
        <f>IF(A1299="","", WEEKNUM(A1299, 2))</f>
        <v/>
      </c>
    </row>
    <row r="1300" spans="13:13">
      <c r="M1300" s="3" t="str">
        <f>IF(A1300="","", WEEKNUM(A1300, 2))</f>
        <v/>
      </c>
    </row>
    <row r="1301" spans="13:13">
      <c r="M1301" s="3" t="str">
        <f>IF(A1301="","", WEEKNUM(A1301, 2))</f>
        <v/>
      </c>
    </row>
    <row r="1302" spans="13:13">
      <c r="M1302" s="3" t="str">
        <f>IF(A1302="","", WEEKNUM(A1302, 2))</f>
        <v/>
      </c>
    </row>
    <row r="1303" spans="13:13">
      <c r="M1303" s="3" t="str">
        <f>IF(A1303="","", WEEKNUM(A1303, 2))</f>
        <v/>
      </c>
    </row>
    <row r="1304" spans="13:13">
      <c r="M1304" s="3" t="str">
        <f>IF(A1304="","", WEEKNUM(A1304, 2))</f>
        <v/>
      </c>
    </row>
    <row r="1305" spans="13:13">
      <c r="M1305" s="3" t="str">
        <f>IF(A1305="","", WEEKNUM(A1305, 2))</f>
        <v/>
      </c>
    </row>
    <row r="1306" spans="13:13">
      <c r="M1306" s="3" t="str">
        <f>IF(A1306="","", WEEKNUM(A1306, 2))</f>
        <v/>
      </c>
    </row>
    <row r="1307" spans="13:13">
      <c r="M1307" s="3" t="str">
        <f>IF(A1307="","", WEEKNUM(A1307, 2))</f>
        <v/>
      </c>
    </row>
    <row r="1308" spans="13:13">
      <c r="M1308" s="3" t="str">
        <f>IF(A1308="","", WEEKNUM(A1308, 2))</f>
        <v/>
      </c>
    </row>
    <row r="1309" spans="13:13">
      <c r="M1309" s="3" t="str">
        <f>IF(A1309="","", WEEKNUM(A1309, 2))</f>
        <v/>
      </c>
    </row>
    <row r="1310" spans="13:13">
      <c r="M1310" s="3" t="str">
        <f>IF(A1310="","", WEEKNUM(A1310, 2))</f>
        <v/>
      </c>
    </row>
    <row r="1311" spans="13:13">
      <c r="M1311" s="3" t="str">
        <f>IF(A1311="","", WEEKNUM(A1311, 2))</f>
        <v/>
      </c>
    </row>
    <row r="1312" spans="13:13">
      <c r="M1312" s="3" t="str">
        <f>IF(A1312="","", WEEKNUM(A1312, 2))</f>
        <v/>
      </c>
    </row>
    <row r="1313" spans="13:13">
      <c r="M1313" s="3" t="str">
        <f>IF(A1313="","", WEEKNUM(A1313, 2))</f>
        <v/>
      </c>
    </row>
    <row r="1314" spans="13:13">
      <c r="M1314" s="3" t="str">
        <f>IF(A1314="","", WEEKNUM(A1314, 2))</f>
        <v/>
      </c>
    </row>
    <row r="1315" spans="13:13">
      <c r="M1315" s="3" t="str">
        <f>IF(A1315="","", WEEKNUM(A1315, 2))</f>
        <v/>
      </c>
    </row>
    <row r="1316" spans="13:13">
      <c r="M1316" s="3" t="str">
        <f>IF(A1316="","", WEEKNUM(A1316, 2))</f>
        <v/>
      </c>
    </row>
    <row r="1317" spans="13:13">
      <c r="M1317" s="3" t="str">
        <f>IF(A1317="","", WEEKNUM(A1317, 2))</f>
        <v/>
      </c>
    </row>
    <row r="1318" spans="13:13">
      <c r="M1318" s="3" t="str">
        <f>IF(A1318="","", WEEKNUM(A1318, 2))</f>
        <v/>
      </c>
    </row>
    <row r="1319" spans="13:13">
      <c r="M1319" s="3" t="str">
        <f>IF(A1319="","", WEEKNUM(A1319, 2))</f>
        <v/>
      </c>
    </row>
    <row r="1320" spans="13:13">
      <c r="M1320" s="3" t="str">
        <f>IF(A1320="","", WEEKNUM(A1320, 2))</f>
        <v/>
      </c>
    </row>
    <row r="1321" spans="13:13">
      <c r="M1321" s="3" t="str">
        <f>IF(A1321="","", WEEKNUM(A1321, 2))</f>
        <v/>
      </c>
    </row>
    <row r="1322" spans="13:13">
      <c r="M1322" s="3" t="str">
        <f>IF(A1322="","", WEEKNUM(A1322, 2))</f>
        <v/>
      </c>
    </row>
    <row r="1323" spans="13:13">
      <c r="M1323" s="3" t="str">
        <f>IF(A1323="","", WEEKNUM(A1323, 2))</f>
        <v/>
      </c>
    </row>
    <row r="1324" spans="13:13">
      <c r="M1324" s="3" t="str">
        <f>IF(A1324="","", WEEKNUM(A1324, 2))</f>
        <v/>
      </c>
    </row>
    <row r="1325" spans="13:13">
      <c r="M1325" s="3" t="str">
        <f>IF(A1325="","", WEEKNUM(A1325, 2))</f>
        <v/>
      </c>
    </row>
    <row r="1326" spans="13:13">
      <c r="M1326" s="3" t="str">
        <f>IF(A1326="","", WEEKNUM(A1326, 2))</f>
        <v/>
      </c>
    </row>
    <row r="1327" spans="13:13">
      <c r="M1327" s="3" t="str">
        <f>IF(A1327="","", WEEKNUM(A1327, 2))</f>
        <v/>
      </c>
    </row>
    <row r="1328" spans="13:13">
      <c r="M1328" s="3" t="str">
        <f>IF(A1328="","", WEEKNUM(A1328, 2))</f>
        <v/>
      </c>
    </row>
    <row r="1329" spans="13:13">
      <c r="M1329" s="3" t="str">
        <f>IF(A1329="","", WEEKNUM(A1329, 2))</f>
        <v/>
      </c>
    </row>
    <row r="1330" spans="13:13">
      <c r="M1330" s="3" t="str">
        <f>IF(A1330="","", WEEKNUM(A1330, 2))</f>
        <v/>
      </c>
    </row>
    <row r="1331" spans="13:13">
      <c r="M1331" s="3" t="str">
        <f>IF(A1331="","", WEEKNUM(A1331, 2))</f>
        <v/>
      </c>
    </row>
    <row r="1332" spans="13:13">
      <c r="M1332" s="3" t="str">
        <f>IF(A1332="","", WEEKNUM(A1332, 2))</f>
        <v/>
      </c>
    </row>
    <row r="1333" spans="13:13">
      <c r="M1333" s="3" t="str">
        <f>IF(A1333="","", WEEKNUM(A1333, 2))</f>
        <v/>
      </c>
    </row>
    <row r="1334" spans="13:13">
      <c r="M1334" s="3" t="str">
        <f>IF(A1334="","", WEEKNUM(A1334, 2))</f>
        <v/>
      </c>
    </row>
    <row r="1335" spans="13:13">
      <c r="M1335" s="3" t="str">
        <f>IF(A1335="","", WEEKNUM(A1335, 2))</f>
        <v/>
      </c>
    </row>
    <row r="1336" spans="13:13">
      <c r="M1336" s="3" t="str">
        <f>IF(A1336="","", WEEKNUM(A1336, 2))</f>
        <v/>
      </c>
    </row>
    <row r="1337" spans="13:13">
      <c r="M1337" s="3" t="str">
        <f>IF(A1337="","", WEEKNUM(A1337, 2))</f>
        <v/>
      </c>
    </row>
    <row r="1338" spans="13:13">
      <c r="M1338" s="3" t="str">
        <f>IF(A1338="","", WEEKNUM(A1338, 2))</f>
        <v/>
      </c>
    </row>
    <row r="1339" spans="13:13">
      <c r="M1339" s="3" t="str">
        <f>IF(A1339="","", WEEKNUM(A1339, 2))</f>
        <v/>
      </c>
    </row>
    <row r="1340" spans="13:13">
      <c r="M1340" s="3" t="str">
        <f>IF(A1340="","", WEEKNUM(A1340, 2))</f>
        <v/>
      </c>
    </row>
    <row r="1341" spans="13:13">
      <c r="M1341" s="3" t="str">
        <f>IF(A1341="","", WEEKNUM(A1341, 2))</f>
        <v/>
      </c>
    </row>
    <row r="1342" spans="13:13">
      <c r="M1342" s="3" t="str">
        <f>IF(A1342="","", WEEKNUM(A1342, 2))</f>
        <v/>
      </c>
    </row>
    <row r="1343" spans="13:13">
      <c r="M1343" s="3" t="str">
        <f>IF(A1343="","", WEEKNUM(A1343, 2))</f>
        <v/>
      </c>
    </row>
    <row r="1344" spans="13:13">
      <c r="M1344" s="3" t="str">
        <f>IF(A1344="","", WEEKNUM(A1344, 2))</f>
        <v/>
      </c>
    </row>
    <row r="1345" spans="13:13">
      <c r="M1345" s="3" t="str">
        <f>IF(A1345="","", WEEKNUM(A1345, 2))</f>
        <v/>
      </c>
    </row>
    <row r="1346" spans="13:13">
      <c r="M1346" s="3" t="str">
        <f>IF(A1346="","", WEEKNUM(A1346, 2))</f>
        <v/>
      </c>
    </row>
    <row r="1347" spans="13:13">
      <c r="M1347" s="3" t="str">
        <f>IF(A1347="","", WEEKNUM(A1347, 2))</f>
        <v/>
      </c>
    </row>
    <row r="1348" spans="13:13">
      <c r="M1348" s="3" t="str">
        <f>IF(A1348="","", WEEKNUM(A1348, 2))</f>
        <v/>
      </c>
    </row>
    <row r="1349" spans="13:13">
      <c r="M1349" s="3" t="str">
        <f>IF(A1349="","", WEEKNUM(A1349, 2))</f>
        <v/>
      </c>
    </row>
    <row r="1350" spans="13:13">
      <c r="M1350" s="3" t="str">
        <f>IF(A1350="","", WEEKNUM(A1350, 2))</f>
        <v/>
      </c>
    </row>
    <row r="1351" spans="13:13">
      <c r="M1351" s="3" t="str">
        <f>IF(A1351="","", WEEKNUM(A1351, 2))</f>
        <v/>
      </c>
    </row>
    <row r="1352" spans="13:13">
      <c r="M1352" s="3" t="str">
        <f>IF(A1352="","", WEEKNUM(A1352, 2))</f>
        <v/>
      </c>
    </row>
    <row r="1353" spans="13:13">
      <c r="M1353" s="3" t="str">
        <f>IF(A1353="","", WEEKNUM(A1353, 2))</f>
        <v/>
      </c>
    </row>
    <row r="1354" spans="13:13">
      <c r="M1354" s="3" t="str">
        <f>IF(A1354="","", WEEKNUM(A1354, 2))</f>
        <v/>
      </c>
    </row>
    <row r="1355" spans="13:13">
      <c r="M1355" s="3" t="str">
        <f>IF(A1355="","", WEEKNUM(A1355, 2))</f>
        <v/>
      </c>
    </row>
    <row r="1356" spans="13:13">
      <c r="M1356" s="3" t="str">
        <f>IF(A1356="","", WEEKNUM(A1356, 2))</f>
        <v/>
      </c>
    </row>
    <row r="1357" spans="13:13">
      <c r="M1357" s="3" t="str">
        <f>IF(A1357="","", WEEKNUM(A1357, 2))</f>
        <v/>
      </c>
    </row>
    <row r="1358" spans="13:13">
      <c r="M1358" s="3" t="str">
        <f>IF(A1358="","", WEEKNUM(A1358, 2))</f>
        <v/>
      </c>
    </row>
    <row r="1359" spans="13:13">
      <c r="M1359" s="3" t="str">
        <f>IF(A1359="","", WEEKNUM(A1359, 2))</f>
        <v/>
      </c>
    </row>
    <row r="1360" spans="13:13">
      <c r="M1360" s="3" t="str">
        <f>IF(A1360="","", WEEKNUM(A1360, 2))</f>
        <v/>
      </c>
    </row>
    <row r="1361" spans="13:13">
      <c r="M1361" s="3" t="str">
        <f>IF(A1361="","", WEEKNUM(A1361, 2))</f>
        <v/>
      </c>
    </row>
    <row r="1362" spans="13:13">
      <c r="M1362" s="3" t="str">
        <f>IF(A1362="","", WEEKNUM(A1362, 2))</f>
        <v/>
      </c>
    </row>
    <row r="1363" spans="13:13">
      <c r="M1363" s="3" t="str">
        <f>IF(A1363="","", WEEKNUM(A1363, 2))</f>
        <v/>
      </c>
    </row>
    <row r="1364" spans="13:13">
      <c r="M1364" s="3" t="str">
        <f>IF(A1364="","", WEEKNUM(A1364, 2))</f>
        <v/>
      </c>
    </row>
    <row r="1365" spans="13:13">
      <c r="M1365" s="3" t="str">
        <f>IF(A1365="","", WEEKNUM(A1365, 2))</f>
        <v/>
      </c>
    </row>
    <row r="1366" spans="13:13">
      <c r="M1366" s="3" t="str">
        <f>IF(A1366="","", WEEKNUM(A1366, 2))</f>
        <v/>
      </c>
    </row>
    <row r="1367" spans="13:13">
      <c r="M1367" s="3" t="str">
        <f>IF(A1367="","", WEEKNUM(A1367, 2))</f>
        <v/>
      </c>
    </row>
    <row r="1368" spans="13:13">
      <c r="M1368" s="3" t="str">
        <f>IF(A1368="","", WEEKNUM(A1368, 2))</f>
        <v/>
      </c>
    </row>
    <row r="1369" spans="13:13">
      <c r="M1369" s="3" t="str">
        <f>IF(A1369="","", WEEKNUM(A1369, 2))</f>
        <v/>
      </c>
    </row>
    <row r="1370" spans="13:13">
      <c r="M1370" s="3" t="str">
        <f>IF(A1370="","", WEEKNUM(A1370, 2))</f>
        <v/>
      </c>
    </row>
    <row r="1371" spans="13:13">
      <c r="M1371" s="3" t="str">
        <f>IF(A1371="","", WEEKNUM(A1371, 2))</f>
        <v/>
      </c>
    </row>
    <row r="1372" spans="13:13">
      <c r="M1372" s="3" t="str">
        <f>IF(A1372="","", WEEKNUM(A1372, 2))</f>
        <v/>
      </c>
    </row>
    <row r="1373" spans="13:13">
      <c r="M1373" s="3" t="str">
        <f>IF(A1373="","", WEEKNUM(A1373, 2))</f>
        <v/>
      </c>
    </row>
    <row r="1374" spans="13:13">
      <c r="M1374" s="3" t="str">
        <f>IF(A1374="","", WEEKNUM(A1374, 2))</f>
        <v/>
      </c>
    </row>
    <row r="1375" spans="13:13">
      <c r="M1375" s="3" t="str">
        <f>IF(A1375="","", WEEKNUM(A1375, 2))</f>
        <v/>
      </c>
    </row>
    <row r="1376" spans="13:13">
      <c r="M1376" s="3" t="str">
        <f>IF(A1376="","", WEEKNUM(A1376, 2))</f>
        <v/>
      </c>
    </row>
    <row r="1377" spans="13:13">
      <c r="M1377" s="3" t="str">
        <f>IF(A1377="","", WEEKNUM(A1377, 2))</f>
        <v/>
      </c>
    </row>
    <row r="1378" spans="13:13">
      <c r="M1378" s="3" t="str">
        <f>IF(A1378="","", WEEKNUM(A1378, 2))</f>
        <v/>
      </c>
    </row>
    <row r="1379" spans="13:13">
      <c r="M1379" s="3" t="str">
        <f>IF(A1379="","", WEEKNUM(A1379, 2))</f>
        <v/>
      </c>
    </row>
    <row r="1380" spans="13:13">
      <c r="M1380" s="3" t="str">
        <f>IF(A1380="","", WEEKNUM(A1380, 2))</f>
        <v/>
      </c>
    </row>
    <row r="1381" spans="13:13">
      <c r="M1381" s="3" t="str">
        <f>IF(A1381="","", WEEKNUM(A1381, 2))</f>
        <v/>
      </c>
    </row>
    <row r="1382" spans="13:13">
      <c r="M1382" s="3" t="str">
        <f>IF(A1382="","", WEEKNUM(A1382, 2))</f>
        <v/>
      </c>
    </row>
    <row r="1383" spans="13:13">
      <c r="M1383" s="3" t="str">
        <f>IF(A1383="","", WEEKNUM(A1383, 2))</f>
        <v/>
      </c>
    </row>
    <row r="1384" spans="13:13">
      <c r="M1384" s="3" t="str">
        <f>IF(A1384="","", WEEKNUM(A1384, 2))</f>
        <v/>
      </c>
    </row>
    <row r="1385" spans="13:13">
      <c r="M1385" s="3" t="str">
        <f>IF(A1385="","", WEEKNUM(A1385, 2))</f>
        <v/>
      </c>
    </row>
    <row r="1386" spans="13:13">
      <c r="M1386" s="3" t="str">
        <f>IF(A1386="","", WEEKNUM(A1386, 2))</f>
        <v/>
      </c>
    </row>
    <row r="1387" spans="13:13">
      <c r="M1387" s="3" t="str">
        <f>IF(A1387="","", WEEKNUM(A1387, 2))</f>
        <v/>
      </c>
    </row>
    <row r="1388" spans="13:13">
      <c r="M1388" s="3" t="str">
        <f>IF(A1388="","", WEEKNUM(A1388, 2))</f>
        <v/>
      </c>
    </row>
    <row r="1389" spans="13:13">
      <c r="M1389" s="3" t="str">
        <f>IF(A1389="","", WEEKNUM(A1389, 2))</f>
        <v/>
      </c>
    </row>
    <row r="1390" spans="13:13">
      <c r="M1390" s="3" t="str">
        <f>IF(A1390="","", WEEKNUM(A1390, 2))</f>
        <v/>
      </c>
    </row>
    <row r="1391" spans="13:13">
      <c r="M1391" s="3" t="str">
        <f>IF(A1391="","", WEEKNUM(A1391, 2))</f>
        <v/>
      </c>
    </row>
    <row r="1392" spans="13:13">
      <c r="M1392" s="3" t="str">
        <f>IF(A1392="","", WEEKNUM(A1392, 2))</f>
        <v/>
      </c>
    </row>
    <row r="1393" spans="13:13">
      <c r="M1393" s="3" t="str">
        <f>IF(A1393="","", WEEKNUM(A1393, 2))</f>
        <v/>
      </c>
    </row>
    <row r="1394" spans="13:13">
      <c r="M1394" s="3" t="str">
        <f>IF(A1394="","", WEEKNUM(A1394, 2))</f>
        <v/>
      </c>
    </row>
    <row r="1395" spans="13:13">
      <c r="M1395" s="3" t="str">
        <f>IF(A1395="","", WEEKNUM(A1395, 2))</f>
        <v/>
      </c>
    </row>
    <row r="1396" spans="13:13">
      <c r="M1396" s="3" t="str">
        <f>IF(A1396="","", WEEKNUM(A1396, 2))</f>
        <v/>
      </c>
    </row>
    <row r="1397" spans="13:13">
      <c r="M1397" s="3" t="str">
        <f>IF(A1397="","", WEEKNUM(A1397, 2))</f>
        <v/>
      </c>
    </row>
    <row r="1398" spans="13:13">
      <c r="M1398" s="3" t="str">
        <f>IF(A1398="","", WEEKNUM(A1398, 2))</f>
        <v/>
      </c>
    </row>
    <row r="1399" spans="13:13">
      <c r="M1399" s="3" t="str">
        <f>IF(A1399="","", WEEKNUM(A1399, 2))</f>
        <v/>
      </c>
    </row>
    <row r="1400" spans="13:13">
      <c r="M1400" s="3" t="str">
        <f>IF(A1400="","", WEEKNUM(A1400, 2))</f>
        <v/>
      </c>
    </row>
    <row r="1401" spans="13:13">
      <c r="M1401" s="3" t="str">
        <f>IF(A1401="","", WEEKNUM(A1401, 2))</f>
        <v/>
      </c>
    </row>
    <row r="1402" spans="13:13">
      <c r="M1402" s="3" t="str">
        <f>IF(A1402="","", WEEKNUM(A1402, 2))</f>
        <v/>
      </c>
    </row>
    <row r="1403" spans="13:13">
      <c r="M1403" s="3" t="str">
        <f>IF(A1403="","", WEEKNUM(A1403, 2))</f>
        <v/>
      </c>
    </row>
    <row r="1404" spans="13:13">
      <c r="M1404" s="3" t="str">
        <f>IF(A1404="","", WEEKNUM(A1404, 2))</f>
        <v/>
      </c>
    </row>
    <row r="1405" spans="13:13">
      <c r="M1405" s="3" t="str">
        <f>IF(A1405="","", WEEKNUM(A1405, 2))</f>
        <v/>
      </c>
    </row>
    <row r="1406" spans="13:13">
      <c r="M1406" s="3" t="str">
        <f>IF(A1406="","", WEEKNUM(A1406, 2))</f>
        <v/>
      </c>
    </row>
    <row r="1407" spans="13:13">
      <c r="M1407" s="3" t="str">
        <f>IF(A1407="","", WEEKNUM(A1407, 2))</f>
        <v/>
      </c>
    </row>
    <row r="1408" spans="13:13">
      <c r="M1408" s="3" t="str">
        <f>IF(A1408="","", WEEKNUM(A1408, 2))</f>
        <v/>
      </c>
    </row>
    <row r="1409" spans="13:13">
      <c r="M1409" s="3" t="str">
        <f>IF(A1409="","", WEEKNUM(A1409, 2))</f>
        <v/>
      </c>
    </row>
    <row r="1410" spans="13:13">
      <c r="M1410" s="3" t="str">
        <f>IF(A1410="","", WEEKNUM(A1410, 2))</f>
        <v/>
      </c>
    </row>
    <row r="1411" spans="13:13">
      <c r="M1411" s="3" t="str">
        <f>IF(A1411="","", WEEKNUM(A1411, 2))</f>
        <v/>
      </c>
    </row>
    <row r="1412" spans="13:13">
      <c r="M1412" s="3" t="str">
        <f>IF(A1412="","", WEEKNUM(A1412, 2))</f>
        <v/>
      </c>
    </row>
    <row r="1413" spans="13:13">
      <c r="M1413" s="3" t="str">
        <f>IF(A1413="","", WEEKNUM(A1413, 2))</f>
        <v/>
      </c>
    </row>
    <row r="1414" spans="13:13">
      <c r="M1414" s="3" t="str">
        <f>IF(A1414="","", WEEKNUM(A1414, 2))</f>
        <v/>
      </c>
    </row>
    <row r="1415" spans="13:13">
      <c r="M1415" s="3" t="str">
        <f>IF(A1415="","", WEEKNUM(A1415, 2))</f>
        <v/>
      </c>
    </row>
    <row r="1416" spans="13:13">
      <c r="M1416" s="3" t="str">
        <f>IF(A1416="","", WEEKNUM(A1416, 2))</f>
        <v/>
      </c>
    </row>
    <row r="1417" spans="13:13">
      <c r="M1417" s="3" t="str">
        <f>IF(A1417="","", WEEKNUM(A1417, 2))</f>
        <v/>
      </c>
    </row>
    <row r="1418" spans="13:13">
      <c r="M1418" s="3" t="str">
        <f>IF(A1418="","", WEEKNUM(A1418, 2))</f>
        <v/>
      </c>
    </row>
    <row r="1419" spans="13:13">
      <c r="M1419" s="3" t="str">
        <f>IF(A1419="","", WEEKNUM(A1419, 2))</f>
        <v/>
      </c>
    </row>
    <row r="1420" spans="13:13">
      <c r="M1420" s="3" t="str">
        <f>IF(A1420="","", WEEKNUM(A1420, 2))</f>
        <v/>
      </c>
    </row>
    <row r="1421" spans="13:13">
      <c r="M1421" s="3" t="str">
        <f>IF(A1421="","", WEEKNUM(A1421, 2))</f>
        <v/>
      </c>
    </row>
    <row r="1422" spans="13:13">
      <c r="M1422" s="3" t="str">
        <f>IF(A1422="","", WEEKNUM(A1422, 2))</f>
        <v/>
      </c>
    </row>
    <row r="1423" spans="13:13">
      <c r="M1423" s="3" t="str">
        <f>IF(A1423="","", WEEKNUM(A1423, 2))</f>
        <v/>
      </c>
    </row>
    <row r="1424" spans="13:13">
      <c r="M1424" s="3" t="str">
        <f>IF(A1424="","", WEEKNUM(A1424, 2))</f>
        <v/>
      </c>
    </row>
    <row r="1425" spans="13:13">
      <c r="M1425" s="3" t="str">
        <f>IF(A1425="","", WEEKNUM(A1425, 2))</f>
        <v/>
      </c>
    </row>
    <row r="1426" spans="13:13">
      <c r="M1426" s="3" t="str">
        <f>IF(A1426="","", WEEKNUM(A1426, 2))</f>
        <v/>
      </c>
    </row>
    <row r="1427" spans="13:13">
      <c r="M1427" s="3" t="str">
        <f>IF(A1427="","", WEEKNUM(A1427, 2))</f>
        <v/>
      </c>
    </row>
    <row r="1428" spans="13:13">
      <c r="M1428" s="3" t="str">
        <f>IF(A1428="","", WEEKNUM(A1428, 2))</f>
        <v/>
      </c>
    </row>
    <row r="1429" spans="13:13">
      <c r="M1429" s="3" t="str">
        <f>IF(A1429="","", WEEKNUM(A1429, 2))</f>
        <v/>
      </c>
    </row>
    <row r="1430" spans="13:13">
      <c r="M1430" s="3" t="str">
        <f>IF(A1430="","", WEEKNUM(A1430, 2))</f>
        <v/>
      </c>
    </row>
    <row r="1431" spans="13:13">
      <c r="M1431" s="3" t="str">
        <f>IF(A1431="","", WEEKNUM(A1431, 2))</f>
        <v/>
      </c>
    </row>
    <row r="1432" spans="13:13">
      <c r="M1432" s="3" t="str">
        <f>IF(A1432="","", WEEKNUM(A1432, 2))</f>
        <v/>
      </c>
    </row>
    <row r="1433" spans="13:13">
      <c r="M1433" s="3" t="str">
        <f>IF(A1433="","", WEEKNUM(A1433, 2))</f>
        <v/>
      </c>
    </row>
    <row r="1434" spans="13:13">
      <c r="M1434" s="3" t="str">
        <f>IF(A1434="","", WEEKNUM(A1434, 2))</f>
        <v/>
      </c>
    </row>
    <row r="1435" spans="13:13">
      <c r="M1435" s="3" t="str">
        <f>IF(A1435="","", WEEKNUM(A1435, 2))</f>
        <v/>
      </c>
    </row>
    <row r="1436" spans="13:13">
      <c r="M1436" s="3" t="str">
        <f>IF(A1436="","", WEEKNUM(A1436, 2))</f>
        <v/>
      </c>
    </row>
    <row r="1437" spans="13:13">
      <c r="M1437" s="3" t="str">
        <f>IF(A1437="","", WEEKNUM(A1437, 2))</f>
        <v/>
      </c>
    </row>
    <row r="1438" spans="13:13">
      <c r="M1438" s="3" t="str">
        <f>IF(A1438="","", WEEKNUM(A1438, 2))</f>
        <v/>
      </c>
    </row>
    <row r="1439" spans="13:13">
      <c r="M1439" s="3" t="str">
        <f>IF(A1439="","", WEEKNUM(A1439, 2))</f>
        <v/>
      </c>
    </row>
    <row r="1440" spans="13:13">
      <c r="M1440" s="3" t="str">
        <f>IF(A1440="","", WEEKNUM(A1440, 2))</f>
        <v/>
      </c>
    </row>
    <row r="1441" spans="13:13">
      <c r="M1441" s="3" t="str">
        <f>IF(A1441="","", WEEKNUM(A1441, 2))</f>
        <v/>
      </c>
    </row>
    <row r="1442" spans="13:13">
      <c r="M1442" s="3" t="str">
        <f>IF(A1442="","", WEEKNUM(A1442, 2))</f>
        <v/>
      </c>
    </row>
    <row r="1443" spans="13:13">
      <c r="M1443" s="3" t="str">
        <f>IF(A1443="","", WEEKNUM(A1443, 2))</f>
        <v/>
      </c>
    </row>
    <row r="1444" spans="13:13">
      <c r="M1444" s="3" t="str">
        <f>IF(A1444="","", WEEKNUM(A1444, 2))</f>
        <v/>
      </c>
    </row>
    <row r="1445" spans="13:13">
      <c r="M1445" s="3" t="str">
        <f>IF(A1445="","", WEEKNUM(A1445, 2))</f>
        <v/>
      </c>
    </row>
    <row r="1446" spans="13:13">
      <c r="M1446" s="3" t="str">
        <f>IF(A1446="","", WEEKNUM(A1446, 2))</f>
        <v/>
      </c>
    </row>
    <row r="1447" spans="13:13">
      <c r="M1447" s="3" t="str">
        <f>IF(A1447="","", WEEKNUM(A1447, 2))</f>
        <v/>
      </c>
    </row>
    <row r="1448" spans="13:13">
      <c r="M1448" s="3" t="str">
        <f>IF(A1448="","", WEEKNUM(A1448, 2))</f>
        <v/>
      </c>
    </row>
    <row r="1449" spans="13:13">
      <c r="M1449" s="3" t="str">
        <f>IF(A1449="","", WEEKNUM(A1449, 2))</f>
        <v/>
      </c>
    </row>
    <row r="1450" spans="13:13">
      <c r="M1450" s="3" t="str">
        <f>IF(A1450="","", WEEKNUM(A1450, 2))</f>
        <v/>
      </c>
    </row>
    <row r="1451" spans="13:13">
      <c r="M1451" s="3" t="str">
        <f>IF(A1451="","", WEEKNUM(A1451, 2))</f>
        <v/>
      </c>
    </row>
    <row r="1452" spans="13:13">
      <c r="M1452" s="3" t="str">
        <f>IF(A1452="","", WEEKNUM(A1452, 2))</f>
        <v/>
      </c>
    </row>
    <row r="1453" spans="13:13">
      <c r="M1453" s="3" t="str">
        <f>IF(A1453="","", WEEKNUM(A1453, 2))</f>
        <v/>
      </c>
    </row>
    <row r="1454" spans="13:13">
      <c r="M1454" s="3" t="str">
        <f>IF(A1454="","", WEEKNUM(A1454, 2))</f>
        <v/>
      </c>
    </row>
    <row r="1455" spans="13:13">
      <c r="M1455" s="3" t="str">
        <f>IF(A1455="","", WEEKNUM(A1455, 2))</f>
        <v/>
      </c>
    </row>
    <row r="1456" spans="13:13">
      <c r="M1456" s="3" t="str">
        <f>IF(A1456="","", WEEKNUM(A1456, 2))</f>
        <v/>
      </c>
    </row>
    <row r="1457" spans="13:13">
      <c r="M1457" s="3" t="str">
        <f>IF(A1457="","", WEEKNUM(A1457, 2))</f>
        <v/>
      </c>
    </row>
    <row r="1458" spans="13:13">
      <c r="M1458" s="3" t="str">
        <f>IF(A1458="","", WEEKNUM(A1458, 2))</f>
        <v/>
      </c>
    </row>
    <row r="1459" spans="13:13">
      <c r="M1459" s="3" t="str">
        <f>IF(A1459="","", WEEKNUM(A1459, 2))</f>
        <v/>
      </c>
    </row>
    <row r="1460" spans="13:13">
      <c r="M1460" s="3" t="str">
        <f>IF(A1460="","", WEEKNUM(A1460, 2))</f>
        <v/>
      </c>
    </row>
    <row r="1461" spans="13:13">
      <c r="M1461" s="3" t="str">
        <f>IF(A1461="","", WEEKNUM(A1461, 2))</f>
        <v/>
      </c>
    </row>
    <row r="1462" spans="13:13">
      <c r="M1462" s="3" t="str">
        <f>IF(A1462="","", WEEKNUM(A1462, 2))</f>
        <v/>
      </c>
    </row>
    <row r="1463" spans="13:13">
      <c r="M1463" s="3" t="str">
        <f>IF(A1463="","", WEEKNUM(A1463, 2))</f>
        <v/>
      </c>
    </row>
    <row r="1464" spans="13:13">
      <c r="M1464" s="3" t="str">
        <f>IF(A1464="","", WEEKNUM(A1464, 2))</f>
        <v/>
      </c>
    </row>
    <row r="1465" spans="13:13">
      <c r="M1465" s="3" t="str">
        <f>IF(A1465="","", WEEKNUM(A1465, 2))</f>
        <v/>
      </c>
    </row>
    <row r="1466" spans="13:13">
      <c r="M1466" s="3" t="str">
        <f>IF(A1466="","", WEEKNUM(A1466, 2))</f>
        <v/>
      </c>
    </row>
    <row r="1467" spans="13:13">
      <c r="M1467" s="3" t="str">
        <f>IF(A1467="","", WEEKNUM(A1467, 2))</f>
        <v/>
      </c>
    </row>
    <row r="1468" spans="13:13">
      <c r="M1468" s="3" t="str">
        <f>IF(A1468="","", WEEKNUM(A1468, 2))</f>
        <v/>
      </c>
    </row>
    <row r="1469" spans="13:13">
      <c r="M1469" s="3" t="str">
        <f>IF(A1469="","", WEEKNUM(A1469, 2))</f>
        <v/>
      </c>
    </row>
    <row r="1470" spans="13:13">
      <c r="M1470" s="3" t="str">
        <f>IF(A1470="","", WEEKNUM(A1470, 2))</f>
        <v/>
      </c>
    </row>
    <row r="1471" spans="13:13">
      <c r="M1471" s="3" t="str">
        <f>IF(A1471="","", WEEKNUM(A1471, 2))</f>
        <v/>
      </c>
    </row>
    <row r="1472" spans="13:13">
      <c r="M1472" s="3" t="str">
        <f>IF(A1472="","", WEEKNUM(A1472, 2))</f>
        <v/>
      </c>
    </row>
    <row r="1473" spans="13:13">
      <c r="M1473" s="3" t="str">
        <f>IF(A1473="","", WEEKNUM(A1473, 2))</f>
        <v/>
      </c>
    </row>
    <row r="1474" spans="13:13">
      <c r="M1474" s="3" t="str">
        <f>IF(A1474="","", WEEKNUM(A1474, 2))</f>
        <v/>
      </c>
    </row>
    <row r="1475" spans="13:13">
      <c r="M1475" s="3" t="str">
        <f>IF(A1475="","", WEEKNUM(A1475, 2))</f>
        <v/>
      </c>
    </row>
    <row r="1476" spans="13:13">
      <c r="M1476" s="3" t="str">
        <f>IF(A1476="","", WEEKNUM(A1476, 2))</f>
        <v/>
      </c>
    </row>
    <row r="1477" spans="13:13">
      <c r="M1477" s="3" t="str">
        <f>IF(A1477="","", WEEKNUM(A1477, 2))</f>
        <v/>
      </c>
    </row>
    <row r="1478" spans="13:13">
      <c r="M1478" s="3" t="str">
        <f>IF(A1478="","", WEEKNUM(A1478, 2))</f>
        <v/>
      </c>
    </row>
    <row r="1479" spans="13:13">
      <c r="M1479" s="3" t="str">
        <f>IF(A1479="","", WEEKNUM(A1479, 2))</f>
        <v/>
      </c>
    </row>
    <row r="1480" spans="13:13">
      <c r="M1480" s="3" t="str">
        <f>IF(A1480="","", WEEKNUM(A1480, 2))</f>
        <v/>
      </c>
    </row>
    <row r="1481" spans="13:13">
      <c r="M1481" s="3" t="str">
        <f>IF(A1481="","", WEEKNUM(A1481, 2))</f>
        <v/>
      </c>
    </row>
    <row r="1482" spans="13:13">
      <c r="M1482" s="3" t="str">
        <f>IF(A1482="","", WEEKNUM(A1482, 2))</f>
        <v/>
      </c>
    </row>
    <row r="1483" spans="13:13">
      <c r="M1483" s="3" t="str">
        <f>IF(A1483="","", WEEKNUM(A1483, 2))</f>
        <v/>
      </c>
    </row>
    <row r="1484" spans="13:13">
      <c r="M1484" s="3" t="str">
        <f>IF(A1484="","", WEEKNUM(A1484, 2))</f>
        <v/>
      </c>
    </row>
    <row r="1485" spans="13:13">
      <c r="M1485" s="3" t="str">
        <f>IF(A1485="","", WEEKNUM(A1485, 2))</f>
        <v/>
      </c>
    </row>
    <row r="1486" spans="13:13">
      <c r="M1486" s="3" t="str">
        <f>IF(A1486="","", WEEKNUM(A1486, 2))</f>
        <v/>
      </c>
    </row>
    <row r="1487" spans="13:13">
      <c r="M1487" s="3" t="str">
        <f>IF(A1487="","", WEEKNUM(A1487, 2))</f>
        <v/>
      </c>
    </row>
    <row r="1488" spans="13:13">
      <c r="M1488" s="3" t="str">
        <f>IF(A1488="","", WEEKNUM(A1488, 2))</f>
        <v/>
      </c>
    </row>
    <row r="1489" spans="13:13">
      <c r="M1489" s="3" t="str">
        <f>IF(A1489="","", WEEKNUM(A1489, 2))</f>
        <v/>
      </c>
    </row>
    <row r="1490" spans="13:13">
      <c r="M1490" s="3" t="str">
        <f>IF(A1490="","", WEEKNUM(A1490, 2))</f>
        <v/>
      </c>
    </row>
    <row r="1491" spans="13:13">
      <c r="M1491" s="3" t="str">
        <f>IF(A1491="","", WEEKNUM(A1491, 2))</f>
        <v/>
      </c>
    </row>
    <row r="1492" spans="13:13">
      <c r="M1492" s="3" t="str">
        <f>IF(A1492="","", WEEKNUM(A1492, 2))</f>
        <v/>
      </c>
    </row>
    <row r="1493" spans="13:13">
      <c r="M1493" s="3" t="str">
        <f>IF(A1493="","", WEEKNUM(A1493, 2))</f>
        <v/>
      </c>
    </row>
    <row r="1494" spans="13:13">
      <c r="M1494" s="3" t="str">
        <f>IF(A1494="","", WEEKNUM(A1494, 2))</f>
        <v/>
      </c>
    </row>
    <row r="1495" spans="13:13">
      <c r="M1495" s="3" t="str">
        <f>IF(A1495="","", WEEKNUM(A1495, 2))</f>
        <v/>
      </c>
    </row>
    <row r="1496" spans="13:13">
      <c r="M1496" s="3" t="str">
        <f>IF(A1496="","", WEEKNUM(A1496, 2))</f>
        <v/>
      </c>
    </row>
    <row r="1497" spans="13:13">
      <c r="M1497" s="3" t="str">
        <f>IF(A1497="","", WEEKNUM(A1497, 2))</f>
        <v/>
      </c>
    </row>
    <row r="1498" spans="13:13">
      <c r="M1498" s="3" t="str">
        <f>IF(A1498="","", WEEKNUM(A1498, 2))</f>
        <v/>
      </c>
    </row>
    <row r="1499" spans="13:13">
      <c r="M1499" s="3" t="str">
        <f>IF(A1499="","", WEEKNUM(A1499, 2))</f>
        <v/>
      </c>
    </row>
    <row r="1500" spans="13:13">
      <c r="M1500" s="3" t="str">
        <f>IF(A1500="","", WEEKNUM(A1500, 2))</f>
        <v/>
      </c>
    </row>
    <row r="1501" spans="13:13">
      <c r="M1501" s="3" t="str">
        <f>IF(A1501="","", WEEKNUM(A1501, 2))</f>
        <v/>
      </c>
    </row>
    <row r="1502" spans="13:13">
      <c r="M1502" s="3" t="str">
        <f>IF(A1502="","", WEEKNUM(A1502, 2))</f>
        <v/>
      </c>
    </row>
    <row r="1503" spans="13:13">
      <c r="M1503" s="3" t="str">
        <f>IF(A1503="","", WEEKNUM(A1503, 2))</f>
        <v/>
      </c>
    </row>
    <row r="1504" spans="13:13">
      <c r="M1504" s="3" t="str">
        <f>IF(A1504="","", WEEKNUM(A1504, 2))</f>
        <v/>
      </c>
    </row>
    <row r="1505" spans="13:13">
      <c r="M1505" s="3" t="str">
        <f>IF(A1505="","", WEEKNUM(A1505, 2))</f>
        <v/>
      </c>
    </row>
    <row r="1506" spans="13:13">
      <c r="M1506" s="3" t="str">
        <f>IF(A1506="","", WEEKNUM(A1506, 2))</f>
        <v/>
      </c>
    </row>
    <row r="1507" spans="13:13">
      <c r="M1507" s="3" t="str">
        <f>IF(A1507="","", WEEKNUM(A1507, 2))</f>
        <v/>
      </c>
    </row>
    <row r="1508" spans="13:13">
      <c r="M1508" s="3" t="str">
        <f>IF(A1508="","", WEEKNUM(A1508, 2))</f>
        <v/>
      </c>
    </row>
    <row r="1509" spans="13:13">
      <c r="M1509" s="3" t="str">
        <f>IF(A1509="","", WEEKNUM(A1509, 2))</f>
        <v/>
      </c>
    </row>
    <row r="1510" spans="13:13">
      <c r="M1510" s="3" t="str">
        <f>IF(A1510="","", WEEKNUM(A1510, 2))</f>
        <v/>
      </c>
    </row>
    <row r="1511" spans="13:13">
      <c r="M1511" s="3" t="str">
        <f>IF(A1511="","", WEEKNUM(A1511, 2))</f>
        <v/>
      </c>
    </row>
    <row r="1512" spans="13:13">
      <c r="M1512" s="3" t="str">
        <f>IF(A1512="","", WEEKNUM(A1512, 2))</f>
        <v/>
      </c>
    </row>
    <row r="1513" spans="13:13">
      <c r="M1513" s="3" t="str">
        <f>IF(A1513="","", WEEKNUM(A1513, 2))</f>
        <v/>
      </c>
    </row>
    <row r="1514" spans="13:13">
      <c r="M1514" s="3" t="str">
        <f>IF(A1514="","", WEEKNUM(A1514, 2))</f>
        <v/>
      </c>
    </row>
    <row r="1515" spans="13:13">
      <c r="M1515" s="3" t="str">
        <f>IF(A1515="","", WEEKNUM(A1515, 2))</f>
        <v/>
      </c>
    </row>
    <row r="1516" spans="13:13">
      <c r="M1516" s="3" t="str">
        <f>IF(A1516="","", WEEKNUM(A1516, 2))</f>
        <v/>
      </c>
    </row>
    <row r="1517" spans="13:13">
      <c r="M1517" s="3" t="str">
        <f>IF(A1517="","", WEEKNUM(A1517, 2))</f>
        <v/>
      </c>
    </row>
    <row r="1518" spans="13:13">
      <c r="M1518" s="3" t="str">
        <f>IF(A1518="","", WEEKNUM(A1518, 2))</f>
        <v/>
      </c>
    </row>
    <row r="1519" spans="13:13">
      <c r="M1519" s="3" t="str">
        <f>IF(A1519="","", WEEKNUM(A1519, 2))</f>
        <v/>
      </c>
    </row>
    <row r="1520" spans="13:13">
      <c r="M1520" s="3" t="str">
        <f>IF(A1520="","", WEEKNUM(A1520, 2))</f>
        <v/>
      </c>
    </row>
    <row r="1521" spans="13:13">
      <c r="M1521" s="3" t="str">
        <f>IF(A1521="","", WEEKNUM(A1521, 2))</f>
        <v/>
      </c>
    </row>
    <row r="1522" spans="13:13">
      <c r="M1522" s="3" t="str">
        <f>IF(A1522="","", WEEKNUM(A1522, 2))</f>
        <v/>
      </c>
    </row>
    <row r="1523" spans="13:13">
      <c r="M1523" s="3" t="str">
        <f>IF(A1523="","", WEEKNUM(A1523, 2))</f>
        <v/>
      </c>
    </row>
    <row r="1524" spans="13:13">
      <c r="M1524" s="3" t="str">
        <f>IF(A1524="","", WEEKNUM(A1524, 2))</f>
        <v/>
      </c>
    </row>
    <row r="1525" spans="13:13">
      <c r="M1525" s="3" t="str">
        <f>IF(A1525="","", WEEKNUM(A1525, 2))</f>
        <v/>
      </c>
    </row>
    <row r="1526" spans="13:13">
      <c r="M1526" s="3" t="str">
        <f>IF(A1526="","", WEEKNUM(A1526, 2))</f>
        <v/>
      </c>
    </row>
    <row r="1527" spans="13:13">
      <c r="M1527" s="3" t="str">
        <f>IF(A1527="","", WEEKNUM(A1527, 2))</f>
        <v/>
      </c>
    </row>
    <row r="1528" spans="13:13">
      <c r="M1528" s="3" t="str">
        <f>IF(A1528="","", WEEKNUM(A1528, 2))</f>
        <v/>
      </c>
    </row>
    <row r="1529" spans="13:13">
      <c r="M1529" s="3" t="str">
        <f>IF(A1529="","", WEEKNUM(A1529, 2))</f>
        <v/>
      </c>
    </row>
    <row r="1530" spans="13:13">
      <c r="M1530" s="3" t="str">
        <f>IF(A1530="","", WEEKNUM(A1530, 2))</f>
        <v/>
      </c>
    </row>
    <row r="1531" spans="13:13">
      <c r="M1531" s="3" t="str">
        <f>IF(A1531="","", WEEKNUM(A1531, 2))</f>
        <v/>
      </c>
    </row>
    <row r="1532" spans="13:13">
      <c r="M1532" s="3" t="str">
        <f>IF(A1532="","", WEEKNUM(A1532, 2))</f>
        <v/>
      </c>
    </row>
    <row r="1533" spans="13:13">
      <c r="M1533" s="3" t="str">
        <f>IF(A1533="","", WEEKNUM(A1533, 2))</f>
        <v/>
      </c>
    </row>
    <row r="1534" spans="13:13">
      <c r="M1534" s="3" t="str">
        <f>IF(A1534="","", WEEKNUM(A1534, 2))</f>
        <v/>
      </c>
    </row>
    <row r="1535" spans="13:13">
      <c r="M1535" s="3" t="str">
        <f>IF(A1535="","", WEEKNUM(A1535, 2))</f>
        <v/>
      </c>
    </row>
    <row r="1536" spans="13:13">
      <c r="M1536" s="3" t="str">
        <f>IF(A1536="","", WEEKNUM(A1536, 2))</f>
        <v/>
      </c>
    </row>
    <row r="1537" spans="13:13">
      <c r="M1537" s="3" t="str">
        <f>IF(A1537="","", WEEKNUM(A1537, 2))</f>
        <v/>
      </c>
    </row>
    <row r="1538" spans="13:13">
      <c r="M1538" s="3" t="str">
        <f>IF(A1538="","", WEEKNUM(A1538, 2))</f>
        <v/>
      </c>
    </row>
    <row r="1539" spans="13:13">
      <c r="M1539" s="3" t="str">
        <f>IF(A1539="","", WEEKNUM(A1539, 2))</f>
        <v/>
      </c>
    </row>
    <row r="1540" spans="13:13">
      <c r="M1540" s="3" t="str">
        <f>IF(A1540="","", WEEKNUM(A1540, 2))</f>
        <v/>
      </c>
    </row>
    <row r="1541" spans="13:13">
      <c r="M1541" s="3" t="str">
        <f>IF(A1541="","", WEEKNUM(A1541, 2))</f>
        <v/>
      </c>
    </row>
    <row r="1542" spans="13:13">
      <c r="M1542" s="3" t="str">
        <f>IF(A1542="","", WEEKNUM(A1542, 2))</f>
        <v/>
      </c>
    </row>
    <row r="1543" spans="13:13">
      <c r="M1543" s="3" t="str">
        <f>IF(A1543="","", WEEKNUM(A1543, 2))</f>
        <v/>
      </c>
    </row>
    <row r="1544" spans="13:13">
      <c r="M1544" s="3" t="str">
        <f>IF(A1544="","", WEEKNUM(A1544, 2))</f>
        <v/>
      </c>
    </row>
    <row r="1545" spans="13:13">
      <c r="M1545" s="3" t="str">
        <f>IF(A1545="","", WEEKNUM(A1545, 2))</f>
        <v/>
      </c>
    </row>
    <row r="1546" spans="13:13">
      <c r="M1546" s="3" t="str">
        <f>IF(A1546="","", WEEKNUM(A1546, 2))</f>
        <v/>
      </c>
    </row>
    <row r="1547" spans="13:13">
      <c r="M1547" s="3" t="str">
        <f>IF(A1547="","", WEEKNUM(A1547, 2))</f>
        <v/>
      </c>
    </row>
    <row r="1548" spans="13:13">
      <c r="M1548" s="3" t="str">
        <f>IF(A1548="","", WEEKNUM(A1548, 2))</f>
        <v/>
      </c>
    </row>
    <row r="1549" spans="13:13">
      <c r="M1549" s="3" t="str">
        <f>IF(A1549="","", WEEKNUM(A1549, 2))</f>
        <v/>
      </c>
    </row>
    <row r="1550" spans="13:13">
      <c r="M1550" s="3" t="str">
        <f>IF(A1550="","", WEEKNUM(A1550, 2))</f>
        <v/>
      </c>
    </row>
    <row r="1551" spans="13:13">
      <c r="M1551" s="3" t="str">
        <f>IF(A1551="","", WEEKNUM(A1551, 2))</f>
        <v/>
      </c>
    </row>
    <row r="1552" spans="13:13">
      <c r="M1552" s="3" t="str">
        <f>IF(A1552="","", WEEKNUM(A1552, 2))</f>
        <v/>
      </c>
    </row>
    <row r="1553" spans="13:13">
      <c r="M1553" s="3" t="str">
        <f>IF(A1553="","", WEEKNUM(A1553, 2))</f>
        <v/>
      </c>
    </row>
    <row r="1554" spans="13:13">
      <c r="M1554" s="3" t="str">
        <f>IF(A1554="","", WEEKNUM(A1554, 2))</f>
        <v/>
      </c>
    </row>
    <row r="1555" spans="13:13">
      <c r="M1555" s="3" t="str">
        <f>IF(A1555="","", WEEKNUM(A1555, 2))</f>
        <v/>
      </c>
    </row>
    <row r="1556" spans="13:13">
      <c r="M1556" s="3" t="str">
        <f>IF(A1556="","", WEEKNUM(A1556, 2))</f>
        <v/>
      </c>
    </row>
    <row r="1557" spans="13:13">
      <c r="M1557" s="3" t="str">
        <f>IF(A1557="","", WEEKNUM(A1557, 2))</f>
        <v/>
      </c>
    </row>
    <row r="1558" spans="13:13">
      <c r="M1558" s="3" t="str">
        <f>IF(A1558="","", WEEKNUM(A1558, 2))</f>
        <v/>
      </c>
    </row>
    <row r="1559" spans="13:13">
      <c r="M1559" s="3" t="str">
        <f>IF(A1559="","", WEEKNUM(A1559, 2))</f>
        <v/>
      </c>
    </row>
    <row r="1560" spans="13:13">
      <c r="M1560" s="3" t="str">
        <f>IF(A1560="","", WEEKNUM(A1560, 2))</f>
        <v/>
      </c>
    </row>
    <row r="1561" spans="13:13">
      <c r="M1561" s="3" t="str">
        <f>IF(A1561="","", WEEKNUM(A1561, 2))</f>
        <v/>
      </c>
    </row>
    <row r="1562" spans="13:13">
      <c r="M1562" s="3" t="str">
        <f>IF(A1562="","", WEEKNUM(A1562, 2))</f>
        <v/>
      </c>
    </row>
    <row r="1563" spans="13:13">
      <c r="M1563" s="3" t="str">
        <f>IF(A1563="","", WEEKNUM(A1563, 2))</f>
        <v/>
      </c>
    </row>
    <row r="1564" spans="13:13">
      <c r="M1564" s="3" t="str">
        <f>IF(A1564="","", WEEKNUM(A1564, 2))</f>
        <v/>
      </c>
    </row>
    <row r="1565" spans="13:13">
      <c r="M1565" s="3" t="str">
        <f>IF(A1565="","", WEEKNUM(A1565, 2))</f>
        <v/>
      </c>
    </row>
    <row r="1566" spans="13:13">
      <c r="M1566" s="3" t="str">
        <f>IF(A1566="","", WEEKNUM(A1566, 2))</f>
        <v/>
      </c>
    </row>
    <row r="1567" spans="13:13">
      <c r="M1567" s="3" t="str">
        <f>IF(A1567="","", WEEKNUM(A1567, 2))</f>
        <v/>
      </c>
    </row>
    <row r="1568" spans="13:13">
      <c r="M1568" s="3" t="str">
        <f>IF(A1568="","", WEEKNUM(A1568, 2))</f>
        <v/>
      </c>
    </row>
    <row r="1569" spans="13:13">
      <c r="M1569" s="3" t="str">
        <f>IF(A1569="","", WEEKNUM(A1569, 2))</f>
        <v/>
      </c>
    </row>
    <row r="1570" spans="13:13">
      <c r="M1570" s="3" t="str">
        <f>IF(A1570="","", WEEKNUM(A1570, 2))</f>
        <v/>
      </c>
    </row>
    <row r="1571" spans="13:13">
      <c r="M1571" s="3" t="str">
        <f>IF(A1571="","", WEEKNUM(A1571, 2))</f>
        <v/>
      </c>
    </row>
    <row r="1572" spans="13:13">
      <c r="M1572" s="3" t="str">
        <f>IF(A1572="","", WEEKNUM(A1572, 2))</f>
        <v/>
      </c>
    </row>
    <row r="1573" spans="13:13">
      <c r="M1573" s="3" t="str">
        <f>IF(A1573="","", WEEKNUM(A1573, 2))</f>
        <v/>
      </c>
    </row>
    <row r="1574" spans="13:13">
      <c r="M1574" s="3" t="str">
        <f>IF(A1574="","", WEEKNUM(A1574, 2))</f>
        <v/>
      </c>
    </row>
    <row r="1575" spans="13:13">
      <c r="M1575" s="3" t="str">
        <f>IF(A1575="","", WEEKNUM(A1575, 2))</f>
        <v/>
      </c>
    </row>
    <row r="1576" spans="13:13">
      <c r="M1576" s="3" t="str">
        <f>IF(A1576="","", WEEKNUM(A1576, 2))</f>
        <v/>
      </c>
    </row>
    <row r="1577" spans="13:13">
      <c r="M1577" s="3" t="str">
        <f>IF(A1577="","", WEEKNUM(A1577, 2))</f>
        <v/>
      </c>
    </row>
    <row r="1578" spans="13:13">
      <c r="M1578" s="3" t="str">
        <f>IF(A1578="","", WEEKNUM(A1578, 2))</f>
        <v/>
      </c>
    </row>
    <row r="1579" spans="13:13">
      <c r="M1579" s="3" t="str">
        <f>IF(A1579="","", WEEKNUM(A1579, 2))</f>
        <v/>
      </c>
    </row>
    <row r="1580" spans="13:13">
      <c r="M1580" s="3" t="str">
        <f>IF(A1580="","", WEEKNUM(A1580, 2))</f>
        <v/>
      </c>
    </row>
    <row r="1581" spans="13:13">
      <c r="M1581" s="3" t="str">
        <f>IF(A1581="","", WEEKNUM(A1581, 2))</f>
        <v/>
      </c>
    </row>
    <row r="1582" spans="13:13">
      <c r="M1582" s="3" t="str">
        <f>IF(A1582="","", WEEKNUM(A1582, 2))</f>
        <v/>
      </c>
    </row>
    <row r="1583" spans="13:13">
      <c r="M1583" s="3" t="str">
        <f>IF(A1583="","", WEEKNUM(A1583, 2))</f>
        <v/>
      </c>
    </row>
    <row r="1584" spans="13:13">
      <c r="M1584" s="3" t="str">
        <f>IF(A1584="","", WEEKNUM(A1584, 2))</f>
        <v/>
      </c>
    </row>
    <row r="1585" spans="13:13">
      <c r="M1585" s="3" t="str">
        <f>IF(A1585="","", WEEKNUM(A1585, 2))</f>
        <v/>
      </c>
    </row>
    <row r="1586" spans="13:13">
      <c r="M1586" s="3" t="str">
        <f>IF(A1586="","", WEEKNUM(A1586, 2))</f>
        <v/>
      </c>
    </row>
    <row r="1587" spans="13:13">
      <c r="M1587" s="3" t="str">
        <f>IF(A1587="","", WEEKNUM(A1587, 2))</f>
        <v/>
      </c>
    </row>
    <row r="1588" spans="13:13">
      <c r="M1588" s="3" t="str">
        <f>IF(A1588="","", WEEKNUM(A1588, 2))</f>
        <v/>
      </c>
    </row>
    <row r="1589" spans="13:13">
      <c r="M1589" s="3" t="str">
        <f>IF(A1589="","", WEEKNUM(A1589, 2))</f>
        <v/>
      </c>
    </row>
    <row r="1590" spans="13:13">
      <c r="M1590" s="3" t="str">
        <f>IF(A1590="","", WEEKNUM(A1590, 2))</f>
        <v/>
      </c>
    </row>
    <row r="1591" spans="13:13">
      <c r="M1591" s="3" t="str">
        <f>IF(A1591="","", WEEKNUM(A1591, 2))</f>
        <v/>
      </c>
    </row>
    <row r="1592" spans="13:13">
      <c r="M1592" s="3" t="str">
        <f>IF(A1592="","", WEEKNUM(A1592, 2))</f>
        <v/>
      </c>
    </row>
    <row r="1593" spans="13:13">
      <c r="M1593" s="3" t="str">
        <f>IF(A1593="","", WEEKNUM(A1593, 2))</f>
        <v/>
      </c>
    </row>
    <row r="1594" spans="13:13">
      <c r="M1594" s="3" t="str">
        <f>IF(A1594="","", WEEKNUM(A1594, 2))</f>
        <v/>
      </c>
    </row>
    <row r="1595" spans="13:13">
      <c r="M1595" s="3" t="str">
        <f>IF(A1595="","", WEEKNUM(A1595, 2))</f>
        <v/>
      </c>
    </row>
    <row r="1596" spans="13:13">
      <c r="M1596" s="3" t="str">
        <f>IF(A1596="","", WEEKNUM(A1596, 2))</f>
        <v/>
      </c>
    </row>
    <row r="1597" spans="13:13">
      <c r="M1597" s="3" t="str">
        <f>IF(A1597="","", WEEKNUM(A1597, 2))</f>
        <v/>
      </c>
    </row>
    <row r="1598" spans="13:13">
      <c r="M1598" s="3" t="str">
        <f>IF(A1598="","", WEEKNUM(A1598, 2))</f>
        <v/>
      </c>
    </row>
    <row r="1599" spans="13:13">
      <c r="M1599" s="3" t="str">
        <f>IF(A1599="","", WEEKNUM(A1599, 2))</f>
        <v/>
      </c>
    </row>
    <row r="1600" spans="13:13">
      <c r="M1600" s="3" t="str">
        <f>IF(A1600="","", WEEKNUM(A1600, 2))</f>
        <v/>
      </c>
    </row>
    <row r="1601" spans="13:13">
      <c r="M1601" s="3" t="str">
        <f>IF(A1601="","", WEEKNUM(A1601, 2))</f>
        <v/>
      </c>
    </row>
    <row r="1602" spans="13:13">
      <c r="M1602" s="3" t="str">
        <f>IF(A1602="","", WEEKNUM(A1602, 2))</f>
        <v/>
      </c>
    </row>
    <row r="1603" spans="13:13">
      <c r="M1603" s="3" t="str">
        <f>IF(A1603="","", WEEKNUM(A1603, 2))</f>
        <v/>
      </c>
    </row>
    <row r="1604" spans="13:13">
      <c r="M1604" s="3" t="str">
        <f>IF(A1604="","", WEEKNUM(A1604, 2))</f>
        <v/>
      </c>
    </row>
    <row r="1605" spans="13:13">
      <c r="M1605" s="3" t="str">
        <f>IF(A1605="","", WEEKNUM(A1605, 2))</f>
        <v/>
      </c>
    </row>
    <row r="1606" spans="13:13">
      <c r="M1606" s="3" t="str">
        <f>IF(A1606="","", WEEKNUM(A1606, 2))</f>
        <v/>
      </c>
    </row>
    <row r="1607" spans="13:13">
      <c r="M1607" s="3" t="str">
        <f>IF(A1607="","", WEEKNUM(A1607, 2))</f>
        <v/>
      </c>
    </row>
    <row r="1608" spans="13:13">
      <c r="M1608" s="3" t="str">
        <f>IF(A1608="","", WEEKNUM(A1608, 2))</f>
        <v/>
      </c>
    </row>
    <row r="1609" spans="13:13">
      <c r="M1609" s="3" t="str">
        <f>IF(A1609="","", WEEKNUM(A1609, 2))</f>
        <v/>
      </c>
    </row>
    <row r="1610" spans="13:13">
      <c r="M1610" s="3" t="str">
        <f>IF(A1610="","", WEEKNUM(A1610, 2))</f>
        <v/>
      </c>
    </row>
    <row r="1611" spans="13:13">
      <c r="M1611" s="3" t="str">
        <f>IF(A1611="","", WEEKNUM(A1611, 2))</f>
        <v/>
      </c>
    </row>
    <row r="1612" spans="13:13">
      <c r="M1612" s="3" t="str">
        <f>IF(A1612="","", WEEKNUM(A1612, 2))</f>
        <v/>
      </c>
    </row>
    <row r="1613" spans="13:13">
      <c r="M1613" s="3" t="str">
        <f>IF(A1613="","", WEEKNUM(A1613, 2))</f>
        <v/>
      </c>
    </row>
    <row r="1614" spans="13:13">
      <c r="M1614" s="3" t="str">
        <f>IF(A1614="","", WEEKNUM(A1614, 2))</f>
        <v/>
      </c>
    </row>
    <row r="1615" spans="13:13">
      <c r="M1615" s="3" t="str">
        <f>IF(A1615="","", WEEKNUM(A1615, 2))</f>
        <v/>
      </c>
    </row>
    <row r="1616" spans="13:13">
      <c r="M1616" s="3" t="str">
        <f>IF(A1616="","", WEEKNUM(A1616, 2))</f>
        <v/>
      </c>
    </row>
    <row r="1617" spans="13:13">
      <c r="M1617" s="3" t="str">
        <f>IF(A1617="","", WEEKNUM(A1617, 2))</f>
        <v/>
      </c>
    </row>
    <row r="1618" spans="13:13">
      <c r="M1618" s="3" t="str">
        <f>IF(A1618="","", WEEKNUM(A1618, 2))</f>
        <v/>
      </c>
    </row>
    <row r="1619" spans="13:13">
      <c r="M1619" s="3" t="str">
        <f>IF(A1619="","", WEEKNUM(A1619, 2))</f>
        <v/>
      </c>
    </row>
    <row r="1620" spans="13:13">
      <c r="M1620" s="3" t="str">
        <f>IF(A1620="","", WEEKNUM(A1620, 2))</f>
        <v/>
      </c>
    </row>
    <row r="1621" spans="13:13">
      <c r="M1621" s="3" t="str">
        <f>IF(A1621="","", WEEKNUM(A1621, 2))</f>
        <v/>
      </c>
    </row>
    <row r="1622" spans="13:13">
      <c r="M1622" s="3" t="str">
        <f>IF(A1622="","", WEEKNUM(A1622, 2))</f>
        <v/>
      </c>
    </row>
    <row r="1623" spans="13:13">
      <c r="M1623" s="3" t="str">
        <f>IF(A1623="","", WEEKNUM(A1623, 2))</f>
        <v/>
      </c>
    </row>
    <row r="1624" spans="13:13">
      <c r="M1624" s="3" t="str">
        <f>IF(A1624="","", WEEKNUM(A1624, 2))</f>
        <v/>
      </c>
    </row>
    <row r="1625" spans="13:13">
      <c r="M1625" s="3" t="str">
        <f>IF(A1625="","", WEEKNUM(A1625, 2))</f>
        <v/>
      </c>
    </row>
    <row r="1626" spans="13:13">
      <c r="M1626" s="3" t="str">
        <f>IF(A1626="","", WEEKNUM(A1626, 2))</f>
        <v/>
      </c>
    </row>
    <row r="1627" spans="13:13">
      <c r="M1627" s="3" t="str">
        <f>IF(A1627="","", WEEKNUM(A1627, 2))</f>
        <v/>
      </c>
    </row>
    <row r="1628" spans="13:13">
      <c r="M1628" s="3" t="str">
        <f>IF(A1628="","", WEEKNUM(A1628, 2))</f>
        <v/>
      </c>
    </row>
    <row r="1629" spans="13:13">
      <c r="M1629" s="3" t="str">
        <f>IF(A1629="","", WEEKNUM(A1629, 2))</f>
        <v/>
      </c>
    </row>
    <row r="1630" spans="13:13">
      <c r="M1630" s="3" t="str">
        <f>IF(A1630="","", WEEKNUM(A1630, 2))</f>
        <v/>
      </c>
    </row>
    <row r="1631" spans="13:13">
      <c r="M1631" s="3" t="str">
        <f>IF(A1631="","", WEEKNUM(A1631, 2))</f>
        <v/>
      </c>
    </row>
    <row r="1632" spans="13:13">
      <c r="M1632" s="3" t="str">
        <f>IF(A1632="","", WEEKNUM(A1632, 2))</f>
        <v/>
      </c>
    </row>
    <row r="1633" spans="13:13">
      <c r="M1633" s="3" t="str">
        <f>IF(A1633="","", WEEKNUM(A1633, 2))</f>
        <v/>
      </c>
    </row>
    <row r="1634" spans="13:13">
      <c r="M1634" s="3" t="str">
        <f>IF(A1634="","", WEEKNUM(A1634, 2))</f>
        <v/>
      </c>
    </row>
    <row r="1635" spans="13:13">
      <c r="M1635" s="3" t="str">
        <f>IF(A1635="","", WEEKNUM(A1635, 2))</f>
        <v/>
      </c>
    </row>
    <row r="1636" spans="13:13">
      <c r="M1636" s="3" t="str">
        <f>IF(A1636="","", WEEKNUM(A1636, 2))</f>
        <v/>
      </c>
    </row>
    <row r="1637" spans="13:13">
      <c r="M1637" s="3" t="str">
        <f>IF(A1637="","", WEEKNUM(A1637, 2))</f>
        <v/>
      </c>
    </row>
    <row r="1638" spans="13:13">
      <c r="M1638" s="3" t="str">
        <f>IF(A1638="","", WEEKNUM(A1638, 2))</f>
        <v/>
      </c>
    </row>
    <row r="1639" spans="13:13">
      <c r="M1639" s="3" t="str">
        <f>IF(A1639="","", WEEKNUM(A1639, 2))</f>
        <v/>
      </c>
    </row>
    <row r="1640" spans="13:13">
      <c r="M1640" s="3" t="str">
        <f>IF(A1640="","", WEEKNUM(A1640, 2))</f>
        <v/>
      </c>
    </row>
    <row r="1641" spans="13:13">
      <c r="M1641" s="3" t="str">
        <f>IF(A1641="","", WEEKNUM(A1641, 2))</f>
        <v/>
      </c>
    </row>
    <row r="1642" spans="13:13">
      <c r="M1642" s="3" t="str">
        <f>IF(A1642="","", WEEKNUM(A1642, 2))</f>
        <v/>
      </c>
    </row>
    <row r="1643" spans="13:13">
      <c r="M1643" s="3" t="str">
        <f>IF(A1643="","", WEEKNUM(A1643, 2))</f>
        <v/>
      </c>
    </row>
    <row r="1644" spans="13:13">
      <c r="M1644" s="3" t="str">
        <f>IF(A1644="","", WEEKNUM(A1644, 2))</f>
        <v/>
      </c>
    </row>
    <row r="1645" spans="13:13">
      <c r="M1645" s="3" t="str">
        <f>IF(A1645="","", WEEKNUM(A1645, 2))</f>
        <v/>
      </c>
    </row>
    <row r="1646" spans="13:13">
      <c r="M1646" s="3" t="str">
        <f>IF(A1646="","", WEEKNUM(A1646, 2))</f>
        <v/>
      </c>
    </row>
    <row r="1647" spans="13:13">
      <c r="M1647" s="3" t="str">
        <f>IF(A1647="","", WEEKNUM(A1647, 2))</f>
        <v/>
      </c>
    </row>
    <row r="1648" spans="13:13">
      <c r="M1648" s="3" t="str">
        <f>IF(A1648="","", WEEKNUM(A1648, 2))</f>
        <v/>
      </c>
    </row>
    <row r="1649" spans="13:13">
      <c r="M1649" s="3" t="str">
        <f>IF(A1649="","", WEEKNUM(A1649, 2))</f>
        <v/>
      </c>
    </row>
    <row r="1650" spans="13:13">
      <c r="M1650" s="3" t="str">
        <f>IF(A1650="","", WEEKNUM(A1650, 2))</f>
        <v/>
      </c>
    </row>
    <row r="1651" spans="13:13">
      <c r="M1651" s="3" t="str">
        <f>IF(A1651="","", WEEKNUM(A1651, 2))</f>
        <v/>
      </c>
    </row>
    <row r="1652" spans="13:13">
      <c r="M1652" s="3" t="str">
        <f>IF(A1652="","", WEEKNUM(A1652, 2))</f>
        <v/>
      </c>
    </row>
    <row r="1653" spans="13:13">
      <c r="M1653" s="3" t="str">
        <f>IF(A1653="","", WEEKNUM(A1653, 2))</f>
        <v/>
      </c>
    </row>
    <row r="1654" spans="13:13">
      <c r="M1654" s="3" t="str">
        <f>IF(A1654="","", WEEKNUM(A1654, 2))</f>
        <v/>
      </c>
    </row>
    <row r="1655" spans="13:13">
      <c r="M1655" s="3" t="str">
        <f>IF(A1655="","", WEEKNUM(A1655, 2))</f>
        <v/>
      </c>
    </row>
    <row r="1656" spans="13:13">
      <c r="M1656" s="3" t="str">
        <f>IF(A1656="","", WEEKNUM(A1656, 2))</f>
        <v/>
      </c>
    </row>
    <row r="1657" spans="13:13">
      <c r="M1657" s="3" t="str">
        <f>IF(A1657="","", WEEKNUM(A1657, 2))</f>
        <v/>
      </c>
    </row>
    <row r="1658" spans="13:13">
      <c r="M1658" s="3" t="str">
        <f>IF(A1658="","", WEEKNUM(A1658, 2))</f>
        <v/>
      </c>
    </row>
    <row r="1659" spans="13:13">
      <c r="M1659" s="3" t="str">
        <f>IF(A1659="","", WEEKNUM(A1659, 2))</f>
        <v/>
      </c>
    </row>
    <row r="1660" spans="13:13">
      <c r="M1660" s="3" t="str">
        <f>IF(A1660="","", WEEKNUM(A1660, 2))</f>
        <v/>
      </c>
    </row>
    <row r="1661" spans="13:13">
      <c r="M1661" s="3" t="str">
        <f>IF(A1661="","", WEEKNUM(A1661, 2))</f>
        <v/>
      </c>
    </row>
    <row r="1662" spans="13:13">
      <c r="M1662" s="3" t="str">
        <f>IF(A1662="","", WEEKNUM(A1662, 2))</f>
        <v/>
      </c>
    </row>
    <row r="1663" spans="13:13">
      <c r="M1663" s="3" t="str">
        <f>IF(A1663="","", WEEKNUM(A1663, 2))</f>
        <v/>
      </c>
    </row>
    <row r="1664" spans="13:13">
      <c r="M1664" s="3" t="str">
        <f>IF(A1664="","", WEEKNUM(A1664, 2))</f>
        <v/>
      </c>
    </row>
    <row r="1665" spans="13:13">
      <c r="M1665" s="3" t="str">
        <f>IF(A1665="","", WEEKNUM(A1665, 2))</f>
        <v/>
      </c>
    </row>
    <row r="1666" spans="13:13">
      <c r="M1666" s="3" t="str">
        <f>IF(A1666="","", WEEKNUM(A1666, 2))</f>
        <v/>
      </c>
    </row>
    <row r="1667" spans="13:13">
      <c r="M1667" s="3" t="str">
        <f>IF(A1667="","", WEEKNUM(A1667, 2))</f>
        <v/>
      </c>
    </row>
    <row r="1668" spans="13:13">
      <c r="M1668" s="3" t="str">
        <f>IF(A1668="","", WEEKNUM(A1668, 2))</f>
        <v/>
      </c>
    </row>
    <row r="1669" spans="13:13">
      <c r="M1669" s="3" t="str">
        <f>IF(A1669="","", WEEKNUM(A1669, 2))</f>
        <v/>
      </c>
    </row>
    <row r="1670" spans="13:13">
      <c r="M1670" s="3" t="str">
        <f>IF(A1670="","", WEEKNUM(A1670, 2))</f>
        <v/>
      </c>
    </row>
    <row r="1671" spans="13:13">
      <c r="M1671" s="3" t="str">
        <f>IF(A1671="","", WEEKNUM(A1671, 2))</f>
        <v/>
      </c>
    </row>
    <row r="1672" spans="13:13">
      <c r="M1672" s="3" t="str">
        <f>IF(A1672="","", WEEKNUM(A1672, 2))</f>
        <v/>
      </c>
    </row>
    <row r="1673" spans="13:13">
      <c r="M1673" s="3" t="str">
        <f>IF(A1673="","", WEEKNUM(A1673, 2))</f>
        <v/>
      </c>
    </row>
    <row r="1674" spans="13:13">
      <c r="M1674" s="3" t="str">
        <f>IF(A1674="","", WEEKNUM(A1674, 2))</f>
        <v/>
      </c>
    </row>
    <row r="1675" spans="13:13">
      <c r="M1675" s="3" t="str">
        <f>IF(A1675="","", WEEKNUM(A1675, 2))</f>
        <v/>
      </c>
    </row>
    <row r="1676" spans="13:13">
      <c r="M1676" s="3" t="str">
        <f>IF(A1676="","", WEEKNUM(A1676, 2))</f>
        <v/>
      </c>
    </row>
    <row r="1677" spans="13:13">
      <c r="M1677" s="3" t="str">
        <f>IF(A1677="","", WEEKNUM(A1677, 2))</f>
        <v/>
      </c>
    </row>
    <row r="1678" spans="13:13">
      <c r="M1678" s="3" t="str">
        <f>IF(A1678="","", WEEKNUM(A1678, 2))</f>
        <v/>
      </c>
    </row>
    <row r="1679" spans="13:13">
      <c r="M1679" s="3" t="str">
        <f>IF(A1679="","", WEEKNUM(A1679, 2))</f>
        <v/>
      </c>
    </row>
    <row r="1680" spans="13:13">
      <c r="M1680" s="3" t="str">
        <f>IF(A1680="","", WEEKNUM(A1680, 2))</f>
        <v/>
      </c>
    </row>
    <row r="1681" spans="13:13">
      <c r="M1681" s="3" t="str">
        <f>IF(A1681="","", WEEKNUM(A1681, 2))</f>
        <v/>
      </c>
    </row>
    <row r="1682" spans="13:13">
      <c r="M1682" s="3" t="str">
        <f>IF(A1682="","", WEEKNUM(A1682, 2))</f>
        <v/>
      </c>
    </row>
    <row r="1683" spans="13:13">
      <c r="M1683" s="3" t="str">
        <f>IF(A1683="","", WEEKNUM(A1683, 2))</f>
        <v/>
      </c>
    </row>
    <row r="1684" spans="13:13">
      <c r="M1684" s="3" t="str">
        <f>IF(A1684="","", WEEKNUM(A1684, 2))</f>
        <v/>
      </c>
    </row>
    <row r="1685" spans="13:13">
      <c r="M1685" s="3" t="str">
        <f>IF(A1685="","", WEEKNUM(A1685, 2))</f>
        <v/>
      </c>
    </row>
    <row r="1686" spans="13:13">
      <c r="M1686" s="3" t="str">
        <f>IF(A1686="","", WEEKNUM(A1686, 2))</f>
        <v/>
      </c>
    </row>
    <row r="1687" spans="13:13">
      <c r="M1687" s="3" t="str">
        <f>IF(A1687="","", WEEKNUM(A1687, 2))</f>
        <v/>
      </c>
    </row>
    <row r="1688" spans="13:13">
      <c r="M1688" s="3" t="str">
        <f>IF(A1688="","", WEEKNUM(A1688, 2))</f>
        <v/>
      </c>
    </row>
    <row r="1689" spans="13:13">
      <c r="M1689" s="3" t="str">
        <f>IF(A1689="","", WEEKNUM(A1689, 2))</f>
        <v/>
      </c>
    </row>
    <row r="1690" spans="13:13">
      <c r="M1690" s="3" t="str">
        <f>IF(A1690="","", WEEKNUM(A1690, 2))</f>
        <v/>
      </c>
    </row>
    <row r="1691" spans="13:13">
      <c r="M1691" s="3" t="str">
        <f>IF(A1691="","", WEEKNUM(A1691, 2))</f>
        <v/>
      </c>
    </row>
    <row r="1692" spans="13:13">
      <c r="M1692" s="3" t="str">
        <f>IF(A1692="","", WEEKNUM(A1692, 2))</f>
        <v/>
      </c>
    </row>
    <row r="1693" spans="13:13">
      <c r="M1693" s="3" t="str">
        <f>IF(A1693="","", WEEKNUM(A1693, 2))</f>
        <v/>
      </c>
    </row>
    <row r="1694" spans="13:13">
      <c r="M1694" s="3" t="str">
        <f>IF(A1694="","", WEEKNUM(A1694, 2))</f>
        <v/>
      </c>
    </row>
    <row r="1695" spans="13:13">
      <c r="M1695" s="3" t="str">
        <f>IF(A1695="","", WEEKNUM(A1695, 2))</f>
        <v/>
      </c>
    </row>
    <row r="1696" spans="13:13">
      <c r="M1696" s="3" t="str">
        <f>IF(A1696="","", WEEKNUM(A1696, 2))</f>
        <v/>
      </c>
    </row>
    <row r="1697" spans="13:13">
      <c r="M1697" s="3" t="str">
        <f>IF(A1697="","", WEEKNUM(A1697, 2))</f>
        <v/>
      </c>
    </row>
    <row r="1698" spans="13:13">
      <c r="M1698" s="3" t="str">
        <f>IF(A1698="","", WEEKNUM(A1698, 2))</f>
        <v/>
      </c>
    </row>
    <row r="1699" spans="13:13">
      <c r="M1699" s="3" t="str">
        <f>IF(A1699="","", WEEKNUM(A1699, 2))</f>
        <v/>
      </c>
    </row>
    <row r="1700" spans="13:13">
      <c r="M1700" s="3" t="str">
        <f>IF(A1700="","", WEEKNUM(A1700, 2))</f>
        <v/>
      </c>
    </row>
    <row r="1701" spans="13:13">
      <c r="M1701" s="3" t="str">
        <f>IF(A1701="","", WEEKNUM(A1701, 2))</f>
        <v/>
      </c>
    </row>
    <row r="1702" spans="13:13">
      <c r="M1702" s="3" t="str">
        <f>IF(A1702="","", WEEKNUM(A1702, 2))</f>
        <v/>
      </c>
    </row>
    <row r="1703" spans="13:13">
      <c r="M1703" s="3" t="str">
        <f>IF(A1703="","", WEEKNUM(A1703, 2))</f>
        <v/>
      </c>
    </row>
    <row r="1704" spans="13:13">
      <c r="M1704" s="3" t="str">
        <f>IF(A1704="","", WEEKNUM(A1704, 2))</f>
        <v/>
      </c>
    </row>
    <row r="1705" spans="13:13">
      <c r="M1705" s="3" t="str">
        <f>IF(A1705="","", WEEKNUM(A1705, 2))</f>
        <v/>
      </c>
    </row>
    <row r="1706" spans="13:13">
      <c r="M1706" s="3" t="str">
        <f>IF(A1706="","", WEEKNUM(A1706, 2))</f>
        <v/>
      </c>
    </row>
    <row r="1707" spans="13:13">
      <c r="M1707" s="3" t="str">
        <f>IF(A1707="","", WEEKNUM(A1707, 2))</f>
        <v/>
      </c>
    </row>
    <row r="1708" spans="13:13">
      <c r="M1708" s="3" t="str">
        <f>IF(A1708="","", WEEKNUM(A1708, 2))</f>
        <v/>
      </c>
    </row>
    <row r="1709" spans="13:13">
      <c r="M1709" s="3" t="str">
        <f>IF(A1709="","", WEEKNUM(A1709, 2))</f>
        <v/>
      </c>
    </row>
    <row r="1710" spans="13:13">
      <c r="M1710" s="3" t="str">
        <f>IF(A1710="","", WEEKNUM(A1710, 2))</f>
        <v/>
      </c>
    </row>
    <row r="1711" spans="13:13">
      <c r="M1711" s="3" t="str">
        <f>IF(A1711="","", WEEKNUM(A1711, 2))</f>
        <v/>
      </c>
    </row>
    <row r="1712" spans="13:13">
      <c r="M1712" s="3" t="str">
        <f>IF(A1712="","", WEEKNUM(A1712, 2))</f>
        <v/>
      </c>
    </row>
    <row r="1713" spans="13:13">
      <c r="M1713" s="3" t="str">
        <f>IF(A1713="","", WEEKNUM(A1713, 2))</f>
        <v/>
      </c>
    </row>
    <row r="1714" spans="13:13">
      <c r="M1714" s="3" t="str">
        <f>IF(A1714="","", WEEKNUM(A1714, 2))</f>
        <v/>
      </c>
    </row>
    <row r="1715" spans="13:13">
      <c r="M1715" s="3" t="str">
        <f>IF(A1715="","", WEEKNUM(A1715, 2))</f>
        <v/>
      </c>
    </row>
    <row r="1716" spans="13:13">
      <c r="M1716" s="3" t="str">
        <f>IF(A1716="","", WEEKNUM(A1716, 2))</f>
        <v/>
      </c>
    </row>
    <row r="1717" spans="13:13">
      <c r="M1717" s="3" t="str">
        <f>IF(A1717="","", WEEKNUM(A1717, 2))</f>
        <v/>
      </c>
    </row>
    <row r="1718" spans="13:13">
      <c r="M1718" s="3" t="str">
        <f>IF(A1718="","", WEEKNUM(A1718, 2))</f>
        <v/>
      </c>
    </row>
    <row r="1719" spans="13:13">
      <c r="M1719" s="3" t="str">
        <f>IF(A1719="","", WEEKNUM(A1719, 2))</f>
        <v/>
      </c>
    </row>
    <row r="1720" spans="13:13">
      <c r="M1720" s="3" t="str">
        <f>IF(A1720="","", WEEKNUM(A1720, 2))</f>
        <v/>
      </c>
    </row>
    <row r="1721" spans="13:13">
      <c r="M1721" s="3" t="str">
        <f>IF(A1721="","", WEEKNUM(A1721, 2))</f>
        <v/>
      </c>
    </row>
    <row r="1722" spans="13:13">
      <c r="M1722" s="3" t="str">
        <f>IF(A1722="","", WEEKNUM(A1722, 2))</f>
        <v/>
      </c>
    </row>
    <row r="1723" spans="13:13">
      <c r="M1723" s="3" t="str">
        <f>IF(A1723="","", WEEKNUM(A1723, 2))</f>
        <v/>
      </c>
    </row>
    <row r="1724" spans="13:13">
      <c r="M1724" s="3" t="str">
        <f>IF(A1724="","", WEEKNUM(A1724, 2))</f>
        <v/>
      </c>
    </row>
    <row r="1725" spans="13:13">
      <c r="M1725" s="3" t="str">
        <f>IF(A1725="","", WEEKNUM(A1725, 2))</f>
        <v/>
      </c>
    </row>
    <row r="1726" spans="13:13">
      <c r="M1726" s="3" t="str">
        <f>IF(A1726="","", WEEKNUM(A1726, 2))</f>
        <v/>
      </c>
    </row>
    <row r="1727" spans="13:13">
      <c r="M1727" s="3" t="str">
        <f>IF(A1727="","", WEEKNUM(A1727, 2))</f>
        <v/>
      </c>
    </row>
    <row r="1728" spans="13:13">
      <c r="M1728" s="3" t="str">
        <f>IF(A1728="","", WEEKNUM(A1728, 2))</f>
        <v/>
      </c>
    </row>
    <row r="1729" spans="13:13">
      <c r="M1729" s="3" t="str">
        <f>IF(A1729="","", WEEKNUM(A1729, 2))</f>
        <v/>
      </c>
    </row>
    <row r="1730" spans="13:13">
      <c r="M1730" s="3" t="str">
        <f>IF(A1730="","", WEEKNUM(A1730, 2))</f>
        <v/>
      </c>
    </row>
    <row r="1731" spans="13:13">
      <c r="M1731" s="3" t="str">
        <f>IF(A1731="","", WEEKNUM(A1731, 2))</f>
        <v/>
      </c>
    </row>
    <row r="1732" spans="13:13">
      <c r="M1732" s="3" t="str">
        <f>IF(A1732="","", WEEKNUM(A1732, 2))</f>
        <v/>
      </c>
    </row>
    <row r="1733" spans="13:13">
      <c r="M1733" s="3" t="str">
        <f>IF(A1733="","", WEEKNUM(A1733, 2))</f>
        <v/>
      </c>
    </row>
    <row r="1734" spans="13:13">
      <c r="M1734" s="3" t="str">
        <f>IF(A1734="","", WEEKNUM(A1734, 2))</f>
        <v/>
      </c>
    </row>
    <row r="1735" spans="13:13">
      <c r="M1735" s="3" t="str">
        <f>IF(A1735="","", WEEKNUM(A1735, 2))</f>
        <v/>
      </c>
    </row>
    <row r="1736" spans="13:13">
      <c r="M1736" s="3" t="str">
        <f>IF(A1736="","", WEEKNUM(A1736, 2))</f>
        <v/>
      </c>
    </row>
    <row r="1737" spans="13:13">
      <c r="M1737" s="3" t="str">
        <f>IF(A1737="","", WEEKNUM(A1737, 2))</f>
        <v/>
      </c>
    </row>
    <row r="1738" spans="13:13">
      <c r="M1738" s="3" t="str">
        <f>IF(A1738="","", WEEKNUM(A1738, 2))</f>
        <v/>
      </c>
    </row>
    <row r="1739" spans="13:13">
      <c r="M1739" s="3" t="str">
        <f>IF(A1739="","", WEEKNUM(A1739, 2))</f>
        <v/>
      </c>
    </row>
    <row r="1740" spans="13:13">
      <c r="M1740" s="3" t="str">
        <f>IF(A1740="","", WEEKNUM(A1740, 2))</f>
        <v/>
      </c>
    </row>
    <row r="1741" spans="13:13">
      <c r="M1741" s="3" t="str">
        <f>IF(A1741="","", WEEKNUM(A1741, 2))</f>
        <v/>
      </c>
    </row>
    <row r="1742" spans="13:13">
      <c r="M1742" s="3" t="str">
        <f>IF(A1742="","", WEEKNUM(A1742, 2))</f>
        <v/>
      </c>
    </row>
    <row r="1743" spans="13:13">
      <c r="M1743" s="3" t="str">
        <f>IF(A1743="","", WEEKNUM(A1743, 2))</f>
        <v/>
      </c>
    </row>
    <row r="1744" spans="13:13">
      <c r="M1744" s="3" t="str">
        <f>IF(A1744="","", WEEKNUM(A1744, 2))</f>
        <v/>
      </c>
    </row>
    <row r="1745" spans="13:13">
      <c r="M1745" s="3" t="str">
        <f>IF(A1745="","", WEEKNUM(A1745, 2))</f>
        <v/>
      </c>
    </row>
    <row r="1746" spans="13:13">
      <c r="M1746" s="3" t="str">
        <f>IF(A1746="","", WEEKNUM(A1746, 2))</f>
        <v/>
      </c>
    </row>
    <row r="1747" spans="13:13">
      <c r="M1747" s="3" t="str">
        <f>IF(A1747="","", WEEKNUM(A1747, 2))</f>
        <v/>
      </c>
    </row>
    <row r="1748" spans="13:13">
      <c r="M1748" s="3" t="str">
        <f>IF(A1748="","", WEEKNUM(A1748, 2))</f>
        <v/>
      </c>
    </row>
    <row r="1749" spans="13:13">
      <c r="M1749" s="3" t="str">
        <f>IF(A1749="","", WEEKNUM(A1749, 2))</f>
        <v/>
      </c>
    </row>
    <row r="1750" spans="13:13">
      <c r="M1750" s="3" t="str">
        <f>IF(A1750="","", WEEKNUM(A1750, 2))</f>
        <v/>
      </c>
    </row>
    <row r="1751" spans="13:13">
      <c r="M1751" s="3" t="str">
        <f>IF(A1751="","", WEEKNUM(A1751, 2))</f>
        <v/>
      </c>
    </row>
    <row r="1752" spans="13:13">
      <c r="M1752" s="3" t="str">
        <f>IF(A1752="","", WEEKNUM(A1752, 2))</f>
        <v/>
      </c>
    </row>
    <row r="1753" spans="13:13">
      <c r="M1753" s="3" t="str">
        <f>IF(A1753="","", WEEKNUM(A1753, 2))</f>
        <v/>
      </c>
    </row>
    <row r="1754" spans="13:13">
      <c r="M1754" s="3" t="str">
        <f>IF(A1754="","", WEEKNUM(A1754, 2))</f>
        <v/>
      </c>
    </row>
    <row r="1755" spans="13:13">
      <c r="M1755" s="3" t="str">
        <f>IF(A1755="","", WEEKNUM(A1755, 2))</f>
        <v/>
      </c>
    </row>
    <row r="1756" spans="13:13">
      <c r="M1756" s="3" t="str">
        <f>IF(A1756="","", WEEKNUM(A1756, 2))</f>
        <v/>
      </c>
    </row>
    <row r="1757" spans="13:13">
      <c r="M1757" s="3" t="str">
        <f>IF(A1757="","", WEEKNUM(A1757, 2))</f>
        <v/>
      </c>
    </row>
    <row r="1758" spans="13:13">
      <c r="M1758" s="3" t="str">
        <f>IF(A1758="","", WEEKNUM(A1758, 2))</f>
        <v/>
      </c>
    </row>
    <row r="1759" spans="13:13">
      <c r="M1759" s="3" t="str">
        <f>IF(A1759="","", WEEKNUM(A1759, 2))</f>
        <v/>
      </c>
    </row>
    <row r="1760" spans="13:13">
      <c r="M1760" s="3" t="str">
        <f>IF(A1760="","", WEEKNUM(A1760, 2))</f>
        <v/>
      </c>
    </row>
    <row r="1761" spans="13:13">
      <c r="M1761" s="3" t="str">
        <f>IF(A1761="","", WEEKNUM(A1761, 2))</f>
        <v/>
      </c>
    </row>
    <row r="1762" spans="13:13">
      <c r="M1762" s="3" t="str">
        <f>IF(A1762="","", WEEKNUM(A1762, 2))</f>
        <v/>
      </c>
    </row>
    <row r="1763" spans="13:13">
      <c r="M1763" s="3" t="str">
        <f>IF(A1763="","", WEEKNUM(A1763, 2))</f>
        <v/>
      </c>
    </row>
    <row r="1764" spans="13:13">
      <c r="M1764" s="3" t="str">
        <f>IF(A1764="","", WEEKNUM(A1764, 2))</f>
        <v/>
      </c>
    </row>
    <row r="1765" spans="13:13">
      <c r="M1765" s="3" t="str">
        <f>IF(A1765="","", WEEKNUM(A1765, 2))</f>
        <v/>
      </c>
    </row>
    <row r="1766" spans="13:13">
      <c r="M1766" s="3" t="str">
        <f>IF(A1766="","", WEEKNUM(A1766, 2))</f>
        <v/>
      </c>
    </row>
    <row r="1767" spans="13:13">
      <c r="M1767" s="3" t="str">
        <f>IF(A1767="","", WEEKNUM(A1767, 2))</f>
        <v/>
      </c>
    </row>
    <row r="1768" spans="13:13">
      <c r="M1768" s="3" t="str">
        <f>IF(A1768="","", WEEKNUM(A1768, 2))</f>
        <v/>
      </c>
    </row>
    <row r="1769" spans="13:13">
      <c r="M1769" s="3" t="str">
        <f>IF(A1769="","", WEEKNUM(A1769, 2))</f>
        <v/>
      </c>
    </row>
    <row r="1770" spans="13:13">
      <c r="M1770" s="3" t="str">
        <f>IF(A1770="","", WEEKNUM(A1770, 2))</f>
        <v/>
      </c>
    </row>
    <row r="1771" spans="13:13">
      <c r="M1771" s="3" t="str">
        <f>IF(A1771="","", WEEKNUM(A1771, 2))</f>
        <v/>
      </c>
    </row>
    <row r="1772" spans="13:13">
      <c r="M1772" s="3" t="str">
        <f>IF(A1772="","", WEEKNUM(A1772, 2))</f>
        <v/>
      </c>
    </row>
    <row r="1773" spans="13:13">
      <c r="M1773" s="3" t="str">
        <f>IF(A1773="","", WEEKNUM(A1773, 2))</f>
        <v/>
      </c>
    </row>
    <row r="1774" spans="13:13">
      <c r="M1774" s="3" t="str">
        <f>IF(A1774="","", WEEKNUM(A1774, 2))</f>
        <v/>
      </c>
    </row>
    <row r="1775" spans="13:13">
      <c r="M1775" s="3" t="str">
        <f>IF(A1775="","", WEEKNUM(A1775, 2))</f>
        <v/>
      </c>
    </row>
    <row r="1776" spans="13:13">
      <c r="M1776" s="3" t="str">
        <f>IF(A1776="","", WEEKNUM(A1776, 2))</f>
        <v/>
      </c>
    </row>
    <row r="1777" spans="13:13">
      <c r="M1777" s="3" t="str">
        <f>IF(A1777="","", WEEKNUM(A1777, 2))</f>
        <v/>
      </c>
    </row>
    <row r="1778" spans="13:13">
      <c r="M1778" s="3" t="str">
        <f>IF(A1778="","", WEEKNUM(A1778, 2))</f>
        <v/>
      </c>
    </row>
    <row r="1779" spans="13:13">
      <c r="M1779" s="3" t="str">
        <f>IF(A1779="","", WEEKNUM(A1779, 2))</f>
        <v/>
      </c>
    </row>
    <row r="1780" spans="13:13">
      <c r="M1780" s="3" t="str">
        <f>IF(A1780="","", WEEKNUM(A1780, 2))</f>
        <v/>
      </c>
    </row>
    <row r="1781" spans="13:13">
      <c r="M1781" s="3" t="str">
        <f>IF(A1781="","", WEEKNUM(A1781, 2))</f>
        <v/>
      </c>
    </row>
    <row r="1782" spans="13:13">
      <c r="M1782" s="3" t="str">
        <f>IF(A1782="","", WEEKNUM(A1782, 2))</f>
        <v/>
      </c>
    </row>
    <row r="1783" spans="13:13">
      <c r="M1783" s="3" t="str">
        <f>IF(A1783="","", WEEKNUM(A1783, 2))</f>
        <v/>
      </c>
    </row>
    <row r="1784" spans="13:13">
      <c r="M1784" s="3" t="str">
        <f>IF(A1784="","", WEEKNUM(A1784, 2))</f>
        <v/>
      </c>
    </row>
    <row r="1785" spans="13:13">
      <c r="M1785" s="3" t="str">
        <f>IF(A1785="","", WEEKNUM(A1785, 2))</f>
        <v/>
      </c>
    </row>
    <row r="1786" spans="13:13">
      <c r="M1786" s="3" t="str">
        <f>IF(A1786="","", WEEKNUM(A1786, 2))</f>
        <v/>
      </c>
    </row>
    <row r="1787" spans="13:13">
      <c r="M1787" s="3" t="str">
        <f>IF(A1787="","", WEEKNUM(A1787, 2))</f>
        <v/>
      </c>
    </row>
    <row r="1788" spans="13:13">
      <c r="M1788" s="3" t="str">
        <f>IF(A1788="","", WEEKNUM(A1788, 2))</f>
        <v/>
      </c>
    </row>
    <row r="1789" spans="13:13">
      <c r="M1789" s="3" t="str">
        <f>IF(A1789="","", WEEKNUM(A1789, 2))</f>
        <v/>
      </c>
    </row>
    <row r="1790" spans="13:13">
      <c r="M1790" s="3" t="str">
        <f>IF(A1790="","", WEEKNUM(A1790, 2))</f>
        <v/>
      </c>
    </row>
    <row r="1791" spans="13:13">
      <c r="M1791" s="3" t="str">
        <f>IF(A1791="","", WEEKNUM(A1791, 2))</f>
        <v/>
      </c>
    </row>
    <row r="1792" spans="13:13">
      <c r="M1792" s="3" t="str">
        <f>IF(A1792="","", WEEKNUM(A1792, 2))</f>
        <v/>
      </c>
    </row>
    <row r="1793" spans="13:13">
      <c r="M1793" s="3" t="str">
        <f>IF(A1793="","", WEEKNUM(A1793, 2))</f>
        <v/>
      </c>
    </row>
    <row r="1794" spans="13:13">
      <c r="M1794" s="3" t="str">
        <f>IF(A1794="","", WEEKNUM(A1794, 2))</f>
        <v/>
      </c>
    </row>
    <row r="1795" spans="13:13">
      <c r="M1795" s="3" t="str">
        <f>IF(A1795="","", WEEKNUM(A1795, 2))</f>
        <v/>
      </c>
    </row>
    <row r="1796" spans="13:13">
      <c r="M1796" s="3" t="str">
        <f>IF(A1796="","", WEEKNUM(A1796, 2))</f>
        <v/>
      </c>
    </row>
    <row r="1797" spans="13:13">
      <c r="M1797" s="3" t="str">
        <f>IF(A1797="","", WEEKNUM(A1797, 2))</f>
        <v/>
      </c>
    </row>
    <row r="1798" spans="13:13">
      <c r="M1798" s="3" t="str">
        <f>IF(A1798="","", WEEKNUM(A1798, 2))</f>
        <v/>
      </c>
    </row>
    <row r="1799" spans="13:13">
      <c r="M1799" s="3" t="str">
        <f>IF(A1799="","", WEEKNUM(A1799, 2))</f>
        <v/>
      </c>
    </row>
    <row r="1800" spans="13:13">
      <c r="M1800" s="3" t="str">
        <f>IF(A1800="","", WEEKNUM(A1800, 2))</f>
        <v/>
      </c>
    </row>
    <row r="1801" spans="13:13">
      <c r="M1801" s="3" t="str">
        <f>IF(A1801="","", WEEKNUM(A1801, 2))</f>
        <v/>
      </c>
    </row>
    <row r="1802" spans="13:13">
      <c r="M1802" s="3" t="str">
        <f>IF(A1802="","", WEEKNUM(A1802, 2))</f>
        <v/>
      </c>
    </row>
    <row r="1803" spans="13:13">
      <c r="M1803" s="3" t="str">
        <f>IF(A1803="","", WEEKNUM(A1803, 2))</f>
        <v/>
      </c>
    </row>
    <row r="1804" spans="13:13">
      <c r="M1804" s="3" t="str">
        <f>IF(A1804="","", WEEKNUM(A1804, 2))</f>
        <v/>
      </c>
    </row>
    <row r="1805" spans="13:13">
      <c r="M1805" s="3" t="str">
        <f>IF(A1805="","", WEEKNUM(A1805, 2))</f>
        <v/>
      </c>
    </row>
    <row r="1806" spans="13:13">
      <c r="M1806" s="3" t="str">
        <f>IF(A1806="","", WEEKNUM(A1806, 2))</f>
        <v/>
      </c>
    </row>
    <row r="1807" spans="13:13">
      <c r="M1807" s="3" t="str">
        <f>IF(A1807="","", WEEKNUM(A1807, 2))</f>
        <v/>
      </c>
    </row>
    <row r="1808" spans="13:13">
      <c r="M1808" s="3" t="str">
        <f>IF(A1808="","", WEEKNUM(A1808, 2))</f>
        <v/>
      </c>
    </row>
    <row r="1809" spans="13:13">
      <c r="M1809" s="3" t="str">
        <f>IF(A1809="","", WEEKNUM(A1809, 2))</f>
        <v/>
      </c>
    </row>
    <row r="1810" spans="13:13">
      <c r="M1810" s="3" t="str">
        <f>IF(A1810="","", WEEKNUM(A1810, 2))</f>
        <v/>
      </c>
    </row>
    <row r="1811" spans="13:13">
      <c r="M1811" s="3" t="str">
        <f>IF(A1811="","", WEEKNUM(A1811, 2))</f>
        <v/>
      </c>
    </row>
    <row r="1812" spans="13:13">
      <c r="M1812" s="3" t="str">
        <f>IF(A1812="","", WEEKNUM(A1812, 2))</f>
        <v/>
      </c>
    </row>
    <row r="1813" spans="13:13">
      <c r="M1813" s="3" t="str">
        <f>IF(A1813="","", WEEKNUM(A1813, 2))</f>
        <v/>
      </c>
    </row>
    <row r="1814" spans="13:13">
      <c r="M1814" s="3" t="str">
        <f>IF(A1814="","", WEEKNUM(A1814, 2))</f>
        <v/>
      </c>
    </row>
    <row r="1815" spans="13:13">
      <c r="M1815" s="3" t="str">
        <f>IF(A1815="","", WEEKNUM(A1815, 2))</f>
        <v/>
      </c>
    </row>
    <row r="1816" spans="13:13">
      <c r="M1816" s="3" t="str">
        <f>IF(A1816="","", WEEKNUM(A1816, 2))</f>
        <v/>
      </c>
    </row>
    <row r="1817" spans="13:13">
      <c r="M1817" s="3" t="str">
        <f>IF(A1817="","", WEEKNUM(A1817, 2))</f>
        <v/>
      </c>
    </row>
    <row r="1818" spans="13:13">
      <c r="M1818" s="3" t="str">
        <f>IF(A1818="","", WEEKNUM(A1818, 2))</f>
        <v/>
      </c>
    </row>
    <row r="1819" spans="13:13">
      <c r="M1819" s="3" t="str">
        <f>IF(A1819="","", WEEKNUM(A1819, 2))</f>
        <v/>
      </c>
    </row>
    <row r="1820" spans="13:13">
      <c r="M1820" s="3" t="str">
        <f>IF(A1820="","", WEEKNUM(A1820, 2))</f>
        <v/>
      </c>
    </row>
    <row r="1821" spans="13:13">
      <c r="M1821" s="3" t="str">
        <f>IF(A1821="","", WEEKNUM(A1821, 2))</f>
        <v/>
      </c>
    </row>
    <row r="1822" spans="13:13">
      <c r="M1822" s="3" t="str">
        <f>IF(A1822="","", WEEKNUM(A1822, 2))</f>
        <v/>
      </c>
    </row>
    <row r="1823" spans="13:13">
      <c r="M1823" s="3" t="str">
        <f>IF(A1823="","", WEEKNUM(A1823, 2))</f>
        <v/>
      </c>
    </row>
    <row r="1824" spans="13:13">
      <c r="M1824" s="3" t="str">
        <f>IF(A1824="","", WEEKNUM(A1824, 2))</f>
        <v/>
      </c>
    </row>
    <row r="1825" spans="13:13">
      <c r="M1825" s="3" t="str">
        <f>IF(A1825="","", WEEKNUM(A1825, 2))</f>
        <v/>
      </c>
    </row>
    <row r="1826" spans="13:13">
      <c r="M1826" s="3" t="str">
        <f>IF(A1826="","", WEEKNUM(A1826, 2))</f>
        <v/>
      </c>
    </row>
    <row r="1827" spans="13:13">
      <c r="M1827" s="3" t="str">
        <f>IF(A1827="","", WEEKNUM(A1827, 2))</f>
        <v/>
      </c>
    </row>
    <row r="1828" spans="13:13">
      <c r="M1828" s="3" t="str">
        <f>IF(A1828="","", WEEKNUM(A1828, 2))</f>
        <v/>
      </c>
    </row>
    <row r="1829" spans="13:13">
      <c r="M1829" s="3" t="str">
        <f>IF(A1829="","", WEEKNUM(A1829, 2))</f>
        <v/>
      </c>
    </row>
    <row r="1830" spans="13:13">
      <c r="M1830" s="3" t="str">
        <f>IF(A1830="","", WEEKNUM(A1830, 2))</f>
        <v/>
      </c>
    </row>
    <row r="1831" spans="13:13">
      <c r="M1831" s="3" t="str">
        <f>IF(A1831="","", WEEKNUM(A1831, 2))</f>
        <v/>
      </c>
    </row>
    <row r="1832" spans="13:13">
      <c r="M1832" s="3" t="str">
        <f>IF(A1832="","", WEEKNUM(A1832, 2))</f>
        <v/>
      </c>
    </row>
    <row r="1833" spans="13:13">
      <c r="M1833" s="3" t="str">
        <f>IF(A1833="","", WEEKNUM(A1833, 2))</f>
        <v/>
      </c>
    </row>
    <row r="1834" spans="13:13">
      <c r="M1834" s="3" t="str">
        <f>IF(A1834="","", WEEKNUM(A1834, 2))</f>
        <v/>
      </c>
    </row>
    <row r="1835" spans="13:13">
      <c r="M1835" s="3" t="str">
        <f>IF(A1835="","", WEEKNUM(A1835, 2))</f>
        <v/>
      </c>
    </row>
    <row r="1836" spans="13:13">
      <c r="M1836" s="3" t="str">
        <f>IF(A1836="","", WEEKNUM(A1836, 2))</f>
        <v/>
      </c>
    </row>
    <row r="1837" spans="13:13">
      <c r="M1837" s="3" t="str">
        <f>IF(A1837="","", WEEKNUM(A1837, 2))</f>
        <v/>
      </c>
    </row>
    <row r="1838" spans="13:13">
      <c r="M1838" s="3" t="str">
        <f>IF(A1838="","", WEEKNUM(A1838, 2))</f>
        <v/>
      </c>
    </row>
    <row r="1839" spans="13:13">
      <c r="M1839" s="3" t="str">
        <f>IF(A1839="","", WEEKNUM(A1839, 2))</f>
        <v/>
      </c>
    </row>
    <row r="1840" spans="13:13">
      <c r="M1840" s="3" t="str">
        <f>IF(A1840="","", WEEKNUM(A1840, 2))</f>
        <v/>
      </c>
    </row>
    <row r="1841" spans="13:13">
      <c r="M1841" s="3" t="str">
        <f>IF(A1841="","", WEEKNUM(A1841, 2))</f>
        <v/>
      </c>
    </row>
    <row r="1842" spans="13:13">
      <c r="M1842" s="3" t="str">
        <f>IF(A1842="","", WEEKNUM(A1842, 2))</f>
        <v/>
      </c>
    </row>
    <row r="1843" spans="13:13">
      <c r="M1843" s="3" t="str">
        <f>IF(A1843="","", WEEKNUM(A1843, 2))</f>
        <v/>
      </c>
    </row>
    <row r="1844" spans="13:13">
      <c r="M1844" s="3" t="str">
        <f>IF(A1844="","", WEEKNUM(A1844, 2))</f>
        <v/>
      </c>
    </row>
    <row r="1845" spans="13:13">
      <c r="M1845" s="3" t="str">
        <f>IF(A1845="","", WEEKNUM(A1845, 2))</f>
        <v/>
      </c>
    </row>
    <row r="1846" spans="13:13">
      <c r="M1846" s="3" t="str">
        <f>IF(A1846="","", WEEKNUM(A1846, 2))</f>
        <v/>
      </c>
    </row>
    <row r="1847" spans="13:13">
      <c r="M1847" s="3" t="str">
        <f>IF(A1847="","", WEEKNUM(A1847, 2))</f>
        <v/>
      </c>
    </row>
    <row r="1848" spans="13:13">
      <c r="M1848" s="3" t="str">
        <f>IF(A1848="","", WEEKNUM(A1848, 2))</f>
        <v/>
      </c>
    </row>
    <row r="1849" spans="13:13">
      <c r="M1849" s="3" t="str">
        <f>IF(A1849="","", WEEKNUM(A1849, 2))</f>
        <v/>
      </c>
    </row>
    <row r="1850" spans="13:13">
      <c r="M1850" s="3" t="str">
        <f>IF(A1850="","", WEEKNUM(A1850, 2))</f>
        <v/>
      </c>
    </row>
    <row r="1851" spans="13:13">
      <c r="M1851" s="3" t="str">
        <f>IF(A1851="","", WEEKNUM(A1851, 2))</f>
        <v/>
      </c>
    </row>
    <row r="1852" spans="13:13">
      <c r="M1852" s="3" t="str">
        <f>IF(A1852="","", WEEKNUM(A1852, 2))</f>
        <v/>
      </c>
    </row>
    <row r="1853" spans="13:13">
      <c r="M1853" s="3" t="str">
        <f>IF(A1853="","", WEEKNUM(A1853, 2))</f>
        <v/>
      </c>
    </row>
    <row r="1854" spans="13:13">
      <c r="M1854" s="3" t="str">
        <f>IF(A1854="","", WEEKNUM(A1854, 2))</f>
        <v/>
      </c>
    </row>
    <row r="1855" spans="13:13">
      <c r="M1855" s="3" t="str">
        <f>IF(A1855="","", WEEKNUM(A1855, 2))</f>
        <v/>
      </c>
    </row>
    <row r="1856" spans="13:13">
      <c r="M1856" s="3" t="str">
        <f>IF(A1856="","", WEEKNUM(A1856, 2))</f>
        <v/>
      </c>
    </row>
    <row r="1857" spans="13:13">
      <c r="M1857" s="3" t="str">
        <f>IF(A1857="","", WEEKNUM(A1857, 2))</f>
        <v/>
      </c>
    </row>
    <row r="1858" spans="13:13">
      <c r="M1858" s="3" t="str">
        <f>IF(A1858="","", WEEKNUM(A1858, 2))</f>
        <v/>
      </c>
    </row>
    <row r="1859" spans="13:13">
      <c r="M1859" s="3" t="str">
        <f>IF(A1859="","", WEEKNUM(A1859, 2))</f>
        <v/>
      </c>
    </row>
    <row r="1860" spans="13:13">
      <c r="M1860" s="3" t="str">
        <f>IF(A1860="","", WEEKNUM(A1860, 2))</f>
        <v/>
      </c>
    </row>
    <row r="1861" spans="13:13">
      <c r="M1861" s="3" t="str">
        <f>IF(A1861="","", WEEKNUM(A1861, 2))</f>
        <v/>
      </c>
    </row>
    <row r="1862" spans="13:13">
      <c r="M1862" s="3" t="str">
        <f>IF(A1862="","", WEEKNUM(A1862, 2))</f>
        <v/>
      </c>
    </row>
    <row r="1863" spans="13:13">
      <c r="M1863" s="3" t="str">
        <f>IF(A1863="","", WEEKNUM(A1863, 2))</f>
        <v/>
      </c>
    </row>
    <row r="1864" spans="13:13">
      <c r="M1864" s="3" t="str">
        <f>IF(A1864="","", WEEKNUM(A1864, 2))</f>
        <v/>
      </c>
    </row>
    <row r="1865" spans="13:13">
      <c r="M1865" s="3" t="str">
        <f>IF(A1865="","", WEEKNUM(A1865, 2))</f>
        <v/>
      </c>
    </row>
    <row r="1866" spans="13:13">
      <c r="M1866" s="3" t="str">
        <f>IF(A1866="","", WEEKNUM(A1866, 2))</f>
        <v/>
      </c>
    </row>
    <row r="1867" spans="13:13">
      <c r="M1867" s="3" t="str">
        <f>IF(A1867="","", WEEKNUM(A1867, 2))</f>
        <v/>
      </c>
    </row>
    <row r="1868" spans="13:13">
      <c r="M1868" s="3" t="str">
        <f>IF(A1868="","", WEEKNUM(A1868, 2))</f>
        <v/>
      </c>
    </row>
    <row r="1869" spans="13:13">
      <c r="M1869" s="3" t="str">
        <f>IF(A1869="","", WEEKNUM(A1869, 2))</f>
        <v/>
      </c>
    </row>
    <row r="1870" spans="13:13">
      <c r="M1870" s="3" t="str">
        <f>IF(A1870="","", WEEKNUM(A1870, 2))</f>
        <v/>
      </c>
    </row>
    <row r="1871" spans="13:13">
      <c r="M1871" s="3" t="str">
        <f>IF(A1871="","", WEEKNUM(A1871, 2))</f>
        <v/>
      </c>
    </row>
    <row r="1872" spans="13:13">
      <c r="M1872" s="3" t="str">
        <f>IF(A1872="","", WEEKNUM(A1872, 2))</f>
        <v/>
      </c>
    </row>
    <row r="1873" spans="13:13">
      <c r="M1873" s="3" t="str">
        <f>IF(A1873="","", WEEKNUM(A1873, 2))</f>
        <v/>
      </c>
    </row>
    <row r="1874" spans="13:13">
      <c r="M1874" s="3" t="str">
        <f>IF(A1874="","", WEEKNUM(A1874, 2))</f>
        <v/>
      </c>
    </row>
    <row r="1875" spans="13:13">
      <c r="M1875" s="3" t="str">
        <f>IF(A1875="","", WEEKNUM(A1875, 2))</f>
        <v/>
      </c>
    </row>
    <row r="1876" spans="13:13">
      <c r="M1876" s="3" t="str">
        <f>IF(A1876="","", WEEKNUM(A1876, 2))</f>
        <v/>
      </c>
    </row>
    <row r="1877" spans="13:13">
      <c r="M1877" s="3" t="str">
        <f>IF(A1877="","", WEEKNUM(A1877, 2))</f>
        <v/>
      </c>
    </row>
    <row r="1878" spans="13:13">
      <c r="M1878" s="3" t="str">
        <f>IF(A1878="","", WEEKNUM(A1878, 2))</f>
        <v/>
      </c>
    </row>
    <row r="1879" spans="13:13">
      <c r="M1879" s="3" t="str">
        <f>IF(A1879="","", WEEKNUM(A1879, 2))</f>
        <v/>
      </c>
    </row>
    <row r="1880" spans="13:13">
      <c r="M1880" s="3" t="str">
        <f>IF(A1880="","", WEEKNUM(A1880, 2))</f>
        <v/>
      </c>
    </row>
    <row r="1881" spans="13:13">
      <c r="M1881" s="3" t="str">
        <f>IF(A1881="","", WEEKNUM(A1881, 2))</f>
        <v/>
      </c>
    </row>
    <row r="1882" spans="13:13">
      <c r="M1882" s="3" t="str">
        <f>IF(A1882="","", WEEKNUM(A1882, 2))</f>
        <v/>
      </c>
    </row>
    <row r="1883" spans="13:13">
      <c r="M1883" s="3" t="str">
        <f>IF(A1883="","", WEEKNUM(A1883, 2))</f>
        <v/>
      </c>
    </row>
    <row r="1884" spans="13:13">
      <c r="M1884" s="3" t="str">
        <f>IF(A1884="","", WEEKNUM(A1884, 2))</f>
        <v/>
      </c>
    </row>
    <row r="1885" spans="13:13">
      <c r="M1885" s="3" t="str">
        <f>IF(A1885="","", WEEKNUM(A1885, 2))</f>
        <v/>
      </c>
    </row>
    <row r="1886" spans="13:13">
      <c r="M1886" s="3" t="str">
        <f>IF(A1886="","", WEEKNUM(A1886, 2))</f>
        <v/>
      </c>
    </row>
    <row r="1887" spans="13:13">
      <c r="M1887" s="3" t="str">
        <f>IF(A1887="","", WEEKNUM(A1887, 2))</f>
        <v/>
      </c>
    </row>
    <row r="1888" spans="13:13">
      <c r="M1888" s="3" t="str">
        <f>IF(A1888="","", WEEKNUM(A1888, 2))</f>
        <v/>
      </c>
    </row>
    <row r="1889" spans="13:13">
      <c r="M1889" s="3" t="str">
        <f>IF(A1889="","", WEEKNUM(A1889, 2))</f>
        <v/>
      </c>
    </row>
    <row r="1890" spans="13:13">
      <c r="M1890" s="3" t="str">
        <f>IF(A1890="","", WEEKNUM(A1890, 2))</f>
        <v/>
      </c>
    </row>
    <row r="1891" spans="13:13">
      <c r="M1891" s="3" t="str">
        <f>IF(A1891="","", WEEKNUM(A1891, 2))</f>
        <v/>
      </c>
    </row>
    <row r="1892" spans="13:13">
      <c r="M1892" s="3" t="str">
        <f>IF(A1892="","", WEEKNUM(A1892, 2))</f>
        <v/>
      </c>
    </row>
    <row r="1893" spans="13:13">
      <c r="M1893" s="3" t="str">
        <f>IF(A1893="","", WEEKNUM(A1893, 2))</f>
        <v/>
      </c>
    </row>
    <row r="1894" spans="13:13">
      <c r="M1894" s="3" t="str">
        <f>IF(A1894="","", WEEKNUM(A1894, 2))</f>
        <v/>
      </c>
    </row>
    <row r="1895" spans="13:13">
      <c r="M1895" s="3" t="str">
        <f>IF(A1895="","", WEEKNUM(A1895, 2))</f>
        <v/>
      </c>
    </row>
    <row r="1896" spans="13:13">
      <c r="M1896" s="3" t="str">
        <f>IF(A1896="","", WEEKNUM(A1896, 2))</f>
        <v/>
      </c>
    </row>
    <row r="1897" spans="13:13">
      <c r="M1897" s="3" t="str">
        <f>IF(A1897="","", WEEKNUM(A1897, 2))</f>
        <v/>
      </c>
    </row>
    <row r="1898" spans="13:13">
      <c r="M1898" s="3" t="str">
        <f>IF(A1898="","", WEEKNUM(A1898, 2))</f>
        <v/>
      </c>
    </row>
    <row r="1899" spans="13:13">
      <c r="M1899" s="3" t="str">
        <f>IF(A1899="","", WEEKNUM(A1899, 2))</f>
        <v/>
      </c>
    </row>
    <row r="1900" spans="13:13">
      <c r="M1900" s="3" t="str">
        <f>IF(A1900="","", WEEKNUM(A1900, 2))</f>
        <v/>
      </c>
    </row>
    <row r="1901" spans="13:13">
      <c r="M1901" s="3" t="str">
        <f>IF(A1901="","", WEEKNUM(A1901, 2))</f>
        <v/>
      </c>
    </row>
    <row r="1902" spans="13:13">
      <c r="M1902" s="3" t="str">
        <f>IF(A1902="","", WEEKNUM(A1902, 2))</f>
        <v/>
      </c>
    </row>
    <row r="1903" spans="13:13">
      <c r="M1903" s="3" t="str">
        <f>IF(A1903="","", WEEKNUM(A1903, 2))</f>
        <v/>
      </c>
    </row>
    <row r="1904" spans="13:13">
      <c r="M1904" s="3" t="str">
        <f>IF(A1904="","", WEEKNUM(A1904, 2))</f>
        <v/>
      </c>
    </row>
    <row r="1905" spans="13:13">
      <c r="M1905" s="3" t="str">
        <f>IF(A1905="","", WEEKNUM(A1905, 2))</f>
        <v/>
      </c>
    </row>
    <row r="1906" spans="13:13">
      <c r="M1906" s="3" t="str">
        <f>IF(A1906="","", WEEKNUM(A1906, 2))</f>
        <v/>
      </c>
    </row>
    <row r="1907" spans="13:13">
      <c r="M1907" s="3" t="str">
        <f>IF(A1907="","", WEEKNUM(A1907, 2))</f>
        <v/>
      </c>
    </row>
    <row r="1908" spans="13:13">
      <c r="M1908" s="3" t="str">
        <f>IF(A1908="","", WEEKNUM(A1908, 2))</f>
        <v/>
      </c>
    </row>
    <row r="1909" spans="13:13">
      <c r="M1909" s="3" t="str">
        <f>IF(A1909="","", WEEKNUM(A1909, 2))</f>
        <v/>
      </c>
    </row>
    <row r="1910" spans="13:13">
      <c r="M1910" s="3" t="str">
        <f>IF(A1910="","", WEEKNUM(A1910, 2))</f>
        <v/>
      </c>
    </row>
    <row r="1911" spans="13:13">
      <c r="M1911" s="3" t="str">
        <f>IF(A1911="","", WEEKNUM(A1911, 2))</f>
        <v/>
      </c>
    </row>
    <row r="1912" spans="13:13">
      <c r="M1912" s="3" t="str">
        <f>IF(A1912="","", WEEKNUM(A1912, 2))</f>
        <v/>
      </c>
    </row>
    <row r="1913" spans="13:13">
      <c r="M1913" s="3" t="str">
        <f>IF(A1913="","", WEEKNUM(A1913, 2))</f>
        <v/>
      </c>
    </row>
    <row r="1914" spans="13:13">
      <c r="M1914" s="3" t="str">
        <f>IF(A1914="","", WEEKNUM(A1914, 2))</f>
        <v/>
      </c>
    </row>
    <row r="1915" spans="13:13">
      <c r="M1915" s="3" t="str">
        <f>IF(A1915="","", WEEKNUM(A1915, 2))</f>
        <v/>
      </c>
    </row>
    <row r="1916" spans="13:13">
      <c r="M1916" s="3" t="str">
        <f>IF(A1916="","", WEEKNUM(A1916, 2))</f>
        <v/>
      </c>
    </row>
    <row r="1917" spans="13:13">
      <c r="M1917" s="3" t="str">
        <f>IF(A1917="","", WEEKNUM(A1917, 2))</f>
        <v/>
      </c>
    </row>
    <row r="1918" spans="13:13">
      <c r="M1918" s="3" t="str">
        <f>IF(A1918="","", WEEKNUM(A1918, 2))</f>
        <v/>
      </c>
    </row>
    <row r="1919" spans="13:13">
      <c r="M1919" s="3" t="str">
        <f>IF(A1919="","", WEEKNUM(A1919, 2))</f>
        <v/>
      </c>
    </row>
    <row r="1920" spans="13:13">
      <c r="M1920" s="3" t="str">
        <f>IF(A1920="","", WEEKNUM(A1920, 2))</f>
        <v/>
      </c>
    </row>
    <row r="1921" spans="13:13">
      <c r="M1921" s="3" t="str">
        <f>IF(A1921="","", WEEKNUM(A1921, 2))</f>
        <v/>
      </c>
    </row>
    <row r="1922" spans="13:13">
      <c r="M1922" s="3" t="str">
        <f>IF(A1922="","", WEEKNUM(A1922, 2))</f>
        <v/>
      </c>
    </row>
    <row r="1923" spans="13:13">
      <c r="M1923" s="3" t="str">
        <f>IF(A1923="","", WEEKNUM(A1923, 2))</f>
        <v/>
      </c>
    </row>
    <row r="1924" spans="13:13">
      <c r="M1924" s="3" t="str">
        <f>IF(A1924="","", WEEKNUM(A1924, 2))</f>
        <v/>
      </c>
    </row>
    <row r="1925" spans="13:13">
      <c r="M1925" s="3" t="str">
        <f>IF(A1925="","", WEEKNUM(A1925, 2))</f>
        <v/>
      </c>
    </row>
    <row r="1926" spans="13:13">
      <c r="M1926" s="3" t="str">
        <f>IF(A1926="","", WEEKNUM(A1926, 2))</f>
        <v/>
      </c>
    </row>
    <row r="1927" spans="13:13">
      <c r="M1927" s="3" t="str">
        <f>IF(A1927="","", WEEKNUM(A1927, 2))</f>
        <v/>
      </c>
    </row>
    <row r="1928" spans="13:13">
      <c r="M1928" s="3" t="str">
        <f>IF(A1928="","", WEEKNUM(A1928, 2))</f>
        <v/>
      </c>
    </row>
    <row r="1929" spans="13:13">
      <c r="M1929" s="3" t="str">
        <f>IF(A1929="","", WEEKNUM(A1929, 2))</f>
        <v/>
      </c>
    </row>
    <row r="1930" spans="13:13">
      <c r="M1930" s="3" t="str">
        <f>IF(A1930="","", WEEKNUM(A1930, 2))</f>
        <v/>
      </c>
    </row>
    <row r="1931" spans="13:13">
      <c r="M1931" s="3" t="str">
        <f>IF(A1931="","", WEEKNUM(A1931, 2))</f>
        <v/>
      </c>
    </row>
    <row r="1932" spans="13:13">
      <c r="M1932" s="3" t="str">
        <f>IF(A1932="","", WEEKNUM(A1932, 2))</f>
        <v/>
      </c>
    </row>
    <row r="1933" spans="13:13">
      <c r="M1933" s="3" t="str">
        <f>IF(A1933="","", WEEKNUM(A1933, 2))</f>
        <v/>
      </c>
    </row>
    <row r="1934" spans="13:13">
      <c r="M1934" s="3" t="str">
        <f>IF(A1934="","", WEEKNUM(A1934, 2))</f>
        <v/>
      </c>
    </row>
    <row r="1935" spans="13:13">
      <c r="M1935" s="3" t="str">
        <f>IF(A1935="","", WEEKNUM(A1935, 2))</f>
        <v/>
      </c>
    </row>
    <row r="1936" spans="13:13">
      <c r="M1936" s="3" t="str">
        <f>IF(A1936="","", WEEKNUM(A1936, 2))</f>
        <v/>
      </c>
    </row>
    <row r="1937" spans="13:13">
      <c r="M1937" s="3" t="str">
        <f>IF(A1937="","", WEEKNUM(A1937, 2))</f>
        <v/>
      </c>
    </row>
    <row r="1938" spans="13:13">
      <c r="M1938" s="3" t="str">
        <f>IF(A1938="","", WEEKNUM(A1938, 2))</f>
        <v/>
      </c>
    </row>
    <row r="1939" spans="13:13">
      <c r="M1939" s="3" t="str">
        <f>IF(A1939="","", WEEKNUM(A1939, 2))</f>
        <v/>
      </c>
    </row>
    <row r="1940" spans="13:13">
      <c r="M1940" s="3" t="str">
        <f>IF(A1940="","", WEEKNUM(A1940, 2))</f>
        <v/>
      </c>
    </row>
    <row r="1941" spans="13:13">
      <c r="M1941" s="3" t="str">
        <f>IF(A1941="","", WEEKNUM(A1941, 2))</f>
        <v/>
      </c>
    </row>
    <row r="1942" spans="13:13">
      <c r="M1942" s="3" t="str">
        <f>IF(A1942="","", WEEKNUM(A1942, 2))</f>
        <v/>
      </c>
    </row>
    <row r="1943" spans="13:13">
      <c r="M1943" s="3" t="str">
        <f>IF(A1943="","", WEEKNUM(A1943, 2))</f>
        <v/>
      </c>
    </row>
    <row r="1944" spans="13:13">
      <c r="M1944" s="3" t="str">
        <f>IF(A1944="","", WEEKNUM(A1944, 2))</f>
        <v/>
      </c>
    </row>
    <row r="1945" spans="13:13">
      <c r="M1945" s="3" t="str">
        <f>IF(A1945="","", WEEKNUM(A1945, 2))</f>
        <v/>
      </c>
    </row>
    <row r="1946" spans="13:13">
      <c r="M1946" s="3" t="str">
        <f>IF(A1946="","", WEEKNUM(A1946, 2))</f>
        <v/>
      </c>
    </row>
    <row r="1947" spans="13:13">
      <c r="M1947" s="3" t="str">
        <f>IF(A1947="","", WEEKNUM(A1947, 2))</f>
        <v/>
      </c>
    </row>
    <row r="1948" spans="13:13">
      <c r="M1948" s="3" t="str">
        <f>IF(A1948="","", WEEKNUM(A1948, 2))</f>
        <v/>
      </c>
    </row>
    <row r="1949" spans="13:13">
      <c r="M1949" s="3" t="str">
        <f>IF(A1949="","", WEEKNUM(A1949, 2))</f>
        <v/>
      </c>
    </row>
    <row r="1950" spans="13:13">
      <c r="M1950" s="3" t="str">
        <f>IF(A1950="","", WEEKNUM(A1950, 2))</f>
        <v/>
      </c>
    </row>
    <row r="1951" spans="13:13">
      <c r="M1951" s="3" t="str">
        <f>IF(A1951="","", WEEKNUM(A1951, 2))</f>
        <v/>
      </c>
    </row>
    <row r="1952" spans="13:13">
      <c r="M1952" s="3" t="str">
        <f>IF(A1952="","", WEEKNUM(A1952, 2))</f>
        <v/>
      </c>
    </row>
    <row r="1953" spans="13:13">
      <c r="M1953" s="3" t="str">
        <f>IF(A1953="","", WEEKNUM(A1953, 2))</f>
        <v/>
      </c>
    </row>
    <row r="1954" spans="13:13">
      <c r="M1954" s="3" t="str">
        <f>IF(A1954="","", WEEKNUM(A1954, 2))</f>
        <v/>
      </c>
    </row>
    <row r="1955" spans="13:13">
      <c r="M1955" s="3" t="str">
        <f>IF(A1955="","", WEEKNUM(A1955, 2))</f>
        <v/>
      </c>
    </row>
    <row r="1956" spans="13:13">
      <c r="M1956" s="3" t="str">
        <f>IF(A1956="","", WEEKNUM(A1956, 2))</f>
        <v/>
      </c>
    </row>
    <row r="1957" spans="13:13">
      <c r="M1957" s="3" t="str">
        <f>IF(A1957="","", WEEKNUM(A1957, 2))</f>
        <v/>
      </c>
    </row>
    <row r="1958" spans="13:13">
      <c r="M1958" s="3" t="str">
        <f>IF(A1958="","", WEEKNUM(A1958, 2))</f>
        <v/>
      </c>
    </row>
    <row r="1959" spans="13:13">
      <c r="M1959" s="3" t="str">
        <f>IF(A1959="","", WEEKNUM(A1959, 2))</f>
        <v/>
      </c>
    </row>
    <row r="1960" spans="13:13">
      <c r="M1960" s="3" t="str">
        <f>IF(A1960="","", WEEKNUM(A1960, 2))</f>
        <v/>
      </c>
    </row>
    <row r="1961" spans="13:13">
      <c r="M1961" s="3" t="str">
        <f>IF(A1961="","", WEEKNUM(A1961, 2))</f>
        <v/>
      </c>
    </row>
    <row r="1962" spans="13:13">
      <c r="M1962" s="3" t="str">
        <f>IF(A1962="","", WEEKNUM(A1962, 2))</f>
        <v/>
      </c>
    </row>
    <row r="1963" spans="13:13">
      <c r="M1963" s="3" t="str">
        <f>IF(A1963="","", WEEKNUM(A1963, 2))</f>
        <v/>
      </c>
    </row>
    <row r="1964" spans="13:13">
      <c r="M1964" s="3" t="str">
        <f>IF(A1964="","", WEEKNUM(A1964, 2))</f>
        <v/>
      </c>
    </row>
    <row r="1965" spans="13:13">
      <c r="M1965" s="3" t="str">
        <f>IF(A1965="","", WEEKNUM(A1965, 2))</f>
        <v/>
      </c>
    </row>
    <row r="1966" spans="13:13">
      <c r="M1966" s="3" t="str">
        <f>IF(A1966="","", WEEKNUM(A1966, 2))</f>
        <v/>
      </c>
    </row>
    <row r="1967" spans="13:13">
      <c r="M1967" s="3" t="str">
        <f>IF(A1967="","", WEEKNUM(A1967, 2))</f>
        <v/>
      </c>
    </row>
    <row r="1968" spans="13:13">
      <c r="M1968" s="3" t="str">
        <f>IF(A1968="","", WEEKNUM(A1968, 2))</f>
        <v/>
      </c>
    </row>
    <row r="1969" spans="13:13">
      <c r="M1969" s="3" t="str">
        <f>IF(A1969="","", WEEKNUM(A1969, 2))</f>
        <v/>
      </c>
    </row>
    <row r="1970" spans="13:13">
      <c r="M1970" s="3" t="str">
        <f>IF(A1970="","", WEEKNUM(A1970, 2))</f>
        <v/>
      </c>
    </row>
    <row r="1971" spans="13:13">
      <c r="M1971" s="3" t="str">
        <f>IF(A1971="","", WEEKNUM(A1971, 2))</f>
        <v/>
      </c>
    </row>
    <row r="1972" spans="13:13">
      <c r="M1972" s="3" t="str">
        <f>IF(A1972="","", WEEKNUM(A1972, 2))</f>
        <v/>
      </c>
    </row>
    <row r="1973" spans="13:13">
      <c r="M1973" s="3" t="str">
        <f>IF(A1973="","", WEEKNUM(A1973, 2))</f>
        <v/>
      </c>
    </row>
    <row r="1974" spans="13:13">
      <c r="M1974" s="3" t="str">
        <f>IF(A1974="","", WEEKNUM(A1974, 2))</f>
        <v/>
      </c>
    </row>
    <row r="1975" spans="13:13">
      <c r="M1975" s="3" t="str">
        <f>IF(A1975="","", WEEKNUM(A1975, 2))</f>
        <v/>
      </c>
    </row>
    <row r="1976" spans="13:13">
      <c r="M1976" s="3" t="str">
        <f>IF(A1976="","", WEEKNUM(A1976, 2))</f>
        <v/>
      </c>
    </row>
    <row r="1977" spans="13:13">
      <c r="M1977" s="3" t="str">
        <f>IF(A1977="","", WEEKNUM(A1977, 2))</f>
        <v/>
      </c>
    </row>
    <row r="1978" spans="13:13">
      <c r="M1978" s="3" t="str">
        <f>IF(A1978="","", WEEKNUM(A1978, 2))</f>
        <v/>
      </c>
    </row>
    <row r="1979" spans="13:13">
      <c r="M1979" s="3" t="str">
        <f>IF(A1979="","", WEEKNUM(A1979, 2))</f>
        <v/>
      </c>
    </row>
    <row r="1980" spans="13:13">
      <c r="M1980" s="3" t="str">
        <f>IF(A1980="","", WEEKNUM(A1980, 2))</f>
        <v/>
      </c>
    </row>
    <row r="1981" spans="13:13">
      <c r="M1981" s="3" t="str">
        <f>IF(A1981="","", WEEKNUM(A1981, 2))</f>
        <v/>
      </c>
    </row>
    <row r="1982" spans="13:13">
      <c r="M1982" s="3" t="str">
        <f>IF(A1982="","", WEEKNUM(A1982, 2))</f>
        <v/>
      </c>
    </row>
    <row r="1983" spans="13:13">
      <c r="M1983" s="3" t="str">
        <f>IF(A1983="","", WEEKNUM(A1983, 2))</f>
        <v/>
      </c>
    </row>
    <row r="1984" spans="13:13">
      <c r="M1984" s="3" t="str">
        <f>IF(A1984="","", WEEKNUM(A1984, 2))</f>
        <v/>
      </c>
    </row>
    <row r="1985" spans="13:13">
      <c r="M1985" s="3" t="str">
        <f>IF(A1985="","", WEEKNUM(A1985, 2))</f>
        <v/>
      </c>
    </row>
    <row r="1986" spans="13:13">
      <c r="M1986" s="3" t="str">
        <f>IF(A1986="","", WEEKNUM(A1986, 2))</f>
        <v/>
      </c>
    </row>
    <row r="1987" spans="13:13">
      <c r="M1987" s="3" t="str">
        <f>IF(A1987="","", WEEKNUM(A1987, 2))</f>
        <v/>
      </c>
    </row>
    <row r="1988" spans="13:13">
      <c r="M1988" s="3" t="str">
        <f>IF(A1988="","", WEEKNUM(A1988, 2))</f>
        <v/>
      </c>
    </row>
    <row r="1989" spans="13:13">
      <c r="M1989" s="3" t="str">
        <f>IF(A1989="","", WEEKNUM(A1989, 2))</f>
        <v/>
      </c>
    </row>
    <row r="1990" spans="13:13">
      <c r="M1990" s="3" t="str">
        <f>IF(A1990="","", WEEKNUM(A1990, 2))</f>
        <v/>
      </c>
    </row>
    <row r="1991" spans="13:13">
      <c r="M1991" s="3" t="str">
        <f>IF(A1991="","", WEEKNUM(A1991, 2))</f>
        <v/>
      </c>
    </row>
    <row r="1992" spans="13:13">
      <c r="M1992" s="3" t="str">
        <f>IF(A1992="","", WEEKNUM(A1992, 2))</f>
        <v/>
      </c>
    </row>
    <row r="1993" spans="13:13">
      <c r="M1993" s="3" t="str">
        <f>IF(A1993="","", WEEKNUM(A1993, 2))</f>
        <v/>
      </c>
    </row>
    <row r="1994" spans="13:13">
      <c r="M1994" s="3" t="str">
        <f>IF(A1994="","", WEEKNUM(A1994, 2))</f>
        <v/>
      </c>
    </row>
    <row r="1995" spans="13:13">
      <c r="M1995" s="3" t="str">
        <f>IF(A1995="","", WEEKNUM(A1995, 2))</f>
        <v/>
      </c>
    </row>
    <row r="1996" spans="13:13">
      <c r="M1996" s="3" t="str">
        <f>IF(A1996="","", WEEKNUM(A1996, 2))</f>
        <v/>
      </c>
    </row>
    <row r="1997" spans="13:13">
      <c r="M1997" s="3" t="str">
        <f>IF(A1997="","", WEEKNUM(A1997, 2))</f>
        <v/>
      </c>
    </row>
    <row r="1998" spans="13:13">
      <c r="M1998" s="3" t="str">
        <f>IF(A1998="","", WEEKNUM(A1998, 2))</f>
        <v/>
      </c>
    </row>
    <row r="1999" spans="13:13">
      <c r="M1999" s="3" t="str">
        <f>IF(A1999="","", WEEKNUM(A1999, 2))</f>
        <v/>
      </c>
    </row>
    <row r="2000" spans="13:13">
      <c r="M2000" s="3" t="str">
        <f>IF(A2000="","", WEEKNUM(A2000, 2))</f>
        <v/>
      </c>
    </row>
  </sheetData>
  <mergeCells count="1">
    <mergeCell ref="A1:P1"/>
  </mergeCells>
  <dataValidations count="1">
    <dataValidation sqref="E5:E206" xr:uid="{597FAB9B-4AE1-4589-AFC7-A047EBDF2DEF}"/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DA61E-67ED-4ABF-B81B-4B4571CE581A}">
  <dimension ref="A1:O2000"/>
  <sheetViews>
    <sheetView tabSelected="1" topLeftCell="A166" zoomScale="71" workbookViewId="0">
      <selection activeCell="G198" sqref="G198"/>
    </sheetView>
  </sheetViews>
  <sheetFormatPr baseColWidth="10" defaultColWidth="9.77734375" defaultRowHeight="13.8"/>
  <cols>
    <col min="1" max="1" width="14.44140625" style="3" customWidth="1"/>
    <col min="2" max="2" width="22.21875" style="3" customWidth="1"/>
    <col min="3" max="3" width="18.88671875" style="3" customWidth="1"/>
    <col min="4" max="4" width="71.44140625" style="3" bestFit="1" customWidth="1"/>
    <col min="5" max="6" width="15.5546875" style="3" customWidth="1"/>
    <col min="7" max="7" width="13.33203125" style="3" customWidth="1"/>
    <col min="8" max="8" width="15.5546875" style="3" customWidth="1"/>
    <col min="9" max="9" width="27.77734375" style="3" customWidth="1"/>
    <col min="10" max="10" width="17.77734375" style="3" customWidth="1"/>
    <col min="11" max="11" width="33.33203125" style="3" customWidth="1"/>
    <col min="12" max="16384" width="9.77734375" style="3"/>
  </cols>
  <sheetData>
    <row r="1" spans="1:14" ht="22.3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4">
      <c r="A2" s="3" t="s">
        <v>1</v>
      </c>
      <c r="C2" s="3" t="s">
        <v>2</v>
      </c>
      <c r="E2" s="3" t="s">
        <v>3</v>
      </c>
      <c r="G2" s="3" t="s">
        <v>4</v>
      </c>
      <c r="I2" s="3" t="s">
        <v>5</v>
      </c>
    </row>
    <row r="4" spans="1:14" ht="27.6">
      <c r="A4" s="4" t="s">
        <v>6</v>
      </c>
      <c r="B4" s="4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16</v>
      </c>
      <c r="M4" s="3" t="s">
        <v>17</v>
      </c>
      <c r="N4" s="3" t="s">
        <v>18</v>
      </c>
    </row>
    <row r="5" spans="1:14">
      <c r="A5" s="5">
        <v>46181</v>
      </c>
      <c r="B5" s="3" t="s">
        <v>19</v>
      </c>
      <c r="C5" s="3" t="s">
        <v>20</v>
      </c>
      <c r="D5" s="3" t="s">
        <v>21</v>
      </c>
      <c r="E5" s="3" t="e">
        <f>VLOOKUP(TablaObra[[#This Row],[Equipo]],[1]Catalogos!$V$4:$W$64,2,FALSE)</f>
        <v>#N/A</v>
      </c>
      <c r="F5" s="6">
        <v>30</v>
      </c>
      <c r="G5" s="7">
        <v>27</v>
      </c>
      <c r="H5" s="7">
        <f>IFERROR(F5*G5,0)</f>
        <v>810</v>
      </c>
      <c r="M5" s="3">
        <f t="shared" ref="M5:M68" si="0">IF(A5="","", WEEKNUM(A5, 2))</f>
        <v>24</v>
      </c>
      <c r="N5" s="3" t="str">
        <f>IF(A5="","", "CO-" &amp; IFERROR(VLOOKUP(B5, [1]Catalogos!$Z$4:$AA$20, 2, FALSE), "FOL") &amp; "-" &amp; WEEKNUM(A5,2) &amp; "-" &amp; TEXT(ROW(A1),"000"))</f>
        <v>CO-MT-24-001</v>
      </c>
    </row>
    <row r="6" spans="1:14">
      <c r="A6" s="5">
        <v>46181</v>
      </c>
      <c r="B6" s="3" t="s">
        <v>19</v>
      </c>
      <c r="C6" s="3" t="s">
        <v>20</v>
      </c>
      <c r="D6" s="3" t="s">
        <v>22</v>
      </c>
      <c r="E6" s="3" t="e">
        <f>VLOOKUP(TablaObra[[#This Row],[Equipo]],[1]Catalogos!$V$4:$W$64,2,FALSE)</f>
        <v>#N/A</v>
      </c>
      <c r="F6" s="6">
        <v>32</v>
      </c>
      <c r="G6" s="7">
        <v>27</v>
      </c>
      <c r="H6" s="7">
        <f>IFERROR(F6*G6,0)</f>
        <v>864</v>
      </c>
      <c r="M6" s="3">
        <f t="shared" si="0"/>
        <v>24</v>
      </c>
      <c r="N6" s="3" t="str">
        <f>IF(A6="","", "CO-" &amp; IFERROR(VLOOKUP(B6, [1]Catalogos!$Z$4:$AA$20, 2, FALSE), "FOL") &amp; "-" &amp; WEEKNUM(A6,2) &amp; "-" &amp; TEXT(ROW(A2),"000"))</f>
        <v>CO-MT-24-002</v>
      </c>
    </row>
    <row r="7" spans="1:14">
      <c r="A7" s="5">
        <v>46181</v>
      </c>
      <c r="B7" s="3" t="s">
        <v>19</v>
      </c>
      <c r="C7" s="3" t="s">
        <v>20</v>
      </c>
      <c r="D7" s="3" t="s">
        <v>23</v>
      </c>
      <c r="E7" s="3" t="e">
        <f>VLOOKUP(TablaObra[[#This Row],[Equipo]],[1]Catalogos!$V$4:$W$64,2,FALSE)</f>
        <v>#N/A</v>
      </c>
      <c r="F7" s="6">
        <v>277</v>
      </c>
      <c r="G7" s="7">
        <v>27</v>
      </c>
      <c r="H7" s="7">
        <f>IFERROR(F7*G7,0)</f>
        <v>7479</v>
      </c>
      <c r="M7" s="3">
        <f t="shared" si="0"/>
        <v>24</v>
      </c>
      <c r="N7" s="3" t="str">
        <f>IF(A7="","", "CO-" &amp; IFERROR(VLOOKUP(B7, [1]Catalogos!$Z$4:$AA$20, 2, FALSE), "FOL") &amp; "-" &amp; WEEKNUM(A7,2) &amp; "-" &amp; TEXT(ROW(A3),"000"))</f>
        <v>CO-MT-24-003</v>
      </c>
    </row>
    <row r="8" spans="1:14">
      <c r="A8" s="5">
        <v>46181</v>
      </c>
      <c r="B8" s="3" t="s">
        <v>19</v>
      </c>
      <c r="C8" s="3" t="s">
        <v>20</v>
      </c>
      <c r="D8" s="3" t="s">
        <v>24</v>
      </c>
      <c r="E8" s="3" t="e">
        <f>VLOOKUP(TablaObra[[#This Row],[Equipo]],[1]Catalogos!$V$4:$W$64,2,FALSE)</f>
        <v>#N/A</v>
      </c>
      <c r="F8" s="6">
        <v>30</v>
      </c>
      <c r="G8" s="7">
        <v>27</v>
      </c>
      <c r="H8" s="7">
        <f>IFERROR(F8*G8,0)</f>
        <v>810</v>
      </c>
      <c r="M8" s="3">
        <f t="shared" si="0"/>
        <v>24</v>
      </c>
      <c r="N8" s="3" t="str">
        <f>IF(A8="","", "CO-" &amp; IFERROR(VLOOKUP(B8, [1]Catalogos!$Z$4:$AA$20, 2, FALSE), "FOL") &amp; "-" &amp; WEEKNUM(A8,2) &amp; "-" &amp; TEXT(ROW(A4),"000"))</f>
        <v>CO-MT-24-004</v>
      </c>
    </row>
    <row r="9" spans="1:14">
      <c r="A9" s="5">
        <v>46181</v>
      </c>
      <c r="B9" s="3" t="s">
        <v>25</v>
      </c>
      <c r="C9" s="3" t="s">
        <v>20</v>
      </c>
      <c r="D9" s="3" t="s">
        <v>26</v>
      </c>
      <c r="E9" s="3" t="e">
        <f>VLOOKUP(TablaObra[[#This Row],[Equipo]],[1]Catalogos!$V$4:$W$64,2,FALSE)</f>
        <v>#N/A</v>
      </c>
      <c r="F9" s="6">
        <v>97</v>
      </c>
      <c r="G9" s="7">
        <v>27</v>
      </c>
      <c r="H9" s="7">
        <f>IFERROR(F9*G9,0)</f>
        <v>2619</v>
      </c>
      <c r="M9" s="3">
        <f t="shared" si="0"/>
        <v>24</v>
      </c>
      <c r="N9" s="3" t="str">
        <f>IF(A9="","", "CO-" &amp; IFERROR(VLOOKUP(B9, [1]Catalogos!$Z$4:$AA$20, 2, FALSE), "FOL") &amp; "-" &amp; WEEKNUM(A9,2) &amp; "-" &amp; TEXT(ROW(A5),"000"))</f>
        <v>CO-LT-24-005</v>
      </c>
    </row>
    <row r="10" spans="1:14">
      <c r="A10" s="5">
        <v>46181</v>
      </c>
      <c r="B10" s="3" t="s">
        <v>27</v>
      </c>
      <c r="C10" s="3" t="s">
        <v>20</v>
      </c>
      <c r="D10" s="3" t="s">
        <v>28</v>
      </c>
      <c r="E10" s="3" t="e">
        <f>VLOOKUP(TablaObra[[#This Row],[Equipo]],[1]Catalogos!$V$4:$W$64,2,FALSE)</f>
        <v>#N/A</v>
      </c>
      <c r="F10" s="6">
        <v>198</v>
      </c>
      <c r="G10" s="7">
        <v>27</v>
      </c>
      <c r="H10" s="7">
        <f>IFERROR(F10*G10,0)</f>
        <v>5346</v>
      </c>
      <c r="M10" s="3">
        <f t="shared" si="0"/>
        <v>24</v>
      </c>
      <c r="N10" s="3" t="str">
        <f>IF(A10="","", "CO-" &amp; IFERROR(VLOOKUP(B10, [1]Catalogos!$Z$4:$AA$20, 2, FALSE), "FOL") &amp; "-" &amp; WEEKNUM(A10,2) &amp; "-" &amp; TEXT(ROW(A6),"000"))</f>
        <v>CO-CL-24-006</v>
      </c>
    </row>
    <row r="11" spans="1:14">
      <c r="A11" s="5">
        <v>46181</v>
      </c>
      <c r="B11" s="3" t="s">
        <v>27</v>
      </c>
      <c r="C11" s="3" t="s">
        <v>20</v>
      </c>
      <c r="D11" s="3" t="s">
        <v>29</v>
      </c>
      <c r="E11" s="3" t="e">
        <f>VLOOKUP(TablaObra[[#This Row],[Equipo]],[1]Catalogos!$V$4:$W$64,2,FALSE)</f>
        <v>#N/A</v>
      </c>
      <c r="F11" s="6">
        <v>10</v>
      </c>
      <c r="G11" s="7">
        <v>27</v>
      </c>
      <c r="H11" s="7">
        <f>IFERROR(F11*G11,0)</f>
        <v>270</v>
      </c>
      <c r="M11" s="3">
        <f t="shared" si="0"/>
        <v>24</v>
      </c>
      <c r="N11" s="3" t="str">
        <f>IF(A11="","", "CO-" &amp; IFERROR(VLOOKUP(B11, [1]Catalogos!$Z$4:$AA$20, 2, FALSE), "FOL") &amp; "-" &amp; WEEKNUM(A11,2) &amp; "-" &amp; TEXT(ROW(A7),"000"))</f>
        <v>CO-CL-24-007</v>
      </c>
    </row>
    <row r="12" spans="1:14">
      <c r="A12" s="5">
        <v>46181</v>
      </c>
      <c r="B12" s="3" t="s">
        <v>27</v>
      </c>
      <c r="C12" s="3" t="s">
        <v>20</v>
      </c>
      <c r="D12" s="3" t="s">
        <v>30</v>
      </c>
      <c r="E12" s="3" t="e">
        <f>VLOOKUP(TablaObra[[#This Row],[Equipo]],[1]Catalogos!$V$4:$W$64,2,FALSE)</f>
        <v>#N/A</v>
      </c>
      <c r="F12" s="6">
        <v>27</v>
      </c>
      <c r="G12" s="7">
        <v>27</v>
      </c>
      <c r="H12" s="7">
        <f>IFERROR(F12*G12,0)</f>
        <v>729</v>
      </c>
      <c r="M12" s="3">
        <f t="shared" si="0"/>
        <v>24</v>
      </c>
      <c r="N12" s="3" t="str">
        <f>IF(A12="","", "CO-" &amp; IFERROR(VLOOKUP(B12, [1]Catalogos!$Z$4:$AA$20, 2, FALSE), "FOL") &amp; "-" &amp; WEEKNUM(A12,2) &amp; "-" &amp; TEXT(ROW(A8),"000"))</f>
        <v>CO-CL-24-008</v>
      </c>
    </row>
    <row r="13" spans="1:14">
      <c r="A13" s="5">
        <v>46181</v>
      </c>
      <c r="B13" s="3" t="s">
        <v>27</v>
      </c>
      <c r="C13" s="3" t="s">
        <v>20</v>
      </c>
      <c r="D13" s="3" t="s">
        <v>31</v>
      </c>
      <c r="E13" s="3" t="e">
        <f>VLOOKUP(TablaObra[[#This Row],[Equipo]],[1]Catalogos!$V$4:$W$64,2,FALSE)</f>
        <v>#N/A</v>
      </c>
      <c r="F13" s="6">
        <v>30</v>
      </c>
      <c r="G13" s="7">
        <v>27</v>
      </c>
      <c r="H13" s="7">
        <f>IFERROR(F13*G13,0)</f>
        <v>810</v>
      </c>
      <c r="M13" s="3">
        <f t="shared" si="0"/>
        <v>24</v>
      </c>
      <c r="N13" s="3" t="str">
        <f>IF(A13="","", "CO-" &amp; IFERROR(VLOOKUP(B13, [1]Catalogos!$Z$4:$AA$20, 2, FALSE), "FOL") &amp; "-" &amp; WEEKNUM(A13,2) &amp; "-" &amp; TEXT(ROW(A9),"000"))</f>
        <v>CO-CL-24-009</v>
      </c>
    </row>
    <row r="14" spans="1:14">
      <c r="A14" s="5">
        <v>46181</v>
      </c>
      <c r="B14" s="3" t="s">
        <v>27</v>
      </c>
      <c r="C14" s="3" t="s">
        <v>20</v>
      </c>
      <c r="D14" s="3" t="s">
        <v>32</v>
      </c>
      <c r="E14" s="3" t="e">
        <f>VLOOKUP(TablaObra[[#This Row],[Equipo]],[1]Catalogos!$V$4:$W$64,2,FALSE)</f>
        <v>#N/A</v>
      </c>
      <c r="F14" s="6">
        <v>40</v>
      </c>
      <c r="G14" s="7">
        <v>27</v>
      </c>
      <c r="H14" s="7">
        <f>IFERROR(F14*G14,0)</f>
        <v>1080</v>
      </c>
      <c r="M14" s="6">
        <f t="shared" si="0"/>
        <v>24</v>
      </c>
      <c r="N14" s="3" t="str">
        <f>IF(A14="","", "CO-" &amp; IFERROR(VLOOKUP(B14, [1]Catalogos!$Z$4:$AA$20, 2, FALSE), "FOL") &amp; "-" &amp; WEEKNUM(A14,2) &amp; "-" &amp; TEXT(ROW(A10),"000"))</f>
        <v>CO-CL-24-010</v>
      </c>
    </row>
    <row r="15" spans="1:14">
      <c r="A15" s="5">
        <v>46181</v>
      </c>
      <c r="B15" s="3" t="s">
        <v>27</v>
      </c>
      <c r="C15" s="3" t="s">
        <v>20</v>
      </c>
      <c r="D15" s="3" t="s">
        <v>33</v>
      </c>
      <c r="E15" s="3" t="e">
        <f>VLOOKUP(TablaObra[[#This Row],[Equipo]],[1]Catalogos!$V$4:$W$64,2,FALSE)</f>
        <v>#N/A</v>
      </c>
      <c r="F15" s="6">
        <v>120</v>
      </c>
      <c r="G15" s="7">
        <v>27</v>
      </c>
      <c r="H15" s="7">
        <f>IFERROR(F15*G15,0)</f>
        <v>3240</v>
      </c>
      <c r="M15" s="3">
        <f t="shared" si="0"/>
        <v>24</v>
      </c>
      <c r="N15" s="3" t="str">
        <f>IF(A15="","", "CO-" &amp; IFERROR(VLOOKUP(B15, [1]Catalogos!$Z$4:$AA$20, 2, FALSE), "FOL") &amp; "-" &amp; WEEKNUM(A15,2) &amp; "-" &amp; TEXT(ROW(A11),"000"))</f>
        <v>CO-CL-24-011</v>
      </c>
    </row>
    <row r="16" spans="1:14">
      <c r="A16" s="5">
        <v>46181</v>
      </c>
      <c r="B16" s="3" t="s">
        <v>27</v>
      </c>
      <c r="C16" s="3" t="s">
        <v>20</v>
      </c>
      <c r="D16" s="3" t="s">
        <v>34</v>
      </c>
      <c r="E16" s="3" t="e">
        <f>VLOOKUP(TablaObra[[#This Row],[Equipo]],[1]Catalogos!$V$4:$W$64,2,FALSE)</f>
        <v>#N/A</v>
      </c>
      <c r="F16" s="6">
        <v>30</v>
      </c>
      <c r="G16" s="7">
        <v>27</v>
      </c>
      <c r="H16" s="7">
        <f>IFERROR(F16*G16,0)</f>
        <v>810</v>
      </c>
      <c r="M16" s="3">
        <f t="shared" si="0"/>
        <v>24</v>
      </c>
      <c r="N16" s="3" t="str">
        <f>IF(A16="","", "CO-" &amp; IFERROR(VLOOKUP(B16, [1]Catalogos!$Z$4:$AA$20, 2, FALSE), "FOL") &amp; "-" &amp; WEEKNUM(A16,2) &amp; "-" &amp; TEXT(ROW(A12),"000"))</f>
        <v>CO-CL-24-012</v>
      </c>
    </row>
    <row r="17" spans="1:14">
      <c r="A17" s="5">
        <v>46181</v>
      </c>
      <c r="B17" s="3" t="s">
        <v>35</v>
      </c>
      <c r="C17" s="3" t="s">
        <v>36</v>
      </c>
      <c r="D17" s="3" t="s">
        <v>37</v>
      </c>
      <c r="E17" s="3" t="str">
        <f>VLOOKUP(TablaObra[[#This Row],[Equipo]],[1]Catalogos!$V$4:$W$64,2,FALSE)</f>
        <v>BD-01</v>
      </c>
      <c r="F17" s="6">
        <v>100</v>
      </c>
      <c r="G17" s="7">
        <v>27</v>
      </c>
      <c r="H17" s="7">
        <f>IFERROR(F17*G17,0)</f>
        <v>2700</v>
      </c>
      <c r="M17" s="3">
        <f t="shared" si="0"/>
        <v>24</v>
      </c>
      <c r="N17" s="3" t="str">
        <f>IF(A17="","", "CO-" &amp; IFERROR(VLOOKUP(B17, [1]Catalogos!$Z$4:$AA$20, 2, FALSE), "FOL") &amp; "-" &amp; WEEKNUM(A17,2) &amp; "-" &amp; TEXT(ROW(A13),"000"))</f>
        <v>CO-BT-24-013</v>
      </c>
    </row>
    <row r="18" spans="1:14">
      <c r="A18" s="5">
        <v>46181</v>
      </c>
      <c r="B18" s="3" t="s">
        <v>38</v>
      </c>
      <c r="C18" s="3" t="s">
        <v>36</v>
      </c>
      <c r="D18" s="3" t="s">
        <v>37</v>
      </c>
      <c r="E18" s="3" t="str">
        <f>VLOOKUP(TablaObra[[#This Row],[Equipo]],[1]Catalogos!$V$4:$W$64,2,FALSE)</f>
        <v>BD-01</v>
      </c>
      <c r="F18" s="6">
        <v>200</v>
      </c>
      <c r="G18" s="7">
        <v>27</v>
      </c>
      <c r="H18" s="7">
        <f>IFERROR(F18*G18,0)</f>
        <v>5400</v>
      </c>
      <c r="M18" s="3">
        <f t="shared" si="0"/>
        <v>24</v>
      </c>
      <c r="N18" s="3" t="str">
        <f>IF(A18="","", "CO-" &amp; IFERROR(VLOOKUP(B18, [1]Catalogos!$Z$4:$AA$20, 2, FALSE), "FOL") &amp; "-" &amp; WEEKNUM(A18,2) &amp; "-" &amp; TEXT(ROW(A14),"000"))</f>
        <v>CO-PAP-24-014</v>
      </c>
    </row>
    <row r="19" spans="1:14">
      <c r="A19" s="5">
        <v>46181</v>
      </c>
      <c r="B19" s="3" t="s">
        <v>38</v>
      </c>
      <c r="C19" s="3" t="s">
        <v>36</v>
      </c>
      <c r="D19" s="3" t="s">
        <v>37</v>
      </c>
      <c r="E19" s="3" t="str">
        <f>VLOOKUP(TablaObra[[#This Row],[Equipo]],[1]Catalogos!$V$4:$W$64,2,FALSE)</f>
        <v>BD-01</v>
      </c>
      <c r="F19" s="6">
        <v>209</v>
      </c>
      <c r="G19" s="7">
        <v>27</v>
      </c>
      <c r="H19" s="7">
        <f>IFERROR(F19*G19,0)</f>
        <v>5643</v>
      </c>
      <c r="M19" s="3">
        <f t="shared" si="0"/>
        <v>24</v>
      </c>
      <c r="N19" s="3" t="str">
        <f>IF(A19="","", "CO-" &amp; IFERROR(VLOOKUP(B19, [1]Catalogos!$Z$4:$AA$20, 2, FALSE), "FOL") &amp; "-" &amp; WEEKNUM(A19,2) &amp; "-" &amp; TEXT(ROW(A15),"000"))</f>
        <v>CO-PAP-24-015</v>
      </c>
    </row>
    <row r="20" spans="1:14">
      <c r="A20" s="5">
        <v>46182</v>
      </c>
      <c r="B20" s="3" t="s">
        <v>27</v>
      </c>
      <c r="C20" s="3" t="s">
        <v>20</v>
      </c>
      <c r="D20" s="3" t="s">
        <v>39</v>
      </c>
      <c r="E20" s="3" t="e">
        <f>VLOOKUP(TablaObra[[#This Row],[Equipo]],[1]Catalogos!$V$4:$W$64,2,FALSE)</f>
        <v>#N/A</v>
      </c>
      <c r="F20" s="6">
        <v>30</v>
      </c>
      <c r="G20" s="7">
        <v>27</v>
      </c>
      <c r="H20" s="7">
        <f>IFERROR(F20*G20,0)</f>
        <v>810</v>
      </c>
      <c r="M20" s="3">
        <f t="shared" si="0"/>
        <v>24</v>
      </c>
      <c r="N20" s="3" t="str">
        <f>IF(A20="","", "CO-" &amp; IFERROR(VLOOKUP(B20, [1]Catalogos!$Z$4:$AA$20, 2, FALSE), "FOL") &amp; "-" &amp; WEEKNUM(A20,2) &amp; "-" &amp; TEXT(ROW(A16),"000"))</f>
        <v>CO-CL-24-016</v>
      </c>
    </row>
    <row r="21" spans="1:14">
      <c r="A21" s="5">
        <v>46182</v>
      </c>
      <c r="B21" s="3" t="s">
        <v>27</v>
      </c>
      <c r="C21" s="3" t="s">
        <v>20</v>
      </c>
      <c r="D21" s="3" t="s">
        <v>40</v>
      </c>
      <c r="E21" s="3" t="e">
        <f>VLOOKUP(TablaObra[[#This Row],[Equipo]],[1]Catalogos!$V$4:$W$64,2,FALSE)</f>
        <v>#N/A</v>
      </c>
      <c r="F21" s="6">
        <v>100</v>
      </c>
      <c r="G21" s="7">
        <v>27</v>
      </c>
      <c r="H21" s="7">
        <f>IFERROR(F21*G21,0)</f>
        <v>2700</v>
      </c>
      <c r="M21" s="3">
        <f t="shared" si="0"/>
        <v>24</v>
      </c>
      <c r="N21" s="3" t="str">
        <f>IF(A21="","", "CO-" &amp; IFERROR(VLOOKUP(B21, [1]Catalogos!$Z$4:$AA$20, 2, FALSE), "FOL") &amp; "-" &amp; WEEKNUM(A21,2) &amp; "-" &amp; TEXT(ROW(A17),"000"))</f>
        <v>CO-CL-24-017</v>
      </c>
    </row>
    <row r="22" spans="1:14">
      <c r="A22" s="5">
        <v>46182</v>
      </c>
      <c r="B22" s="3" t="s">
        <v>27</v>
      </c>
      <c r="C22" s="3" t="s">
        <v>20</v>
      </c>
      <c r="D22" s="3" t="s">
        <v>41</v>
      </c>
      <c r="E22" s="3" t="e">
        <f>VLOOKUP(TablaObra[[#This Row],[Equipo]],[1]Catalogos!$V$4:$W$64,2,FALSE)</f>
        <v>#N/A</v>
      </c>
      <c r="F22" s="6">
        <v>30</v>
      </c>
      <c r="G22" s="7">
        <v>27</v>
      </c>
      <c r="H22" s="7">
        <f>IFERROR(F22*G22,0)</f>
        <v>810</v>
      </c>
      <c r="M22" s="3">
        <f t="shared" si="0"/>
        <v>24</v>
      </c>
      <c r="N22" s="3" t="str">
        <f>IF(A22="","", "CO-" &amp; IFERROR(VLOOKUP(B22, [1]Catalogos!$Z$4:$AA$20, 2, FALSE), "FOL") &amp; "-" &amp; WEEKNUM(A22,2) &amp; "-" &amp; TEXT(ROW(A18),"000"))</f>
        <v>CO-CL-24-018</v>
      </c>
    </row>
    <row r="23" spans="1:14">
      <c r="A23" s="5">
        <v>46182</v>
      </c>
      <c r="B23" s="3" t="s">
        <v>27</v>
      </c>
      <c r="C23" s="3" t="s">
        <v>20</v>
      </c>
      <c r="D23" s="3" t="s">
        <v>28</v>
      </c>
      <c r="E23" s="3" t="e">
        <f>VLOOKUP(TablaObra[[#This Row],[Equipo]],[1]Catalogos!$V$4:$W$64,2,FALSE)</f>
        <v>#N/A</v>
      </c>
      <c r="F23" s="6">
        <v>150</v>
      </c>
      <c r="G23" s="7">
        <v>27</v>
      </c>
      <c r="H23" s="7">
        <f>IFERROR(F23*G23,0)</f>
        <v>4050</v>
      </c>
      <c r="M23" s="3">
        <f t="shared" si="0"/>
        <v>24</v>
      </c>
      <c r="N23" s="3" t="str">
        <f>IF(A23="","", "CO-" &amp; IFERROR(VLOOKUP(B23, [1]Catalogos!$Z$4:$AA$20, 2, FALSE), "FOL") &amp; "-" &amp; WEEKNUM(A23,2) &amp; "-" &amp; TEXT(ROW(A19),"000"))</f>
        <v>CO-CL-24-019</v>
      </c>
    </row>
    <row r="24" spans="1:14">
      <c r="A24" s="5">
        <v>46182</v>
      </c>
      <c r="B24" s="3" t="s">
        <v>27</v>
      </c>
      <c r="C24" s="3" t="s">
        <v>20</v>
      </c>
      <c r="D24" s="3" t="s">
        <v>34</v>
      </c>
      <c r="E24" s="3" t="e">
        <f>VLOOKUP(TablaObra[[#This Row],[Equipo]],[1]Catalogos!$V$4:$W$64,2,FALSE)</f>
        <v>#N/A</v>
      </c>
      <c r="F24" s="6">
        <v>50</v>
      </c>
      <c r="G24" s="7">
        <v>27</v>
      </c>
      <c r="H24" s="7">
        <f>IFERROR(F24*G24,0)</f>
        <v>1350</v>
      </c>
      <c r="M24" s="3">
        <f t="shared" si="0"/>
        <v>24</v>
      </c>
      <c r="N24" s="3" t="str">
        <f>IF(A24="","", "CO-" &amp; IFERROR(VLOOKUP(B24, [1]Catalogos!$Z$4:$AA$20, 2, FALSE), "FOL") &amp; "-" &amp; WEEKNUM(A24,2) &amp; "-" &amp; TEXT(ROW(A20),"000"))</f>
        <v>CO-CL-24-020</v>
      </c>
    </row>
    <row r="25" spans="1:14">
      <c r="A25" s="5">
        <v>46182</v>
      </c>
      <c r="B25" s="3" t="s">
        <v>27</v>
      </c>
      <c r="C25" s="3" t="s">
        <v>20</v>
      </c>
      <c r="D25" s="3" t="s">
        <v>33</v>
      </c>
      <c r="E25" s="3" t="e">
        <f>VLOOKUP(TablaObra[[#This Row],[Equipo]],[1]Catalogos!$V$4:$W$64,2,FALSE)</f>
        <v>#N/A</v>
      </c>
      <c r="F25" s="6">
        <v>136</v>
      </c>
      <c r="G25" s="7">
        <v>27</v>
      </c>
      <c r="H25" s="7">
        <f>IFERROR(F25*G25,0)</f>
        <v>3672</v>
      </c>
      <c r="M25" s="3">
        <f t="shared" si="0"/>
        <v>24</v>
      </c>
      <c r="N25" s="3" t="str">
        <f>IF(A25="","", "CO-" &amp; IFERROR(VLOOKUP(B25, [1]Catalogos!$Z$4:$AA$20, 2, FALSE), "FOL") &amp; "-" &amp; WEEKNUM(A25,2) &amp; "-" &amp; TEXT(ROW(A21),"000"))</f>
        <v>CO-CL-24-021</v>
      </c>
    </row>
    <row r="26" spans="1:14">
      <c r="A26" s="5">
        <v>46182</v>
      </c>
      <c r="B26" s="3" t="s">
        <v>27</v>
      </c>
      <c r="C26" s="3" t="s">
        <v>20</v>
      </c>
      <c r="D26" s="3" t="s">
        <v>41</v>
      </c>
      <c r="E26" s="3" t="e">
        <f>VLOOKUP(TablaObra[[#This Row],[Equipo]],[1]Catalogos!$V$4:$W$64,2,FALSE)</f>
        <v>#N/A</v>
      </c>
      <c r="F26" s="6">
        <v>30</v>
      </c>
      <c r="G26" s="7">
        <v>27</v>
      </c>
      <c r="H26" s="7">
        <f>IFERROR(F26*G26,0)</f>
        <v>810</v>
      </c>
      <c r="M26" s="3">
        <f t="shared" si="0"/>
        <v>24</v>
      </c>
      <c r="N26" s="3" t="str">
        <f>IF(A26="","", "CO-" &amp; IFERROR(VLOOKUP(B26, [1]Catalogos!$Z$4:$AA$20, 2, FALSE), "FOL") &amp; "-" &amp; WEEKNUM(A26,2) &amp; "-" &amp; TEXT(ROW(A22),"000"))</f>
        <v>CO-CL-24-022</v>
      </c>
    </row>
    <row r="27" spans="1:14">
      <c r="A27" s="5">
        <v>46182</v>
      </c>
      <c r="B27" s="3" t="s">
        <v>27</v>
      </c>
      <c r="C27" s="3" t="s">
        <v>20</v>
      </c>
      <c r="D27" s="3" t="s">
        <v>21</v>
      </c>
      <c r="E27" s="3" t="e">
        <f>VLOOKUP(TablaObra[[#This Row],[Equipo]],[1]Catalogos!$V$4:$W$64,2,FALSE)</f>
        <v>#N/A</v>
      </c>
      <c r="F27" s="6">
        <v>30</v>
      </c>
      <c r="G27" s="7">
        <v>27</v>
      </c>
      <c r="H27" s="7">
        <f>IFERROR(F27*G27,0)</f>
        <v>810</v>
      </c>
      <c r="M27" s="3">
        <f t="shared" si="0"/>
        <v>24</v>
      </c>
      <c r="N27" s="3" t="str">
        <f>IF(A27="","", "CO-" &amp; IFERROR(VLOOKUP(B27, [1]Catalogos!$Z$4:$AA$20, 2, FALSE), "FOL") &amp; "-" &amp; WEEKNUM(A27,2) &amp; "-" &amp; TEXT(ROW(A23),"000"))</f>
        <v>CO-CL-24-023</v>
      </c>
    </row>
    <row r="28" spans="1:14">
      <c r="A28" s="5">
        <v>46182</v>
      </c>
      <c r="B28" s="3" t="s">
        <v>27</v>
      </c>
      <c r="C28" s="3" t="s">
        <v>20</v>
      </c>
      <c r="D28" s="3" t="s">
        <v>40</v>
      </c>
      <c r="E28" s="3" t="e">
        <f>VLOOKUP(TablaObra[[#This Row],[Equipo]],[1]Catalogos!$V$4:$W$64,2,FALSE)</f>
        <v>#N/A</v>
      </c>
      <c r="F28" s="6">
        <v>100</v>
      </c>
      <c r="G28" s="7">
        <v>27</v>
      </c>
      <c r="H28" s="7">
        <f>IFERROR(F28*G28,0)</f>
        <v>2700</v>
      </c>
      <c r="M28" s="3">
        <f t="shared" si="0"/>
        <v>24</v>
      </c>
      <c r="N28" s="3" t="str">
        <f>IF(A28="","", "CO-" &amp; IFERROR(VLOOKUP(B28, [1]Catalogos!$Z$4:$AA$20, 2, FALSE), "FOL") &amp; "-" &amp; WEEKNUM(A28,2) &amp; "-" &amp; TEXT(ROW(A24),"000"))</f>
        <v>CO-CL-24-024</v>
      </c>
    </row>
    <row r="29" spans="1:14">
      <c r="A29" s="5">
        <v>46182</v>
      </c>
      <c r="B29" s="3" t="s">
        <v>27</v>
      </c>
      <c r="C29" s="3" t="s">
        <v>20</v>
      </c>
      <c r="D29" s="3" t="s">
        <v>32</v>
      </c>
      <c r="E29" s="3" t="e">
        <f>VLOOKUP(TablaObra[[#This Row],[Equipo]],[1]Catalogos!$V$4:$W$64,2,FALSE)</f>
        <v>#N/A</v>
      </c>
      <c r="F29" s="6">
        <v>60</v>
      </c>
      <c r="G29" s="7">
        <v>27</v>
      </c>
      <c r="H29" s="7">
        <f>IFERROR(F29*G29,0)</f>
        <v>1620</v>
      </c>
      <c r="M29" s="3">
        <f t="shared" si="0"/>
        <v>24</v>
      </c>
      <c r="N29" s="3" t="str">
        <f>IF(A29="","", "CO-" &amp; IFERROR(VLOOKUP(B29, [1]Catalogos!$Z$4:$AA$20, 2, FALSE), "FOL") &amp; "-" &amp; WEEKNUM(A29,2) &amp; "-" &amp; TEXT(ROW(A25),"000"))</f>
        <v>CO-CL-24-025</v>
      </c>
    </row>
    <row r="30" spans="1:14">
      <c r="A30" s="5">
        <v>46182</v>
      </c>
      <c r="B30" s="3" t="s">
        <v>27</v>
      </c>
      <c r="C30" s="3" t="s">
        <v>20</v>
      </c>
      <c r="D30" s="3" t="s">
        <v>31</v>
      </c>
      <c r="E30" s="3" t="e">
        <f>VLOOKUP(TablaObra[[#This Row],[Equipo]],[1]Catalogos!$V$4:$W$64,2,FALSE)</f>
        <v>#N/A</v>
      </c>
      <c r="F30" s="6">
        <v>20</v>
      </c>
      <c r="G30" s="7">
        <v>27</v>
      </c>
      <c r="H30" s="7">
        <f>IFERROR(F30*G30,0)</f>
        <v>540</v>
      </c>
      <c r="M30" s="3">
        <f t="shared" si="0"/>
        <v>24</v>
      </c>
      <c r="N30" s="3" t="str">
        <f>IF(A30="","", "CO-" &amp; IFERROR(VLOOKUP(B30, [1]Catalogos!$Z$4:$AA$20, 2, FALSE), "FOL") &amp; "-" &amp; WEEKNUM(A30,2) &amp; "-" &amp; TEXT(ROW(A26),"000"))</f>
        <v>CO-CL-24-026</v>
      </c>
    </row>
    <row r="31" spans="1:14">
      <c r="A31" s="5">
        <v>46182</v>
      </c>
      <c r="B31" s="3" t="s">
        <v>25</v>
      </c>
      <c r="C31" s="3" t="s">
        <v>36</v>
      </c>
      <c r="D31" s="3" t="s">
        <v>24</v>
      </c>
      <c r="E31" s="3" t="e">
        <f>VLOOKUP(TablaObra[[#This Row],[Equipo]],[1]Catalogos!$V$4:$W$64,2,FALSE)</f>
        <v>#N/A</v>
      </c>
      <c r="F31" s="6">
        <v>70</v>
      </c>
      <c r="G31" s="7">
        <v>27</v>
      </c>
      <c r="H31" s="7">
        <f>IFERROR(F31*G31,0)</f>
        <v>1890</v>
      </c>
      <c r="M31" s="3">
        <f t="shared" si="0"/>
        <v>24</v>
      </c>
      <c r="N31" s="3" t="str">
        <f>IF(A31="","", "CO-" &amp; IFERROR(VLOOKUP(B31, [1]Catalogos!$Z$4:$AA$20, 2, FALSE), "FOL") &amp; "-" &amp; WEEKNUM(A31,2) &amp; "-" &amp; TEXT(ROW(A27),"000"))</f>
        <v>CO-LT-24-027</v>
      </c>
    </row>
    <row r="32" spans="1:14">
      <c r="A32" s="5">
        <v>46182</v>
      </c>
      <c r="B32" s="3" t="s">
        <v>25</v>
      </c>
      <c r="C32" s="3" t="s">
        <v>36</v>
      </c>
      <c r="D32" s="3" t="s">
        <v>42</v>
      </c>
      <c r="E32" s="3" t="e">
        <f>VLOOKUP(TablaObra[[#This Row],[Equipo]],[1]Catalogos!$V$4:$W$64,2,FALSE)</f>
        <v>#N/A</v>
      </c>
      <c r="F32" s="6">
        <v>50</v>
      </c>
      <c r="G32" s="7">
        <v>27</v>
      </c>
      <c r="H32" s="7">
        <f>IFERROR(F32*G32,0)</f>
        <v>1350</v>
      </c>
      <c r="M32" s="3">
        <f t="shared" si="0"/>
        <v>24</v>
      </c>
      <c r="N32" s="3" t="str">
        <f>IF(A32="","", "CO-" &amp; IFERROR(VLOOKUP(B32, [1]Catalogos!$Z$4:$AA$20, 2, FALSE), "FOL") &amp; "-" &amp; WEEKNUM(A32,2) &amp; "-" &amp; TEXT(ROW(A28),"000"))</f>
        <v>CO-LT-24-028</v>
      </c>
    </row>
    <row r="33" spans="1:14">
      <c r="A33" s="5">
        <v>46182</v>
      </c>
      <c r="B33" s="3" t="s">
        <v>25</v>
      </c>
      <c r="C33" s="3" t="s">
        <v>36</v>
      </c>
      <c r="D33" s="3" t="s">
        <v>43</v>
      </c>
      <c r="E33" s="3" t="e">
        <f>VLOOKUP(TablaObra[[#This Row],[Equipo]],[1]Catalogos!$V$4:$W$64,2,FALSE)</f>
        <v>#N/A</v>
      </c>
      <c r="F33" s="6">
        <v>60</v>
      </c>
      <c r="G33" s="7">
        <v>27</v>
      </c>
      <c r="H33" s="7">
        <f>IFERROR(F33*G33,0)</f>
        <v>1620</v>
      </c>
      <c r="M33" s="3">
        <f t="shared" si="0"/>
        <v>24</v>
      </c>
      <c r="N33" s="3" t="str">
        <f>IF(A33="","", "CO-" &amp; IFERROR(VLOOKUP(B33, [1]Catalogos!$Z$4:$AA$20, 2, FALSE), "FOL") &amp; "-" &amp; WEEKNUM(A33,2) &amp; "-" &amp; TEXT(ROW(A29),"000"))</f>
        <v>CO-LT-24-029</v>
      </c>
    </row>
    <row r="34" spans="1:14">
      <c r="A34" s="5">
        <v>46183</v>
      </c>
      <c r="B34" s="3" t="s">
        <v>19</v>
      </c>
      <c r="C34" s="3" t="s">
        <v>20</v>
      </c>
      <c r="D34" s="3" t="s">
        <v>44</v>
      </c>
      <c r="E34" s="3" t="e">
        <f>VLOOKUP(TablaObra[[#This Row],[Equipo]],[1]Catalogos!$V$4:$W$64,2,FALSE)</f>
        <v>#N/A</v>
      </c>
      <c r="F34" s="6">
        <v>20</v>
      </c>
      <c r="G34" s="7">
        <v>27</v>
      </c>
      <c r="H34" s="7">
        <f>IFERROR(F34*G34,0)</f>
        <v>540</v>
      </c>
      <c r="M34" s="3">
        <f t="shared" si="0"/>
        <v>24</v>
      </c>
      <c r="N34" s="3" t="str">
        <f>IF(A34="","", "CO-" &amp; IFERROR(VLOOKUP(B34, [1]Catalogos!$Z$4:$AA$20, 2, FALSE), "FOL") &amp; "-" &amp; WEEKNUM(A34,2) &amp; "-" &amp; TEXT(ROW(A30),"000"))</f>
        <v>CO-MT-24-030</v>
      </c>
    </row>
    <row r="35" spans="1:14">
      <c r="A35" s="5">
        <v>46183</v>
      </c>
      <c r="B35" s="3" t="s">
        <v>19</v>
      </c>
      <c r="C35" s="3" t="s">
        <v>20</v>
      </c>
      <c r="D35" s="3" t="s">
        <v>23</v>
      </c>
      <c r="E35" s="3" t="e">
        <f>VLOOKUP(TablaObra[[#This Row],[Equipo]],[1]Catalogos!$V$4:$W$64,2,FALSE)</f>
        <v>#N/A</v>
      </c>
      <c r="F35" s="6">
        <v>250</v>
      </c>
      <c r="G35" s="7">
        <v>27</v>
      </c>
      <c r="H35" s="7">
        <f>IFERROR(F35*G35,0)</f>
        <v>6750</v>
      </c>
      <c r="M35" s="3">
        <f t="shared" si="0"/>
        <v>24</v>
      </c>
      <c r="N35" s="3" t="str">
        <f>IF(A35="","", "CO-" &amp; IFERROR(VLOOKUP(B35, [1]Catalogos!$Z$4:$AA$20, 2, FALSE), "FOL") &amp; "-" &amp; WEEKNUM(A35,2) &amp; "-" &amp; TEXT(ROW(A31),"000"))</f>
        <v>CO-MT-24-031</v>
      </c>
    </row>
    <row r="36" spans="1:14">
      <c r="A36" s="5">
        <v>46183</v>
      </c>
      <c r="B36" s="3" t="s">
        <v>19</v>
      </c>
      <c r="C36" s="3" t="s">
        <v>20</v>
      </c>
      <c r="D36" s="3" t="s">
        <v>24</v>
      </c>
      <c r="E36" s="3" t="e">
        <f>VLOOKUP(TablaObra[[#This Row],[Equipo]],[1]Catalogos!$V$4:$W$64,2,FALSE)</f>
        <v>#N/A</v>
      </c>
      <c r="F36" s="6">
        <v>30</v>
      </c>
      <c r="G36" s="7">
        <v>27</v>
      </c>
      <c r="H36" s="7">
        <f>IFERROR(F36*G36,0)</f>
        <v>810</v>
      </c>
      <c r="M36" s="3">
        <f t="shared" si="0"/>
        <v>24</v>
      </c>
      <c r="N36" s="3" t="str">
        <f>IF(A36="","", "CO-" &amp; IFERROR(VLOOKUP(B36, [1]Catalogos!$Z$4:$AA$20, 2, FALSE), "FOL") &amp; "-" &amp; WEEKNUM(A36,2) &amp; "-" &amp; TEXT(ROW(A32),"000"))</f>
        <v>CO-MT-24-032</v>
      </c>
    </row>
    <row r="37" spans="1:14">
      <c r="A37" s="5">
        <v>46183</v>
      </c>
      <c r="B37" s="3" t="s">
        <v>35</v>
      </c>
      <c r="C37" s="3" t="s">
        <v>36</v>
      </c>
      <c r="D37" s="3" t="s">
        <v>37</v>
      </c>
      <c r="E37" s="3" t="str">
        <f>VLOOKUP(TablaObra[[#This Row],[Equipo]],[1]Catalogos!$V$4:$W$64,2,FALSE)</f>
        <v>BD-01</v>
      </c>
      <c r="F37" s="6">
        <v>100</v>
      </c>
      <c r="G37" s="7">
        <v>27</v>
      </c>
      <c r="H37" s="7">
        <f>IFERROR(F37*G37,0)</f>
        <v>2700</v>
      </c>
      <c r="M37" s="3">
        <f t="shared" si="0"/>
        <v>24</v>
      </c>
      <c r="N37" s="3" t="str">
        <f>IF(A37="","", "CO-" &amp; IFERROR(VLOOKUP(B37, [1]Catalogos!$Z$4:$AA$20, 2, FALSE), "FOL") &amp; "-" &amp; WEEKNUM(A37,2) &amp; "-" &amp; TEXT(ROW(A33),"000"))</f>
        <v>CO-BT-24-033</v>
      </c>
    </row>
    <row r="38" spans="1:14">
      <c r="A38" s="5">
        <v>46184</v>
      </c>
      <c r="B38" s="3" t="s">
        <v>19</v>
      </c>
      <c r="C38" s="3" t="s">
        <v>20</v>
      </c>
      <c r="D38" s="3" t="s">
        <v>22</v>
      </c>
      <c r="E38" s="3" t="e">
        <f>VLOOKUP(TablaObra[[#This Row],[Equipo]],[1]Catalogos!$V$4:$W$64,2,FALSE)</f>
        <v>#N/A</v>
      </c>
      <c r="F38" s="6">
        <v>30</v>
      </c>
      <c r="G38" s="7">
        <v>27</v>
      </c>
      <c r="H38" s="7">
        <f>IFERROR(F38*G38,0)</f>
        <v>810</v>
      </c>
      <c r="K38" s="3" t="s">
        <v>45</v>
      </c>
      <c r="M38" s="3">
        <f t="shared" si="0"/>
        <v>24</v>
      </c>
      <c r="N38" s="3" t="str">
        <f>IF(A38="","", "CO-" &amp; IFERROR(VLOOKUP(B38, [1]Catalogos!$Z$4:$AA$20, 2, FALSE), "FOL") &amp; "-" &amp; WEEKNUM(A38,2) &amp; "-" &amp; TEXT(ROW(A34),"000"))</f>
        <v>CO-MT-24-034</v>
      </c>
    </row>
    <row r="39" spans="1:14">
      <c r="A39" s="5">
        <v>46184</v>
      </c>
      <c r="B39" s="3" t="s">
        <v>19</v>
      </c>
      <c r="C39" s="3" t="s">
        <v>20</v>
      </c>
      <c r="D39" s="3" t="s">
        <v>21</v>
      </c>
      <c r="E39" s="3" t="e">
        <f>VLOOKUP(TablaObra[[#This Row],[Equipo]],[1]Catalogos!$V$4:$W$64,2,FALSE)</f>
        <v>#N/A</v>
      </c>
      <c r="F39" s="6">
        <v>30</v>
      </c>
      <c r="G39" s="7">
        <v>27</v>
      </c>
      <c r="H39" s="7">
        <f>IFERROR(F39*G39,0)</f>
        <v>810</v>
      </c>
      <c r="K39" s="3" t="s">
        <v>45</v>
      </c>
      <c r="M39" s="3">
        <f t="shared" si="0"/>
        <v>24</v>
      </c>
      <c r="N39" s="3" t="str">
        <f>IF(A39="","", "CO-" &amp; IFERROR(VLOOKUP(B39, [1]Catalogos!$Z$4:$AA$20, 2, FALSE), "FOL") &amp; "-" &amp; WEEKNUM(A39,2) &amp; "-" &amp; TEXT(ROW(A35),"000"))</f>
        <v>CO-MT-24-035</v>
      </c>
    </row>
    <row r="40" spans="1:14">
      <c r="A40" s="5">
        <v>46184</v>
      </c>
      <c r="B40" s="3" t="s">
        <v>19</v>
      </c>
      <c r="C40" s="3" t="s">
        <v>20</v>
      </c>
      <c r="D40" s="3" t="s">
        <v>26</v>
      </c>
      <c r="E40" s="3" t="e">
        <f>VLOOKUP(TablaObra[[#This Row],[Equipo]],[1]Catalogos!$V$4:$W$64,2,FALSE)</f>
        <v>#N/A</v>
      </c>
      <c r="F40" s="6">
        <v>136</v>
      </c>
      <c r="G40" s="7">
        <v>27</v>
      </c>
      <c r="H40" s="7">
        <f>IFERROR(F40*G40,0)</f>
        <v>3672</v>
      </c>
      <c r="K40" s="3" t="s">
        <v>45</v>
      </c>
      <c r="M40" s="3">
        <f t="shared" si="0"/>
        <v>24</v>
      </c>
      <c r="N40" s="3" t="str">
        <f>IF(A40="","", "CO-" &amp; IFERROR(VLOOKUP(B40, [1]Catalogos!$Z$4:$AA$20, 2, FALSE), "FOL") &amp; "-" &amp; WEEKNUM(A40,2) &amp; "-" &amp; TEXT(ROW(A36),"000"))</f>
        <v>CO-MT-24-036</v>
      </c>
    </row>
    <row r="41" spans="1:14">
      <c r="A41" s="5">
        <v>46184</v>
      </c>
      <c r="B41" s="3" t="s">
        <v>19</v>
      </c>
      <c r="C41" s="3" t="s">
        <v>20</v>
      </c>
      <c r="D41" s="3" t="s">
        <v>44</v>
      </c>
      <c r="E41" s="3" t="e">
        <f>VLOOKUP(TablaObra[[#This Row],[Equipo]],[1]Catalogos!$V$4:$W$64,2,FALSE)</f>
        <v>#N/A</v>
      </c>
      <c r="F41" s="6">
        <v>20</v>
      </c>
      <c r="G41" s="7">
        <v>27</v>
      </c>
      <c r="H41" s="7">
        <f>IFERROR(F41*G41,0)</f>
        <v>540</v>
      </c>
      <c r="K41" s="3" t="s">
        <v>45</v>
      </c>
      <c r="M41" s="3">
        <f t="shared" si="0"/>
        <v>24</v>
      </c>
      <c r="N41" s="3" t="str">
        <f>IF(A41="","", "CO-" &amp; IFERROR(VLOOKUP(B41, [1]Catalogos!$Z$4:$AA$20, 2, FALSE), "FOL") &amp; "-" &amp; WEEKNUM(A41,2) &amp; "-" &amp; TEXT(ROW(A37),"000"))</f>
        <v>CO-MT-24-037</v>
      </c>
    </row>
    <row r="42" spans="1:14">
      <c r="A42" s="5">
        <v>46184</v>
      </c>
      <c r="B42" s="3" t="s">
        <v>19</v>
      </c>
      <c r="C42" s="3" t="s">
        <v>20</v>
      </c>
      <c r="D42" s="3" t="s">
        <v>24</v>
      </c>
      <c r="E42" s="3" t="e">
        <f>VLOOKUP(TablaObra[[#This Row],[Equipo]],[1]Catalogos!$V$4:$W$64,2,FALSE)</f>
        <v>#N/A</v>
      </c>
      <c r="F42" s="6">
        <v>20</v>
      </c>
      <c r="G42" s="7">
        <v>27</v>
      </c>
      <c r="H42" s="7">
        <f>IFERROR(F42*G42,0)</f>
        <v>540</v>
      </c>
      <c r="K42" s="3" t="s">
        <v>45</v>
      </c>
      <c r="M42" s="3">
        <f t="shared" si="0"/>
        <v>24</v>
      </c>
      <c r="N42" s="3" t="str">
        <f>IF(A42="","", "CO-" &amp; IFERROR(VLOOKUP(B42, [1]Catalogos!$Z$4:$AA$20, 2, FALSE), "FOL") &amp; "-" &amp; WEEKNUM(A42,2) &amp; "-" &amp; TEXT(ROW(A38),"000"))</f>
        <v>CO-MT-24-038</v>
      </c>
    </row>
    <row r="43" spans="1:14">
      <c r="A43" s="5">
        <v>46184</v>
      </c>
      <c r="B43" s="3" t="s">
        <v>19</v>
      </c>
      <c r="C43" s="3" t="s">
        <v>20</v>
      </c>
      <c r="D43" s="3" t="s">
        <v>29</v>
      </c>
      <c r="E43" s="3" t="e">
        <f>VLOOKUP(TablaObra[[#This Row],[Equipo]],[1]Catalogos!$V$4:$W$64,2,FALSE)</f>
        <v>#N/A</v>
      </c>
      <c r="F43" s="6">
        <v>20</v>
      </c>
      <c r="G43" s="7">
        <v>27</v>
      </c>
      <c r="H43" s="7">
        <f>IFERROR(F43*G43,0)</f>
        <v>540</v>
      </c>
      <c r="K43" s="3" t="s">
        <v>45</v>
      </c>
      <c r="M43" s="3">
        <f t="shared" si="0"/>
        <v>24</v>
      </c>
      <c r="N43" s="3" t="str">
        <f>IF(A43="","", "CO-" &amp; IFERROR(VLOOKUP(B43, [1]Catalogos!$Z$4:$AA$20, 2, FALSE), "FOL") &amp; "-" &amp; WEEKNUM(A43,2) &amp; "-" &amp; TEXT(ROW(A39),"000"))</f>
        <v>CO-MT-24-039</v>
      </c>
    </row>
    <row r="44" spans="1:14">
      <c r="A44" s="5">
        <v>46184</v>
      </c>
      <c r="B44" s="3" t="s">
        <v>38</v>
      </c>
      <c r="C44" s="3" t="s">
        <v>36</v>
      </c>
      <c r="D44" s="3" t="s">
        <v>46</v>
      </c>
      <c r="E44" s="3" t="str">
        <f>VLOOKUP(TablaObra[[#This Row],[Equipo]],[1]Catalogos!$V$4:$W$64,2,FALSE)</f>
        <v>PL-01</v>
      </c>
      <c r="F44" s="6">
        <v>238</v>
      </c>
      <c r="G44" s="7">
        <v>27</v>
      </c>
      <c r="H44" s="7">
        <f>IFERROR(F44*G44,0)</f>
        <v>6426</v>
      </c>
      <c r="M44" s="3">
        <f t="shared" si="0"/>
        <v>24</v>
      </c>
      <c r="N44" s="3" t="str">
        <f>IF(A44="","", "CO-" &amp; IFERROR(VLOOKUP(B44, [1]Catalogos!$Z$4:$AA$20, 2, FALSE), "FOL") &amp; "-" &amp; WEEKNUM(A44,2) &amp; "-" &amp; TEXT(ROW(A40),"000"))</f>
        <v>CO-PAP-24-040</v>
      </c>
    </row>
    <row r="45" spans="1:14">
      <c r="A45" s="5">
        <v>46184</v>
      </c>
      <c r="B45" s="3" t="s">
        <v>25</v>
      </c>
      <c r="C45" s="3" t="s">
        <v>36</v>
      </c>
      <c r="D45" s="3" t="s">
        <v>43</v>
      </c>
      <c r="E45" s="3" t="e">
        <f>VLOOKUP(TablaObra[[#This Row],[Equipo]],[1]Catalogos!$V$4:$W$64,2,FALSE)</f>
        <v>#N/A</v>
      </c>
      <c r="F45" s="6">
        <v>80</v>
      </c>
      <c r="G45" s="7">
        <v>27</v>
      </c>
      <c r="H45" s="7">
        <f>IFERROR(F45*G45,0)</f>
        <v>2160</v>
      </c>
      <c r="M45" s="3">
        <f t="shared" si="0"/>
        <v>24</v>
      </c>
      <c r="N45" s="3" t="str">
        <f>IF(A45="","", "CO-" &amp; IFERROR(VLOOKUP(B45, [1]Catalogos!$Z$4:$AA$20, 2, FALSE), "FOL") &amp; "-" &amp; WEEKNUM(A45,2) &amp; "-" &amp; TEXT(ROW(A41),"000"))</f>
        <v>CO-LT-24-041</v>
      </c>
    </row>
    <row r="46" spans="1:14">
      <c r="A46" s="5">
        <v>46184</v>
      </c>
      <c r="B46" s="3" t="s">
        <v>25</v>
      </c>
      <c r="C46" s="3" t="s">
        <v>36</v>
      </c>
      <c r="D46" s="3" t="s">
        <v>31</v>
      </c>
      <c r="E46" s="3" t="e">
        <f>VLOOKUP(TablaObra[[#This Row],[Equipo]],[1]Catalogos!$V$4:$W$64,2,FALSE)</f>
        <v>#N/A</v>
      </c>
      <c r="F46" s="6">
        <v>50</v>
      </c>
      <c r="G46" s="7">
        <v>27</v>
      </c>
      <c r="H46" s="7">
        <f>IFERROR(F46*G46,0)</f>
        <v>1350</v>
      </c>
      <c r="M46" s="3">
        <f t="shared" si="0"/>
        <v>24</v>
      </c>
      <c r="N46" s="3" t="str">
        <f>IF(A46="","", "CO-" &amp; IFERROR(VLOOKUP(B46, [1]Catalogos!$Z$4:$AA$20, 2, FALSE), "FOL") &amp; "-" &amp; WEEKNUM(A46,2) &amp; "-" &amp; TEXT(ROW(A42),"000"))</f>
        <v>CO-LT-24-042</v>
      </c>
    </row>
    <row r="47" spans="1:14">
      <c r="A47" s="5">
        <v>46184</v>
      </c>
      <c r="B47" s="3" t="s">
        <v>25</v>
      </c>
      <c r="C47" s="3" t="s">
        <v>36</v>
      </c>
      <c r="D47" s="3" t="s">
        <v>24</v>
      </c>
      <c r="E47" s="3" t="e">
        <f>VLOOKUP(TablaObra[[#This Row],[Equipo]],[1]Catalogos!$V$4:$W$64,2,FALSE)</f>
        <v>#N/A</v>
      </c>
      <c r="F47" s="6">
        <v>70</v>
      </c>
      <c r="G47" s="7">
        <v>27</v>
      </c>
      <c r="H47" s="7">
        <f>IFERROR(F47*G47,0)</f>
        <v>1890</v>
      </c>
      <c r="M47" s="3">
        <f t="shared" si="0"/>
        <v>24</v>
      </c>
      <c r="N47" s="3" t="str">
        <f>IF(A47="","", "CO-" &amp; IFERROR(VLOOKUP(B47, [1]Catalogos!$Z$4:$AA$20, 2, FALSE), "FOL") &amp; "-" &amp; WEEKNUM(A47,2) &amp; "-" &amp; TEXT(ROW(A43),"000"))</f>
        <v>CO-LT-24-043</v>
      </c>
    </row>
    <row r="48" spans="1:14">
      <c r="A48" s="5">
        <v>46184</v>
      </c>
      <c r="B48" s="3" t="s">
        <v>25</v>
      </c>
      <c r="C48" s="3" t="s">
        <v>36</v>
      </c>
      <c r="D48" s="3" t="s">
        <v>47</v>
      </c>
      <c r="E48" s="3" t="e">
        <f>VLOOKUP(TablaObra[[#This Row],[Equipo]],[1]Catalogos!$V$4:$W$64,2,FALSE)</f>
        <v>#N/A</v>
      </c>
      <c r="F48" s="6">
        <v>80</v>
      </c>
      <c r="G48" s="7">
        <v>27</v>
      </c>
      <c r="H48" s="7">
        <f>IFERROR(F48*G48,0)</f>
        <v>2160</v>
      </c>
      <c r="M48" s="3">
        <f t="shared" si="0"/>
        <v>24</v>
      </c>
      <c r="N48" s="3" t="str">
        <f>IF(A48="","", "CO-" &amp; IFERROR(VLOOKUP(B48, [1]Catalogos!$Z$4:$AA$20, 2, FALSE), "FOL") &amp; "-" &amp; WEEKNUM(A48,2) &amp; "-" &amp; TEXT(ROW(A44),"000"))</f>
        <v>CO-LT-24-044</v>
      </c>
    </row>
    <row r="49" spans="1:14">
      <c r="A49" s="5">
        <v>46184</v>
      </c>
      <c r="B49" s="3" t="s">
        <v>25</v>
      </c>
      <c r="C49" s="3" t="s">
        <v>36</v>
      </c>
      <c r="D49" s="3" t="s">
        <v>26</v>
      </c>
      <c r="E49" s="3" t="e">
        <f>VLOOKUP(TablaObra[[#This Row],[Equipo]],[1]Catalogos!$V$4:$W$64,2,FALSE)</f>
        <v>#N/A</v>
      </c>
      <c r="F49" s="6">
        <v>185</v>
      </c>
      <c r="G49" s="7">
        <v>27</v>
      </c>
      <c r="H49" s="7">
        <f>IFERROR(F49*G49,0)</f>
        <v>4995</v>
      </c>
      <c r="M49" s="3">
        <f t="shared" si="0"/>
        <v>24</v>
      </c>
      <c r="N49" s="3" t="str">
        <f>IF(A49="","", "CO-" &amp; IFERROR(VLOOKUP(B49, [1]Catalogos!$Z$4:$AA$20, 2, FALSE), "FOL") &amp; "-" &amp; WEEKNUM(A49,2) &amp; "-" &amp; TEXT(ROW(A45),"000"))</f>
        <v>CO-LT-24-045</v>
      </c>
    </row>
    <row r="50" spans="1:14">
      <c r="A50" s="5">
        <v>46184</v>
      </c>
      <c r="B50" s="3" t="s">
        <v>25</v>
      </c>
      <c r="C50" s="3" t="s">
        <v>36</v>
      </c>
      <c r="D50" s="3" t="s">
        <v>42</v>
      </c>
      <c r="E50" s="3" t="e">
        <f>VLOOKUP(TablaObra[[#This Row],[Equipo]],[1]Catalogos!$V$4:$W$64,2,FALSE)</f>
        <v>#N/A</v>
      </c>
      <c r="F50" s="6">
        <v>50</v>
      </c>
      <c r="G50" s="7">
        <v>27</v>
      </c>
      <c r="H50" s="7">
        <f>IFERROR(F50*G50,0)</f>
        <v>1350</v>
      </c>
      <c r="M50" s="3">
        <f t="shared" si="0"/>
        <v>24</v>
      </c>
      <c r="N50" s="3" t="str">
        <f>IF(A50="","", "CO-" &amp; IFERROR(VLOOKUP(B50, [1]Catalogos!$Z$4:$AA$20, 2, FALSE), "FOL") &amp; "-" &amp; WEEKNUM(A50,2) &amp; "-" &amp; TEXT(ROW(A46),"000"))</f>
        <v>CO-LT-24-046</v>
      </c>
    </row>
    <row r="51" spans="1:14">
      <c r="A51" s="5">
        <v>46184</v>
      </c>
      <c r="B51" s="3" t="s">
        <v>25</v>
      </c>
      <c r="C51" s="3" t="s">
        <v>36</v>
      </c>
      <c r="D51" s="3" t="s">
        <v>42</v>
      </c>
      <c r="E51" s="3" t="e">
        <f>VLOOKUP(TablaObra[[#This Row],[Equipo]],[1]Catalogos!$V$4:$W$64,2,FALSE)</f>
        <v>#N/A</v>
      </c>
      <c r="F51" s="6">
        <v>40</v>
      </c>
      <c r="G51" s="7">
        <v>27</v>
      </c>
      <c r="H51" s="7">
        <f>IFERROR(F51*G51,0)</f>
        <v>1080</v>
      </c>
      <c r="M51" s="3">
        <f t="shared" si="0"/>
        <v>24</v>
      </c>
      <c r="N51" s="3" t="str">
        <f>IF(A51="","", "CO-" &amp; IFERROR(VLOOKUP(B51, [1]Catalogos!$Z$4:$AA$20, 2, FALSE), "FOL") &amp; "-" &amp; WEEKNUM(A51,2) &amp; "-" &amp; TEXT(ROW(A47),"000"))</f>
        <v>CO-LT-24-047</v>
      </c>
    </row>
    <row r="52" spans="1:14">
      <c r="A52" s="5">
        <v>46184</v>
      </c>
      <c r="B52" s="3" t="s">
        <v>25</v>
      </c>
      <c r="C52" s="3" t="s">
        <v>36</v>
      </c>
      <c r="D52" s="3" t="s">
        <v>21</v>
      </c>
      <c r="E52" s="3" t="e">
        <f>VLOOKUP(TablaObra[[#This Row],[Equipo]],[1]Catalogos!$V$4:$W$64,2,FALSE)</f>
        <v>#N/A</v>
      </c>
      <c r="F52" s="6">
        <v>40</v>
      </c>
      <c r="G52" s="7">
        <v>27</v>
      </c>
      <c r="H52" s="7">
        <f>IFERROR(F52*G52,0)</f>
        <v>1080</v>
      </c>
      <c r="M52" s="3">
        <f t="shared" si="0"/>
        <v>24</v>
      </c>
      <c r="N52" s="3" t="str">
        <f>IF(A52="","", "CO-" &amp; IFERROR(VLOOKUP(B52, [1]Catalogos!$Z$4:$AA$20, 2, FALSE), "FOL") &amp; "-" &amp; WEEKNUM(A52,2) &amp; "-" &amp; TEXT(ROW(A48),"000"))</f>
        <v>CO-LT-24-048</v>
      </c>
    </row>
    <row r="53" spans="1:14">
      <c r="A53" s="5">
        <v>46185</v>
      </c>
      <c r="B53" s="3" t="s">
        <v>27</v>
      </c>
      <c r="C53" s="3" t="s">
        <v>20</v>
      </c>
      <c r="D53" s="3" t="s">
        <v>41</v>
      </c>
      <c r="E53" s="3" t="e">
        <f>VLOOKUP(TablaObra[[#This Row],[Equipo]],[1]Catalogos!$V$4:$W$64,2,FALSE)</f>
        <v>#N/A</v>
      </c>
      <c r="F53" s="6">
        <v>32</v>
      </c>
      <c r="G53" s="7">
        <v>27</v>
      </c>
      <c r="H53" s="7">
        <f>IFERROR(F53*G53,0)</f>
        <v>864</v>
      </c>
      <c r="M53" s="3">
        <f t="shared" si="0"/>
        <v>24</v>
      </c>
      <c r="N53" s="3" t="str">
        <f>IF(A53="","", "CO-" &amp; IFERROR(VLOOKUP(B53, [1]Catalogos!$Z$4:$AA$20, 2, FALSE), "FOL") &amp; "-" &amp; WEEKNUM(A53,2) &amp; "-" &amp; TEXT(ROW(A49),"000"))</f>
        <v>CO-CL-24-049</v>
      </c>
    </row>
    <row r="54" spans="1:14">
      <c r="A54" s="5">
        <v>46185</v>
      </c>
      <c r="B54" s="3" t="s">
        <v>27</v>
      </c>
      <c r="C54" s="3" t="s">
        <v>20</v>
      </c>
      <c r="D54" s="3" t="s">
        <v>30</v>
      </c>
      <c r="E54" s="3" t="e">
        <f>VLOOKUP(TablaObra[[#This Row],[Equipo]],[1]Catalogos!$V$4:$W$64,2,FALSE)</f>
        <v>#N/A</v>
      </c>
      <c r="F54" s="6">
        <v>30</v>
      </c>
      <c r="G54" s="7">
        <v>27</v>
      </c>
      <c r="H54" s="7">
        <f>IFERROR(F54*G54,0)</f>
        <v>810</v>
      </c>
      <c r="M54" s="3">
        <f t="shared" si="0"/>
        <v>24</v>
      </c>
      <c r="N54" s="3" t="str">
        <f>IF(A54="","", "CO-" &amp; IFERROR(VLOOKUP(B54, [1]Catalogos!$Z$4:$AA$20, 2, FALSE), "FOL") &amp; "-" &amp; WEEKNUM(A54,2) &amp; "-" &amp; TEXT(ROW(A50),"000"))</f>
        <v>CO-CL-24-050</v>
      </c>
    </row>
    <row r="55" spans="1:14">
      <c r="A55" s="5">
        <v>46185</v>
      </c>
      <c r="B55" s="3" t="s">
        <v>27</v>
      </c>
      <c r="C55" s="3" t="s">
        <v>20</v>
      </c>
      <c r="D55" s="3" t="s">
        <v>39</v>
      </c>
      <c r="E55" s="3" t="e">
        <f>VLOOKUP(TablaObra[[#This Row],[Equipo]],[1]Catalogos!$V$4:$W$64,2,FALSE)</f>
        <v>#N/A</v>
      </c>
      <c r="F55" s="6">
        <v>30</v>
      </c>
      <c r="G55" s="7">
        <v>27</v>
      </c>
      <c r="H55" s="7">
        <f>IFERROR(F55*G55,0)</f>
        <v>810</v>
      </c>
      <c r="M55" s="3">
        <f t="shared" si="0"/>
        <v>24</v>
      </c>
      <c r="N55" s="3" t="str">
        <f>IF(A55="","", "CO-" &amp; IFERROR(VLOOKUP(B55, [1]Catalogos!$Z$4:$AA$20, 2, FALSE), "FOL") &amp; "-" &amp; WEEKNUM(A55,2) &amp; "-" &amp; TEXT(ROW(A51),"000"))</f>
        <v>CO-CL-24-051</v>
      </c>
    </row>
    <row r="56" spans="1:14">
      <c r="A56" s="5">
        <v>46185</v>
      </c>
      <c r="B56" s="3" t="s">
        <v>27</v>
      </c>
      <c r="C56" s="3" t="s">
        <v>20</v>
      </c>
      <c r="D56" s="3" t="s">
        <v>32</v>
      </c>
      <c r="E56" s="3" t="e">
        <f>VLOOKUP(TablaObra[[#This Row],[Equipo]],[1]Catalogos!$V$4:$W$64,2,FALSE)</f>
        <v>#N/A</v>
      </c>
      <c r="F56" s="6">
        <v>50</v>
      </c>
      <c r="G56" s="7">
        <v>27</v>
      </c>
      <c r="H56" s="7">
        <f>IFERROR(F56*G56,0)</f>
        <v>1350</v>
      </c>
      <c r="M56" s="3">
        <f t="shared" si="0"/>
        <v>24</v>
      </c>
      <c r="N56" s="3" t="str">
        <f>IF(A56="","", "CO-" &amp; IFERROR(VLOOKUP(B56, [1]Catalogos!$Z$4:$AA$20, 2, FALSE), "FOL") &amp; "-" &amp; WEEKNUM(A56,2) &amp; "-" &amp; TEXT(ROW(A52),"000"))</f>
        <v>CO-CL-24-052</v>
      </c>
    </row>
    <row r="57" spans="1:14">
      <c r="A57" s="5">
        <v>46185</v>
      </c>
      <c r="B57" s="3" t="s">
        <v>27</v>
      </c>
      <c r="C57" s="3" t="s">
        <v>20</v>
      </c>
      <c r="D57" s="3" t="s">
        <v>33</v>
      </c>
      <c r="E57" s="3" t="e">
        <f>VLOOKUP(TablaObra[[#This Row],[Equipo]],[1]Catalogos!$V$4:$W$64,2,FALSE)</f>
        <v>#N/A</v>
      </c>
      <c r="F57" s="6">
        <v>120</v>
      </c>
      <c r="G57" s="7">
        <v>27</v>
      </c>
      <c r="H57" s="7">
        <f>IFERROR(F57*G57,0)</f>
        <v>3240</v>
      </c>
      <c r="M57" s="3">
        <f t="shared" si="0"/>
        <v>24</v>
      </c>
      <c r="N57" s="3" t="str">
        <f>IF(A57="","", "CO-" &amp; IFERROR(VLOOKUP(B57, [1]Catalogos!$Z$4:$AA$20, 2, FALSE), "FOL") &amp; "-" &amp; WEEKNUM(A57,2) &amp; "-" &amp; TEXT(ROW(A53),"000"))</f>
        <v>CO-CL-24-053</v>
      </c>
    </row>
    <row r="58" spans="1:14">
      <c r="A58" s="5">
        <v>46185</v>
      </c>
      <c r="B58" s="3" t="s">
        <v>27</v>
      </c>
      <c r="C58" s="3" t="s">
        <v>20</v>
      </c>
      <c r="D58" s="3" t="s">
        <v>34</v>
      </c>
      <c r="E58" s="3" t="e">
        <f>VLOOKUP(TablaObra[[#This Row],[Equipo]],[1]Catalogos!$V$4:$W$64,2,FALSE)</f>
        <v>#N/A</v>
      </c>
      <c r="F58" s="6">
        <v>40</v>
      </c>
      <c r="G58" s="7">
        <v>27</v>
      </c>
      <c r="H58" s="7">
        <f>IFERROR(F58*G58,0)</f>
        <v>1080</v>
      </c>
      <c r="M58" s="3">
        <f t="shared" si="0"/>
        <v>24</v>
      </c>
      <c r="N58" s="3" t="str">
        <f>IF(A58="","", "CO-" &amp; IFERROR(VLOOKUP(B58, [1]Catalogos!$Z$4:$AA$20, 2, FALSE), "FOL") &amp; "-" &amp; WEEKNUM(A58,2) &amp; "-" &amp; TEXT(ROW(A54),"000"))</f>
        <v>CO-CL-24-054</v>
      </c>
    </row>
    <row r="59" spans="1:14">
      <c r="A59" s="5">
        <v>46185</v>
      </c>
      <c r="B59" s="3" t="s">
        <v>27</v>
      </c>
      <c r="C59" s="3" t="s">
        <v>20</v>
      </c>
      <c r="D59" s="3" t="s">
        <v>28</v>
      </c>
      <c r="E59" s="3" t="e">
        <f>VLOOKUP(TablaObra[[#This Row],[Equipo]],[1]Catalogos!$V$4:$W$64,2,FALSE)</f>
        <v>#N/A</v>
      </c>
      <c r="F59" s="6">
        <v>200</v>
      </c>
      <c r="G59" s="7">
        <v>27</v>
      </c>
      <c r="H59" s="7">
        <f>IFERROR(F59*G59,0)</f>
        <v>5400</v>
      </c>
      <c r="M59" s="3">
        <f t="shared" si="0"/>
        <v>24</v>
      </c>
      <c r="N59" s="3" t="str">
        <f>IF(A59="","", "CO-" &amp; IFERROR(VLOOKUP(B59, [1]Catalogos!$Z$4:$AA$20, 2, FALSE), "FOL") &amp; "-" &amp; WEEKNUM(A59,2) &amp; "-" &amp; TEXT(ROW(A55),"000"))</f>
        <v>CO-CL-24-055</v>
      </c>
    </row>
    <row r="60" spans="1:14">
      <c r="A60" s="5">
        <v>46185</v>
      </c>
      <c r="B60" s="3" t="s">
        <v>19</v>
      </c>
      <c r="C60" s="3" t="s">
        <v>20</v>
      </c>
      <c r="D60" s="3" t="s">
        <v>44</v>
      </c>
      <c r="E60" s="3" t="e">
        <f>VLOOKUP(TablaObra[[#This Row],[Equipo]],[1]Catalogos!$V$4:$W$64,2,FALSE)</f>
        <v>#N/A</v>
      </c>
      <c r="F60" s="6">
        <v>20</v>
      </c>
      <c r="G60" s="7">
        <v>27</v>
      </c>
      <c r="H60" s="7">
        <f>IFERROR(F60*G60,0)</f>
        <v>540</v>
      </c>
      <c r="M60" s="3">
        <f t="shared" si="0"/>
        <v>24</v>
      </c>
      <c r="N60" s="3" t="str">
        <f>IF(A60="","", "CO-" &amp; IFERROR(VLOOKUP(B60, [1]Catalogos!$Z$4:$AA$20, 2, FALSE), "FOL") &amp; "-" &amp; WEEKNUM(A60,2) &amp; "-" &amp; TEXT(ROW(A56),"000"))</f>
        <v>CO-MT-24-056</v>
      </c>
    </row>
    <row r="61" spans="1:14">
      <c r="A61" s="5">
        <v>46185</v>
      </c>
      <c r="B61" s="3" t="s">
        <v>19</v>
      </c>
      <c r="C61" s="3" t="s">
        <v>20</v>
      </c>
      <c r="D61" s="3" t="s">
        <v>21</v>
      </c>
      <c r="E61" s="3" t="e">
        <f>VLOOKUP(TablaObra[[#This Row],[Equipo]],[1]Catalogos!$V$4:$W$64,2,FALSE)</f>
        <v>#N/A</v>
      </c>
      <c r="F61" s="6">
        <v>30</v>
      </c>
      <c r="G61" s="7">
        <v>27</v>
      </c>
      <c r="H61" s="7">
        <f>IFERROR(F61*G61,0)</f>
        <v>810</v>
      </c>
      <c r="M61" s="3">
        <f t="shared" si="0"/>
        <v>24</v>
      </c>
      <c r="N61" s="3" t="str">
        <f>IF(A61="","", "CO-" &amp; IFERROR(VLOOKUP(B61, [1]Catalogos!$Z$4:$AA$20, 2, FALSE), "FOL") &amp; "-" &amp; WEEKNUM(A61,2) &amp; "-" &amp; TEXT(ROW(A57),"000"))</f>
        <v>CO-MT-24-057</v>
      </c>
    </row>
    <row r="62" spans="1:14">
      <c r="A62" s="5">
        <v>46185</v>
      </c>
      <c r="B62" s="3" t="s">
        <v>19</v>
      </c>
      <c r="C62" s="3" t="s">
        <v>20</v>
      </c>
      <c r="D62" s="3" t="s">
        <v>29</v>
      </c>
      <c r="E62" s="3" t="e">
        <f>VLOOKUP(TablaObra[[#This Row],[Equipo]],[1]Catalogos!$V$4:$W$64,2,FALSE)</f>
        <v>#N/A</v>
      </c>
      <c r="F62" s="6">
        <v>20</v>
      </c>
      <c r="G62" s="7">
        <v>27</v>
      </c>
      <c r="H62" s="7">
        <f>IFERROR(F62*G62,0)</f>
        <v>540</v>
      </c>
      <c r="M62" s="3">
        <f t="shared" si="0"/>
        <v>24</v>
      </c>
      <c r="N62" s="3" t="str">
        <f>IF(A62="","", "CO-" &amp; IFERROR(VLOOKUP(B62, [1]Catalogos!$Z$4:$AA$20, 2, FALSE), "FOL") &amp; "-" &amp; WEEKNUM(A62,2) &amp; "-" &amp; TEXT(ROW(A58),"000"))</f>
        <v>CO-MT-24-058</v>
      </c>
    </row>
    <row r="63" spans="1:14">
      <c r="A63" s="5">
        <v>46185</v>
      </c>
      <c r="B63" s="3" t="s">
        <v>19</v>
      </c>
      <c r="C63" s="3" t="s">
        <v>20</v>
      </c>
      <c r="D63" s="3" t="s">
        <v>22</v>
      </c>
      <c r="E63" s="3" t="e">
        <f>VLOOKUP(TablaObra[[#This Row],[Equipo]],[1]Catalogos!$V$4:$W$64,2,FALSE)</f>
        <v>#N/A</v>
      </c>
      <c r="F63" s="6">
        <v>40</v>
      </c>
      <c r="G63" s="7">
        <v>27</v>
      </c>
      <c r="H63" s="7">
        <f>IFERROR(F63*G63,0)</f>
        <v>1080</v>
      </c>
      <c r="M63" s="3">
        <f t="shared" si="0"/>
        <v>24</v>
      </c>
      <c r="N63" s="3" t="str">
        <f>IF(A63="","", "CO-" &amp; IFERROR(VLOOKUP(B63, [1]Catalogos!$Z$4:$AA$20, 2, FALSE), "FOL") &amp; "-" &amp; WEEKNUM(A63,2) &amp; "-" &amp; TEXT(ROW(A59),"000"))</f>
        <v>CO-MT-24-059</v>
      </c>
    </row>
    <row r="64" spans="1:14">
      <c r="A64" s="5">
        <v>46185</v>
      </c>
      <c r="B64" s="3" t="s">
        <v>19</v>
      </c>
      <c r="C64" s="3" t="s">
        <v>20</v>
      </c>
      <c r="D64" s="3" t="s">
        <v>23</v>
      </c>
      <c r="E64" s="3" t="e">
        <f>VLOOKUP(TablaObra[[#This Row],[Equipo]],[1]Catalogos!$V$4:$W$64,2,FALSE)</f>
        <v>#N/A</v>
      </c>
      <c r="F64" s="6">
        <v>250</v>
      </c>
      <c r="G64" s="7">
        <v>27</v>
      </c>
      <c r="H64" s="7">
        <f>IFERROR(F64*G64,0)</f>
        <v>6750</v>
      </c>
      <c r="M64" s="3">
        <f t="shared" si="0"/>
        <v>24</v>
      </c>
      <c r="N64" s="3" t="str">
        <f>IF(A64="","", "CO-" &amp; IFERROR(VLOOKUP(B64, [1]Catalogos!$Z$4:$AA$20, 2, FALSE), "FOL") &amp; "-" &amp; WEEKNUM(A64,2) &amp; "-" &amp; TEXT(ROW(A60),"000"))</f>
        <v>CO-MT-24-060</v>
      </c>
    </row>
    <row r="65" spans="1:15">
      <c r="A65" s="5">
        <v>46188</v>
      </c>
      <c r="B65" s="3" t="s">
        <v>19</v>
      </c>
      <c r="C65" s="3" t="s">
        <v>20</v>
      </c>
      <c r="D65" s="3" t="s">
        <v>48</v>
      </c>
      <c r="E65" s="3" t="str">
        <f>VLOOKUP(TablaObra[[#This Row],[Equipo]],[1]Catalogos!$V$4:$W$64,2,FALSE)</f>
        <v>S/N (WIRGENT)</v>
      </c>
      <c r="F65" s="6">
        <v>200</v>
      </c>
      <c r="G65" s="7">
        <v>27</v>
      </c>
      <c r="H65" s="7">
        <f>IFERROR(F65*G65,0)</f>
        <v>5400</v>
      </c>
      <c r="M65" s="3">
        <f t="shared" si="0"/>
        <v>25</v>
      </c>
      <c r="N65" s="3" t="str">
        <f>IF(A65="","", "CO-" &amp; IFERROR(VLOOKUP(B65, [1]Catalogos!$Z$4:$AA$20, 2, FALSE), "FOL") &amp; "-" &amp; WEEKNUM(A65,2) &amp; "-" &amp; TEXT(ROW(A61),"000"))</f>
        <v>CO-MT-25-061</v>
      </c>
    </row>
    <row r="66" spans="1:15">
      <c r="A66" s="5">
        <v>46188</v>
      </c>
      <c r="B66" s="3" t="s">
        <v>19</v>
      </c>
      <c r="C66" s="3" t="s">
        <v>20</v>
      </c>
      <c r="D66" s="3" t="s">
        <v>49</v>
      </c>
      <c r="E66" s="3" t="str">
        <f>VLOOKUP(TablaObra[[#This Row],[Equipo]],[1]Catalogos!$V$4:$W$64,2,FALSE)</f>
        <v>RT-05</v>
      </c>
      <c r="F66" s="6">
        <v>40</v>
      </c>
      <c r="G66" s="7">
        <v>27</v>
      </c>
      <c r="H66" s="7">
        <f>IFERROR(F66*G66,0)</f>
        <v>1080</v>
      </c>
      <c r="M66" s="3">
        <f t="shared" si="0"/>
        <v>25</v>
      </c>
      <c r="N66" s="3" t="str">
        <f>IF(A66="","", "CO-" &amp; IFERROR(VLOOKUP(B66, [1]Catalogos!$Z$4:$AA$20, 2, FALSE), "FOL") &amp; "-" &amp; WEEKNUM(A66,2) &amp; "-" &amp; TEXT(ROW(A62),"000"))</f>
        <v>CO-MT-25-062</v>
      </c>
    </row>
    <row r="67" spans="1:15">
      <c r="A67" s="5">
        <v>46188</v>
      </c>
      <c r="B67" s="3" t="s">
        <v>19</v>
      </c>
      <c r="C67" s="3" t="s">
        <v>20</v>
      </c>
      <c r="D67" s="3" t="s">
        <v>50</v>
      </c>
      <c r="E67" s="3" t="str">
        <f>VLOOKUP(TablaObra[[#This Row],[Equipo]],[1]Catalogos!$V$4:$W$64,2,FALSE)</f>
        <v>TD-01</v>
      </c>
      <c r="F67" s="6">
        <v>30</v>
      </c>
      <c r="G67" s="7">
        <v>27</v>
      </c>
      <c r="H67" s="7">
        <f>IFERROR(F67*G67,0)</f>
        <v>810</v>
      </c>
      <c r="M67" s="3">
        <f t="shared" si="0"/>
        <v>25</v>
      </c>
      <c r="N67" s="3" t="str">
        <f>IF(A67="","", "CO-" &amp; IFERROR(VLOOKUP(B67, [1]Catalogos!$Z$4:$AA$20, 2, FALSE), "FOL") &amp; "-" &amp; WEEKNUM(A67,2) &amp; "-" &amp; TEXT(ROW(A63),"000"))</f>
        <v>CO-MT-25-063</v>
      </c>
    </row>
    <row r="68" spans="1:15">
      <c r="A68" s="5">
        <v>46188</v>
      </c>
      <c r="B68" s="3" t="s">
        <v>19</v>
      </c>
      <c r="C68" s="3" t="s">
        <v>20</v>
      </c>
      <c r="D68" s="3" t="s">
        <v>51</v>
      </c>
      <c r="E68" s="3" t="str">
        <f>VLOOKUP(TablaObra[[#This Row],[Equipo]],[1]Catalogos!$V$4:$W$64,2,FALSE)</f>
        <v>NM-02</v>
      </c>
      <c r="F68" s="6">
        <v>50</v>
      </c>
      <c r="G68" s="7">
        <v>27</v>
      </c>
      <c r="H68" s="7">
        <f>IFERROR(F68*G68,0)</f>
        <v>1350</v>
      </c>
      <c r="M68" s="3">
        <f t="shared" si="0"/>
        <v>25</v>
      </c>
      <c r="N68" s="3" t="str">
        <f>IF(A68="","", "CO-" &amp; IFERROR(VLOOKUP(B68, [1]Catalogos!$Z$4:$AA$20, 2, FALSE), "FOL") &amp; "-" &amp; WEEKNUM(A68,2) &amp; "-" &amp; TEXT(ROW(A64),"000"))</f>
        <v>CO-MT-25-064</v>
      </c>
    </row>
    <row r="69" spans="1:15">
      <c r="A69" s="8">
        <v>46188</v>
      </c>
      <c r="B69" s="9" t="s">
        <v>25</v>
      </c>
      <c r="C69" s="9" t="s">
        <v>20</v>
      </c>
      <c r="D69" s="9" t="s">
        <v>52</v>
      </c>
      <c r="E69" s="9" t="str">
        <f>VLOOKUP(TablaObra[[#This Row],[Equipo]],[1]Catalogos!$V$4:$W$64,2,FALSE)</f>
        <v>VG-01</v>
      </c>
      <c r="F69" s="10">
        <v>73</v>
      </c>
      <c r="G69" s="7">
        <v>27</v>
      </c>
      <c r="H69" s="11">
        <f>IFERROR(F69*G69,0)</f>
        <v>1971</v>
      </c>
      <c r="I69" s="9"/>
      <c r="J69" s="9"/>
      <c r="K69" s="9" t="s">
        <v>53</v>
      </c>
      <c r="L69" s="9"/>
      <c r="M69" s="9">
        <f t="shared" ref="M69:M132" si="1">IF(A69="","", WEEKNUM(A69, 2))</f>
        <v>25</v>
      </c>
      <c r="N69" s="9" t="str">
        <f>IF(A69="","", "CO-" &amp; IFERROR(VLOOKUP(B69, [1]Catalogos!$Z$4:$AA$20, 2, FALSE), "FOL") &amp; "-" &amp; WEEKNUM(A69,2) &amp; "-" &amp; TEXT(ROW(A65),"000"))</f>
        <v>CO-LT-25-065</v>
      </c>
      <c r="O69" s="9"/>
    </row>
    <row r="70" spans="1:15">
      <c r="A70" s="5">
        <v>46188</v>
      </c>
      <c r="B70" s="3" t="s">
        <v>19</v>
      </c>
      <c r="C70" s="3" t="s">
        <v>20</v>
      </c>
      <c r="D70" s="3" t="s">
        <v>54</v>
      </c>
      <c r="E70" s="3" t="str">
        <f>VLOOKUP(TablaObra[[#This Row],[Equipo]],[1]Catalogos!$V$4:$W$64,2,FALSE)</f>
        <v>VG-03</v>
      </c>
      <c r="F70" s="6">
        <v>99</v>
      </c>
      <c r="G70" s="7">
        <v>27</v>
      </c>
      <c r="H70" s="7">
        <f>IFERROR(F70*G70,0)</f>
        <v>2673</v>
      </c>
      <c r="M70" s="3">
        <f t="shared" si="1"/>
        <v>25</v>
      </c>
      <c r="N70" s="3" t="str">
        <f>IF(A70="","", "CO-" &amp; IFERROR(VLOOKUP(B70, [1]Catalogos!$Z$4:$AA$20, 2, FALSE), "FOL") &amp; "-" &amp; WEEKNUM(A70,2) &amp; "-" &amp; TEXT(ROW(A66),"000"))</f>
        <v>CO-MT-25-066</v>
      </c>
    </row>
    <row r="71" spans="1:15">
      <c r="A71" s="5">
        <v>46188</v>
      </c>
      <c r="B71" s="3" t="s">
        <v>19</v>
      </c>
      <c r="C71" s="3" t="s">
        <v>20</v>
      </c>
      <c r="D71" s="3" t="s">
        <v>55</v>
      </c>
      <c r="E71" s="3" t="str">
        <f>VLOOKUP(TablaObra[[#This Row],[Equipo]],[1]Catalogos!$V$4:$W$64,2,FALSE)</f>
        <v>PT-02</v>
      </c>
      <c r="F71" s="6">
        <v>50</v>
      </c>
      <c r="G71" s="7">
        <v>27</v>
      </c>
      <c r="H71" s="7">
        <f>IFERROR(F71*G71,0)</f>
        <v>1350</v>
      </c>
      <c r="M71" s="3">
        <f t="shared" si="1"/>
        <v>25</v>
      </c>
      <c r="N71" s="3" t="str">
        <f>IF(A71="","", "CO-" &amp; IFERROR(VLOOKUP(B71, [1]Catalogos!$Z$4:$AA$20, 2, FALSE), "FOL") &amp; "-" &amp; WEEKNUM(A71,2) &amp; "-" &amp; TEXT(ROW(A67),"000"))</f>
        <v>CO-MT-25-067</v>
      </c>
    </row>
    <row r="72" spans="1:15">
      <c r="A72" s="5">
        <v>46188</v>
      </c>
      <c r="B72" s="3" t="s">
        <v>35</v>
      </c>
      <c r="C72" s="3" t="s">
        <v>36</v>
      </c>
      <c r="D72" s="3" t="s">
        <v>37</v>
      </c>
      <c r="E72" s="3" t="str">
        <f>VLOOKUP(TablaObra[[#This Row],[Equipo]],[1]Catalogos!$V$4:$W$64,2,FALSE)</f>
        <v>BD-01</v>
      </c>
      <c r="F72" s="6">
        <v>70</v>
      </c>
      <c r="G72" s="7">
        <v>27</v>
      </c>
      <c r="H72" s="7">
        <f>IFERROR(F72*G72,0)</f>
        <v>1890</v>
      </c>
      <c r="M72" s="3">
        <f t="shared" si="1"/>
        <v>25</v>
      </c>
      <c r="N72" s="3" t="str">
        <f>IF(A72="","", "CO-" &amp; IFERROR(VLOOKUP(B72, [1]Catalogos!$Z$4:$AA$20, 2, FALSE), "FOL") &amp; "-" &amp; WEEKNUM(A72,2) &amp; "-" &amp; TEXT(ROW(A68),"000"))</f>
        <v>CO-BT-25-068</v>
      </c>
    </row>
    <row r="73" spans="1:15">
      <c r="A73" s="5">
        <v>46188</v>
      </c>
      <c r="B73" s="3" t="s">
        <v>25</v>
      </c>
      <c r="C73" s="3" t="s">
        <v>36</v>
      </c>
      <c r="D73" s="3" t="s">
        <v>50</v>
      </c>
      <c r="E73" s="3" t="str">
        <f>VLOOKUP(TablaObra[[#This Row],[Equipo]],[1]Catalogos!$V$4:$W$64,2,FALSE)</f>
        <v>TD-01</v>
      </c>
      <c r="F73" s="6">
        <v>24</v>
      </c>
      <c r="G73" s="7">
        <v>27</v>
      </c>
      <c r="H73" s="7">
        <f>IFERROR(F73*G73,0)</f>
        <v>648</v>
      </c>
      <c r="M73" s="3">
        <f t="shared" si="1"/>
        <v>25</v>
      </c>
      <c r="N73" s="3" t="str">
        <f>IF(A73="","", "CO-" &amp; IFERROR(VLOOKUP(B73, [1]Catalogos!$Z$4:$AA$20, 2, FALSE), "FOL") &amp; "-" &amp; WEEKNUM(A73,2) &amp; "-" &amp; TEXT(ROW(A69),"000"))</f>
        <v>CO-LT-25-069</v>
      </c>
    </row>
    <row r="74" spans="1:15">
      <c r="A74" s="5">
        <v>46188</v>
      </c>
      <c r="B74" s="3" t="s">
        <v>38</v>
      </c>
      <c r="C74" s="3" t="s">
        <v>36</v>
      </c>
      <c r="D74" s="3" t="s">
        <v>46</v>
      </c>
      <c r="E74" s="3" t="str">
        <f>VLOOKUP(TablaObra[[#This Row],[Equipo]],[1]Catalogos!$V$4:$W$64,2,FALSE)</f>
        <v>PL-01</v>
      </c>
      <c r="F74" s="6">
        <v>265</v>
      </c>
      <c r="G74" s="7">
        <v>27</v>
      </c>
      <c r="H74" s="7">
        <f>IFERROR(F74*G74,0)</f>
        <v>7155</v>
      </c>
      <c r="M74" s="3">
        <f t="shared" si="1"/>
        <v>25</v>
      </c>
      <c r="N74" s="3" t="str">
        <f>IF(A74="","", "CO-" &amp; IFERROR(VLOOKUP(B74, [1]Catalogos!$Z$4:$AA$20, 2, FALSE), "FOL") &amp; "-" &amp; WEEKNUM(A74,2) &amp; "-" &amp; TEXT(ROW(A70),"000"))</f>
        <v>CO-PAP-25-070</v>
      </c>
    </row>
    <row r="75" spans="1:15">
      <c r="A75" s="5">
        <v>46188</v>
      </c>
      <c r="B75" s="3" t="s">
        <v>35</v>
      </c>
      <c r="C75" s="3" t="s">
        <v>36</v>
      </c>
      <c r="D75" s="3" t="s">
        <v>56</v>
      </c>
      <c r="E75" s="3" t="str">
        <f>VLOOKUP(TablaObra[[#This Row],[Equipo]],[1]Catalogos!$V$4:$W$64,2,FALSE)</f>
        <v>DR-02</v>
      </c>
      <c r="F75" s="6">
        <v>33</v>
      </c>
      <c r="G75" s="7">
        <v>27</v>
      </c>
      <c r="H75" s="7">
        <f>IFERROR(F75*G75,0)</f>
        <v>891</v>
      </c>
      <c r="M75" s="3">
        <f t="shared" si="1"/>
        <v>25</v>
      </c>
      <c r="N75" s="3" t="str">
        <f>IF(A75="","", "CO-" &amp; IFERROR(VLOOKUP(B75, [1]Catalogos!$Z$4:$AA$20, 2, FALSE), "FOL") &amp; "-" &amp; WEEKNUM(A75,2) &amp; "-" &amp; TEXT(ROW(A71),"000"))</f>
        <v>CO-BT-25-071</v>
      </c>
    </row>
    <row r="76" spans="1:15">
      <c r="A76" s="5">
        <v>46188</v>
      </c>
      <c r="B76" s="3" t="s">
        <v>25</v>
      </c>
      <c r="C76" s="3" t="s">
        <v>36</v>
      </c>
      <c r="D76" s="3" t="s">
        <v>55</v>
      </c>
      <c r="E76" s="3" t="str">
        <f>VLOOKUP(TablaObra[[#This Row],[Equipo]],[1]Catalogos!$V$4:$W$64,2,FALSE)</f>
        <v>PT-02</v>
      </c>
      <c r="F76" s="6">
        <v>60</v>
      </c>
      <c r="G76" s="7">
        <v>27</v>
      </c>
      <c r="H76" s="7">
        <f>IFERROR(F76*G76,0)</f>
        <v>1620</v>
      </c>
      <c r="M76" s="3">
        <f t="shared" si="1"/>
        <v>25</v>
      </c>
      <c r="N76" s="3" t="str">
        <f>IF(A76="","", "CO-" &amp; IFERROR(VLOOKUP(B76, [1]Catalogos!$Z$4:$AA$20, 2, FALSE), "FOL") &amp; "-" &amp; WEEKNUM(A76,2) &amp; "-" &amp; TEXT(ROW(A72),"000"))</f>
        <v>CO-LT-25-072</v>
      </c>
    </row>
    <row r="77" spans="1:15">
      <c r="A77" s="5">
        <v>46188</v>
      </c>
      <c r="B77" s="3" t="s">
        <v>25</v>
      </c>
      <c r="C77" s="3" t="s">
        <v>36</v>
      </c>
      <c r="D77" s="3" t="s">
        <v>57</v>
      </c>
      <c r="E77" s="3" t="str">
        <f>VLOOKUP(TablaObra[[#This Row],[Equipo]],[1]Catalogos!$V$4:$W$64,2,FALSE)</f>
        <v>BR-02</v>
      </c>
      <c r="F77" s="6">
        <v>52</v>
      </c>
      <c r="G77" s="7">
        <v>27</v>
      </c>
      <c r="H77" s="7">
        <f>IFERROR(F77*G77,0)</f>
        <v>1404</v>
      </c>
      <c r="M77" s="3">
        <f t="shared" si="1"/>
        <v>25</v>
      </c>
      <c r="N77" s="3" t="str">
        <f>IF(A77="","", "CO-" &amp; IFERROR(VLOOKUP(B77, [1]Catalogos!$Z$4:$AA$20, 2, FALSE), "FOL") &amp; "-" &amp; WEEKNUM(A77,2) &amp; "-" &amp; TEXT(ROW(A73),"000"))</f>
        <v>CO-LT-25-073</v>
      </c>
    </row>
    <row r="78" spans="1:15">
      <c r="A78" s="5">
        <v>46188</v>
      </c>
      <c r="B78" s="3" t="s">
        <v>25</v>
      </c>
      <c r="C78" s="3" t="s">
        <v>36</v>
      </c>
      <c r="D78" s="3" t="s">
        <v>58</v>
      </c>
      <c r="E78" s="3" t="str">
        <f>VLOOKUP(TablaObra[[#This Row],[Equipo]],[1]Catalogos!$V$4:$W$64,2,FALSE)</f>
        <v>LP-01</v>
      </c>
      <c r="F78" s="6">
        <v>25</v>
      </c>
      <c r="G78" s="7">
        <v>27</v>
      </c>
      <c r="H78" s="7">
        <f>IFERROR(F78*G78,0)</f>
        <v>675</v>
      </c>
      <c r="M78" s="3">
        <f t="shared" si="1"/>
        <v>25</v>
      </c>
      <c r="N78" s="3" t="str">
        <f>IF(A78="","", "CO-" &amp; IFERROR(VLOOKUP(B78, [1]Catalogos!$Z$4:$AA$20, 2, FALSE), "FOL") &amp; "-" &amp; WEEKNUM(A78,2) &amp; "-" &amp; TEXT(ROW(A74),"000"))</f>
        <v>CO-LT-25-074</v>
      </c>
    </row>
    <row r="79" spans="1:15">
      <c r="A79" s="5">
        <v>46188</v>
      </c>
      <c r="B79" s="3" t="s">
        <v>25</v>
      </c>
      <c r="C79" s="3" t="s">
        <v>36</v>
      </c>
      <c r="D79" s="3" t="s">
        <v>49</v>
      </c>
      <c r="E79" s="3" t="str">
        <f>VLOOKUP(TablaObra[[#This Row],[Equipo]],[1]Catalogos!$V$4:$W$64,2,FALSE)</f>
        <v>RT-05</v>
      </c>
      <c r="F79" s="6">
        <v>55</v>
      </c>
      <c r="G79" s="7">
        <v>27</v>
      </c>
      <c r="H79" s="7">
        <f>IFERROR(F79*G79,0)</f>
        <v>1485</v>
      </c>
      <c r="M79" s="3">
        <f t="shared" si="1"/>
        <v>25</v>
      </c>
      <c r="N79" s="3" t="str">
        <f>IF(A79="","", "CO-" &amp; IFERROR(VLOOKUP(B79, [1]Catalogos!$Z$4:$AA$20, 2, FALSE), "FOL") &amp; "-" &amp; WEEKNUM(A79,2) &amp; "-" &amp; TEXT(ROW(A75),"000"))</f>
        <v>CO-LT-25-075</v>
      </c>
    </row>
    <row r="80" spans="1:15">
      <c r="A80" s="5">
        <v>46188</v>
      </c>
      <c r="B80" s="3" t="s">
        <v>35</v>
      </c>
      <c r="C80" s="3" t="s">
        <v>36</v>
      </c>
      <c r="D80" s="3" t="s">
        <v>59</v>
      </c>
      <c r="E80" s="3" t="str">
        <f>VLOOKUP(TablaObra[[#This Row],[Equipo]],[1]Catalogos!$V$4:$W$64,2,FALSE)</f>
        <v>PR-02</v>
      </c>
      <c r="F80" s="6">
        <v>200</v>
      </c>
      <c r="G80" s="7">
        <v>27</v>
      </c>
      <c r="H80" s="7">
        <f>IFERROR(F80*G80,0)</f>
        <v>5400</v>
      </c>
      <c r="M80" s="3">
        <f t="shared" si="1"/>
        <v>25</v>
      </c>
      <c r="N80" s="3" t="str">
        <f>IF(A80="","", "CO-" &amp; IFERROR(VLOOKUP(B80, [1]Catalogos!$Z$4:$AA$20, 2, FALSE), "FOL") &amp; "-" &amp; WEEKNUM(A80,2) &amp; "-" &amp; TEXT(ROW(A76),"000"))</f>
        <v>CO-BT-25-076</v>
      </c>
    </row>
    <row r="81" spans="1:14">
      <c r="A81" s="5">
        <v>46189</v>
      </c>
      <c r="B81" s="3" t="s">
        <v>19</v>
      </c>
      <c r="C81" s="3" t="s">
        <v>20</v>
      </c>
      <c r="D81" s="3" t="s">
        <v>48</v>
      </c>
      <c r="E81" s="3" t="str">
        <f>VLOOKUP(TablaObra[[#This Row],[Equipo]],[1]Catalogos!$V$4:$W$64,2,FALSE)</f>
        <v>S/N (WIRGENT)</v>
      </c>
      <c r="F81" s="6">
        <v>200</v>
      </c>
      <c r="G81" s="7">
        <v>27</v>
      </c>
      <c r="H81" s="7">
        <f>IFERROR(F81*G81,0)</f>
        <v>5400</v>
      </c>
      <c r="M81" s="3">
        <f t="shared" si="1"/>
        <v>25</v>
      </c>
      <c r="N81" s="3" t="str">
        <f>IF(A81="","", "CO-" &amp; IFERROR(VLOOKUP(B81, [1]Catalogos!$Z$4:$AA$20, 2, FALSE), "FOL") &amp; "-" &amp; WEEKNUM(A81,2) &amp; "-" &amp; TEXT(ROW(A77),"000"))</f>
        <v>CO-MT-25-077</v>
      </c>
    </row>
    <row r="82" spans="1:14">
      <c r="A82" s="5">
        <v>46189</v>
      </c>
      <c r="B82" s="3" t="s">
        <v>19</v>
      </c>
      <c r="C82" s="3" t="s">
        <v>20</v>
      </c>
      <c r="D82" s="3" t="s">
        <v>50</v>
      </c>
      <c r="E82" s="3" t="str">
        <f>VLOOKUP(TablaObra[[#This Row],[Equipo]],[1]Catalogos!$V$4:$W$64,2,FALSE)</f>
        <v>TD-01</v>
      </c>
      <c r="F82" s="6">
        <v>32</v>
      </c>
      <c r="G82" s="7">
        <v>27</v>
      </c>
      <c r="H82" s="7">
        <f>IFERROR(F82*G82,0)</f>
        <v>864</v>
      </c>
      <c r="M82" s="3">
        <f t="shared" si="1"/>
        <v>25</v>
      </c>
      <c r="N82" s="3" t="str">
        <f>IF(A82="","", "CO-" &amp; IFERROR(VLOOKUP(B82, [1]Catalogos!$Z$4:$AA$20, 2, FALSE), "FOL") &amp; "-" &amp; WEEKNUM(A82,2) &amp; "-" &amp; TEXT(ROW(A78),"000"))</f>
        <v>CO-MT-25-078</v>
      </c>
    </row>
    <row r="83" spans="1:14">
      <c r="A83" s="5">
        <v>46189</v>
      </c>
      <c r="B83" s="3" t="s">
        <v>19</v>
      </c>
      <c r="C83" s="3" t="s">
        <v>20</v>
      </c>
      <c r="D83" s="3" t="s">
        <v>51</v>
      </c>
      <c r="E83" s="3" t="str">
        <f>VLOOKUP(TablaObra[[#This Row],[Equipo]],[1]Catalogos!$V$4:$W$64,2,FALSE)</f>
        <v>NM-02</v>
      </c>
      <c r="F83" s="6">
        <v>30</v>
      </c>
      <c r="G83" s="7">
        <v>27</v>
      </c>
      <c r="H83" s="7">
        <f>IFERROR(F83*G83,0)</f>
        <v>810</v>
      </c>
      <c r="M83" s="3">
        <f t="shared" si="1"/>
        <v>25</v>
      </c>
      <c r="N83" s="3" t="str">
        <f>IF(A83="","", "CO-" &amp; IFERROR(VLOOKUP(B83, [1]Catalogos!$Z$4:$AA$20, 2, FALSE), "FOL") &amp; "-" &amp; WEEKNUM(A83,2) &amp; "-" &amp; TEXT(ROW(A79),"000"))</f>
        <v>CO-MT-25-079</v>
      </c>
    </row>
    <row r="84" spans="1:14">
      <c r="A84" s="5">
        <v>46189</v>
      </c>
      <c r="B84" s="3" t="s">
        <v>19</v>
      </c>
      <c r="C84" s="3" t="s">
        <v>20</v>
      </c>
      <c r="D84" s="3" t="s">
        <v>60</v>
      </c>
      <c r="E84" s="3" t="str">
        <f>VLOOKUP(TablaObra[[#This Row],[Equipo]],[1]Catalogos!$V$4:$W$64,2,FALSE)</f>
        <v>BR-01</v>
      </c>
      <c r="F84" s="6">
        <v>30</v>
      </c>
      <c r="G84" s="7">
        <v>27</v>
      </c>
      <c r="H84" s="7">
        <f>IFERROR(F84*G84,0)</f>
        <v>810</v>
      </c>
      <c r="M84" s="3">
        <f t="shared" si="1"/>
        <v>25</v>
      </c>
      <c r="N84" s="3" t="str">
        <f>IF(A84="","", "CO-" &amp; IFERROR(VLOOKUP(B84, [1]Catalogos!$Z$4:$AA$20, 2, FALSE), "FOL") &amp; "-" &amp; WEEKNUM(A84,2) &amp; "-" &amp; TEXT(ROW(A80),"000"))</f>
        <v>CO-MT-25-080</v>
      </c>
    </row>
    <row r="85" spans="1:14">
      <c r="A85" s="5">
        <v>46189</v>
      </c>
      <c r="B85" s="3" t="s">
        <v>19</v>
      </c>
      <c r="C85" s="3" t="s">
        <v>20</v>
      </c>
      <c r="D85" s="3" t="s">
        <v>54</v>
      </c>
      <c r="E85" s="3" t="str">
        <f>VLOOKUP(TablaObra[[#This Row],[Equipo]],[1]Catalogos!$V$4:$W$64,2,FALSE)</f>
        <v>VG-03</v>
      </c>
      <c r="F85" s="6">
        <v>107</v>
      </c>
      <c r="G85" s="7">
        <v>27</v>
      </c>
      <c r="H85" s="7">
        <f>IFERROR(F85*G85,0)</f>
        <v>2889</v>
      </c>
      <c r="M85" s="3">
        <f t="shared" si="1"/>
        <v>25</v>
      </c>
      <c r="N85" s="3" t="str">
        <f>IF(A85="","", "CO-" &amp; IFERROR(VLOOKUP(B85, [1]Catalogos!$Z$4:$AA$20, 2, FALSE), "FOL") &amp; "-" &amp; WEEKNUM(A85,2) &amp; "-" &amp; TEXT(ROW(A81),"000"))</f>
        <v>CO-MT-25-081</v>
      </c>
    </row>
    <row r="86" spans="1:14">
      <c r="A86" s="5">
        <v>46189</v>
      </c>
      <c r="B86" s="3" t="s">
        <v>19</v>
      </c>
      <c r="C86" s="3" t="s">
        <v>20</v>
      </c>
      <c r="D86" s="3" t="s">
        <v>49</v>
      </c>
      <c r="E86" s="3" t="str">
        <f>VLOOKUP(TablaObra[[#This Row],[Equipo]],[1]Catalogos!$V$4:$W$64,2,FALSE)</f>
        <v>RT-05</v>
      </c>
      <c r="F86" s="6">
        <v>40</v>
      </c>
      <c r="G86" s="7">
        <v>27</v>
      </c>
      <c r="H86" s="7">
        <f>IFERROR(F86*G86,0)</f>
        <v>1080</v>
      </c>
      <c r="M86" s="3">
        <f t="shared" si="1"/>
        <v>25</v>
      </c>
      <c r="N86" s="3" t="str">
        <f>IF(A86="","", "CO-" &amp; IFERROR(VLOOKUP(B86, [1]Catalogos!$Z$4:$AA$20, 2, FALSE), "FOL") &amp; "-" &amp; WEEKNUM(A86,2) &amp; "-" &amp; TEXT(ROW(A82),"000"))</f>
        <v>CO-MT-25-082</v>
      </c>
    </row>
    <row r="87" spans="1:14">
      <c r="A87" s="5">
        <v>46189</v>
      </c>
      <c r="B87" s="3" t="s">
        <v>19</v>
      </c>
      <c r="C87" s="3" t="s">
        <v>20</v>
      </c>
      <c r="D87" s="3" t="s">
        <v>55</v>
      </c>
      <c r="E87" s="3" t="str">
        <f>VLOOKUP(TablaObra[[#This Row],[Equipo]],[1]Catalogos!$V$4:$W$64,2,FALSE)</f>
        <v>PT-02</v>
      </c>
      <c r="F87" s="6">
        <v>50</v>
      </c>
      <c r="G87" s="7">
        <v>27</v>
      </c>
      <c r="H87" s="7">
        <f>IFERROR(F87*G87,0)</f>
        <v>1350</v>
      </c>
      <c r="M87" s="3">
        <f t="shared" si="1"/>
        <v>25</v>
      </c>
      <c r="N87" s="3" t="str">
        <f>IF(A87="","", "CO-" &amp; IFERROR(VLOOKUP(B87, [1]Catalogos!$Z$4:$AA$20, 2, FALSE), "FOL") &amp; "-" &amp; WEEKNUM(A87,2) &amp; "-" &amp; TEXT(ROW(A83),"000"))</f>
        <v>CO-MT-25-083</v>
      </c>
    </row>
    <row r="88" spans="1:14">
      <c r="A88" s="5">
        <v>46189</v>
      </c>
      <c r="B88" s="3" t="s">
        <v>25</v>
      </c>
      <c r="C88" s="3" t="s">
        <v>36</v>
      </c>
      <c r="D88" s="3" t="s">
        <v>61</v>
      </c>
      <c r="E88" s="3" t="str">
        <f>VLOOKUP(TablaObra[[#This Row],[Equipo]],[1]Catalogos!$V$4:$W$64,2,FALSE)</f>
        <v>PP-01</v>
      </c>
      <c r="F88" s="6">
        <v>50</v>
      </c>
      <c r="G88" s="7">
        <v>27</v>
      </c>
      <c r="H88" s="7">
        <f>IFERROR(F88*G88,0)</f>
        <v>1350</v>
      </c>
      <c r="M88" s="3">
        <f t="shared" si="1"/>
        <v>25</v>
      </c>
      <c r="N88" s="3" t="str">
        <f>IF(A88="","", "CO-" &amp; IFERROR(VLOOKUP(B88, [1]Catalogos!$Z$4:$AA$20, 2, FALSE), "FOL") &amp; "-" &amp; WEEKNUM(A88,2) &amp; "-" &amp; TEXT(ROW(A84),"000"))</f>
        <v>CO-LT-25-084</v>
      </c>
    </row>
    <row r="89" spans="1:14">
      <c r="A89" s="5">
        <v>46189</v>
      </c>
      <c r="B89" s="3" t="s">
        <v>38</v>
      </c>
      <c r="C89" s="3" t="s">
        <v>36</v>
      </c>
      <c r="D89" s="3" t="s">
        <v>55</v>
      </c>
      <c r="E89" s="3" t="str">
        <f>VLOOKUP(TablaObra[[#This Row],[Equipo]],[1]Catalogos!$V$4:$W$64,2,FALSE)</f>
        <v>PT-02</v>
      </c>
      <c r="F89" s="6">
        <v>50</v>
      </c>
      <c r="G89" s="7">
        <v>27</v>
      </c>
      <c r="H89" s="7">
        <f>IFERROR(F89*G89,0)</f>
        <v>1350</v>
      </c>
      <c r="M89" s="3">
        <f t="shared" si="1"/>
        <v>25</v>
      </c>
      <c r="N89" s="3" t="str">
        <f>IF(A89="","", "CO-" &amp; IFERROR(VLOOKUP(B89, [1]Catalogos!$Z$4:$AA$20, 2, FALSE), "FOL") &amp; "-" &amp; WEEKNUM(A89,2) &amp; "-" &amp; TEXT(ROW(A85),"000"))</f>
        <v>CO-PAP-25-085</v>
      </c>
    </row>
    <row r="90" spans="1:14">
      <c r="A90" s="5">
        <v>46189</v>
      </c>
      <c r="B90" s="3" t="s">
        <v>38</v>
      </c>
      <c r="C90" s="3" t="s">
        <v>36</v>
      </c>
      <c r="D90" s="3" t="s">
        <v>37</v>
      </c>
      <c r="E90" s="3" t="str">
        <f>VLOOKUP(TablaObra[[#This Row],[Equipo]],[1]Catalogos!$V$4:$W$64,2,FALSE)</f>
        <v>BD-01</v>
      </c>
      <c r="F90" s="6">
        <v>1001</v>
      </c>
      <c r="G90" s="7">
        <v>27</v>
      </c>
      <c r="H90" s="7">
        <f>IFERROR(F90*G90,0)</f>
        <v>27027</v>
      </c>
      <c r="M90" s="3">
        <f t="shared" si="1"/>
        <v>25</v>
      </c>
      <c r="N90" s="3" t="str">
        <f>IF(A90="","", "CO-" &amp; IFERROR(VLOOKUP(B90, [1]Catalogos!$Z$4:$AA$20, 2, FALSE), "FOL") &amp; "-" &amp; WEEKNUM(A90,2) &amp; "-" &amp; TEXT(ROW(A86),"000"))</f>
        <v>CO-PAP-25-086</v>
      </c>
    </row>
    <row r="91" spans="1:14">
      <c r="A91" s="5">
        <v>46189</v>
      </c>
      <c r="B91" s="3" t="s">
        <v>25</v>
      </c>
      <c r="C91" s="3" t="s">
        <v>36</v>
      </c>
      <c r="D91" s="3" t="s">
        <v>62</v>
      </c>
      <c r="E91" s="3" t="str">
        <f>VLOOKUP(TablaObra[[#This Row],[Equipo]],[1]Catalogos!$V$4:$W$64,2,FALSE)</f>
        <v>PR-01</v>
      </c>
      <c r="F91" s="6">
        <v>350</v>
      </c>
      <c r="G91" s="7">
        <v>27</v>
      </c>
      <c r="H91" s="7">
        <f>IFERROR(F91*G91,0)</f>
        <v>9450</v>
      </c>
      <c r="M91" s="3">
        <f t="shared" si="1"/>
        <v>25</v>
      </c>
      <c r="N91" s="3" t="str">
        <f>IF(A91="","", "CO-" &amp; IFERROR(VLOOKUP(B91, [1]Catalogos!$Z$4:$AA$20, 2, FALSE), "FOL") &amp; "-" &amp; WEEKNUM(A91,2) &amp; "-" &amp; TEXT(ROW(A87),"000"))</f>
        <v>CO-LT-25-087</v>
      </c>
    </row>
    <row r="92" spans="1:14">
      <c r="A92" s="5">
        <v>46189</v>
      </c>
      <c r="B92" s="3" t="s">
        <v>35</v>
      </c>
      <c r="C92" s="3" t="s">
        <v>36</v>
      </c>
      <c r="D92" s="3" t="s">
        <v>62</v>
      </c>
      <c r="E92" s="3" t="str">
        <f>VLOOKUP(TablaObra[[#This Row],[Equipo]],[1]Catalogos!$V$4:$W$64,2,FALSE)</f>
        <v>PR-01</v>
      </c>
      <c r="F92" s="6">
        <v>200</v>
      </c>
      <c r="G92" s="7">
        <v>27</v>
      </c>
      <c r="H92" s="7">
        <f>IFERROR(F92*G92,0)</f>
        <v>5400</v>
      </c>
      <c r="M92" s="3">
        <f t="shared" si="1"/>
        <v>25</v>
      </c>
      <c r="N92" s="3" t="str">
        <f>IF(A92="","", "CO-" &amp; IFERROR(VLOOKUP(B92, [1]Catalogos!$Z$4:$AA$20, 2, FALSE), "FOL") &amp; "-" &amp; WEEKNUM(A92,2) &amp; "-" &amp; TEXT(ROW(A88),"000"))</f>
        <v>CO-BT-25-088</v>
      </c>
    </row>
    <row r="93" spans="1:14">
      <c r="A93" s="5">
        <v>46189</v>
      </c>
      <c r="B93" s="3" t="s">
        <v>25</v>
      </c>
      <c r="C93" s="3" t="s">
        <v>36</v>
      </c>
      <c r="D93" s="3" t="s">
        <v>61</v>
      </c>
      <c r="E93" s="3" t="str">
        <f>VLOOKUP(TablaObra[[#This Row],[Equipo]],[1]Catalogos!$V$4:$W$64,2,FALSE)</f>
        <v>PP-01</v>
      </c>
      <c r="F93" s="6">
        <v>50</v>
      </c>
      <c r="G93" s="7">
        <v>27</v>
      </c>
      <c r="H93" s="7">
        <f>IFERROR(F93*G93,0)</f>
        <v>1350</v>
      </c>
      <c r="M93" s="3">
        <f t="shared" si="1"/>
        <v>25</v>
      </c>
      <c r="N93" s="3" t="str">
        <f>IF(A93="","", "CO-" &amp; IFERROR(VLOOKUP(B93, [1]Catalogos!$Z$4:$AA$20, 2, FALSE), "FOL") &amp; "-" &amp; WEEKNUM(A93,2) &amp; "-" &amp; TEXT(ROW(A89),"000"))</f>
        <v>CO-LT-25-089</v>
      </c>
    </row>
    <row r="94" spans="1:14">
      <c r="A94" s="5">
        <v>46189</v>
      </c>
      <c r="B94" s="3" t="s">
        <v>25</v>
      </c>
      <c r="C94" s="3" t="s">
        <v>36</v>
      </c>
      <c r="D94" s="3" t="s">
        <v>52</v>
      </c>
      <c r="E94" s="3" t="str">
        <f>VLOOKUP(TablaObra[[#This Row],[Equipo]],[1]Catalogos!$V$4:$W$64,2,FALSE)</f>
        <v>VG-01</v>
      </c>
      <c r="F94" s="6">
        <v>165</v>
      </c>
      <c r="G94" s="7">
        <v>27</v>
      </c>
      <c r="H94" s="7">
        <f>IFERROR(F94*G94,0)</f>
        <v>4455</v>
      </c>
      <c r="M94" s="3">
        <f t="shared" si="1"/>
        <v>25</v>
      </c>
      <c r="N94" s="3" t="str">
        <f>IF(A94="","", "CO-" &amp; IFERROR(VLOOKUP(B94, [1]Catalogos!$Z$4:$AA$20, 2, FALSE), "FOL") &amp; "-" &amp; WEEKNUM(A94,2) &amp; "-" &amp; TEXT(ROW(A90),"000"))</f>
        <v>CO-LT-25-090</v>
      </c>
    </row>
    <row r="95" spans="1:14">
      <c r="A95" s="5">
        <v>46190</v>
      </c>
      <c r="B95" s="3" t="s">
        <v>19</v>
      </c>
      <c r="C95" s="3" t="s">
        <v>20</v>
      </c>
      <c r="D95" s="3" t="s">
        <v>48</v>
      </c>
      <c r="E95" s="3" t="str">
        <f>VLOOKUP(TablaObra[[#This Row],[Equipo]],[1]Catalogos!$V$4:$W$64,2,FALSE)</f>
        <v>S/N (WIRGENT)</v>
      </c>
      <c r="F95" s="6">
        <v>200</v>
      </c>
      <c r="G95" s="7">
        <v>27</v>
      </c>
      <c r="H95" s="7">
        <f>IFERROR(F95*G95,0)</f>
        <v>5400</v>
      </c>
      <c r="M95" s="3">
        <f t="shared" si="1"/>
        <v>25</v>
      </c>
      <c r="N95" s="3" t="str">
        <f>IF(A95="","", "CO-" &amp; IFERROR(VLOOKUP(B95, [1]Catalogos!$Z$4:$AA$20, 2, FALSE), "FOL") &amp; "-" &amp; WEEKNUM(A95,2) &amp; "-" &amp; TEXT(ROW(A91),"000"))</f>
        <v>CO-MT-25-091</v>
      </c>
    </row>
    <row r="96" spans="1:14">
      <c r="A96" s="5">
        <v>46190</v>
      </c>
      <c r="B96" s="3" t="s">
        <v>19</v>
      </c>
      <c r="C96" s="3" t="s">
        <v>20</v>
      </c>
      <c r="D96" s="3" t="s">
        <v>54</v>
      </c>
      <c r="E96" s="3" t="str">
        <f>VLOOKUP(TablaObra[[#This Row],[Equipo]],[1]Catalogos!$V$4:$W$64,2,FALSE)</f>
        <v>VG-03</v>
      </c>
      <c r="F96" s="6">
        <v>120</v>
      </c>
      <c r="G96" s="7">
        <v>27</v>
      </c>
      <c r="H96" s="7">
        <f>IFERROR(F96*G96,0)</f>
        <v>3240</v>
      </c>
      <c r="M96" s="3">
        <f t="shared" si="1"/>
        <v>25</v>
      </c>
      <c r="N96" s="3" t="str">
        <f>IF(A96="","", "CO-" &amp; IFERROR(VLOOKUP(B96, [1]Catalogos!$Z$4:$AA$20, 2, FALSE), "FOL") &amp; "-" &amp; WEEKNUM(A96,2) &amp; "-" &amp; TEXT(ROW(A92),"000"))</f>
        <v>CO-MT-25-092</v>
      </c>
    </row>
    <row r="97" spans="1:14">
      <c r="A97" s="5">
        <v>46190</v>
      </c>
      <c r="B97" s="3" t="s">
        <v>19</v>
      </c>
      <c r="C97" s="3" t="s">
        <v>20</v>
      </c>
      <c r="D97" s="3" t="s">
        <v>50</v>
      </c>
      <c r="E97" s="3" t="str">
        <f>VLOOKUP(TablaObra[[#This Row],[Equipo]],[1]Catalogos!$V$4:$W$64,2,FALSE)</f>
        <v>TD-01</v>
      </c>
      <c r="F97" s="6">
        <v>30</v>
      </c>
      <c r="G97" s="7">
        <v>27</v>
      </c>
      <c r="H97" s="7">
        <f>IFERROR(F97*G97,0)</f>
        <v>810</v>
      </c>
      <c r="M97" s="3">
        <f t="shared" si="1"/>
        <v>25</v>
      </c>
      <c r="N97" s="3" t="str">
        <f>IF(A97="","", "CO-" &amp; IFERROR(VLOOKUP(B97, [1]Catalogos!$Z$4:$AA$20, 2, FALSE), "FOL") &amp; "-" &amp; WEEKNUM(A97,2) &amp; "-" &amp; TEXT(ROW(A93),"000"))</f>
        <v>CO-MT-25-093</v>
      </c>
    </row>
    <row r="98" spans="1:14">
      <c r="A98" s="5">
        <v>46190</v>
      </c>
      <c r="B98" s="3" t="s">
        <v>19</v>
      </c>
      <c r="C98" s="3" t="s">
        <v>20</v>
      </c>
      <c r="D98" s="3" t="s">
        <v>51</v>
      </c>
      <c r="E98" s="3" t="str">
        <f>VLOOKUP(TablaObra[[#This Row],[Equipo]],[1]Catalogos!$V$4:$W$64,2,FALSE)</f>
        <v>NM-02</v>
      </c>
      <c r="F98" s="6">
        <v>30</v>
      </c>
      <c r="G98" s="7">
        <v>27</v>
      </c>
      <c r="H98" s="7">
        <f>IFERROR(F98*G98,0)</f>
        <v>810</v>
      </c>
      <c r="M98" s="3">
        <f t="shared" si="1"/>
        <v>25</v>
      </c>
      <c r="N98" s="3" t="str">
        <f>IF(A98="","", "CO-" &amp; IFERROR(VLOOKUP(B98, [1]Catalogos!$Z$4:$AA$20, 2, FALSE), "FOL") &amp; "-" &amp; WEEKNUM(A98,2) &amp; "-" &amp; TEXT(ROW(A94),"000"))</f>
        <v>CO-MT-25-094</v>
      </c>
    </row>
    <row r="99" spans="1:14">
      <c r="A99" s="5">
        <v>46190</v>
      </c>
      <c r="B99" s="3" t="s">
        <v>19</v>
      </c>
      <c r="C99" s="3" t="s">
        <v>20</v>
      </c>
      <c r="D99" s="3" t="s">
        <v>60</v>
      </c>
      <c r="E99" s="3" t="str">
        <f>VLOOKUP(TablaObra[[#This Row],[Equipo]],[1]Catalogos!$V$4:$W$64,2,FALSE)</f>
        <v>BR-01</v>
      </c>
      <c r="F99" s="6">
        <v>28</v>
      </c>
      <c r="G99" s="7">
        <v>27</v>
      </c>
      <c r="H99" s="7">
        <f>IFERROR(F99*G99,0)</f>
        <v>756</v>
      </c>
      <c r="M99" s="3">
        <f t="shared" si="1"/>
        <v>25</v>
      </c>
      <c r="N99" s="3" t="str">
        <f>IF(A99="","", "CO-" &amp; IFERROR(VLOOKUP(B99, [1]Catalogos!$Z$4:$AA$20, 2, FALSE), "FOL") &amp; "-" &amp; WEEKNUM(A99,2) &amp; "-" &amp; TEXT(ROW(A95),"000"))</f>
        <v>CO-MT-25-095</v>
      </c>
    </row>
    <row r="100" spans="1:14">
      <c r="A100" s="5">
        <v>46190</v>
      </c>
      <c r="B100" s="3" t="s">
        <v>19</v>
      </c>
      <c r="C100" s="3" t="s">
        <v>20</v>
      </c>
      <c r="D100" s="3" t="s">
        <v>49</v>
      </c>
      <c r="E100" s="3" t="str">
        <f>VLOOKUP(TablaObra[[#This Row],[Equipo]],[1]Catalogos!$V$4:$W$64,2,FALSE)</f>
        <v>RT-05</v>
      </c>
      <c r="F100" s="6">
        <v>60</v>
      </c>
      <c r="G100" s="7">
        <v>27</v>
      </c>
      <c r="H100" s="7">
        <f>IFERROR(F100*G100,0)</f>
        <v>1620</v>
      </c>
      <c r="M100" s="3">
        <f t="shared" si="1"/>
        <v>25</v>
      </c>
      <c r="N100" s="3" t="str">
        <f>IF(A100="","", "CO-" &amp; IFERROR(VLOOKUP(B100, [1]Catalogos!$Z$4:$AA$20, 2, FALSE), "FOL") &amp; "-" &amp; WEEKNUM(A100,2) &amp; "-" &amp; TEXT(ROW(A96),"000"))</f>
        <v>CO-MT-25-096</v>
      </c>
    </row>
    <row r="101" spans="1:14">
      <c r="A101" s="5">
        <v>46190</v>
      </c>
      <c r="B101" s="3" t="s">
        <v>25</v>
      </c>
      <c r="C101" s="3" t="s">
        <v>36</v>
      </c>
      <c r="D101" s="3" t="s">
        <v>63</v>
      </c>
      <c r="E101" s="3" t="str">
        <f>VLOOKUP(TablaObra[[#This Row],[Equipo]],[1]Catalogos!$V$4:$W$64,2,FALSE)</f>
        <v>CI-01</v>
      </c>
      <c r="F101" s="6">
        <v>80</v>
      </c>
      <c r="G101" s="7">
        <v>27</v>
      </c>
      <c r="H101" s="7">
        <f>IFERROR(F101*G101,0)</f>
        <v>2160</v>
      </c>
      <c r="M101" s="3">
        <f t="shared" si="1"/>
        <v>25</v>
      </c>
      <c r="N101" s="3" t="str">
        <f>IF(A101="","", "CO-" &amp; IFERROR(VLOOKUP(B101, [1]Catalogos!$Z$4:$AA$20, 2, FALSE), "FOL") &amp; "-" &amp; WEEKNUM(A101,2) &amp; "-" &amp; TEXT(ROW(A97),"000"))</f>
        <v>CO-LT-25-097</v>
      </c>
    </row>
    <row r="102" spans="1:14">
      <c r="A102" s="5">
        <v>46190</v>
      </c>
      <c r="B102" s="3" t="s">
        <v>35</v>
      </c>
      <c r="C102" s="3" t="s">
        <v>36</v>
      </c>
      <c r="D102" s="3" t="s">
        <v>50</v>
      </c>
      <c r="E102" s="3" t="str">
        <f>VLOOKUP(TablaObra[[#This Row],[Equipo]],[1]Catalogos!$V$4:$W$64,2,FALSE)</f>
        <v>TD-01</v>
      </c>
      <c r="F102" s="6">
        <v>20</v>
      </c>
      <c r="G102" s="7">
        <v>27</v>
      </c>
      <c r="H102" s="7">
        <f>IFERROR(F102*G102,0)</f>
        <v>540</v>
      </c>
      <c r="M102" s="3">
        <f t="shared" si="1"/>
        <v>25</v>
      </c>
      <c r="N102" s="3" t="str">
        <f>IF(A102="","", "CO-" &amp; IFERROR(VLOOKUP(B102, [1]Catalogos!$Z$4:$AA$20, 2, FALSE), "FOL") &amp; "-" &amp; WEEKNUM(A102,2) &amp; "-" &amp; TEXT(ROW(A98),"000"))</f>
        <v>CO-BT-25-098</v>
      </c>
    </row>
    <row r="103" spans="1:14">
      <c r="A103" s="5">
        <v>46191</v>
      </c>
      <c r="B103" s="3" t="s">
        <v>19</v>
      </c>
      <c r="C103" s="3" t="s">
        <v>20</v>
      </c>
      <c r="D103" s="3" t="s">
        <v>48</v>
      </c>
      <c r="E103" s="3" t="str">
        <f>VLOOKUP(TablaObra[[#This Row],[Equipo]],[1]Catalogos!$V$4:$W$64,2,FALSE)</f>
        <v>S/N (WIRGENT)</v>
      </c>
      <c r="F103" s="6">
        <v>200</v>
      </c>
      <c r="G103" s="7">
        <v>27</v>
      </c>
      <c r="H103" s="7">
        <f>IFERROR(F103*G103,0)</f>
        <v>5400</v>
      </c>
      <c r="M103" s="3">
        <f t="shared" si="1"/>
        <v>25</v>
      </c>
      <c r="N103" s="3" t="str">
        <f>IF(A103="","", "CO-" &amp; IFERROR(VLOOKUP(B103, [1]Catalogos!$Z$4:$AA$20, 2, FALSE), "FOL") &amp; "-" &amp; WEEKNUM(A103,2) &amp; "-" &amp; TEXT(ROW(A99),"000"))</f>
        <v>CO-MT-25-099</v>
      </c>
    </row>
    <row r="104" spans="1:14">
      <c r="A104" s="5">
        <v>46191</v>
      </c>
      <c r="B104" s="3" t="s">
        <v>19</v>
      </c>
      <c r="C104" s="3" t="s">
        <v>20</v>
      </c>
      <c r="D104" s="3" t="s">
        <v>54</v>
      </c>
      <c r="E104" s="3" t="str">
        <f>VLOOKUP(TablaObra[[#This Row],[Equipo]],[1]Catalogos!$V$4:$W$64,2,FALSE)</f>
        <v>VG-03</v>
      </c>
      <c r="F104" s="6">
        <v>115</v>
      </c>
      <c r="G104" s="7">
        <v>27</v>
      </c>
      <c r="H104" s="7">
        <f>IFERROR(F104*G104,0)</f>
        <v>3105</v>
      </c>
      <c r="M104" s="3">
        <f t="shared" si="1"/>
        <v>25</v>
      </c>
      <c r="N104" s="3" t="str">
        <f>IF(A104="","", "CO-" &amp; IFERROR(VLOOKUP(B104, [1]Catalogos!$Z$4:$AA$20, 2, FALSE), "FOL") &amp; "-" &amp; WEEKNUM(A104,2) &amp; "-" &amp; TEXT(ROW(A100),"000"))</f>
        <v>CO-MT-25-100</v>
      </c>
    </row>
    <row r="105" spans="1:14">
      <c r="A105" s="5">
        <v>46191</v>
      </c>
      <c r="B105" s="3" t="s">
        <v>19</v>
      </c>
      <c r="C105" s="3" t="s">
        <v>20</v>
      </c>
      <c r="D105" s="3" t="s">
        <v>51</v>
      </c>
      <c r="E105" s="3" t="str">
        <f>VLOOKUP(TablaObra[[#This Row],[Equipo]],[1]Catalogos!$V$4:$W$64,2,FALSE)</f>
        <v>NM-02</v>
      </c>
      <c r="F105" s="6">
        <v>30</v>
      </c>
      <c r="G105" s="7">
        <v>27</v>
      </c>
      <c r="H105" s="7">
        <f>IFERROR(F105*G105,0)</f>
        <v>810</v>
      </c>
      <c r="M105" s="3">
        <f t="shared" si="1"/>
        <v>25</v>
      </c>
      <c r="N105" s="3" t="str">
        <f>IF(A105="","", "CO-" &amp; IFERROR(VLOOKUP(B105, [1]Catalogos!$Z$4:$AA$20, 2, FALSE), "FOL") &amp; "-" &amp; WEEKNUM(A105,2) &amp; "-" &amp; TEXT(ROW(A101),"000"))</f>
        <v>CO-MT-25-101</v>
      </c>
    </row>
    <row r="106" spans="1:14">
      <c r="A106" s="5">
        <v>46191</v>
      </c>
      <c r="B106" s="3" t="s">
        <v>19</v>
      </c>
      <c r="C106" s="3" t="s">
        <v>20</v>
      </c>
      <c r="D106" s="3" t="s">
        <v>50</v>
      </c>
      <c r="E106" s="3" t="str">
        <f>VLOOKUP(TablaObra[[#This Row],[Equipo]],[1]Catalogos!$V$4:$W$64,2,FALSE)</f>
        <v>TD-01</v>
      </c>
      <c r="F106" s="6">
        <v>30</v>
      </c>
      <c r="G106" s="7">
        <v>27</v>
      </c>
      <c r="H106" s="7">
        <f>IFERROR(F106*G106,0)</f>
        <v>810</v>
      </c>
      <c r="M106" s="3">
        <f t="shared" si="1"/>
        <v>25</v>
      </c>
      <c r="N106" s="3" t="str">
        <f>IF(A106="","", "CO-" &amp; IFERROR(VLOOKUP(B106, [1]Catalogos!$Z$4:$AA$20, 2, FALSE), "FOL") &amp; "-" &amp; WEEKNUM(A106,2) &amp; "-" &amp; TEXT(ROW(A102),"000"))</f>
        <v>CO-MT-25-102</v>
      </c>
    </row>
    <row r="107" spans="1:14">
      <c r="A107" s="5">
        <v>46191</v>
      </c>
      <c r="B107" s="3" t="s">
        <v>19</v>
      </c>
      <c r="C107" s="3" t="s">
        <v>20</v>
      </c>
      <c r="D107" s="3" t="s">
        <v>49</v>
      </c>
      <c r="E107" s="3" t="str">
        <f>VLOOKUP(TablaObra[[#This Row],[Equipo]],[1]Catalogos!$V$4:$W$64,2,FALSE)</f>
        <v>RT-05</v>
      </c>
      <c r="F107" s="6">
        <v>30</v>
      </c>
      <c r="G107" s="7">
        <v>27</v>
      </c>
      <c r="H107" s="7">
        <f>IFERROR(F107*G107,0)</f>
        <v>810</v>
      </c>
      <c r="M107" s="3">
        <f t="shared" si="1"/>
        <v>25</v>
      </c>
      <c r="N107" s="3" t="str">
        <f>IF(A107="","", "CO-" &amp; IFERROR(VLOOKUP(B107, [1]Catalogos!$Z$4:$AA$20, 2, FALSE), "FOL") &amp; "-" &amp; WEEKNUM(A107,2) &amp; "-" &amp; TEXT(ROW(A103),"000"))</f>
        <v>CO-MT-25-103</v>
      </c>
    </row>
    <row r="108" spans="1:14">
      <c r="A108" s="5">
        <v>46191</v>
      </c>
      <c r="B108" s="3" t="s">
        <v>19</v>
      </c>
      <c r="C108" s="3" t="s">
        <v>20</v>
      </c>
      <c r="D108" s="3" t="s">
        <v>55</v>
      </c>
      <c r="E108" s="3" t="str">
        <f>VLOOKUP(TablaObra[[#This Row],[Equipo]],[1]Catalogos!$V$4:$W$64,2,FALSE)</f>
        <v>PT-02</v>
      </c>
      <c r="F108" s="6">
        <v>50</v>
      </c>
      <c r="G108" s="7">
        <v>27</v>
      </c>
      <c r="H108" s="7">
        <f>IFERROR(F108*G108,0)</f>
        <v>1350</v>
      </c>
      <c r="M108" s="3">
        <f t="shared" si="1"/>
        <v>25</v>
      </c>
      <c r="N108" s="3" t="str">
        <f>IF(A108="","", "CO-" &amp; IFERROR(VLOOKUP(B108, [1]Catalogos!$Z$4:$AA$20, 2, FALSE), "FOL") &amp; "-" &amp; WEEKNUM(A108,2) &amp; "-" &amp; TEXT(ROW(A104),"000"))</f>
        <v>CO-MT-25-104</v>
      </c>
    </row>
    <row r="109" spans="1:14">
      <c r="A109" s="5">
        <v>46192</v>
      </c>
      <c r="B109" s="3" t="s">
        <v>25</v>
      </c>
      <c r="C109" s="3" t="s">
        <v>36</v>
      </c>
      <c r="D109" s="3" t="s">
        <v>55</v>
      </c>
      <c r="E109" s="3" t="str">
        <f>VLOOKUP(TablaObra[[#This Row],[Equipo]],[1]Catalogos!$V$4:$W$64,2,FALSE)</f>
        <v>PT-02</v>
      </c>
      <c r="F109" s="6">
        <v>40</v>
      </c>
      <c r="G109" s="7">
        <v>27</v>
      </c>
      <c r="H109" s="7">
        <f>IFERROR(F109*G109,0)</f>
        <v>1080</v>
      </c>
      <c r="M109" s="3">
        <f t="shared" si="1"/>
        <v>25</v>
      </c>
      <c r="N109" s="3" t="str">
        <f>IF(A109="","", "CO-" &amp; IFERROR(VLOOKUP(B109, [1]Catalogos!$Z$4:$AA$20, 2, FALSE), "FOL") &amp; "-" &amp; WEEKNUM(A109,2) &amp; "-" &amp; TEXT(ROW(A105),"000"))</f>
        <v>CO-LT-25-105</v>
      </c>
    </row>
    <row r="110" spans="1:14">
      <c r="A110" s="5">
        <v>46192</v>
      </c>
      <c r="B110" s="3" t="s">
        <v>64</v>
      </c>
      <c r="C110" s="3" t="s">
        <v>36</v>
      </c>
      <c r="D110" s="3" t="s">
        <v>55</v>
      </c>
      <c r="E110" s="3" t="str">
        <f>VLOOKUP(TablaObra[[#This Row],[Equipo]],[1]Catalogos!$V$4:$W$64,2,FALSE)</f>
        <v>PT-02</v>
      </c>
      <c r="F110" s="6">
        <v>40</v>
      </c>
      <c r="G110" s="7">
        <v>27</v>
      </c>
      <c r="H110" s="7">
        <f>IFERROR(F110*G110,0)</f>
        <v>1080</v>
      </c>
      <c r="M110" s="3">
        <f t="shared" si="1"/>
        <v>25</v>
      </c>
      <c r="N110" s="3" t="str">
        <f>IF(A110="","", "CO-" &amp; IFERROR(VLOOKUP(B110, [1]Catalogos!$Z$4:$AA$20, 2, FALSE), "FOL") &amp; "-" &amp; WEEKNUM(A110,2) &amp; "-" &amp; TEXT(ROW(A106),"000"))</f>
        <v>CO-DR-25-106</v>
      </c>
    </row>
    <row r="111" spans="1:14">
      <c r="A111" s="5">
        <v>46192</v>
      </c>
      <c r="B111" s="3" t="s">
        <v>25</v>
      </c>
      <c r="C111" s="3" t="s">
        <v>36</v>
      </c>
      <c r="D111" s="3" t="s">
        <v>57</v>
      </c>
      <c r="E111" s="3" t="str">
        <f>VLOOKUP(TablaObra[[#This Row],[Equipo]],[1]Catalogos!$V$4:$W$64,2,FALSE)</f>
        <v>BR-02</v>
      </c>
      <c r="F111" s="6">
        <v>43</v>
      </c>
      <c r="G111" s="7">
        <v>27</v>
      </c>
      <c r="H111" s="7">
        <f>IFERROR(F111*G111,0)</f>
        <v>1161</v>
      </c>
      <c r="M111" s="3">
        <f t="shared" si="1"/>
        <v>25</v>
      </c>
      <c r="N111" s="3" t="str">
        <f>IF(A111="","", "CO-" &amp; IFERROR(VLOOKUP(B111, [1]Catalogos!$Z$4:$AA$20, 2, FALSE), "FOL") &amp; "-" &amp; WEEKNUM(A111,2) &amp; "-" &amp; TEXT(ROW(A107),"000"))</f>
        <v>CO-LT-25-107</v>
      </c>
    </row>
    <row r="112" spans="1:14">
      <c r="A112" s="5">
        <v>46192</v>
      </c>
      <c r="B112" s="3" t="s">
        <v>25</v>
      </c>
      <c r="C112" s="3" t="s">
        <v>36</v>
      </c>
      <c r="D112" s="3" t="s">
        <v>50</v>
      </c>
      <c r="E112" s="3" t="str">
        <f>VLOOKUP(TablaObra[[#This Row],[Equipo]],[1]Catalogos!$V$4:$W$64,2,FALSE)</f>
        <v>TD-01</v>
      </c>
      <c r="F112" s="6">
        <v>50</v>
      </c>
      <c r="G112" s="7">
        <v>27</v>
      </c>
      <c r="H112" s="7">
        <f>IFERROR(F112*G112,0)</f>
        <v>1350</v>
      </c>
      <c r="M112" s="3">
        <f t="shared" si="1"/>
        <v>25</v>
      </c>
      <c r="N112" s="3" t="str">
        <f>IF(A112="","", "CO-" &amp; IFERROR(VLOOKUP(B112, [1]Catalogos!$Z$4:$AA$20, 2, FALSE), "FOL") &amp; "-" &amp; WEEKNUM(A112,2) &amp; "-" &amp; TEXT(ROW(A108),"000"))</f>
        <v>CO-LT-25-108</v>
      </c>
    </row>
    <row r="113" spans="1:14">
      <c r="A113" s="5">
        <v>46192</v>
      </c>
      <c r="B113" s="3" t="s">
        <v>25</v>
      </c>
      <c r="C113" s="3" t="s">
        <v>36</v>
      </c>
      <c r="D113" s="3" t="s">
        <v>49</v>
      </c>
      <c r="E113" s="3" t="str">
        <f>VLOOKUP(TablaObra[[#This Row],[Equipo]],[1]Catalogos!$V$4:$W$64,2,FALSE)</f>
        <v>RT-05</v>
      </c>
      <c r="F113" s="6">
        <v>80</v>
      </c>
      <c r="G113" s="7">
        <v>27</v>
      </c>
      <c r="H113" s="7">
        <f>IFERROR(F113*G113,0)</f>
        <v>2160</v>
      </c>
      <c r="M113" s="3">
        <f t="shared" si="1"/>
        <v>25</v>
      </c>
      <c r="N113" s="3" t="str">
        <f>IF(A113="","", "CO-" &amp; IFERROR(VLOOKUP(B113, [1]Catalogos!$Z$4:$AA$20, 2, FALSE), "FOL") &amp; "-" &amp; WEEKNUM(A113,2) &amp; "-" &amp; TEXT(ROW(A109),"000"))</f>
        <v>CO-LT-25-109</v>
      </c>
    </row>
    <row r="114" spans="1:14">
      <c r="A114" s="5">
        <v>46192</v>
      </c>
      <c r="B114" s="3" t="s">
        <v>25</v>
      </c>
      <c r="C114" s="3" t="s">
        <v>36</v>
      </c>
      <c r="D114" s="3" t="s">
        <v>65</v>
      </c>
      <c r="E114" s="3" t="str">
        <f>VLOOKUP(TablaObra[[#This Row],[Equipo]],[1]Catalogos!$V$4:$W$64,2,FALSE)</f>
        <v>NM-01</v>
      </c>
      <c r="F114" s="6">
        <v>30</v>
      </c>
      <c r="G114" s="7">
        <v>27</v>
      </c>
      <c r="H114" s="7">
        <f>IFERROR(F114*G114,0)</f>
        <v>810</v>
      </c>
      <c r="M114" s="3">
        <f t="shared" si="1"/>
        <v>25</v>
      </c>
      <c r="N114" s="3" t="str">
        <f>IF(A114="","", "CO-" &amp; IFERROR(VLOOKUP(B114, [1]Catalogos!$Z$4:$AA$20, 2, FALSE), "FOL") &amp; "-" &amp; WEEKNUM(A114,2) &amp; "-" &amp; TEXT(ROW(A110),"000"))</f>
        <v>CO-LT-25-110</v>
      </c>
    </row>
    <row r="115" spans="1:14">
      <c r="A115" s="5">
        <v>46192</v>
      </c>
      <c r="B115" s="3" t="s">
        <v>25</v>
      </c>
      <c r="C115" s="3" t="s">
        <v>36</v>
      </c>
      <c r="D115" s="3" t="s">
        <v>52</v>
      </c>
      <c r="E115" s="3" t="str">
        <f>VLOOKUP(TablaObra[[#This Row],[Equipo]],[1]Catalogos!$V$4:$W$64,2,FALSE)</f>
        <v>VG-01</v>
      </c>
      <c r="F115" s="6">
        <v>160</v>
      </c>
      <c r="G115" s="7">
        <v>27</v>
      </c>
      <c r="H115" s="7">
        <f>IFERROR(F115*G115,0)</f>
        <v>4320</v>
      </c>
      <c r="M115" s="3">
        <f t="shared" si="1"/>
        <v>25</v>
      </c>
      <c r="N115" s="3" t="str">
        <f>IF(A115="","", "CO-" &amp; IFERROR(VLOOKUP(B115, [1]Catalogos!$Z$4:$AA$20, 2, FALSE), "FOL") &amp; "-" &amp; WEEKNUM(A115,2) &amp; "-" &amp; TEXT(ROW(A111),"000"))</f>
        <v>CO-LT-25-111</v>
      </c>
    </row>
    <row r="116" spans="1:14">
      <c r="A116" s="5">
        <v>46192</v>
      </c>
      <c r="B116" s="3" t="s">
        <v>25</v>
      </c>
      <c r="C116" s="3" t="s">
        <v>36</v>
      </c>
      <c r="D116" s="3" t="s">
        <v>61</v>
      </c>
      <c r="E116" s="3" t="str">
        <f>VLOOKUP(TablaObra[[#This Row],[Equipo]],[1]Catalogos!$V$4:$W$64,2,FALSE)</f>
        <v>PP-01</v>
      </c>
      <c r="F116" s="6">
        <v>50</v>
      </c>
      <c r="G116" s="7">
        <v>27</v>
      </c>
      <c r="H116" s="7">
        <f>IFERROR(F116*G116,0)</f>
        <v>1350</v>
      </c>
      <c r="M116" s="3">
        <f t="shared" si="1"/>
        <v>25</v>
      </c>
      <c r="N116" s="3" t="str">
        <f>IF(A116="","", "CO-" &amp; IFERROR(VLOOKUP(B116, [1]Catalogos!$Z$4:$AA$20, 2, FALSE), "FOL") &amp; "-" &amp; WEEKNUM(A116,2) &amp; "-" &amp; TEXT(ROW(A112),"000"))</f>
        <v>CO-LT-25-112</v>
      </c>
    </row>
    <row r="117" spans="1:14">
      <c r="A117" s="5">
        <v>46192</v>
      </c>
      <c r="B117" s="3" t="s">
        <v>35</v>
      </c>
      <c r="C117" s="3" t="s">
        <v>36</v>
      </c>
      <c r="D117" s="3" t="s">
        <v>66</v>
      </c>
      <c r="E117" s="3" t="str">
        <f>VLOOKUP(TablaObra[[#This Row],[Equipo]],[1]Catalogos!$V$4:$W$64,2,FALSE)</f>
        <v>RT-03</v>
      </c>
      <c r="F117" s="6">
        <v>60</v>
      </c>
      <c r="G117" s="7">
        <v>27</v>
      </c>
      <c r="H117" s="7">
        <f>IFERROR(F117*G117,0)</f>
        <v>1620</v>
      </c>
      <c r="M117" s="3">
        <f t="shared" si="1"/>
        <v>25</v>
      </c>
      <c r="N117" s="3" t="str">
        <f>IF(A117="","", "CO-" &amp; IFERROR(VLOOKUP(B117, [1]Catalogos!$Z$4:$AA$20, 2, FALSE), "FOL") &amp; "-" &amp; WEEKNUM(A117,2) &amp; "-" &amp; TEXT(ROW(A113),"000"))</f>
        <v>CO-BT-25-113</v>
      </c>
    </row>
    <row r="118" spans="1:14">
      <c r="A118" s="5">
        <v>46192</v>
      </c>
      <c r="B118" s="3" t="s">
        <v>19</v>
      </c>
      <c r="C118" s="3" t="s">
        <v>20</v>
      </c>
      <c r="D118" s="3" t="s">
        <v>54</v>
      </c>
      <c r="E118" s="3" t="str">
        <f>VLOOKUP(TablaObra[[#This Row],[Equipo]],[1]Catalogos!$V$4:$W$64,2,FALSE)</f>
        <v>VG-03</v>
      </c>
      <c r="F118" s="6">
        <v>120</v>
      </c>
      <c r="G118" s="7">
        <v>27</v>
      </c>
      <c r="H118" s="7">
        <f>IFERROR(F118*G118,0)</f>
        <v>3240</v>
      </c>
      <c r="M118" s="3">
        <f t="shared" si="1"/>
        <v>25</v>
      </c>
      <c r="N118" s="3" t="str">
        <f>IF(A118="","", "CO-" &amp; IFERROR(VLOOKUP(B118, [1]Catalogos!$Z$4:$AA$20, 2, FALSE), "FOL") &amp; "-" &amp; WEEKNUM(A118,2) &amp; "-" &amp; TEXT(ROW(A114),"000"))</f>
        <v>CO-MT-25-114</v>
      </c>
    </row>
    <row r="119" spans="1:14">
      <c r="A119" s="5">
        <v>46192</v>
      </c>
      <c r="B119" s="3" t="s">
        <v>19</v>
      </c>
      <c r="C119" s="3" t="s">
        <v>20</v>
      </c>
      <c r="D119" s="3" t="s">
        <v>50</v>
      </c>
      <c r="E119" s="3" t="str">
        <f>VLOOKUP(TablaObra[[#This Row],[Equipo]],[1]Catalogos!$V$4:$W$64,2,FALSE)</f>
        <v>TD-01</v>
      </c>
      <c r="F119" s="6">
        <v>30</v>
      </c>
      <c r="G119" s="7">
        <v>27</v>
      </c>
      <c r="H119" s="7">
        <f>IFERROR(F119*G119,0)</f>
        <v>810</v>
      </c>
      <c r="M119" s="3">
        <f t="shared" si="1"/>
        <v>25</v>
      </c>
      <c r="N119" s="3" t="str">
        <f>IF(A119="","", "CO-" &amp; IFERROR(VLOOKUP(B119, [1]Catalogos!$Z$4:$AA$20, 2, FALSE), "FOL") &amp; "-" &amp; WEEKNUM(A119,2) &amp; "-" &amp; TEXT(ROW(A115),"000"))</f>
        <v>CO-MT-25-115</v>
      </c>
    </row>
    <row r="120" spans="1:14">
      <c r="A120" s="5">
        <v>46192</v>
      </c>
      <c r="B120" s="3" t="s">
        <v>19</v>
      </c>
      <c r="C120" s="3" t="s">
        <v>20</v>
      </c>
      <c r="D120" s="3" t="s">
        <v>51</v>
      </c>
      <c r="E120" s="3" t="str">
        <f>VLOOKUP(TablaObra[[#This Row],[Equipo]],[1]Catalogos!$V$4:$W$64,2,FALSE)</f>
        <v>NM-02</v>
      </c>
      <c r="F120" s="6">
        <v>84</v>
      </c>
      <c r="G120" s="7">
        <v>27</v>
      </c>
      <c r="H120" s="7">
        <f>IFERROR(F120*G120,0)</f>
        <v>2268</v>
      </c>
      <c r="M120" s="3">
        <f t="shared" si="1"/>
        <v>25</v>
      </c>
      <c r="N120" s="3" t="str">
        <f>IF(A120="","", "CO-" &amp; IFERROR(VLOOKUP(B120, [1]Catalogos!$Z$4:$AA$20, 2, FALSE), "FOL") &amp; "-" &amp; WEEKNUM(A120,2) &amp; "-" &amp; TEXT(ROW(A116),"000"))</f>
        <v>CO-MT-25-116</v>
      </c>
    </row>
    <row r="121" spans="1:14">
      <c r="A121" s="5">
        <v>46192</v>
      </c>
      <c r="B121" s="3" t="s">
        <v>19</v>
      </c>
      <c r="C121" s="3" t="s">
        <v>20</v>
      </c>
      <c r="D121" s="3" t="s">
        <v>49</v>
      </c>
      <c r="E121" s="3" t="str">
        <f>VLOOKUP(TablaObra[[#This Row],[Equipo]],[1]Catalogos!$V$4:$W$64,2,FALSE)</f>
        <v>RT-05</v>
      </c>
      <c r="F121" s="6">
        <v>40</v>
      </c>
      <c r="G121" s="7">
        <v>27</v>
      </c>
      <c r="H121" s="7">
        <f>IFERROR(F121*G121,0)</f>
        <v>1080</v>
      </c>
      <c r="M121" s="3">
        <f t="shared" si="1"/>
        <v>25</v>
      </c>
      <c r="N121" s="3" t="str">
        <f>IF(A121="","", "CO-" &amp; IFERROR(VLOOKUP(B121, [1]Catalogos!$Z$4:$AA$20, 2, FALSE), "FOL") &amp; "-" &amp; WEEKNUM(A121,2) &amp; "-" &amp; TEXT(ROW(A117),"000"))</f>
        <v>CO-MT-25-117</v>
      </c>
    </row>
    <row r="122" spans="1:14">
      <c r="A122" s="5">
        <v>46192</v>
      </c>
      <c r="B122" s="3" t="s">
        <v>19</v>
      </c>
      <c r="C122" s="3" t="s">
        <v>20</v>
      </c>
      <c r="D122" s="3" t="s">
        <v>60</v>
      </c>
      <c r="E122" s="3" t="str">
        <f>VLOOKUP(TablaObra[[#This Row],[Equipo]],[1]Catalogos!$V$4:$W$64,2,FALSE)</f>
        <v>BR-01</v>
      </c>
      <c r="F122" s="6">
        <v>30</v>
      </c>
      <c r="G122" s="7">
        <v>27</v>
      </c>
      <c r="H122" s="7">
        <f>IFERROR(F122*G122,0)</f>
        <v>810</v>
      </c>
      <c r="M122" s="3">
        <f t="shared" si="1"/>
        <v>25</v>
      </c>
      <c r="N122" s="3" t="str">
        <f>IF(A122="","", "CO-" &amp; IFERROR(VLOOKUP(B122, [1]Catalogos!$Z$4:$AA$20, 2, FALSE), "FOL") &amp; "-" &amp; WEEKNUM(A122,2) &amp; "-" &amp; TEXT(ROW(A118),"000"))</f>
        <v>CO-MT-25-118</v>
      </c>
    </row>
    <row r="123" spans="1:14">
      <c r="A123" s="5">
        <v>46192</v>
      </c>
      <c r="B123" s="3" t="s">
        <v>35</v>
      </c>
      <c r="C123" s="3" t="s">
        <v>36</v>
      </c>
      <c r="D123" s="3" t="s">
        <v>66</v>
      </c>
      <c r="E123" s="3" t="str">
        <f>VLOOKUP(TablaObra[[#This Row],[Equipo]],[1]Catalogos!$V$4:$W$64,2,FALSE)</f>
        <v>RT-03</v>
      </c>
      <c r="F123" s="6">
        <v>50</v>
      </c>
      <c r="G123" s="7">
        <v>27</v>
      </c>
      <c r="H123" s="7">
        <f>IFERROR(F123*G123,0)</f>
        <v>1350</v>
      </c>
      <c r="M123" s="3">
        <f t="shared" si="1"/>
        <v>25</v>
      </c>
      <c r="N123" s="3" t="str">
        <f>IF(A123="","", "CO-" &amp; IFERROR(VLOOKUP(B123, [1]Catalogos!$Z$4:$AA$20, 2, FALSE), "FOL") &amp; "-" &amp; WEEKNUM(A123,2) &amp; "-" &amp; TEXT(ROW(A119),"000"))</f>
        <v>CO-BT-25-119</v>
      </c>
    </row>
    <row r="124" spans="1:14">
      <c r="A124" s="5">
        <v>46192</v>
      </c>
      <c r="B124" s="3" t="s">
        <v>35</v>
      </c>
      <c r="C124" s="3" t="s">
        <v>36</v>
      </c>
      <c r="D124" s="3" t="s">
        <v>67</v>
      </c>
      <c r="E124" s="3" t="str">
        <f>VLOOKUP(TablaObra[[#This Row],[Equipo]],[1]Catalogos!$V$4:$W$64,2,FALSE)</f>
        <v>HB-01</v>
      </c>
      <c r="F124" s="6">
        <v>10</v>
      </c>
      <c r="G124" s="7">
        <v>27</v>
      </c>
      <c r="H124" s="7">
        <f>IFERROR(F124*G124,0)</f>
        <v>270</v>
      </c>
      <c r="M124" s="3">
        <f t="shared" si="1"/>
        <v>25</v>
      </c>
      <c r="N124" s="3" t="str">
        <f>IF(A124="","", "CO-" &amp; IFERROR(VLOOKUP(B124, [1]Catalogos!$Z$4:$AA$20, 2, FALSE), "FOL") &amp; "-" &amp; WEEKNUM(A124,2) &amp; "-" &amp; TEXT(ROW(A120),"000"))</f>
        <v>CO-BT-25-120</v>
      </c>
    </row>
    <row r="125" spans="1:14">
      <c r="A125" s="5">
        <v>46195</v>
      </c>
      <c r="B125" s="3" t="s">
        <v>19</v>
      </c>
      <c r="C125" s="3" t="s">
        <v>20</v>
      </c>
      <c r="D125" s="3" t="s">
        <v>68</v>
      </c>
      <c r="E125" s="3" t="e">
        <f>VLOOKUP(TablaObra[[#This Row],[Equipo]],[1]Catalogos!$V$4:$W$64,2,FALSE)</f>
        <v>#N/A</v>
      </c>
      <c r="F125" s="6">
        <v>106</v>
      </c>
      <c r="G125" s="7">
        <v>27</v>
      </c>
      <c r="H125" s="7">
        <f>IFERROR(F125*G125,0)</f>
        <v>2862</v>
      </c>
      <c r="M125" s="3">
        <f t="shared" si="1"/>
        <v>26</v>
      </c>
      <c r="N125" s="3" t="str">
        <f>IF(A125="","", "CO-" &amp; IFERROR(VLOOKUP(B125, [1]Catalogos!$Z$4:$AA$20, 2, FALSE), "FOL") &amp; "-" &amp; WEEKNUM(A125,2) &amp; "-" &amp; TEXT(ROW(A121),"000"))</f>
        <v>CO-MT-26-121</v>
      </c>
    </row>
    <row r="126" spans="1:14">
      <c r="A126" s="5">
        <v>46195</v>
      </c>
      <c r="B126" s="3" t="s">
        <v>19</v>
      </c>
      <c r="C126" s="3" t="s">
        <v>20</v>
      </c>
      <c r="D126" s="3" t="s">
        <v>51</v>
      </c>
      <c r="E126" s="3" t="str">
        <f>VLOOKUP(TablaObra[[#This Row],[Equipo]],[1]Catalogos!$V$4:$W$64,2,FALSE)</f>
        <v>NM-02</v>
      </c>
      <c r="F126" s="6">
        <v>50</v>
      </c>
      <c r="G126" s="7">
        <v>27</v>
      </c>
      <c r="H126" s="7">
        <f>IFERROR(F126*G126,0)</f>
        <v>1350</v>
      </c>
      <c r="M126" s="3">
        <f t="shared" si="1"/>
        <v>26</v>
      </c>
      <c r="N126" s="3" t="str">
        <f>IF(A126="","", "CO-" &amp; IFERROR(VLOOKUP(B126, [1]Catalogos!$Z$4:$AA$20, 2, FALSE), "FOL") &amp; "-" &amp; WEEKNUM(A126,2) &amp; "-" &amp; TEXT(ROW(A122),"000"))</f>
        <v>CO-MT-26-122</v>
      </c>
    </row>
    <row r="127" spans="1:14">
      <c r="A127" s="5">
        <v>46195</v>
      </c>
      <c r="B127" s="3" t="s">
        <v>19</v>
      </c>
      <c r="C127" s="3" t="s">
        <v>20</v>
      </c>
      <c r="D127" s="3" t="s">
        <v>69</v>
      </c>
      <c r="E127" s="3" t="str">
        <f>VLOOKUP(TablaObra[[#This Row],[Equipo]],[1]Catalogos!$V$4:$W$64,2,FALSE)</f>
        <v>DR-01</v>
      </c>
      <c r="F127" s="6">
        <v>50</v>
      </c>
      <c r="G127" s="7">
        <v>27</v>
      </c>
      <c r="H127" s="7">
        <f>IFERROR(F127*G127,0)</f>
        <v>1350</v>
      </c>
      <c r="M127" s="3">
        <f t="shared" si="1"/>
        <v>26</v>
      </c>
      <c r="N127" s="3" t="str">
        <f>IF(A127="","", "CO-" &amp; IFERROR(VLOOKUP(B127, [1]Catalogos!$Z$4:$AA$20, 2, FALSE), "FOL") &amp; "-" &amp; WEEKNUM(A127,2) &amp; "-" &amp; TEXT(ROW(A123),"000"))</f>
        <v>CO-MT-26-123</v>
      </c>
    </row>
    <row r="128" spans="1:14">
      <c r="A128" s="5">
        <v>46195</v>
      </c>
      <c r="B128" s="3" t="s">
        <v>19</v>
      </c>
      <c r="C128" s="3" t="s">
        <v>20</v>
      </c>
      <c r="D128" s="3" t="s">
        <v>70</v>
      </c>
      <c r="E128" s="3" t="e">
        <f>VLOOKUP(TablaObra[[#This Row],[Equipo]],[1]Catalogos!$V$4:$W$64,2,FALSE)</f>
        <v>#N/A</v>
      </c>
      <c r="F128" s="6">
        <v>60</v>
      </c>
      <c r="G128" s="7">
        <v>27</v>
      </c>
      <c r="H128" s="7">
        <f>IFERROR(F128*G128,0)</f>
        <v>1620</v>
      </c>
      <c r="M128" s="3">
        <f t="shared" si="1"/>
        <v>26</v>
      </c>
      <c r="N128" s="3" t="str">
        <f>IF(A128="","", "CO-" &amp; IFERROR(VLOOKUP(B128, [1]Catalogos!$Z$4:$AA$20, 2, FALSE), "FOL") &amp; "-" &amp; WEEKNUM(A128,2) &amp; "-" &amp; TEXT(ROW(A124),"000"))</f>
        <v>CO-MT-26-124</v>
      </c>
    </row>
    <row r="129" spans="1:14">
      <c r="A129" s="5">
        <v>46195</v>
      </c>
      <c r="B129" s="3" t="s">
        <v>19</v>
      </c>
      <c r="C129" s="3" t="s">
        <v>20</v>
      </c>
      <c r="D129" s="3" t="s">
        <v>62</v>
      </c>
      <c r="E129" s="3" t="str">
        <f>VLOOKUP(TablaObra[[#This Row],[Equipo]],[1]Catalogos!$V$4:$W$64,2,FALSE)</f>
        <v>PR-01</v>
      </c>
      <c r="F129" s="6">
        <v>250</v>
      </c>
      <c r="G129" s="7">
        <v>27</v>
      </c>
      <c r="H129" s="7">
        <f>IFERROR(F129*G129,0)</f>
        <v>6750</v>
      </c>
      <c r="M129" s="3">
        <f t="shared" si="1"/>
        <v>26</v>
      </c>
      <c r="N129" s="3" t="str">
        <f>IF(A129="","", "CO-" &amp; IFERROR(VLOOKUP(B129, [1]Catalogos!$Z$4:$AA$20, 2, FALSE), "FOL") &amp; "-" &amp; WEEKNUM(A129,2) &amp; "-" &amp; TEXT(ROW(A125),"000"))</f>
        <v>CO-MT-26-125</v>
      </c>
    </row>
    <row r="130" spans="1:14">
      <c r="A130" s="5">
        <v>46195</v>
      </c>
      <c r="B130" s="3" t="s">
        <v>25</v>
      </c>
      <c r="C130" s="3" t="s">
        <v>36</v>
      </c>
      <c r="D130" s="3" t="s">
        <v>71</v>
      </c>
      <c r="E130" s="3" t="e">
        <f>VLOOKUP(TablaObra[[#This Row],[Equipo]],[1]Catalogos!$V$4:$W$64,2,FALSE)</f>
        <v>#N/A</v>
      </c>
      <c r="F130" s="6">
        <v>40</v>
      </c>
      <c r="G130" s="7">
        <v>27</v>
      </c>
      <c r="H130" s="7">
        <f>IFERROR(F130*G130,0)</f>
        <v>1080</v>
      </c>
      <c r="M130" s="3">
        <f t="shared" si="1"/>
        <v>26</v>
      </c>
      <c r="N130" s="3" t="str">
        <f>IF(A130="","", "CO-" &amp; IFERROR(VLOOKUP(B130, [1]Catalogos!$Z$4:$AA$20, 2, FALSE), "FOL") &amp; "-" &amp; WEEKNUM(A130,2) &amp; "-" &amp; TEXT(ROW(A126),"000"))</f>
        <v>CO-LT-26-126</v>
      </c>
    </row>
    <row r="131" spans="1:14">
      <c r="A131" s="5">
        <v>46195</v>
      </c>
      <c r="B131" s="3" t="s">
        <v>64</v>
      </c>
      <c r="C131" s="3" t="s">
        <v>36</v>
      </c>
      <c r="D131" s="3" t="s">
        <v>71</v>
      </c>
      <c r="E131" s="3" t="e">
        <f>VLOOKUP(TablaObra[[#This Row],[Equipo]],[1]Catalogos!$V$4:$W$64,2,FALSE)</f>
        <v>#N/A</v>
      </c>
      <c r="F131" s="6">
        <v>40</v>
      </c>
      <c r="G131" s="7">
        <v>27</v>
      </c>
      <c r="H131" s="7">
        <f>IFERROR(F131*G131,0)</f>
        <v>1080</v>
      </c>
      <c r="M131" s="3">
        <f t="shared" si="1"/>
        <v>26</v>
      </c>
      <c r="N131" s="3" t="str">
        <f>IF(A131="","", "CO-" &amp; IFERROR(VLOOKUP(B131, [1]Catalogos!$Z$4:$AA$20, 2, FALSE), "FOL") &amp; "-" &amp; WEEKNUM(A131,2) &amp; "-" &amp; TEXT(ROW(A127),"000"))</f>
        <v>CO-DR-26-127</v>
      </c>
    </row>
    <row r="132" spans="1:14">
      <c r="A132" s="5">
        <v>46195</v>
      </c>
      <c r="B132" s="3" t="s">
        <v>35</v>
      </c>
      <c r="C132" s="3" t="s">
        <v>36</v>
      </c>
      <c r="D132" s="3" t="s">
        <v>72</v>
      </c>
      <c r="E132" s="3" t="str">
        <f>VLOOKUP(TablaObra[[#This Row],[Equipo]],[1]Catalogos!$V$4:$W$64,2,FALSE)</f>
        <v>BD-01</v>
      </c>
      <c r="F132" s="6">
        <v>110</v>
      </c>
      <c r="G132" s="7">
        <v>27</v>
      </c>
      <c r="H132" s="7">
        <f>IFERROR(F132*G132,0)</f>
        <v>2970</v>
      </c>
      <c r="M132" s="3">
        <f t="shared" si="1"/>
        <v>26</v>
      </c>
      <c r="N132" s="3" t="str">
        <f>IF(A132="","", "CO-" &amp; IFERROR(VLOOKUP(B132, [1]Catalogos!$Z$4:$AA$20, 2, FALSE), "FOL") &amp; "-" &amp; WEEKNUM(A132,2) &amp; "-" &amp; TEXT(ROW(A128),"000"))</f>
        <v>CO-BT-26-128</v>
      </c>
    </row>
    <row r="133" spans="1:14">
      <c r="A133" s="5">
        <v>46195</v>
      </c>
      <c r="B133" s="3" t="s">
        <v>25</v>
      </c>
      <c r="C133" s="3" t="s">
        <v>36</v>
      </c>
      <c r="D133" s="3" t="s">
        <v>73</v>
      </c>
      <c r="E133" s="3" t="str">
        <f>VLOOKUP(TablaObra[[#This Row],[Equipo]],[1]Catalogos!$V$4:$W$64,2,FALSE)</f>
        <v>VC-01</v>
      </c>
      <c r="F133" s="6">
        <v>50</v>
      </c>
      <c r="G133" s="7">
        <v>27</v>
      </c>
      <c r="H133" s="7">
        <f>IFERROR(F133*G133,0)</f>
        <v>1350</v>
      </c>
      <c r="M133" s="3">
        <f t="shared" ref="M133:M196" si="2">IF(A133="","", WEEKNUM(A133, 2))</f>
        <v>26</v>
      </c>
      <c r="N133" s="3" t="str">
        <f>IF(A133="","", "CO-" &amp; IFERROR(VLOOKUP(B133, [1]Catalogos!$Z$4:$AA$20, 2, FALSE), "FOL") &amp; "-" &amp; WEEKNUM(A133,2) &amp; "-" &amp; TEXT(ROW(A129),"000"))</f>
        <v>CO-LT-26-129</v>
      </c>
    </row>
    <row r="134" spans="1:14">
      <c r="A134" s="5">
        <v>46195</v>
      </c>
      <c r="B134" s="3" t="s">
        <v>19</v>
      </c>
      <c r="C134" s="3" t="s">
        <v>20</v>
      </c>
      <c r="D134" s="3" t="s">
        <v>59</v>
      </c>
      <c r="E134" s="3" t="str">
        <f>VLOOKUP(TablaObra[[#This Row],[Equipo]],[1]Catalogos!$V$4:$W$64,2,FALSE)</f>
        <v>PR-02</v>
      </c>
      <c r="F134" s="6">
        <v>250</v>
      </c>
      <c r="G134" s="7">
        <v>27</v>
      </c>
      <c r="H134" s="7">
        <f>IFERROR(F134*G134,0)</f>
        <v>6750</v>
      </c>
      <c r="M134" s="3">
        <f t="shared" si="2"/>
        <v>26</v>
      </c>
      <c r="N134" s="3" t="str">
        <f>IF(A134="","", "CO-" &amp; IFERROR(VLOOKUP(B134, [1]Catalogos!$Z$4:$AA$20, 2, FALSE), "FOL") &amp; "-" &amp; WEEKNUM(A134,2) &amp; "-" &amp; TEXT(ROW(A130),"000"))</f>
        <v>CO-MT-26-130</v>
      </c>
    </row>
    <row r="135" spans="1:14">
      <c r="A135" s="5">
        <v>46195</v>
      </c>
      <c r="B135" s="3" t="s">
        <v>25</v>
      </c>
      <c r="C135" s="3" t="s">
        <v>36</v>
      </c>
      <c r="D135" s="3" t="s">
        <v>65</v>
      </c>
      <c r="E135" s="3" t="str">
        <f>VLOOKUP(TablaObra[[#This Row],[Equipo]],[1]Catalogos!$V$4:$W$64,2,FALSE)</f>
        <v>NM-01</v>
      </c>
      <c r="F135" s="6">
        <v>50</v>
      </c>
      <c r="G135" s="7">
        <v>27</v>
      </c>
      <c r="H135" s="7">
        <f>IFERROR(F135*G135,0)</f>
        <v>1350</v>
      </c>
      <c r="M135" s="3">
        <f t="shared" si="2"/>
        <v>26</v>
      </c>
      <c r="N135" s="3" t="str">
        <f>IF(A135="","", "CO-" &amp; IFERROR(VLOOKUP(B135, [1]Catalogos!$Z$4:$AA$20, 2, FALSE), "FOL") &amp; "-" &amp; WEEKNUM(A135,2) &amp; "-" &amp; TEXT(ROW(A131),"000"))</f>
        <v>CO-LT-26-131</v>
      </c>
    </row>
    <row r="136" spans="1:14">
      <c r="A136" s="5">
        <v>46195</v>
      </c>
      <c r="B136" s="3" t="s">
        <v>25</v>
      </c>
      <c r="C136" s="3" t="s">
        <v>36</v>
      </c>
      <c r="D136" s="3" t="s">
        <v>74</v>
      </c>
      <c r="E136" s="3" t="e">
        <f>VLOOKUP(TablaObra[[#This Row],[Equipo]],[1]Catalogos!$V$4:$W$64,2,FALSE)</f>
        <v>#N/A</v>
      </c>
      <c r="F136" s="6">
        <v>162</v>
      </c>
      <c r="G136" s="7">
        <v>27</v>
      </c>
      <c r="H136" s="7">
        <f>IFERROR(F136*G136,0)</f>
        <v>4374</v>
      </c>
      <c r="M136" s="3">
        <f t="shared" si="2"/>
        <v>26</v>
      </c>
      <c r="N136" s="3" t="str">
        <f>IF(A136="","", "CO-" &amp; IFERROR(VLOOKUP(B136, [1]Catalogos!$Z$4:$AA$20, 2, FALSE), "FOL") &amp; "-" &amp; WEEKNUM(A136,2) &amp; "-" &amp; TEXT(ROW(A132),"000"))</f>
        <v>CO-LT-26-132</v>
      </c>
    </row>
    <row r="137" spans="1:14">
      <c r="A137" s="5">
        <v>46195</v>
      </c>
      <c r="B137" s="3" t="s">
        <v>25</v>
      </c>
      <c r="C137" s="3" t="s">
        <v>36</v>
      </c>
      <c r="D137" s="3" t="s">
        <v>61</v>
      </c>
      <c r="E137" s="3" t="str">
        <f>VLOOKUP(TablaObra[[#This Row],[Equipo]],[1]Catalogos!$V$4:$W$64,2,FALSE)</f>
        <v>PP-01</v>
      </c>
      <c r="F137" s="6">
        <v>50</v>
      </c>
      <c r="G137" s="7">
        <v>27</v>
      </c>
      <c r="H137" s="7">
        <f>IFERROR(F137*G137,0)</f>
        <v>1350</v>
      </c>
      <c r="M137" s="3">
        <f t="shared" si="2"/>
        <v>26</v>
      </c>
      <c r="N137" s="3" t="str">
        <f>IF(A137="","", "CO-" &amp; IFERROR(VLOOKUP(B137, [1]Catalogos!$Z$4:$AA$20, 2, FALSE), "FOL") &amp; "-" &amp; WEEKNUM(A137,2) &amp; "-" &amp; TEXT(ROW(A133),"000"))</f>
        <v>CO-LT-26-133</v>
      </c>
    </row>
    <row r="138" spans="1:14">
      <c r="A138" s="5">
        <v>46195</v>
      </c>
      <c r="B138" s="3" t="s">
        <v>25</v>
      </c>
      <c r="C138" s="3" t="s">
        <v>36</v>
      </c>
      <c r="D138" s="3" t="s">
        <v>65</v>
      </c>
      <c r="E138" s="3" t="str">
        <f>VLOOKUP(TablaObra[[#This Row],[Equipo]],[1]Catalogos!$V$4:$W$64,2,FALSE)</f>
        <v>NM-01</v>
      </c>
      <c r="F138" s="6">
        <v>50</v>
      </c>
      <c r="G138" s="7">
        <v>27</v>
      </c>
      <c r="H138" s="7">
        <f>IFERROR(F138*G138,0)</f>
        <v>1350</v>
      </c>
      <c r="M138" s="3">
        <f t="shared" si="2"/>
        <v>26</v>
      </c>
      <c r="N138" s="3" t="str">
        <f>IF(A138="","", "CO-" &amp; IFERROR(VLOOKUP(B138, [1]Catalogos!$Z$4:$AA$20, 2, FALSE), "FOL") &amp; "-" &amp; WEEKNUM(A138,2) &amp; "-" &amp; TEXT(ROW(A134),"000"))</f>
        <v>CO-LT-26-134</v>
      </c>
    </row>
    <row r="139" spans="1:14">
      <c r="A139" s="5">
        <v>46196</v>
      </c>
      <c r="B139" s="3" t="s">
        <v>38</v>
      </c>
      <c r="C139" s="3" t="s">
        <v>36</v>
      </c>
      <c r="D139" s="3" t="s">
        <v>75</v>
      </c>
      <c r="E139" s="3" t="str">
        <f>VLOOKUP(TablaObra[[#This Row],[Equipo]],[1]Catalogos!$V$4:$W$64,2,FALSE)</f>
        <v>PL-01</v>
      </c>
      <c r="F139" s="6">
        <v>275</v>
      </c>
      <c r="G139" s="7">
        <v>27</v>
      </c>
      <c r="H139" s="7">
        <f>IFERROR(F139*G139,0)</f>
        <v>7425</v>
      </c>
      <c r="M139" s="3">
        <f t="shared" si="2"/>
        <v>26</v>
      </c>
      <c r="N139" s="3" t="str">
        <f>IF(A139="","", "CO-" &amp; IFERROR(VLOOKUP(B139, [1]Catalogos!$Z$4:$AA$20, 2, FALSE), "FOL") &amp; "-" &amp; WEEKNUM(A139,2) &amp; "-" &amp; TEXT(ROW(A135),"000"))</f>
        <v>CO-PAP-26-135</v>
      </c>
    </row>
    <row r="140" spans="1:14">
      <c r="A140" s="5">
        <v>46196</v>
      </c>
      <c r="B140" s="3" t="s">
        <v>38</v>
      </c>
      <c r="C140" s="3" t="s">
        <v>36</v>
      </c>
      <c r="D140" s="3" t="s">
        <v>76</v>
      </c>
      <c r="E140" s="3" t="str">
        <f>VLOOKUP(TablaObra[[#This Row],[Equipo]],[1]Catalogos!$V$4:$W$64,2,FALSE)</f>
        <v>LP-01</v>
      </c>
      <c r="F140" s="6">
        <v>20</v>
      </c>
      <c r="G140" s="7">
        <v>27</v>
      </c>
      <c r="H140" s="7">
        <f>IFERROR(F140*G140,0)</f>
        <v>540</v>
      </c>
      <c r="M140" s="3">
        <f t="shared" si="2"/>
        <v>26</v>
      </c>
      <c r="N140" s="3" t="str">
        <f>IF(A140="","", "CO-" &amp; IFERROR(VLOOKUP(B140, [1]Catalogos!$Z$4:$AA$20, 2, FALSE), "FOL") &amp; "-" &amp; WEEKNUM(A140,2) &amp; "-" &amp; TEXT(ROW(A136),"000"))</f>
        <v>CO-PAP-26-136</v>
      </c>
    </row>
    <row r="141" spans="1:14">
      <c r="A141" s="5">
        <v>46196</v>
      </c>
      <c r="B141" s="3" t="s">
        <v>35</v>
      </c>
      <c r="C141" s="3" t="s">
        <v>36</v>
      </c>
      <c r="D141" s="3" t="s">
        <v>72</v>
      </c>
      <c r="E141" s="3" t="str">
        <f>VLOOKUP(TablaObra[[#This Row],[Equipo]],[1]Catalogos!$V$4:$W$64,2,FALSE)</f>
        <v>BD-01</v>
      </c>
      <c r="F141" s="6">
        <v>110</v>
      </c>
      <c r="G141" s="7">
        <v>27</v>
      </c>
      <c r="H141" s="7">
        <f>IFERROR(F141*G141,0)</f>
        <v>2970</v>
      </c>
      <c r="M141" s="3">
        <f t="shared" si="2"/>
        <v>26</v>
      </c>
      <c r="N141" s="3" t="str">
        <f>IF(A141="","", "CO-" &amp; IFERROR(VLOOKUP(B141, [1]Catalogos!$Z$4:$AA$20, 2, FALSE), "FOL") &amp; "-" &amp; WEEKNUM(A141,2) &amp; "-" &amp; TEXT(ROW(A137),"000"))</f>
        <v>CO-BT-26-137</v>
      </c>
    </row>
    <row r="142" spans="1:14">
      <c r="A142" s="5">
        <v>46196</v>
      </c>
      <c r="B142" s="3" t="s">
        <v>38</v>
      </c>
      <c r="C142" s="3" t="s">
        <v>36</v>
      </c>
      <c r="D142" s="3" t="s">
        <v>77</v>
      </c>
      <c r="E142" s="3" t="e">
        <f>VLOOKUP(TablaObra[[#This Row],[Equipo]],[1]Catalogos!$V$4:$W$64,2,FALSE)</f>
        <v>#N/A</v>
      </c>
      <c r="F142" s="6">
        <v>100</v>
      </c>
      <c r="G142" s="7">
        <v>27</v>
      </c>
      <c r="H142" s="7">
        <f>IFERROR(F142*G142,0)</f>
        <v>2700</v>
      </c>
      <c r="M142" s="3">
        <f t="shared" si="2"/>
        <v>26</v>
      </c>
      <c r="N142" s="3" t="str">
        <f>IF(A142="","", "CO-" &amp; IFERROR(VLOOKUP(B142, [1]Catalogos!$Z$4:$AA$20, 2, FALSE), "FOL") &amp; "-" &amp; WEEKNUM(A142,2) &amp; "-" &amp; TEXT(ROW(A138),"000"))</f>
        <v>CO-PAP-26-138</v>
      </c>
    </row>
    <row r="143" spans="1:14">
      <c r="A143" s="5">
        <v>46196</v>
      </c>
      <c r="B143" s="3" t="s">
        <v>25</v>
      </c>
      <c r="C143" s="3" t="s">
        <v>36</v>
      </c>
      <c r="D143" s="3" t="s">
        <v>70</v>
      </c>
      <c r="E143" s="3" t="e">
        <f>VLOOKUP(TablaObra[[#This Row],[Equipo]],[1]Catalogos!$V$4:$W$64,2,FALSE)</f>
        <v>#N/A</v>
      </c>
      <c r="F143" s="6">
        <v>50</v>
      </c>
      <c r="G143" s="7">
        <v>27</v>
      </c>
      <c r="H143" s="7">
        <f>IFERROR(F143*G143,0)</f>
        <v>1350</v>
      </c>
      <c r="M143" s="3">
        <f t="shared" si="2"/>
        <v>26</v>
      </c>
      <c r="N143" s="3" t="str">
        <f>IF(A143="","", "CO-" &amp; IFERROR(VLOOKUP(B143, [1]Catalogos!$Z$4:$AA$20, 2, FALSE), "FOL") &amp; "-" &amp; WEEKNUM(A143,2) &amp; "-" &amp; TEXT(ROW(A139),"000"))</f>
        <v>CO-LT-26-139</v>
      </c>
    </row>
    <row r="144" spans="1:14">
      <c r="A144" s="5">
        <v>46196</v>
      </c>
      <c r="B144" s="3" t="s">
        <v>35</v>
      </c>
      <c r="C144" s="3" t="s">
        <v>36</v>
      </c>
      <c r="D144" s="3" t="s">
        <v>59</v>
      </c>
      <c r="E144" s="3" t="str">
        <f>VLOOKUP(TablaObra[[#This Row],[Equipo]],[1]Catalogos!$V$4:$W$64,2,FALSE)</f>
        <v>PR-02</v>
      </c>
      <c r="F144" s="6">
        <v>96</v>
      </c>
      <c r="G144" s="7">
        <v>27</v>
      </c>
      <c r="H144" s="7">
        <f>IFERROR(F144*G144,0)</f>
        <v>2592</v>
      </c>
      <c r="M144" s="3">
        <f t="shared" si="2"/>
        <v>26</v>
      </c>
      <c r="N144" s="3" t="str">
        <f>IF(A144="","", "CO-" &amp; IFERROR(VLOOKUP(B144, [1]Catalogos!$Z$4:$AA$20, 2, FALSE), "FOL") &amp; "-" &amp; WEEKNUM(A144,2) &amp; "-" &amp; TEXT(ROW(A140),"000"))</f>
        <v>CO-BT-26-140</v>
      </c>
    </row>
    <row r="145" spans="1:14">
      <c r="A145" s="5">
        <v>46196</v>
      </c>
      <c r="B145" s="3" t="s">
        <v>19</v>
      </c>
      <c r="C145" s="3" t="s">
        <v>20</v>
      </c>
      <c r="D145" s="3" t="s">
        <v>54</v>
      </c>
      <c r="E145" s="3" t="str">
        <f>VLOOKUP(TablaObra[[#This Row],[Equipo]],[1]Catalogos!$V$4:$W$64,2,FALSE)</f>
        <v>VG-03</v>
      </c>
      <c r="F145" s="6">
        <v>21</v>
      </c>
      <c r="G145" s="7">
        <v>27</v>
      </c>
      <c r="H145" s="7">
        <f>IFERROR(#REF!*G145,0)</f>
        <v>0</v>
      </c>
      <c r="M145" s="3">
        <f t="shared" si="2"/>
        <v>26</v>
      </c>
      <c r="N145" s="3" t="str">
        <f>IF(A145="","", "CO-" &amp; IFERROR(VLOOKUP(B145, [1]Catalogos!$Z$4:$AA$20, 2, FALSE), "FOL") &amp; "-" &amp; WEEKNUM(A145,2) &amp; "-" &amp; TEXT(ROW(A141),"000"))</f>
        <v>CO-MT-26-141</v>
      </c>
    </row>
    <row r="146" spans="1:14">
      <c r="A146" s="5">
        <v>46196</v>
      </c>
      <c r="B146" s="3" t="s">
        <v>19</v>
      </c>
      <c r="C146" s="3" t="s">
        <v>20</v>
      </c>
      <c r="D146" s="3" t="s">
        <v>49</v>
      </c>
      <c r="E146" s="3" t="str">
        <f>VLOOKUP(TablaObra[[#This Row],[Equipo]],[1]Catalogos!$V$4:$W$64,2,FALSE)</f>
        <v>RT-05</v>
      </c>
      <c r="F146" s="6">
        <v>50</v>
      </c>
      <c r="G146" s="7">
        <v>27</v>
      </c>
      <c r="H146" s="7">
        <f>IFERROR(#REF!*G146,0)</f>
        <v>0</v>
      </c>
      <c r="M146" s="3">
        <f t="shared" si="2"/>
        <v>26</v>
      </c>
      <c r="N146" s="3" t="str">
        <f>IF(A146="","", "CO-" &amp; IFERROR(VLOOKUP(B146, [1]Catalogos!$Z$4:$AA$20, 2, FALSE), "FOL") &amp; "-" &amp; WEEKNUM(A146,2) &amp; "-" &amp; TEXT(ROW(A142),"000"))</f>
        <v>CO-MT-26-142</v>
      </c>
    </row>
    <row r="147" spans="1:14">
      <c r="A147" s="5">
        <v>46196</v>
      </c>
      <c r="B147" s="3" t="s">
        <v>19</v>
      </c>
      <c r="C147" s="3" t="s">
        <v>20</v>
      </c>
      <c r="D147" s="3" t="s">
        <v>60</v>
      </c>
      <c r="E147" s="3" t="str">
        <f>VLOOKUP(TablaObra[[#This Row],[Equipo]],[1]Catalogos!$V$4:$W$64,2,FALSE)</f>
        <v>BR-01</v>
      </c>
      <c r="F147" s="6">
        <v>31</v>
      </c>
      <c r="G147" s="7">
        <v>27</v>
      </c>
      <c r="H147" s="7">
        <f>IFERROR(F147*G147,0)</f>
        <v>837</v>
      </c>
      <c r="M147" s="3">
        <f t="shared" si="2"/>
        <v>26</v>
      </c>
      <c r="N147" s="3" t="str">
        <f>IF(A147="","", "CO-" &amp; IFERROR(VLOOKUP(B147, [1]Catalogos!$Z$4:$AA$20, 2, FALSE), "FOL") &amp; "-" &amp; WEEKNUM(A147,2) &amp; "-" &amp; TEXT(ROW(A143),"000"))</f>
        <v>CO-MT-26-143</v>
      </c>
    </row>
    <row r="148" spans="1:14">
      <c r="A148" s="5">
        <v>46197</v>
      </c>
      <c r="B148" s="3" t="s">
        <v>19</v>
      </c>
      <c r="C148" s="3" t="s">
        <v>20</v>
      </c>
      <c r="D148" s="3" t="s">
        <v>50</v>
      </c>
      <c r="E148" s="3" t="str">
        <f>VLOOKUP(TablaObra[[#This Row],[Equipo]],[1]Catalogos!$V$4:$W$64,2,FALSE)</f>
        <v>TD-01</v>
      </c>
      <c r="F148" s="6">
        <v>35</v>
      </c>
      <c r="G148" s="7">
        <v>27</v>
      </c>
      <c r="H148" s="7">
        <f>IFERROR(F148*G148,0)</f>
        <v>945</v>
      </c>
      <c r="M148" s="3">
        <f t="shared" si="2"/>
        <v>26</v>
      </c>
      <c r="N148" s="3" t="str">
        <f>IF(A148="","", "CO-" &amp; IFERROR(VLOOKUP(B148, [1]Catalogos!$Z$4:$AA$20, 2, FALSE), "FOL") &amp; "-" &amp; WEEKNUM(A148,2) &amp; "-" &amp; TEXT(ROW(A144),"000"))</f>
        <v>CO-MT-26-144</v>
      </c>
    </row>
    <row r="149" spans="1:14">
      <c r="A149" s="5">
        <v>46197</v>
      </c>
      <c r="B149" s="3" t="s">
        <v>19</v>
      </c>
      <c r="C149" s="3" t="s">
        <v>20</v>
      </c>
      <c r="D149" s="3" t="s">
        <v>74</v>
      </c>
      <c r="E149" s="3" t="e">
        <f>VLOOKUP(TablaObra[[#This Row],[Equipo]],[1]Catalogos!$V$4:$W$64,2,FALSE)</f>
        <v>#N/A</v>
      </c>
      <c r="F149" s="6">
        <v>76</v>
      </c>
      <c r="G149" s="7">
        <v>27</v>
      </c>
      <c r="H149" s="7">
        <f>IFERROR(F149*G149,0)</f>
        <v>2052</v>
      </c>
      <c r="M149" s="3">
        <f t="shared" si="2"/>
        <v>26</v>
      </c>
      <c r="N149" s="3" t="str">
        <f>IF(A149="","", "CO-" &amp; IFERROR(VLOOKUP(B149, [1]Catalogos!$Z$4:$AA$20, 2, FALSE), "FOL") &amp; "-" &amp; WEEKNUM(A149,2) &amp; "-" &amp; TEXT(ROW(A145),"000"))</f>
        <v>CO-MT-26-145</v>
      </c>
    </row>
    <row r="150" spans="1:14">
      <c r="A150" s="5">
        <v>46197</v>
      </c>
      <c r="B150" s="3" t="s">
        <v>19</v>
      </c>
      <c r="C150" s="3" t="s">
        <v>20</v>
      </c>
      <c r="D150" s="3" t="s">
        <v>50</v>
      </c>
      <c r="E150" s="3" t="str">
        <f>VLOOKUP(TablaObra[[#This Row],[Equipo]],[1]Catalogos!$V$4:$W$64,2,FALSE)</f>
        <v>TD-01</v>
      </c>
      <c r="F150" s="6">
        <v>40</v>
      </c>
      <c r="G150" s="7">
        <v>27</v>
      </c>
      <c r="H150" s="7">
        <f>IFERROR(F150*G150,0)</f>
        <v>1080</v>
      </c>
      <c r="M150" s="3">
        <f t="shared" si="2"/>
        <v>26</v>
      </c>
      <c r="N150" s="3" t="str">
        <f>IF(A150="","", "CO-" &amp; IFERROR(VLOOKUP(B150, [1]Catalogos!$Z$4:$AA$20, 2, FALSE), "FOL") &amp; "-" &amp; WEEKNUM(A150,2) &amp; "-" &amp; TEXT(ROW(A146),"000"))</f>
        <v>CO-MT-26-146</v>
      </c>
    </row>
    <row r="151" spans="1:14">
      <c r="A151" s="5">
        <v>46197</v>
      </c>
      <c r="B151" s="3" t="s">
        <v>19</v>
      </c>
      <c r="C151" s="3" t="s">
        <v>20</v>
      </c>
      <c r="D151" s="3" t="s">
        <v>49</v>
      </c>
      <c r="E151" s="3" t="str">
        <f>VLOOKUP(TablaObra[[#This Row],[Equipo]],[1]Catalogos!$V$4:$W$64,2,FALSE)</f>
        <v>RT-05</v>
      </c>
      <c r="F151" s="6">
        <v>40</v>
      </c>
      <c r="G151" s="7">
        <v>27</v>
      </c>
      <c r="H151" s="7">
        <f>IFERROR(F151*G151,0)</f>
        <v>1080</v>
      </c>
      <c r="M151" s="3">
        <f t="shared" si="2"/>
        <v>26</v>
      </c>
      <c r="N151" s="3" t="str">
        <f>IF(A151="","", "CO-" &amp; IFERROR(VLOOKUP(B151, [1]Catalogos!$Z$4:$AA$20, 2, FALSE), "FOL") &amp; "-" &amp; WEEKNUM(A151,2) &amp; "-" &amp; TEXT(ROW(A147),"000"))</f>
        <v>CO-MT-26-147</v>
      </c>
    </row>
    <row r="152" spans="1:14">
      <c r="A152" s="5">
        <v>46197</v>
      </c>
      <c r="B152" s="3" t="s">
        <v>19</v>
      </c>
      <c r="C152" s="3" t="s">
        <v>20</v>
      </c>
      <c r="D152" s="3" t="s">
        <v>62</v>
      </c>
      <c r="E152" s="3" t="str">
        <f>VLOOKUP(TablaObra[[#This Row],[Equipo]],[1]Catalogos!$V$4:$W$64,2,FALSE)</f>
        <v>PR-01</v>
      </c>
      <c r="F152" s="6">
        <v>200</v>
      </c>
      <c r="G152" s="7">
        <v>27</v>
      </c>
      <c r="H152" s="7">
        <f>IFERROR(F152*G152,0)</f>
        <v>5400</v>
      </c>
      <c r="M152" s="3">
        <f t="shared" si="2"/>
        <v>26</v>
      </c>
      <c r="N152" s="3" t="str">
        <f>IF(A152="","", "CO-" &amp; IFERROR(VLOOKUP(B152, [1]Catalogos!$Z$4:$AA$20, 2, FALSE), "FOL") &amp; "-" &amp; WEEKNUM(A152,2) &amp; "-" &amp; TEXT(ROW(A148),"000"))</f>
        <v>CO-MT-26-148</v>
      </c>
    </row>
    <row r="153" spans="1:14">
      <c r="A153" s="5">
        <v>46197</v>
      </c>
      <c r="B153" s="3" t="s">
        <v>35</v>
      </c>
      <c r="C153" s="3" t="s">
        <v>36</v>
      </c>
      <c r="D153" s="3" t="s">
        <v>72</v>
      </c>
      <c r="E153" s="3" t="str">
        <f>VLOOKUP(TablaObra[[#This Row],[Equipo]],[1]Catalogos!$V$4:$W$64,2,FALSE)</f>
        <v>BD-01</v>
      </c>
      <c r="F153" s="6">
        <v>120</v>
      </c>
      <c r="G153" s="7">
        <v>27</v>
      </c>
      <c r="H153" s="7">
        <f>IFERROR(F153*G153,0)</f>
        <v>3240</v>
      </c>
      <c r="M153" s="3">
        <f t="shared" si="2"/>
        <v>26</v>
      </c>
      <c r="N153" s="3" t="str">
        <f>IF(A153="","", "CO-" &amp; IFERROR(VLOOKUP(B153, [1]Catalogos!$Z$4:$AA$20, 2, FALSE), "FOL") &amp; "-" &amp; WEEKNUM(A153,2) &amp; "-" &amp; TEXT(ROW(A149),"000"))</f>
        <v>CO-BT-26-149</v>
      </c>
    </row>
    <row r="154" spans="1:14">
      <c r="A154" s="5">
        <v>46197</v>
      </c>
      <c r="B154" s="3" t="s">
        <v>19</v>
      </c>
      <c r="C154" s="3" t="s">
        <v>20</v>
      </c>
      <c r="D154" s="3" t="s">
        <v>51</v>
      </c>
      <c r="E154" s="3" t="str">
        <f>VLOOKUP(TablaObra[[#This Row],[Equipo]],[1]Catalogos!$V$4:$W$64,2,FALSE)</f>
        <v>NM-02</v>
      </c>
      <c r="F154" s="6">
        <v>50</v>
      </c>
      <c r="G154" s="7">
        <v>27</v>
      </c>
      <c r="H154" s="7">
        <f>IFERROR(F154*G154,0)</f>
        <v>1350</v>
      </c>
      <c r="M154" s="3">
        <f t="shared" si="2"/>
        <v>26</v>
      </c>
      <c r="N154" s="3" t="str">
        <f>IF(A154="","", "CO-" &amp; IFERROR(VLOOKUP(B154, [1]Catalogos!$Z$4:$AA$20, 2, FALSE), "FOL") &amp; "-" &amp; WEEKNUM(A154,2) &amp; "-" &amp; TEXT(ROW(A150),"000"))</f>
        <v>CO-MT-26-150</v>
      </c>
    </row>
    <row r="155" spans="1:14">
      <c r="A155" s="5">
        <v>46197</v>
      </c>
      <c r="B155" s="3" t="s">
        <v>19</v>
      </c>
      <c r="C155" s="3" t="s">
        <v>20</v>
      </c>
      <c r="D155" s="3" t="s">
        <v>65</v>
      </c>
      <c r="E155" s="3" t="str">
        <f>VLOOKUP(TablaObra[[#This Row],[Equipo]],[1]Catalogos!$V$4:$W$64,2,FALSE)</f>
        <v>NM-01</v>
      </c>
      <c r="F155" s="6">
        <v>30</v>
      </c>
      <c r="G155" s="7">
        <v>27</v>
      </c>
      <c r="H155" s="7">
        <f>IFERROR(F155*G155,0)</f>
        <v>810</v>
      </c>
      <c r="M155" s="3">
        <f t="shared" si="2"/>
        <v>26</v>
      </c>
      <c r="N155" s="3" t="str">
        <f>IF(A155="","", "CO-" &amp; IFERROR(VLOOKUP(B155, [1]Catalogos!$Z$4:$AA$20, 2, FALSE), "FOL") &amp; "-" &amp; WEEKNUM(A155,2) &amp; "-" &amp; TEXT(ROW(A151),"000"))</f>
        <v>CO-MT-26-151</v>
      </c>
    </row>
    <row r="156" spans="1:14">
      <c r="A156" s="5">
        <v>46197</v>
      </c>
      <c r="B156" s="3" t="s">
        <v>25</v>
      </c>
      <c r="C156" s="3" t="s">
        <v>36</v>
      </c>
      <c r="D156" s="3" t="s">
        <v>63</v>
      </c>
      <c r="E156" s="3" t="str">
        <f>VLOOKUP(TablaObra[[#This Row],[Equipo]],[1]Catalogos!$V$4:$W$64,2,FALSE)</f>
        <v>CI-01</v>
      </c>
      <c r="F156" s="6">
        <v>129</v>
      </c>
      <c r="G156" s="7">
        <v>27</v>
      </c>
      <c r="H156" s="7">
        <f>IFERROR(F156*G156,0)</f>
        <v>3483</v>
      </c>
      <c r="M156" s="3">
        <f t="shared" si="2"/>
        <v>26</v>
      </c>
      <c r="N156" s="3" t="str">
        <f>IF(A156="","", "CO-" &amp; IFERROR(VLOOKUP(B156, [1]Catalogos!$Z$4:$AA$20, 2, FALSE), "FOL") &amp; "-" &amp; WEEKNUM(A156,2) &amp; "-" &amp; TEXT(ROW(A152),"000"))</f>
        <v>CO-LT-26-152</v>
      </c>
    </row>
    <row r="157" spans="1:14">
      <c r="A157" s="5">
        <v>46197</v>
      </c>
      <c r="B157" s="3" t="s">
        <v>25</v>
      </c>
      <c r="C157" s="3" t="s">
        <v>36</v>
      </c>
      <c r="D157" s="3" t="s">
        <v>78</v>
      </c>
      <c r="E157" s="3" t="str">
        <f>VLOOKUP(TablaObra[[#This Row],[Equipo]],[1]Catalogos!$V$4:$W$64,2,FALSE)</f>
        <v>CPR-01</v>
      </c>
      <c r="F157" s="6">
        <v>88</v>
      </c>
      <c r="G157" s="7">
        <v>27</v>
      </c>
      <c r="H157" s="7">
        <f>IFERROR(F157*G157,0)</f>
        <v>2376</v>
      </c>
      <c r="M157" s="3">
        <f t="shared" si="2"/>
        <v>26</v>
      </c>
      <c r="N157" s="3" t="str">
        <f>IF(A157="","", "CO-" &amp; IFERROR(VLOOKUP(B157, [1]Catalogos!$Z$4:$AA$20, 2, FALSE), "FOL") &amp; "-" &amp; WEEKNUM(A157,2) &amp; "-" &amp; TEXT(ROW(A153),"000"))</f>
        <v>CO-LT-26-153</v>
      </c>
    </row>
    <row r="158" spans="1:14">
      <c r="A158" s="5">
        <v>46197</v>
      </c>
      <c r="B158" s="3" t="s">
        <v>25</v>
      </c>
      <c r="C158" s="3" t="s">
        <v>36</v>
      </c>
      <c r="D158" s="3" t="s">
        <v>61</v>
      </c>
      <c r="E158" s="3" t="str">
        <f>VLOOKUP(TablaObra[[#This Row],[Equipo]],[1]Catalogos!$V$4:$W$64,2,FALSE)</f>
        <v>PP-01</v>
      </c>
      <c r="F158" s="6">
        <v>90</v>
      </c>
      <c r="G158" s="7">
        <v>27</v>
      </c>
      <c r="H158" s="7">
        <f>IFERROR(F158*G158,0)</f>
        <v>2430</v>
      </c>
      <c r="M158" s="3">
        <f t="shared" si="2"/>
        <v>26</v>
      </c>
      <c r="N158" s="3" t="str">
        <f>IF(A158="","", "CO-" &amp; IFERROR(VLOOKUP(B158, [1]Catalogos!$Z$4:$AA$20, 2, FALSE), "FOL") &amp; "-" &amp; WEEKNUM(A158,2) &amp; "-" &amp; TEXT(ROW(A154),"000"))</f>
        <v>CO-LT-26-154</v>
      </c>
    </row>
    <row r="159" spans="1:14">
      <c r="A159" s="5">
        <v>46197</v>
      </c>
      <c r="B159" s="3" t="s">
        <v>25</v>
      </c>
      <c r="C159" s="3" t="s">
        <v>36</v>
      </c>
      <c r="D159" s="3" t="s">
        <v>55</v>
      </c>
      <c r="E159" s="3" t="str">
        <f>VLOOKUP(TablaObra[[#This Row],[Equipo]],[1]Catalogos!$V$4:$W$64,2,FALSE)</f>
        <v>PT-02</v>
      </c>
      <c r="F159" s="6">
        <v>62</v>
      </c>
      <c r="G159" s="7">
        <v>27</v>
      </c>
      <c r="H159" s="7">
        <f>IFERROR(F159*G159,0)</f>
        <v>1674</v>
      </c>
      <c r="M159" s="3">
        <f t="shared" si="2"/>
        <v>26</v>
      </c>
      <c r="N159" s="3" t="str">
        <f>IF(A159="","", "CO-" &amp; IFERROR(VLOOKUP(B159, [1]Catalogos!$Z$4:$AA$20, 2, FALSE), "FOL") &amp; "-" &amp; WEEKNUM(A159,2) &amp; "-" &amp; TEXT(ROW(A155),"000"))</f>
        <v>CO-LT-26-155</v>
      </c>
    </row>
    <row r="160" spans="1:14">
      <c r="A160" s="5">
        <v>46197</v>
      </c>
      <c r="B160" s="3" t="s">
        <v>64</v>
      </c>
      <c r="C160" s="3" t="s">
        <v>36</v>
      </c>
      <c r="D160" s="3" t="s">
        <v>55</v>
      </c>
      <c r="E160" s="3" t="str">
        <f>VLOOKUP(TablaObra[[#This Row],[Equipo]],[1]Catalogos!$V$4:$W$64,2,FALSE)</f>
        <v>PT-02</v>
      </c>
      <c r="F160" s="6">
        <v>62</v>
      </c>
      <c r="G160" s="7">
        <v>27</v>
      </c>
      <c r="H160" s="7">
        <f>IFERROR(F160*G160,0)</f>
        <v>1674</v>
      </c>
      <c r="M160" s="3">
        <f t="shared" si="2"/>
        <v>26</v>
      </c>
      <c r="N160" s="3" t="str">
        <f>IF(A160="","", "CO-" &amp; IFERROR(VLOOKUP(B160, [1]Catalogos!$Z$4:$AA$20, 2, FALSE), "FOL") &amp; "-" &amp; WEEKNUM(A160,2) &amp; "-" &amp; TEXT(ROW(A156),"000"))</f>
        <v>CO-DR-26-156</v>
      </c>
    </row>
    <row r="161" spans="1:14">
      <c r="A161" s="5">
        <v>46198</v>
      </c>
      <c r="B161" s="3" t="s">
        <v>19</v>
      </c>
      <c r="C161" s="3" t="s">
        <v>20</v>
      </c>
      <c r="D161" s="3" t="s">
        <v>60</v>
      </c>
      <c r="E161" s="3" t="str">
        <f>VLOOKUP(TablaObra[[#This Row],[Equipo]],[1]Catalogos!$V$4:$W$64,2,FALSE)</f>
        <v>BR-01</v>
      </c>
      <c r="F161" s="6">
        <v>26</v>
      </c>
      <c r="G161" s="7">
        <v>27</v>
      </c>
      <c r="H161" s="7">
        <f>IFERROR(F161*G161,0)</f>
        <v>702</v>
      </c>
      <c r="M161" s="3">
        <f t="shared" si="2"/>
        <v>26</v>
      </c>
      <c r="N161" s="3" t="str">
        <f>IF(A161="","", "CO-" &amp; IFERROR(VLOOKUP(B161, [1]Catalogos!$Z$4:$AA$20, 2, FALSE), "FOL") &amp; "-" &amp; WEEKNUM(A161,2) &amp; "-" &amp; TEXT(ROW(A157),"000"))</f>
        <v>CO-MT-26-157</v>
      </c>
    </row>
    <row r="162" spans="1:14">
      <c r="A162" s="5">
        <v>46198</v>
      </c>
      <c r="B162" s="3" t="s">
        <v>19</v>
      </c>
      <c r="C162" s="3" t="s">
        <v>20</v>
      </c>
      <c r="D162" s="3" t="s">
        <v>55</v>
      </c>
      <c r="E162" s="3" t="str">
        <f>VLOOKUP(TablaObra[[#This Row],[Equipo]],[1]Catalogos!$V$4:$W$64,2,FALSE)</f>
        <v>PT-02</v>
      </c>
      <c r="F162" s="6">
        <v>50</v>
      </c>
      <c r="G162" s="7">
        <v>27</v>
      </c>
      <c r="H162" s="7">
        <f>IFERROR(F162*G162,0)</f>
        <v>1350</v>
      </c>
      <c r="M162" s="3">
        <f t="shared" si="2"/>
        <v>26</v>
      </c>
      <c r="N162" s="3" t="str">
        <f>IF(A162="","", "CO-" &amp; IFERROR(VLOOKUP(B162, [1]Catalogos!$Z$4:$AA$20, 2, FALSE), "FOL") &amp; "-" &amp; WEEKNUM(A162,2) &amp; "-" &amp; TEXT(ROW(A158),"000"))</f>
        <v>CO-MT-26-158</v>
      </c>
    </row>
    <row r="163" spans="1:14">
      <c r="A163" s="5">
        <v>46198</v>
      </c>
      <c r="B163" s="3" t="s">
        <v>19</v>
      </c>
      <c r="C163" s="3" t="s">
        <v>20</v>
      </c>
      <c r="D163" s="3" t="s">
        <v>50</v>
      </c>
      <c r="E163" s="3" t="str">
        <f>VLOOKUP(TablaObra[[#This Row],[Equipo]],[1]Catalogos!$V$4:$W$64,2,FALSE)</f>
        <v>TD-01</v>
      </c>
      <c r="F163" s="6">
        <v>30</v>
      </c>
      <c r="G163" s="7">
        <v>27</v>
      </c>
      <c r="H163" s="7">
        <f>IFERROR(F163*G163,0)</f>
        <v>810</v>
      </c>
      <c r="M163" s="3">
        <f t="shared" si="2"/>
        <v>26</v>
      </c>
      <c r="N163" s="3" t="str">
        <f>IF(A163="","", "CO-" &amp; IFERROR(VLOOKUP(B163, [1]Catalogos!$Z$4:$AA$20, 2, FALSE), "FOL") &amp; "-" &amp; WEEKNUM(A163,2) &amp; "-" &amp; TEXT(ROW(A159),"000"))</f>
        <v>CO-MT-26-159</v>
      </c>
    </row>
    <row r="164" spans="1:14">
      <c r="A164" s="5">
        <v>46198</v>
      </c>
      <c r="B164" s="3" t="s">
        <v>19</v>
      </c>
      <c r="C164" s="3" t="s">
        <v>20</v>
      </c>
      <c r="D164" s="3" t="s">
        <v>65</v>
      </c>
      <c r="E164" s="3" t="str">
        <f>VLOOKUP(TablaObra[[#This Row],[Equipo]],[1]Catalogos!$V$4:$W$64,2,FALSE)</f>
        <v>NM-01</v>
      </c>
      <c r="F164" s="6">
        <v>14</v>
      </c>
      <c r="G164" s="7">
        <v>27</v>
      </c>
      <c r="H164" s="7">
        <f>IFERROR(F164*G164,0)</f>
        <v>378</v>
      </c>
      <c r="M164" s="3">
        <f t="shared" si="2"/>
        <v>26</v>
      </c>
      <c r="N164" s="3" t="str">
        <f>IF(A164="","", "CO-" &amp; IFERROR(VLOOKUP(B164, [1]Catalogos!$Z$4:$AA$20, 2, FALSE), "FOL") &amp; "-" &amp; WEEKNUM(A164,2) &amp; "-" &amp; TEXT(ROW(A160),"000"))</f>
        <v>CO-MT-26-160</v>
      </c>
    </row>
    <row r="165" spans="1:14">
      <c r="A165" s="5">
        <v>46198</v>
      </c>
      <c r="B165" s="3" t="s">
        <v>19</v>
      </c>
      <c r="C165" s="3" t="s">
        <v>20</v>
      </c>
      <c r="D165" s="3" t="s">
        <v>51</v>
      </c>
      <c r="E165" s="3" t="str">
        <f>VLOOKUP(TablaObra[[#This Row],[Equipo]],[1]Catalogos!$V$4:$W$64,2,FALSE)</f>
        <v>NM-02</v>
      </c>
      <c r="F165" s="6">
        <v>30</v>
      </c>
      <c r="G165" s="7">
        <v>27</v>
      </c>
      <c r="H165" s="7">
        <f>IFERROR(F165*G165,0)</f>
        <v>810</v>
      </c>
      <c r="M165" s="3">
        <f t="shared" si="2"/>
        <v>26</v>
      </c>
      <c r="N165" s="3" t="str">
        <f>IF(A165="","", "CO-" &amp; IFERROR(VLOOKUP(B165, [1]Catalogos!$Z$4:$AA$20, 2, FALSE), "FOL") &amp; "-" &amp; WEEKNUM(A165,2) &amp; "-" &amp; TEXT(ROW(A161),"000"))</f>
        <v>CO-MT-26-161</v>
      </c>
    </row>
    <row r="166" spans="1:14">
      <c r="A166" s="5">
        <v>46198</v>
      </c>
      <c r="B166" s="3" t="s">
        <v>35</v>
      </c>
      <c r="C166" s="3" t="s">
        <v>36</v>
      </c>
      <c r="D166" s="3" t="s">
        <v>72</v>
      </c>
      <c r="E166" s="3" t="str">
        <f>VLOOKUP(TablaObra[[#This Row],[Equipo]],[1]Catalogos!$V$4:$W$64,2,FALSE)</f>
        <v>BD-01</v>
      </c>
      <c r="F166" s="6">
        <v>120</v>
      </c>
      <c r="G166" s="7">
        <v>27</v>
      </c>
      <c r="H166" s="7">
        <f>IFERROR(F166*G166,0)</f>
        <v>3240</v>
      </c>
      <c r="M166" s="3">
        <f t="shared" si="2"/>
        <v>26</v>
      </c>
      <c r="N166" s="3" t="str">
        <f>IF(A166="","", "CO-" &amp; IFERROR(VLOOKUP(B166, [1]Catalogos!$Z$4:$AA$20, 2, FALSE), "FOL") &amp; "-" &amp; WEEKNUM(A166,2) &amp; "-" &amp; TEXT(ROW(A162),"000"))</f>
        <v>CO-BT-26-162</v>
      </c>
    </row>
    <row r="167" spans="1:14">
      <c r="A167" s="5">
        <v>46198</v>
      </c>
      <c r="B167" s="3" t="s">
        <v>79</v>
      </c>
      <c r="C167" s="3" t="s">
        <v>36</v>
      </c>
      <c r="D167" s="3" t="s">
        <v>55</v>
      </c>
      <c r="E167" s="3" t="str">
        <f>VLOOKUP(TablaObra[[#This Row],[Equipo]],[1]Catalogos!$V$4:$W$64,2,FALSE)</f>
        <v>PT-02</v>
      </c>
      <c r="F167" s="6">
        <v>160</v>
      </c>
      <c r="G167" s="7">
        <v>27</v>
      </c>
      <c r="H167" s="7">
        <f>IFERROR(F167*G167,0)</f>
        <v>4320</v>
      </c>
      <c r="M167" s="3">
        <f t="shared" si="2"/>
        <v>26</v>
      </c>
      <c r="N167" s="3" t="str">
        <f>IF(A167="","", "CO-" &amp; IFERROR(VLOOKUP(B167, [1]Catalogos!$Z$4:$AA$20, 2, FALSE), "FOL") &amp; "-" &amp; WEEKNUM(A167,2) &amp; "-" &amp; TEXT(ROW(A163),"000"))</f>
        <v>CO-MP-26-163</v>
      </c>
    </row>
    <row r="168" spans="1:14">
      <c r="A168" s="5">
        <v>46198</v>
      </c>
      <c r="B168" s="3" t="s">
        <v>25</v>
      </c>
      <c r="C168" s="3" t="s">
        <v>36</v>
      </c>
      <c r="D168" s="3" t="s">
        <v>62</v>
      </c>
      <c r="E168" s="3" t="str">
        <f>VLOOKUP(TablaObra[[#This Row],[Equipo]],[1]Catalogos!$V$4:$W$64,2,FALSE)</f>
        <v>PR-01</v>
      </c>
      <c r="F168" s="6">
        <v>140</v>
      </c>
      <c r="G168" s="7">
        <v>27</v>
      </c>
      <c r="H168" s="7">
        <f>IFERROR(F168*G168,0)</f>
        <v>3780</v>
      </c>
      <c r="M168" s="3">
        <f t="shared" si="2"/>
        <v>26</v>
      </c>
      <c r="N168" s="3" t="str">
        <f>IF(A168="","", "CO-" &amp; IFERROR(VLOOKUP(B168, [1]Catalogos!$Z$4:$AA$20, 2, FALSE), "FOL") &amp; "-" &amp; WEEKNUM(A168,2) &amp; "-" &amp; TEXT(ROW(A164),"000"))</f>
        <v>CO-LT-26-164</v>
      </c>
    </row>
    <row r="169" spans="1:14">
      <c r="A169" s="5">
        <v>46198</v>
      </c>
      <c r="B169" s="3" t="s">
        <v>79</v>
      </c>
      <c r="C169" s="3" t="s">
        <v>36</v>
      </c>
      <c r="D169" s="3" t="s">
        <v>80</v>
      </c>
      <c r="E169" s="3" t="str">
        <f>VLOOKUP(TablaObra[[#This Row],[Equipo]],[1]Catalogos!$V$4:$W$64,2,FALSE)</f>
        <v>VG-02</v>
      </c>
      <c r="F169" s="6">
        <v>222</v>
      </c>
      <c r="G169" s="7">
        <v>27</v>
      </c>
      <c r="H169" s="7">
        <f>IFERROR(F169*G169,0)</f>
        <v>5994</v>
      </c>
      <c r="M169" s="3">
        <f t="shared" si="2"/>
        <v>26</v>
      </c>
      <c r="N169" s="3" t="str">
        <f>IF(A169="","", "CO-" &amp; IFERROR(VLOOKUP(B169, [1]Catalogos!$Z$4:$AA$20, 2, FALSE), "FOL") &amp; "-" &amp; WEEKNUM(A169,2) &amp; "-" &amp; TEXT(ROW(A165),"000"))</f>
        <v>CO-MP-26-165</v>
      </c>
    </row>
    <row r="170" spans="1:14">
      <c r="A170" s="5">
        <v>46198</v>
      </c>
      <c r="B170" s="3" t="s">
        <v>38</v>
      </c>
      <c r="C170" s="3" t="s">
        <v>36</v>
      </c>
      <c r="D170" s="3" t="s">
        <v>75</v>
      </c>
      <c r="E170" s="3" t="str">
        <f>VLOOKUP(TablaObra[[#This Row],[Equipo]],[1]Catalogos!$V$4:$W$64,2,FALSE)</f>
        <v>PL-01</v>
      </c>
      <c r="F170" s="6">
        <v>217</v>
      </c>
      <c r="G170" s="7">
        <v>27</v>
      </c>
      <c r="H170" s="7">
        <f>IFERROR(F170*G170,0)</f>
        <v>5859</v>
      </c>
      <c r="M170" s="3">
        <f t="shared" si="2"/>
        <v>26</v>
      </c>
      <c r="N170" s="3" t="str">
        <f>IF(A170="","", "CO-" &amp; IFERROR(VLOOKUP(B170, [1]Catalogos!$Z$4:$AA$20, 2, FALSE), "FOL") &amp; "-" &amp; WEEKNUM(A170,2) &amp; "-" &amp; TEXT(ROW(A166),"000"))</f>
        <v>CO-PAP-26-166</v>
      </c>
    </row>
    <row r="171" spans="1:14">
      <c r="A171" s="5">
        <v>46198</v>
      </c>
      <c r="B171" s="3" t="s">
        <v>38</v>
      </c>
      <c r="C171" s="3" t="s">
        <v>36</v>
      </c>
      <c r="D171" s="3" t="s">
        <v>72</v>
      </c>
      <c r="E171" s="3" t="str">
        <f>VLOOKUP(TablaObra[[#This Row],[Equipo]],[1]Catalogos!$V$4:$W$64,2,FALSE)</f>
        <v>BD-01</v>
      </c>
      <c r="F171" s="6">
        <v>850</v>
      </c>
      <c r="G171" s="7">
        <v>27</v>
      </c>
      <c r="H171" s="7">
        <f>IFERROR(F171*G171,0)</f>
        <v>22950</v>
      </c>
      <c r="M171" s="3">
        <f t="shared" si="2"/>
        <v>26</v>
      </c>
      <c r="N171" s="3" t="str">
        <f>IF(A171="","", "CO-" &amp; IFERROR(VLOOKUP(B171, [1]Catalogos!$Z$4:$AA$20, 2, FALSE), "FOL") &amp; "-" &amp; WEEKNUM(A171,2) &amp; "-" &amp; TEXT(ROW(A167),"000"))</f>
        <v>CO-PAP-26-167</v>
      </c>
    </row>
    <row r="172" spans="1:14">
      <c r="A172" s="5">
        <v>46198</v>
      </c>
      <c r="B172" s="3" t="s">
        <v>25</v>
      </c>
      <c r="C172" s="3" t="s">
        <v>36</v>
      </c>
      <c r="D172" s="3" t="s">
        <v>49</v>
      </c>
      <c r="E172" s="3" t="str">
        <f>VLOOKUP(TablaObra[[#This Row],[Equipo]],[1]Catalogos!$V$4:$W$64,2,FALSE)</f>
        <v>RT-05</v>
      </c>
      <c r="F172" s="6">
        <v>50</v>
      </c>
      <c r="G172" s="7">
        <v>27</v>
      </c>
      <c r="H172" s="7">
        <f>IFERROR(F172*G172,0)</f>
        <v>1350</v>
      </c>
      <c r="M172" s="3">
        <f t="shared" si="2"/>
        <v>26</v>
      </c>
      <c r="N172" s="3" t="str">
        <f>IF(A172="","", "CO-" &amp; IFERROR(VLOOKUP(B172, [1]Catalogos!$Z$4:$AA$20, 2, FALSE), "FOL") &amp; "-" &amp; WEEKNUM(A172,2) &amp; "-" &amp; TEXT(ROW(A168),"000"))</f>
        <v>CO-LT-26-168</v>
      </c>
    </row>
    <row r="173" spans="1:14">
      <c r="A173" s="5">
        <v>46198</v>
      </c>
      <c r="B173" s="3" t="s">
        <v>25</v>
      </c>
      <c r="C173" s="3" t="s">
        <v>36</v>
      </c>
      <c r="D173" s="3" t="s">
        <v>57</v>
      </c>
      <c r="E173" s="3" t="str">
        <f>VLOOKUP(TablaObra[[#This Row],[Equipo]],[1]Catalogos!$V$4:$W$64,2,FALSE)</f>
        <v>BR-02</v>
      </c>
      <c r="F173" s="6">
        <v>50</v>
      </c>
      <c r="G173" s="7">
        <v>27</v>
      </c>
      <c r="H173" s="7">
        <f>IFERROR(F173*G173,0)</f>
        <v>1350</v>
      </c>
      <c r="M173" s="3">
        <f t="shared" si="2"/>
        <v>26</v>
      </c>
      <c r="N173" s="3" t="str">
        <f>IF(A173="","", "CO-" &amp; IFERROR(VLOOKUP(B173, [1]Catalogos!$Z$4:$AA$20, 2, FALSE), "FOL") &amp; "-" &amp; WEEKNUM(A173,2) &amp; "-" &amp; TEXT(ROW(A169),"000"))</f>
        <v>CO-LT-26-169</v>
      </c>
    </row>
    <row r="174" spans="1:14">
      <c r="A174" s="5">
        <v>46198</v>
      </c>
      <c r="B174" s="3" t="s">
        <v>25</v>
      </c>
      <c r="C174" s="3" t="s">
        <v>36</v>
      </c>
      <c r="D174" s="3" t="s">
        <v>52</v>
      </c>
      <c r="E174" s="3" t="str">
        <f>VLOOKUP(TablaObra[[#This Row],[Equipo]],[1]Catalogos!$V$4:$W$64,2,FALSE)</f>
        <v>VG-01</v>
      </c>
      <c r="F174" s="6">
        <v>177</v>
      </c>
      <c r="G174" s="7">
        <v>27</v>
      </c>
      <c r="H174" s="7">
        <f>IFERROR(F174*G174,0)</f>
        <v>4779</v>
      </c>
      <c r="M174" s="3">
        <f t="shared" si="2"/>
        <v>26</v>
      </c>
      <c r="N174" s="3" t="str">
        <f>IF(A174="","", "CO-" &amp; IFERROR(VLOOKUP(B174, [1]Catalogos!$Z$4:$AA$20, 2, FALSE), "FOL") &amp; "-" &amp; WEEKNUM(A174,2) &amp; "-" &amp; TEXT(ROW(A170),"000"))</f>
        <v>CO-LT-26-170</v>
      </c>
    </row>
    <row r="175" spans="1:14">
      <c r="A175" s="5">
        <v>46199</v>
      </c>
      <c r="B175" s="3" t="s">
        <v>35</v>
      </c>
      <c r="C175" s="3" t="s">
        <v>36</v>
      </c>
      <c r="D175" s="3" t="s">
        <v>81</v>
      </c>
      <c r="E175" s="3" t="str">
        <f>VLOOKUP(TablaObra[[#This Row],[Equipo]],[1]Catalogos!$V$4:$W$64,2,FALSE)</f>
        <v>MGR-01</v>
      </c>
      <c r="F175" s="6">
        <v>90</v>
      </c>
      <c r="G175" s="7">
        <v>27</v>
      </c>
      <c r="H175" s="7">
        <f>IFERROR(F175*G175,0)</f>
        <v>2430</v>
      </c>
      <c r="M175" s="3">
        <f t="shared" si="2"/>
        <v>26</v>
      </c>
      <c r="N175" s="3" t="str">
        <f>IF(A175="","", "CO-" &amp; IFERROR(VLOOKUP(B175, [1]Catalogos!$Z$4:$AA$20, 2, FALSE), "FOL") &amp; "-" &amp; WEEKNUM(A175,2) &amp; "-" &amp; TEXT(ROW(A171),"000"))</f>
        <v>CO-BT-26-171</v>
      </c>
    </row>
    <row r="176" spans="1:14">
      <c r="A176" s="5">
        <v>46199</v>
      </c>
      <c r="B176" s="3" t="s">
        <v>35</v>
      </c>
      <c r="C176" s="3" t="s">
        <v>36</v>
      </c>
      <c r="D176" s="3" t="s">
        <v>66</v>
      </c>
      <c r="E176" s="3" t="str">
        <f>VLOOKUP(TablaObra[[#This Row],[Equipo]],[1]Catalogos!$V$4:$W$64,2,FALSE)</f>
        <v>RT-03</v>
      </c>
      <c r="F176" s="6">
        <v>48</v>
      </c>
      <c r="G176" s="7">
        <v>27</v>
      </c>
      <c r="H176" s="7">
        <f>IFERROR(F176*G176,0)</f>
        <v>1296</v>
      </c>
      <c r="M176" s="3">
        <f t="shared" si="2"/>
        <v>26</v>
      </c>
      <c r="N176" s="3" t="str">
        <f>IF(A176="","", "CO-" &amp; IFERROR(VLOOKUP(B176, [1]Catalogos!$Z$4:$AA$20, 2, FALSE), "FOL") &amp; "-" &amp; WEEKNUM(A176,2) &amp; "-" &amp; TEXT(ROW(A172),"000"))</f>
        <v>CO-BT-26-172</v>
      </c>
    </row>
    <row r="177" spans="1:14">
      <c r="A177" s="5">
        <v>46199</v>
      </c>
      <c r="B177" s="3" t="s">
        <v>19</v>
      </c>
      <c r="C177" s="3" t="s">
        <v>20</v>
      </c>
      <c r="D177" s="3" t="s">
        <v>50</v>
      </c>
      <c r="E177" s="3" t="str">
        <f>VLOOKUP(TablaObra[[#This Row],[Equipo]],[1]Catalogos!$V$4:$W$64,2,FALSE)</f>
        <v>TD-01</v>
      </c>
      <c r="F177" s="6">
        <v>40</v>
      </c>
      <c r="G177" s="7">
        <v>27</v>
      </c>
      <c r="H177" s="7">
        <f>IFERROR(F177*G177,0)</f>
        <v>1080</v>
      </c>
      <c r="M177" s="3">
        <f t="shared" si="2"/>
        <v>26</v>
      </c>
      <c r="N177" s="3" t="str">
        <f>IF(A177="","", "CO-" &amp; IFERROR(VLOOKUP(B177, [1]Catalogos!$Z$4:$AA$20, 2, FALSE), "FOL") &amp; "-" &amp; WEEKNUM(A177,2) &amp; "-" &amp; TEXT(ROW(A173),"000"))</f>
        <v>CO-MT-26-173</v>
      </c>
    </row>
    <row r="178" spans="1:14">
      <c r="A178" s="5">
        <v>46199</v>
      </c>
      <c r="B178" s="3" t="s">
        <v>19</v>
      </c>
      <c r="C178" s="3" t="s">
        <v>20</v>
      </c>
      <c r="D178" s="3" t="s">
        <v>51</v>
      </c>
      <c r="E178" s="3" t="str">
        <f>VLOOKUP(TablaObra[[#This Row],[Equipo]],[1]Catalogos!$V$4:$W$64,2,FALSE)</f>
        <v>NM-02</v>
      </c>
      <c r="F178" s="6">
        <v>30</v>
      </c>
      <c r="G178" s="7">
        <v>27</v>
      </c>
      <c r="H178" s="7">
        <f>IFERROR(F178*G178,0)</f>
        <v>810</v>
      </c>
      <c r="M178" s="3">
        <f t="shared" si="2"/>
        <v>26</v>
      </c>
      <c r="N178" s="3" t="str">
        <f>IF(A178="","", "CO-" &amp; IFERROR(VLOOKUP(B178, [1]Catalogos!$Z$4:$AA$20, 2, FALSE), "FOL") &amp; "-" &amp; WEEKNUM(A178,2) &amp; "-" &amp; TEXT(ROW(A174),"000"))</f>
        <v>CO-MT-26-174</v>
      </c>
    </row>
    <row r="179" spans="1:14">
      <c r="A179" s="5">
        <v>46199</v>
      </c>
      <c r="B179" s="3" t="s">
        <v>19</v>
      </c>
      <c r="C179" s="3" t="s">
        <v>20</v>
      </c>
      <c r="D179" s="3" t="s">
        <v>65</v>
      </c>
      <c r="E179" s="3" t="str">
        <f>VLOOKUP(TablaObra[[#This Row],[Equipo]],[1]Catalogos!$V$4:$W$64,2,FALSE)</f>
        <v>NM-01</v>
      </c>
      <c r="F179" s="6">
        <v>16</v>
      </c>
      <c r="G179" s="7">
        <v>27</v>
      </c>
      <c r="H179" s="7">
        <f>IFERROR(F179*G179,0)</f>
        <v>432</v>
      </c>
      <c r="M179" s="3">
        <f t="shared" si="2"/>
        <v>26</v>
      </c>
      <c r="N179" s="3" t="str">
        <f>IF(A179="","", "CO-" &amp; IFERROR(VLOOKUP(B179, [1]Catalogos!$Z$4:$AA$20, 2, FALSE), "FOL") &amp; "-" &amp; WEEKNUM(A179,2) &amp; "-" &amp; TEXT(ROW(A175),"000"))</f>
        <v>CO-MT-26-175</v>
      </c>
    </row>
    <row r="180" spans="1:14">
      <c r="A180" s="5">
        <v>46199</v>
      </c>
      <c r="B180" s="3" t="s">
        <v>19</v>
      </c>
      <c r="C180" s="3" t="s">
        <v>20</v>
      </c>
      <c r="D180" s="3" t="s">
        <v>54</v>
      </c>
      <c r="E180" s="3" t="str">
        <f>VLOOKUP(TablaObra[[#This Row],[Equipo]],[1]Catalogos!$V$4:$W$64,2,FALSE)</f>
        <v>VG-03</v>
      </c>
      <c r="F180" s="6">
        <v>120</v>
      </c>
      <c r="G180" s="7">
        <v>27</v>
      </c>
      <c r="H180" s="7">
        <f>IFERROR(F180*G180,0)</f>
        <v>3240</v>
      </c>
      <c r="M180" s="3">
        <f t="shared" si="2"/>
        <v>26</v>
      </c>
      <c r="N180" s="3" t="str">
        <f>IF(A180="","", "CO-" &amp; IFERROR(VLOOKUP(B180, [1]Catalogos!$Z$4:$AA$20, 2, FALSE), "FOL") &amp; "-" &amp; WEEKNUM(A180,2) &amp; "-" &amp; TEXT(ROW(A176),"000"))</f>
        <v>CO-MT-26-176</v>
      </c>
    </row>
    <row r="181" spans="1:14">
      <c r="A181" s="5">
        <v>46199</v>
      </c>
      <c r="B181" s="3" t="s">
        <v>19</v>
      </c>
      <c r="C181" s="3" t="s">
        <v>20</v>
      </c>
      <c r="D181" s="3" t="s">
        <v>50</v>
      </c>
      <c r="E181" s="3" t="str">
        <f>VLOOKUP(TablaObra[[#This Row],[Equipo]],[1]Catalogos!$V$4:$W$64,2,FALSE)</f>
        <v>TD-01</v>
      </c>
      <c r="F181" s="6">
        <v>32</v>
      </c>
      <c r="G181" s="7">
        <v>27</v>
      </c>
      <c r="H181" s="7">
        <f>IFERROR(F181*G181,0)</f>
        <v>864</v>
      </c>
      <c r="M181" s="3">
        <f t="shared" si="2"/>
        <v>26</v>
      </c>
      <c r="N181" s="3" t="str">
        <f>IF(A181="","", "CO-" &amp; IFERROR(VLOOKUP(B181, [1]Catalogos!$Z$4:$AA$20, 2, FALSE), "FOL") &amp; "-" &amp; WEEKNUM(A181,2) &amp; "-" &amp; TEXT(ROW(A177),"000"))</f>
        <v>CO-MT-26-177</v>
      </c>
    </row>
    <row r="182" spans="1:14">
      <c r="A182" s="5">
        <v>46199</v>
      </c>
      <c r="B182" s="3" t="s">
        <v>19</v>
      </c>
      <c r="C182" s="3" t="s">
        <v>20</v>
      </c>
      <c r="D182" s="3" t="s">
        <v>49</v>
      </c>
      <c r="E182" s="3" t="str">
        <f>VLOOKUP(TablaObra[[#This Row],[Equipo]],[1]Catalogos!$V$4:$W$64,2,FALSE)</f>
        <v>RT-05</v>
      </c>
      <c r="F182" s="6">
        <v>40</v>
      </c>
      <c r="G182" s="7">
        <v>27</v>
      </c>
      <c r="H182" s="7">
        <f>IFERROR(F182*G182,0)</f>
        <v>1080</v>
      </c>
      <c r="M182" s="3">
        <f t="shared" si="2"/>
        <v>26</v>
      </c>
      <c r="N182" s="3" t="str">
        <f>IF(A182="","", "CO-" &amp; IFERROR(VLOOKUP(B182, [1]Catalogos!$Z$4:$AA$20, 2, FALSE), "FOL") &amp; "-" &amp; WEEKNUM(A182,2) &amp; "-" &amp; TEXT(ROW(A178),"000"))</f>
        <v>CO-MT-26-178</v>
      </c>
    </row>
    <row r="183" spans="1:14">
      <c r="A183" s="5">
        <v>46199</v>
      </c>
      <c r="B183" s="3" t="s">
        <v>25</v>
      </c>
      <c r="C183" s="3" t="s">
        <v>36</v>
      </c>
      <c r="D183" s="3" t="s">
        <v>55</v>
      </c>
      <c r="E183" s="3" t="str">
        <f>VLOOKUP(TablaObra[[#This Row],[Equipo]],[1]Catalogos!$V$4:$W$64,2,FALSE)</f>
        <v>PT-02</v>
      </c>
      <c r="F183" s="6">
        <v>41</v>
      </c>
      <c r="G183" s="7">
        <v>27</v>
      </c>
      <c r="H183" s="7">
        <f>IFERROR(F183*G183,0)</f>
        <v>1107</v>
      </c>
      <c r="M183" s="3">
        <f t="shared" si="2"/>
        <v>26</v>
      </c>
      <c r="N183" s="3" t="str">
        <f>IF(A183="","", "CO-" &amp; IFERROR(VLOOKUP(B183, [1]Catalogos!$Z$4:$AA$20, 2, FALSE), "FOL") &amp; "-" &amp; WEEKNUM(A183,2) &amp; "-" &amp; TEXT(ROW(A179),"000"))</f>
        <v>CO-LT-26-179</v>
      </c>
    </row>
    <row r="184" spans="1:14">
      <c r="A184" s="5">
        <v>46199</v>
      </c>
      <c r="B184" s="3" t="s">
        <v>19</v>
      </c>
      <c r="C184" s="3" t="s">
        <v>36</v>
      </c>
      <c r="D184" s="3" t="s">
        <v>59</v>
      </c>
      <c r="E184" s="3" t="str">
        <f>VLOOKUP(TablaObra[[#This Row],[Equipo]],[1]Catalogos!$V$4:$W$64,2,FALSE)</f>
        <v>PR-02</v>
      </c>
      <c r="F184" s="6">
        <v>329</v>
      </c>
      <c r="G184" s="7">
        <v>27</v>
      </c>
      <c r="H184" s="7">
        <f>IFERROR(F184*G184,0)</f>
        <v>8883</v>
      </c>
      <c r="M184" s="3">
        <f t="shared" si="2"/>
        <v>26</v>
      </c>
      <c r="N184" s="3" t="str">
        <f>IF(A184="","", "CO-" &amp; IFERROR(VLOOKUP(B184, [1]Catalogos!$Z$4:$AA$20, 2, FALSE), "FOL") &amp; "-" &amp; WEEKNUM(A184,2) &amp; "-" &amp; TEXT(ROW(A180),"000"))</f>
        <v>CO-MT-26-180</v>
      </c>
    </row>
    <row r="185" spans="1:14">
      <c r="A185" s="5">
        <v>46199</v>
      </c>
      <c r="B185" s="3" t="s">
        <v>35</v>
      </c>
      <c r="C185" s="3" t="s">
        <v>36</v>
      </c>
      <c r="D185" s="3" t="s">
        <v>72</v>
      </c>
      <c r="E185" s="3" t="str">
        <f>VLOOKUP(TablaObra[[#This Row],[Equipo]],[1]Catalogos!$V$4:$W$64,2,FALSE)</f>
        <v>BD-01</v>
      </c>
      <c r="F185" s="6">
        <v>480</v>
      </c>
      <c r="G185" s="7">
        <v>27</v>
      </c>
      <c r="H185" s="7">
        <f>IFERROR(F185*G185,0)</f>
        <v>12960</v>
      </c>
      <c r="M185" s="3">
        <f t="shared" si="2"/>
        <v>26</v>
      </c>
      <c r="N185" s="3" t="str">
        <f>IF(A185="","", "CO-" &amp; IFERROR(VLOOKUP(B185, [1]Catalogos!$Z$4:$AA$20, 2, FALSE), "FOL") &amp; "-" &amp; WEEKNUM(A185,2) &amp; "-" &amp; TEXT(ROW(A181),"000"))</f>
        <v>CO-BT-26-181</v>
      </c>
    </row>
    <row r="186" spans="1:14">
      <c r="A186" s="5">
        <v>46199</v>
      </c>
      <c r="B186" s="3" t="s">
        <v>35</v>
      </c>
      <c r="C186" s="3" t="s">
        <v>36</v>
      </c>
      <c r="D186" s="3" t="s">
        <v>81</v>
      </c>
      <c r="E186" s="3" t="str">
        <f>VLOOKUP(TablaObra[[#This Row],[Equipo]],[1]Catalogos!$V$4:$W$64,2,FALSE)</f>
        <v>MGR-01</v>
      </c>
      <c r="F186" s="6">
        <v>220</v>
      </c>
      <c r="G186" s="7">
        <v>27</v>
      </c>
      <c r="H186" s="7">
        <f>IFERROR(F186*G186,0)</f>
        <v>5940</v>
      </c>
      <c r="M186" s="3">
        <f t="shared" si="2"/>
        <v>26</v>
      </c>
      <c r="N186" s="3" t="str">
        <f>IF(A186="","", "CO-" &amp; IFERROR(VLOOKUP(B186, [1]Catalogos!$Z$4:$AA$20, 2, FALSE), "FOL") &amp; "-" &amp; WEEKNUM(A186,2) &amp; "-" &amp; TEXT(ROW(A182),"000"))</f>
        <v>CO-BT-26-182</v>
      </c>
    </row>
    <row r="187" spans="1:14">
      <c r="A187" s="5">
        <v>46199</v>
      </c>
      <c r="B187" s="3" t="s">
        <v>35</v>
      </c>
      <c r="C187" s="3" t="s">
        <v>36</v>
      </c>
      <c r="D187" s="3" t="s">
        <v>56</v>
      </c>
      <c r="E187" s="3" t="str">
        <f>VLOOKUP(TablaObra[[#This Row],[Equipo]],[1]Catalogos!$V$4:$W$64,2,FALSE)</f>
        <v>DR-02</v>
      </c>
      <c r="F187" s="6">
        <v>80</v>
      </c>
      <c r="G187" s="7">
        <v>27</v>
      </c>
      <c r="H187" s="7">
        <f>IFERROR(F187*G187,0)</f>
        <v>2160</v>
      </c>
      <c r="M187" s="3" t="e">
        <f>IF(#REF!="","", WEEKNUM(#REF!, 2))</f>
        <v>#REF!</v>
      </c>
      <c r="N187" s="3" t="e">
        <f>IF(#REF!="","", "CO-" &amp; IFERROR(VLOOKUP(#REF!, [1]Catalogos!$Z$4:$AA$20, 2, FALSE), "FOL") &amp; "-" &amp; WEEKNUM(#REF!,2) &amp; "-" &amp; TEXT(ROW(A183),"000"))</f>
        <v>#REF!</v>
      </c>
    </row>
    <row r="188" spans="1:14">
      <c r="A188" s="5">
        <v>46199</v>
      </c>
      <c r="B188" s="3" t="s">
        <v>35</v>
      </c>
      <c r="C188" s="3" t="s">
        <v>36</v>
      </c>
      <c r="D188" s="3" t="s">
        <v>66</v>
      </c>
      <c r="E188" s="3" t="str">
        <f>VLOOKUP(TablaObra[[#This Row],[Equipo]],[1]Catalogos!$V$4:$W$64,2,FALSE)</f>
        <v>RT-03</v>
      </c>
      <c r="F188" s="6">
        <v>80</v>
      </c>
      <c r="G188" s="7">
        <v>27</v>
      </c>
      <c r="H188" s="7">
        <f>IFERROR(F188*G188,0)</f>
        <v>2160</v>
      </c>
      <c r="M188" s="3" t="e">
        <f>IF(#REF!="","", WEEKNUM(#REF!, 2))</f>
        <v>#REF!</v>
      </c>
      <c r="N188" s="3" t="e">
        <f>IF(#REF!="","", "CO-" &amp; IFERROR(VLOOKUP(#REF!, [1]Catalogos!$Z$4:$AA$20, 2, FALSE), "FOL") &amp; "-" &amp; WEEKNUM(#REF!,2) &amp; "-" &amp; TEXT(ROW(A184),"000"))</f>
        <v>#REF!</v>
      </c>
    </row>
    <row r="189" spans="1:14">
      <c r="A189" s="5">
        <v>46199</v>
      </c>
      <c r="B189" s="3" t="s">
        <v>19</v>
      </c>
      <c r="C189" s="3" t="s">
        <v>20</v>
      </c>
      <c r="D189" s="3" t="s">
        <v>59</v>
      </c>
      <c r="E189" s="3" t="str">
        <f>VLOOKUP(TablaObra[[#This Row],[Equipo]],[1]Catalogos!$V$4:$W$64,2,FALSE)</f>
        <v>PR-02</v>
      </c>
      <c r="F189" s="6">
        <v>200</v>
      </c>
      <c r="G189" s="7">
        <v>27</v>
      </c>
      <c r="H189" s="7">
        <f>IFERROR(F189*G189,0)</f>
        <v>5400</v>
      </c>
      <c r="M189" s="3">
        <f t="shared" si="2"/>
        <v>26</v>
      </c>
      <c r="N189" s="3" t="str">
        <f>IF(A189="","", "CO-" &amp; IFERROR(VLOOKUP(B189, [1]Catalogos!$Z$4:$AA$20, 2, FALSE), "FOL") &amp; "-" &amp; WEEKNUM(A189,2) &amp; "-" &amp; TEXT(ROW(A185),"000"))</f>
        <v>CO-MT-26-185</v>
      </c>
    </row>
    <row r="190" spans="1:14">
      <c r="A190" s="5"/>
      <c r="E190" s="3" t="e">
        <f>VLOOKUP(TablaObra[[#This Row],[Equipo]],[1]Catalogos!$V$4:$W$64,2,FALSE)</f>
        <v>#N/A</v>
      </c>
      <c r="F190" s="6"/>
      <c r="G190" s="7">
        <v>28.3</v>
      </c>
      <c r="H190" s="7">
        <f>IFERROR(F190*G190,0)</f>
        <v>0</v>
      </c>
      <c r="M190" s="3" t="str">
        <f t="shared" si="2"/>
        <v/>
      </c>
      <c r="N190" s="3" t="str">
        <f>IF(A190="","", "CO-" &amp; IFERROR(VLOOKUP(B190, [1]Catalogos!$Z$4:$AA$20, 2, FALSE), "FOL") &amp; "-" &amp; WEEKNUM(A190,2) &amp; "-" &amp; TEXT(ROW(A186),"000"))</f>
        <v/>
      </c>
    </row>
    <row r="191" spans="1:14">
      <c r="A191" s="5"/>
      <c r="E191" s="3" t="e">
        <f>VLOOKUP(TablaObra[[#This Row],[Equipo]],[1]Catalogos!$V$4:$W$64,2,FALSE)</f>
        <v>#N/A</v>
      </c>
      <c r="F191" s="6"/>
      <c r="G191" s="7"/>
      <c r="H191" s="7">
        <f>IFERROR(F191*G191,0)</f>
        <v>0</v>
      </c>
      <c r="M191" s="3" t="str">
        <f t="shared" si="2"/>
        <v/>
      </c>
      <c r="N191" s="3" t="str">
        <f>IF(A191="","", "CO-" &amp; IFERROR(VLOOKUP(B191, [1]Catalogos!$Z$4:$AA$20, 2, FALSE), "FOL") &amp; "-" &amp; WEEKNUM(A191,2) &amp; "-" &amp; TEXT(ROW(#REF!),"000"))</f>
        <v/>
      </c>
    </row>
    <row r="192" spans="1:14">
      <c r="A192" s="5"/>
      <c r="E192" s="3" t="e">
        <f>VLOOKUP(TablaObra[[#This Row],[Equipo]],[1]Catalogos!$V$4:$W$64,2,FALSE)</f>
        <v>#N/A</v>
      </c>
      <c r="F192" s="6"/>
      <c r="G192" s="7"/>
      <c r="H192" s="7">
        <f>IFERROR(F192*G192,0)</f>
        <v>0</v>
      </c>
      <c r="M192" s="3" t="str">
        <f t="shared" si="2"/>
        <v/>
      </c>
      <c r="N192" s="3" t="str">
        <f>IF(A192="","", "CO-" &amp; IFERROR(VLOOKUP(B192, [1]Catalogos!$Z$4:$AA$20, 2, FALSE), "FOL") &amp; "-" &amp; WEEKNUM(A192,2) &amp; "-" &amp; TEXT(ROW(#REF!),"000"))</f>
        <v/>
      </c>
    </row>
    <row r="193" spans="1:14">
      <c r="A193" s="5"/>
      <c r="E193" s="3" t="e">
        <f>VLOOKUP(TablaObra[[#This Row],[Equipo]],[1]Catalogos!$V$4:$W$64,2,FALSE)</f>
        <v>#N/A</v>
      </c>
      <c r="F193" s="6"/>
      <c r="G193" s="7"/>
      <c r="H193" s="7">
        <f>IFERROR(F193*G193,0)</f>
        <v>0</v>
      </c>
      <c r="M193" s="3" t="str">
        <f t="shared" si="2"/>
        <v/>
      </c>
      <c r="N193" s="3" t="str">
        <f>IF(A193="","", "CO-" &amp; IFERROR(VLOOKUP(B193, [1]Catalogos!$Z$4:$AA$20, 2, FALSE), "FOL") &amp; "-" &amp; WEEKNUM(A193,2) &amp; "-" &amp; TEXT(ROW(A189),"000"))</f>
        <v/>
      </c>
    </row>
    <row r="194" spans="1:14">
      <c r="A194" s="5"/>
      <c r="E194" s="3" t="e">
        <f>VLOOKUP(TablaObra[[#This Row],[Equipo]],[1]Catalogos!$V$4:$W$64,2,FALSE)</f>
        <v>#N/A</v>
      </c>
      <c r="F194" s="6"/>
      <c r="G194" s="7"/>
      <c r="H194" s="7">
        <f>IFERROR(F194*G194,0)</f>
        <v>0</v>
      </c>
      <c r="M194" s="3" t="str">
        <f t="shared" si="2"/>
        <v/>
      </c>
      <c r="N194" s="3" t="str">
        <f>IF(A194="","", "CO-" &amp; IFERROR(VLOOKUP(B194, [1]Catalogos!$Z$4:$AA$20, 2, FALSE), "FOL") &amp; "-" &amp; WEEKNUM(A194,2) &amp; "-" &amp; TEXT(ROW(A190),"000"))</f>
        <v/>
      </c>
    </row>
    <row r="195" spans="1:14">
      <c r="A195" s="5"/>
      <c r="E195" s="3" t="e">
        <f>VLOOKUP(TablaObra[[#This Row],[Equipo]],[1]Catalogos!$V$4:$W$64,2,FALSE)</f>
        <v>#N/A</v>
      </c>
      <c r="F195" s="6"/>
      <c r="G195" s="7"/>
      <c r="H195" s="7">
        <f>IFERROR(F195*G195,0)</f>
        <v>0</v>
      </c>
      <c r="M195" s="3" t="str">
        <f t="shared" si="2"/>
        <v/>
      </c>
      <c r="N195" s="3" t="str">
        <f>IF(A195="","", "CO-" &amp; IFERROR(VLOOKUP(B195, [1]Catalogos!$Z$4:$AA$20, 2, FALSE), "FOL") &amp; "-" &amp; WEEKNUM(A195,2) &amp; "-" &amp; TEXT(ROW(A191),"000"))</f>
        <v/>
      </c>
    </row>
    <row r="196" spans="1:14">
      <c r="A196" s="5"/>
      <c r="E196" s="3" t="e">
        <f>VLOOKUP(TablaObra[[#This Row],[Equipo]],[1]Catalogos!$V$4:$W$64,2,FALSE)</f>
        <v>#N/A</v>
      </c>
      <c r="F196" s="6"/>
      <c r="G196" s="7"/>
      <c r="H196" s="7">
        <f>IFERROR(F196*G196,0)</f>
        <v>0</v>
      </c>
      <c r="M196" s="3" t="str">
        <f t="shared" si="2"/>
        <v/>
      </c>
      <c r="N196" s="3" t="str">
        <f>IF(A196="","", "CO-" &amp; IFERROR(VLOOKUP(B196, [1]Catalogos!$Z$4:$AA$20, 2, FALSE), "FOL") &amp; "-" &amp; WEEKNUM(A196,2) &amp; "-" &amp; TEXT(ROW(A192),"000"))</f>
        <v/>
      </c>
    </row>
    <row r="197" spans="1:14">
      <c r="A197" s="5"/>
      <c r="E197" s="3" t="e">
        <f>VLOOKUP(TablaObra[[#This Row],[Equipo]],[1]Catalogos!$V$4:$W$64,2,FALSE)</f>
        <v>#N/A</v>
      </c>
      <c r="F197" s="6"/>
      <c r="G197" s="7"/>
      <c r="H197" s="7">
        <f>IFERROR(F197*G197,0)</f>
        <v>0</v>
      </c>
      <c r="M197" s="3" t="str">
        <f t="shared" ref="M197:M260" si="3">IF(A197="","", WEEKNUM(A197, 2))</f>
        <v/>
      </c>
      <c r="N197" s="3" t="str">
        <f>IF(A197="","", "CO-" &amp; IFERROR(VLOOKUP(B197, [1]Catalogos!$Z$4:$AA$20, 2, FALSE), "FOL") &amp; "-" &amp; WEEKNUM(A197,2) &amp; "-" &amp; TEXT(ROW(A193),"000"))</f>
        <v/>
      </c>
    </row>
    <row r="198" spans="1:14">
      <c r="A198" s="5"/>
      <c r="E198" s="3" t="e">
        <f>VLOOKUP(TablaObra[[#This Row],[Equipo]],[1]Catalogos!$V$4:$W$64,2,FALSE)</f>
        <v>#N/A</v>
      </c>
      <c r="F198" s="6"/>
      <c r="G198" s="7"/>
      <c r="H198" s="7">
        <f>IFERROR(F198*G198,0)</f>
        <v>0</v>
      </c>
      <c r="M198" s="3" t="str">
        <f t="shared" si="3"/>
        <v/>
      </c>
      <c r="N198" s="3" t="str">
        <f>IF(A198="","", "CO-" &amp; IFERROR(VLOOKUP(B198, [1]Catalogos!$Z$4:$AA$20, 2, FALSE), "FOL") &amp; "-" &amp; WEEKNUM(A198,2) &amp; "-" &amp; TEXT(ROW(A194),"000"))</f>
        <v/>
      </c>
    </row>
    <row r="199" spans="1:14">
      <c r="A199" s="5"/>
      <c r="E199" s="3" t="e">
        <f>VLOOKUP(TablaObra[[#This Row],[Equipo]],[1]Catalogos!$V$4:$W$64,2,FALSE)</f>
        <v>#N/A</v>
      </c>
      <c r="F199" s="6"/>
      <c r="G199" s="7"/>
      <c r="H199" s="7">
        <f>IFERROR(F199*G199,0)</f>
        <v>0</v>
      </c>
      <c r="M199" s="3" t="str">
        <f t="shared" si="3"/>
        <v/>
      </c>
      <c r="N199" s="3" t="str">
        <f>IF(A199="","", "CO-" &amp; IFERROR(VLOOKUP(B199, [1]Catalogos!$Z$4:$AA$20, 2, FALSE), "FOL") &amp; "-" &amp; WEEKNUM(A199,2) &amp; "-" &amp; TEXT(ROW(A195),"000"))</f>
        <v/>
      </c>
    </row>
    <row r="200" spans="1:14">
      <c r="A200" s="5"/>
      <c r="E200" s="3" t="e">
        <f>VLOOKUP(TablaObra[[#This Row],[Equipo]],[1]Catalogos!$V$4:$W$64,2,FALSE)</f>
        <v>#N/A</v>
      </c>
      <c r="F200" s="6"/>
      <c r="G200" s="7"/>
      <c r="H200" s="7">
        <f>IFERROR(F200*G200,0)</f>
        <v>0</v>
      </c>
      <c r="M200" s="3" t="str">
        <f t="shared" si="3"/>
        <v/>
      </c>
      <c r="N200" s="3" t="str">
        <f>IF(A200="","", "CO-" &amp; IFERROR(VLOOKUP(B200, [1]Catalogos!$Z$4:$AA$20, 2, FALSE), "FOL") &amp; "-" &amp; WEEKNUM(A200,2) &amp; "-" &amp; TEXT(ROW(A196),"000"))</f>
        <v/>
      </c>
    </row>
    <row r="201" spans="1:14">
      <c r="A201" s="5"/>
      <c r="E201" s="3" t="e">
        <f>VLOOKUP(TablaObra[[#This Row],[Equipo]],[1]Catalogos!$V$4:$W$64,2,FALSE)</f>
        <v>#N/A</v>
      </c>
      <c r="F201" s="6"/>
      <c r="G201" s="7"/>
      <c r="H201" s="7">
        <f>IFERROR(F201*G201,0)</f>
        <v>0</v>
      </c>
      <c r="M201" s="3" t="str">
        <f t="shared" si="3"/>
        <v/>
      </c>
    </row>
    <row r="202" spans="1:14">
      <c r="A202" s="5"/>
      <c r="E202" s="3" t="e">
        <f>VLOOKUP(TablaObra[[#This Row],[Equipo]],[1]Catalogos!$V$4:$W$64,2,FALSE)</f>
        <v>#N/A</v>
      </c>
      <c r="F202" s="6"/>
      <c r="G202" s="7"/>
      <c r="H202" s="7">
        <f>IFERROR(F202*G202,0)</f>
        <v>0</v>
      </c>
      <c r="M202" s="3" t="str">
        <f t="shared" si="3"/>
        <v/>
      </c>
    </row>
    <row r="203" spans="1:14">
      <c r="A203" s="5"/>
      <c r="E203" s="3" t="e">
        <f>VLOOKUP(TablaObra[[#This Row],[Equipo]],[1]Catalogos!$V$4:$W$64,2,FALSE)</f>
        <v>#N/A</v>
      </c>
      <c r="F203" s="6"/>
      <c r="G203" s="7"/>
      <c r="H203" s="7">
        <f>IFERROR(F203*G203,0)</f>
        <v>0</v>
      </c>
      <c r="M203" s="3" t="str">
        <f t="shared" si="3"/>
        <v/>
      </c>
    </row>
    <row r="204" spans="1:14">
      <c r="A204" s="5"/>
      <c r="E204" s="3" t="e">
        <f>VLOOKUP(TablaObra[[#This Row],[Equipo]],[1]Catalogos!$V$4:$W$64,2,FALSE)</f>
        <v>#N/A</v>
      </c>
      <c r="F204" s="6"/>
      <c r="G204" s="7"/>
      <c r="H204" s="7">
        <f>IFERROR(F204*G204,0)</f>
        <v>0</v>
      </c>
      <c r="M204" s="3" t="str">
        <f t="shared" si="3"/>
        <v/>
      </c>
    </row>
    <row r="205" spans="1:14">
      <c r="A205" s="5"/>
      <c r="E205" s="3" t="e">
        <f>VLOOKUP(TablaObra[[#This Row],[Equipo]],[1]Catalogos!$V$4:$W$64,2,FALSE)</f>
        <v>#N/A</v>
      </c>
      <c r="F205" s="6"/>
      <c r="G205" s="7"/>
      <c r="H205" s="7">
        <f>IFERROR(F205*G205,0)</f>
        <v>0</v>
      </c>
      <c r="M205" s="3" t="str">
        <f t="shared" si="3"/>
        <v/>
      </c>
    </row>
    <row r="206" spans="1:14">
      <c r="A206" s="5"/>
      <c r="E206" s="3" t="e">
        <f>VLOOKUP(TablaObra[[#This Row],[Equipo]],[1]Catalogos!$V$4:$W$64,2,FALSE)</f>
        <v>#N/A</v>
      </c>
      <c r="F206" s="6"/>
      <c r="G206" s="7"/>
      <c r="H206" s="7">
        <f>IFERROR(F206*G206,0)</f>
        <v>0</v>
      </c>
      <c r="M206" s="3" t="str">
        <f t="shared" si="3"/>
        <v/>
      </c>
    </row>
    <row r="207" spans="1:14">
      <c r="A207" s="5"/>
      <c r="E207" s="3" t="e">
        <f>VLOOKUP(TablaObra[[#This Row],[Equipo]],[1]Catalogos!$V$4:$W$64,2,FALSE)</f>
        <v>#N/A</v>
      </c>
      <c r="F207" s="6"/>
      <c r="G207" s="7"/>
      <c r="H207" s="7">
        <f>IFERROR(F207*G207,0)</f>
        <v>0</v>
      </c>
      <c r="M207" s="3" t="str">
        <f t="shared" si="3"/>
        <v/>
      </c>
    </row>
    <row r="208" spans="1:14">
      <c r="A208" s="5"/>
      <c r="E208" s="3" t="e">
        <f>VLOOKUP(TablaObra[[#This Row],[Equipo]],[1]Catalogos!$V$4:$W$64,2,FALSE)</f>
        <v>#N/A</v>
      </c>
      <c r="F208" s="6"/>
      <c r="G208" s="7"/>
      <c r="H208" s="7">
        <f>IFERROR(F208*G208,0)</f>
        <v>0</v>
      </c>
      <c r="M208" s="3" t="str">
        <f t="shared" si="3"/>
        <v/>
      </c>
    </row>
    <row r="209" spans="1:13">
      <c r="A209" s="5"/>
      <c r="E209" s="3" t="e">
        <f>VLOOKUP(TablaObra[[#This Row],[Equipo]],[1]Catalogos!$V$4:$W$64,2,FALSE)</f>
        <v>#N/A</v>
      </c>
      <c r="F209" s="6"/>
      <c r="G209" s="7"/>
      <c r="H209" s="7">
        <f>IFERROR(F209*G209,0)</f>
        <v>0</v>
      </c>
      <c r="M209" s="3" t="str">
        <f t="shared" si="3"/>
        <v/>
      </c>
    </row>
    <row r="210" spans="1:13">
      <c r="A210" s="5"/>
      <c r="E210" s="3" t="e">
        <f>VLOOKUP(TablaObra[[#This Row],[Equipo]],[1]Catalogos!$V$4:$W$64,2,FALSE)</f>
        <v>#N/A</v>
      </c>
      <c r="F210" s="6"/>
      <c r="G210" s="7"/>
      <c r="H210" s="7">
        <f>IFERROR(F210*G210,0)</f>
        <v>0</v>
      </c>
      <c r="M210" s="3" t="str">
        <f t="shared" si="3"/>
        <v/>
      </c>
    </row>
    <row r="211" spans="1:13">
      <c r="A211" s="5"/>
      <c r="E211" s="3" t="e">
        <f>VLOOKUP(TablaObra[[#This Row],[Equipo]],[1]Catalogos!$V$4:$W$64,2,FALSE)</f>
        <v>#N/A</v>
      </c>
      <c r="F211" s="6"/>
      <c r="G211" s="7"/>
      <c r="H211" s="7">
        <f>IFERROR(F211*G211,0)</f>
        <v>0</v>
      </c>
      <c r="M211" s="3" t="str">
        <f t="shared" si="3"/>
        <v/>
      </c>
    </row>
    <row r="212" spans="1:13">
      <c r="A212" s="5"/>
      <c r="E212" s="3" t="e">
        <f>VLOOKUP(TablaObra[[#This Row],[Equipo]],[1]Catalogos!$V$4:$W$64,2,FALSE)</f>
        <v>#N/A</v>
      </c>
      <c r="F212" s="6"/>
      <c r="G212" s="7"/>
      <c r="H212" s="7">
        <f>IFERROR(F212*G212,0)</f>
        <v>0</v>
      </c>
      <c r="M212" s="3" t="str">
        <f t="shared" si="3"/>
        <v/>
      </c>
    </row>
    <row r="213" spans="1:13">
      <c r="A213" s="5"/>
      <c r="E213" s="3" t="e">
        <f>VLOOKUP(TablaObra[[#This Row],[Equipo]],[1]Catalogos!$V$4:$W$64,2,FALSE)</f>
        <v>#N/A</v>
      </c>
      <c r="F213" s="6"/>
      <c r="G213" s="7"/>
      <c r="H213" s="7">
        <f>IFERROR(F213*G213,0)</f>
        <v>0</v>
      </c>
      <c r="M213" s="3" t="str">
        <f t="shared" si="3"/>
        <v/>
      </c>
    </row>
    <row r="214" spans="1:13">
      <c r="A214" s="5"/>
      <c r="E214" s="3" t="e">
        <f>VLOOKUP(TablaObra[[#This Row],[Equipo]],[1]Catalogos!$V$4:$W$64,2,FALSE)</f>
        <v>#N/A</v>
      </c>
      <c r="F214" s="6"/>
      <c r="G214" s="7"/>
      <c r="H214" s="7">
        <f>IFERROR(F214*G214,0)</f>
        <v>0</v>
      </c>
      <c r="M214" s="3" t="str">
        <f t="shared" si="3"/>
        <v/>
      </c>
    </row>
    <row r="215" spans="1:13">
      <c r="A215" s="5"/>
      <c r="E215" s="3" t="e">
        <f>VLOOKUP(TablaObra[[#This Row],[Equipo]],[1]Catalogos!$V$4:$W$64,2,FALSE)</f>
        <v>#N/A</v>
      </c>
      <c r="F215" s="6"/>
      <c r="G215" s="7"/>
      <c r="H215" s="7">
        <f>IFERROR(F215*G215,0)</f>
        <v>0</v>
      </c>
      <c r="M215" s="3" t="str">
        <f t="shared" si="3"/>
        <v/>
      </c>
    </row>
    <row r="216" spans="1:13">
      <c r="A216" s="5"/>
      <c r="E216" s="3" t="e">
        <f>VLOOKUP(TablaObra[[#This Row],[Equipo]],[1]Catalogos!$V$4:$W$64,2,FALSE)</f>
        <v>#N/A</v>
      </c>
      <c r="F216" s="6"/>
      <c r="G216" s="7"/>
      <c r="H216" s="7">
        <f>IFERROR(F216*G216,0)</f>
        <v>0</v>
      </c>
      <c r="M216" s="3" t="str">
        <f t="shared" si="3"/>
        <v/>
      </c>
    </row>
    <row r="217" spans="1:13">
      <c r="A217" s="5"/>
      <c r="E217" s="3" t="e">
        <f>VLOOKUP(TablaObra[[#This Row],[Equipo]],[1]Catalogos!$V$4:$W$64,2,FALSE)</f>
        <v>#N/A</v>
      </c>
      <c r="F217" s="6"/>
      <c r="G217" s="7"/>
      <c r="H217" s="7">
        <f>IFERROR(F217*G217,0)</f>
        <v>0</v>
      </c>
      <c r="M217" s="3" t="str">
        <f t="shared" si="3"/>
        <v/>
      </c>
    </row>
    <row r="218" spans="1:13">
      <c r="A218" s="5"/>
      <c r="E218" s="3" t="e">
        <f>VLOOKUP(TablaObra[[#This Row],[Equipo]],[1]Catalogos!$V$4:$W$64,2,FALSE)</f>
        <v>#N/A</v>
      </c>
      <c r="F218" s="6"/>
      <c r="G218" s="7"/>
      <c r="H218" s="7">
        <f>IFERROR(F218*G218,0)</f>
        <v>0</v>
      </c>
      <c r="M218" s="3" t="str">
        <f t="shared" si="3"/>
        <v/>
      </c>
    </row>
    <row r="219" spans="1:13">
      <c r="A219" s="5"/>
      <c r="E219" s="3" t="e">
        <f>VLOOKUP(TablaObra[[#This Row],[Equipo]],[1]Catalogos!$V$4:$W$64,2,FALSE)</f>
        <v>#N/A</v>
      </c>
      <c r="F219" s="6"/>
      <c r="G219" s="7"/>
      <c r="H219" s="7">
        <f>IFERROR(F219*G219,0)</f>
        <v>0</v>
      </c>
      <c r="M219" s="3" t="str">
        <f t="shared" si="3"/>
        <v/>
      </c>
    </row>
    <row r="220" spans="1:13">
      <c r="A220" s="5"/>
      <c r="E220" s="3" t="e">
        <f>VLOOKUP(TablaObra[[#This Row],[Equipo]],[1]Catalogos!$V$4:$W$64,2,FALSE)</f>
        <v>#N/A</v>
      </c>
      <c r="F220" s="6"/>
      <c r="G220" s="7"/>
      <c r="H220" s="7">
        <f>IFERROR(F220*G220,0)</f>
        <v>0</v>
      </c>
      <c r="M220" s="3" t="str">
        <f t="shared" si="3"/>
        <v/>
      </c>
    </row>
    <row r="221" spans="1:13">
      <c r="A221" s="5"/>
      <c r="E221" s="3" t="e">
        <f>VLOOKUP(TablaObra[[#This Row],[Equipo]],[1]Catalogos!$V$4:$W$64,2,FALSE)</f>
        <v>#N/A</v>
      </c>
      <c r="F221" s="6"/>
      <c r="G221" s="7"/>
      <c r="H221" s="7">
        <f>IFERROR(F221*G221,0)</f>
        <v>0</v>
      </c>
      <c r="M221" s="3" t="str">
        <f t="shared" si="3"/>
        <v/>
      </c>
    </row>
    <row r="222" spans="1:13">
      <c r="A222" s="5"/>
      <c r="E222" s="3" t="e">
        <f>VLOOKUP(TablaObra[[#This Row],[Equipo]],[1]Catalogos!$V$4:$W$64,2,FALSE)</f>
        <v>#N/A</v>
      </c>
      <c r="F222" s="6"/>
      <c r="G222" s="7"/>
      <c r="H222" s="7">
        <f>IFERROR(F222*G222,0)</f>
        <v>0</v>
      </c>
      <c r="M222" s="3" t="str">
        <f t="shared" si="3"/>
        <v/>
      </c>
    </row>
    <row r="223" spans="1:13">
      <c r="A223" s="5"/>
      <c r="E223" s="3" t="e">
        <f>VLOOKUP(TablaObra[[#This Row],[Equipo]],[1]Catalogos!$V$4:$W$64,2,FALSE)</f>
        <v>#N/A</v>
      </c>
      <c r="F223" s="6"/>
      <c r="G223" s="7"/>
      <c r="H223" s="7">
        <f>IFERROR(F223*G223,0)</f>
        <v>0</v>
      </c>
      <c r="M223" s="3" t="str">
        <f t="shared" si="3"/>
        <v/>
      </c>
    </row>
    <row r="224" spans="1:13">
      <c r="A224" s="5"/>
      <c r="E224" s="3" t="e">
        <f>VLOOKUP(TablaObra[[#This Row],[Equipo]],[1]Catalogos!$V$4:$W$64,2,FALSE)</f>
        <v>#N/A</v>
      </c>
      <c r="F224" s="6"/>
      <c r="G224" s="7"/>
      <c r="H224" s="7">
        <f>IFERROR(F224*G224,0)</f>
        <v>0</v>
      </c>
      <c r="M224" s="3" t="str">
        <f t="shared" si="3"/>
        <v/>
      </c>
    </row>
    <row r="225" spans="1:13">
      <c r="A225" s="5"/>
      <c r="E225" s="3" t="e">
        <f>VLOOKUP(TablaObra[[#This Row],[Equipo]],[1]Catalogos!$V$4:$W$64,2,FALSE)</f>
        <v>#N/A</v>
      </c>
      <c r="F225" s="6"/>
      <c r="G225" s="7"/>
      <c r="H225" s="7">
        <f>IFERROR(F225*G225,0)</f>
        <v>0</v>
      </c>
      <c r="M225" s="3" t="str">
        <f t="shared" si="3"/>
        <v/>
      </c>
    </row>
    <row r="226" spans="1:13">
      <c r="A226" s="5"/>
      <c r="E226" s="3" t="e">
        <f>VLOOKUP(TablaObra[[#This Row],[Equipo]],[1]Catalogos!$V$4:$W$64,2,FALSE)</f>
        <v>#N/A</v>
      </c>
      <c r="F226" s="6"/>
      <c r="G226" s="7"/>
      <c r="H226" s="7">
        <f>IFERROR(F226*G226,0)</f>
        <v>0</v>
      </c>
      <c r="M226" s="3" t="str">
        <f t="shared" si="3"/>
        <v/>
      </c>
    </row>
    <row r="227" spans="1:13">
      <c r="A227" s="5"/>
      <c r="E227" s="3" t="e">
        <f>VLOOKUP(TablaObra[[#This Row],[Equipo]],[1]Catalogos!$V$4:$W$64,2,FALSE)</f>
        <v>#N/A</v>
      </c>
      <c r="F227" s="6"/>
      <c r="G227" s="7"/>
      <c r="H227" s="7">
        <f>IFERROR(F227*G227,0)</f>
        <v>0</v>
      </c>
      <c r="M227" s="3" t="str">
        <f t="shared" si="3"/>
        <v/>
      </c>
    </row>
    <row r="228" spans="1:13">
      <c r="A228" s="5"/>
      <c r="E228" s="3" t="e">
        <f>VLOOKUP(TablaObra[[#This Row],[Equipo]],[1]Catalogos!$V$4:$W$64,2,FALSE)</f>
        <v>#N/A</v>
      </c>
      <c r="F228" s="6"/>
      <c r="G228" s="7"/>
      <c r="H228" s="7">
        <f>IFERROR(F228*G228,0)</f>
        <v>0</v>
      </c>
      <c r="M228" s="3" t="str">
        <f t="shared" si="3"/>
        <v/>
      </c>
    </row>
    <row r="229" spans="1:13">
      <c r="A229" s="5"/>
      <c r="E229" s="3" t="e">
        <f>VLOOKUP(TablaObra[[#This Row],[Equipo]],[1]Catalogos!$V$4:$W$64,2,FALSE)</f>
        <v>#N/A</v>
      </c>
      <c r="F229" s="6"/>
      <c r="G229" s="7"/>
      <c r="H229" s="7">
        <f>IFERROR(F229*G229,0)</f>
        <v>0</v>
      </c>
      <c r="M229" s="3" t="str">
        <f t="shared" si="3"/>
        <v/>
      </c>
    </row>
    <row r="230" spans="1:13">
      <c r="A230" s="5"/>
      <c r="E230" s="3" t="e">
        <f>VLOOKUP(TablaObra[[#This Row],[Equipo]],[1]Catalogos!$V$4:$W$64,2,FALSE)</f>
        <v>#N/A</v>
      </c>
      <c r="F230" s="6"/>
      <c r="G230" s="7"/>
      <c r="H230" s="7">
        <f>IFERROR(F230*G230,0)</f>
        <v>0</v>
      </c>
      <c r="M230" s="3" t="str">
        <f t="shared" si="3"/>
        <v/>
      </c>
    </row>
    <row r="231" spans="1:13">
      <c r="A231" s="5"/>
      <c r="E231" s="3" t="e">
        <f>VLOOKUP(TablaObra[[#This Row],[Equipo]],[1]Catalogos!$V$4:$W$64,2,FALSE)</f>
        <v>#N/A</v>
      </c>
      <c r="F231" s="6"/>
      <c r="G231" s="7"/>
      <c r="H231" s="7">
        <f>IFERROR(F231*G231,0)</f>
        <v>0</v>
      </c>
      <c r="M231" s="3" t="str">
        <f t="shared" si="3"/>
        <v/>
      </c>
    </row>
    <row r="232" spans="1:13">
      <c r="A232" s="5"/>
      <c r="E232" s="3" t="e">
        <f>VLOOKUP(TablaObra[[#This Row],[Equipo]],[1]Catalogos!$V$4:$W$64,2,FALSE)</f>
        <v>#N/A</v>
      </c>
      <c r="F232" s="6"/>
      <c r="G232" s="7"/>
      <c r="H232" s="7">
        <f>IFERROR(F232*G232,0)</f>
        <v>0</v>
      </c>
      <c r="M232" s="3" t="str">
        <f t="shared" si="3"/>
        <v/>
      </c>
    </row>
    <row r="233" spans="1:13">
      <c r="A233" s="5"/>
      <c r="E233" s="3" t="e">
        <f>VLOOKUP(TablaObra[[#This Row],[Equipo]],[1]Catalogos!$V$4:$W$64,2,FALSE)</f>
        <v>#N/A</v>
      </c>
      <c r="F233" s="6"/>
      <c r="G233" s="7"/>
      <c r="H233" s="7">
        <f>IFERROR(F233*G233,0)</f>
        <v>0</v>
      </c>
      <c r="M233" s="3" t="str">
        <f t="shared" si="3"/>
        <v/>
      </c>
    </row>
    <row r="234" spans="1:13">
      <c r="A234" s="5"/>
      <c r="E234" s="3" t="e">
        <f>VLOOKUP(TablaObra[[#This Row],[Equipo]],[1]Catalogos!$V$4:$W$64,2,FALSE)</f>
        <v>#N/A</v>
      </c>
      <c r="F234" s="6"/>
      <c r="G234" s="7"/>
      <c r="H234" s="7">
        <f>IFERROR(F234*G234,0)</f>
        <v>0</v>
      </c>
      <c r="M234" s="3" t="str">
        <f t="shared" si="3"/>
        <v/>
      </c>
    </row>
    <row r="235" spans="1:13">
      <c r="A235" s="5"/>
      <c r="E235" s="3" t="e">
        <f>VLOOKUP(TablaObra[[#This Row],[Equipo]],[1]Catalogos!$V$4:$W$64,2,FALSE)</f>
        <v>#N/A</v>
      </c>
      <c r="F235" s="6"/>
      <c r="G235" s="7"/>
      <c r="H235" s="7">
        <f>IFERROR(F235*G235,0)</f>
        <v>0</v>
      </c>
      <c r="M235" s="3" t="str">
        <f t="shared" si="3"/>
        <v/>
      </c>
    </row>
    <row r="236" spans="1:13">
      <c r="A236" s="5"/>
      <c r="E236" s="3" t="e">
        <f>VLOOKUP(TablaObra[[#This Row],[Equipo]],[1]Catalogos!$V$4:$W$64,2,FALSE)</f>
        <v>#N/A</v>
      </c>
      <c r="F236" s="6"/>
      <c r="G236" s="7"/>
      <c r="H236" s="7">
        <f>IFERROR(F236*G236,0)</f>
        <v>0</v>
      </c>
      <c r="M236" s="3" t="str">
        <f t="shared" si="3"/>
        <v/>
      </c>
    </row>
    <row r="237" spans="1:13">
      <c r="A237" s="5"/>
      <c r="E237" s="3" t="e">
        <f>VLOOKUP(TablaObra[[#This Row],[Equipo]],[1]Catalogos!$V$4:$W$64,2,FALSE)</f>
        <v>#N/A</v>
      </c>
      <c r="F237" s="6"/>
      <c r="G237" s="7"/>
      <c r="H237" s="7">
        <f>IFERROR(F237*G237,0)</f>
        <v>0</v>
      </c>
      <c r="M237" s="3" t="str">
        <f t="shared" si="3"/>
        <v/>
      </c>
    </row>
    <row r="238" spans="1:13">
      <c r="A238" s="5"/>
      <c r="E238" s="3" t="e">
        <f>VLOOKUP(TablaObra[[#This Row],[Equipo]],[1]Catalogos!$V$4:$W$64,2,FALSE)</f>
        <v>#N/A</v>
      </c>
      <c r="F238" s="6"/>
      <c r="G238" s="7"/>
      <c r="H238" s="7">
        <f>IFERROR(F238*G238,0)</f>
        <v>0</v>
      </c>
      <c r="M238" s="3" t="str">
        <f t="shared" si="3"/>
        <v/>
      </c>
    </row>
    <row r="239" spans="1:13">
      <c r="A239" s="5"/>
      <c r="E239" s="3" t="e">
        <f>VLOOKUP(TablaObra[[#This Row],[Equipo]],[1]Catalogos!$V$4:$W$64,2,FALSE)</f>
        <v>#N/A</v>
      </c>
      <c r="F239" s="6"/>
      <c r="G239" s="7"/>
      <c r="H239" s="7">
        <f>IFERROR(F239*G239,0)</f>
        <v>0</v>
      </c>
      <c r="M239" s="3" t="str">
        <f t="shared" si="3"/>
        <v/>
      </c>
    </row>
    <row r="240" spans="1:13">
      <c r="A240" s="5"/>
      <c r="E240" s="3" t="e">
        <f>VLOOKUP(TablaObra[[#This Row],[Equipo]],[1]Catalogos!$V$4:$W$64,2,FALSE)</f>
        <v>#N/A</v>
      </c>
      <c r="F240" s="6"/>
      <c r="G240" s="7"/>
      <c r="H240" s="7">
        <f>IFERROR(F240*G240,0)</f>
        <v>0</v>
      </c>
      <c r="M240" s="3" t="str">
        <f t="shared" si="3"/>
        <v/>
      </c>
    </row>
    <row r="241" spans="1:13">
      <c r="A241" s="5"/>
      <c r="E241" s="3" t="e">
        <f>VLOOKUP(TablaObra[[#This Row],[Equipo]],[1]Catalogos!$V$4:$W$64,2,FALSE)</f>
        <v>#N/A</v>
      </c>
      <c r="F241" s="6"/>
      <c r="G241" s="7"/>
      <c r="H241" s="7">
        <f>IFERROR(F241*G241,0)</f>
        <v>0</v>
      </c>
      <c r="M241" s="3" t="str">
        <f t="shared" si="3"/>
        <v/>
      </c>
    </row>
    <row r="242" spans="1:13">
      <c r="A242" s="5"/>
      <c r="E242" s="3" t="e">
        <f>VLOOKUP(TablaObra[[#This Row],[Equipo]],[1]Catalogos!$V$4:$W$64,2,FALSE)</f>
        <v>#N/A</v>
      </c>
      <c r="F242" s="6"/>
      <c r="G242" s="7"/>
      <c r="H242" s="7">
        <f>IFERROR(F242*G242,0)</f>
        <v>0</v>
      </c>
      <c r="M242" s="3" t="str">
        <f t="shared" si="3"/>
        <v/>
      </c>
    </row>
    <row r="243" spans="1:13">
      <c r="A243" s="5"/>
      <c r="E243" s="3" t="e">
        <f>VLOOKUP(TablaObra[[#This Row],[Equipo]],[1]Catalogos!$V$4:$W$64,2,FALSE)</f>
        <v>#N/A</v>
      </c>
      <c r="F243" s="6"/>
      <c r="G243" s="7"/>
      <c r="H243" s="7">
        <f>IFERROR(F243*G243,0)</f>
        <v>0</v>
      </c>
      <c r="M243" s="3" t="str">
        <f t="shared" si="3"/>
        <v/>
      </c>
    </row>
    <row r="244" spans="1:13">
      <c r="A244" s="5"/>
      <c r="E244" s="3" t="e">
        <f>VLOOKUP(TablaObra[[#This Row],[Equipo]],[1]Catalogos!$V$4:$W$64,2,FALSE)</f>
        <v>#N/A</v>
      </c>
      <c r="F244" s="6"/>
      <c r="G244" s="7"/>
      <c r="H244" s="7">
        <f>IFERROR(F244*G244,0)</f>
        <v>0</v>
      </c>
      <c r="M244" s="3" t="str">
        <f t="shared" si="3"/>
        <v/>
      </c>
    </row>
    <row r="245" spans="1:13">
      <c r="A245" s="5"/>
      <c r="E245" s="3" t="e">
        <f>VLOOKUP(TablaObra[[#This Row],[Equipo]],[1]Catalogos!$V$4:$W$64,2,FALSE)</f>
        <v>#N/A</v>
      </c>
      <c r="F245" s="6"/>
      <c r="G245" s="7"/>
      <c r="H245" s="7">
        <f>IFERROR(F245*G245,0)</f>
        <v>0</v>
      </c>
      <c r="M245" s="3" t="str">
        <f t="shared" si="3"/>
        <v/>
      </c>
    </row>
    <row r="246" spans="1:13">
      <c r="A246" s="5"/>
      <c r="E246" s="3" t="e">
        <f>VLOOKUP(TablaObra[[#This Row],[Equipo]],[1]Catalogos!$V$4:$W$64,2,FALSE)</f>
        <v>#N/A</v>
      </c>
      <c r="F246" s="6"/>
      <c r="G246" s="7"/>
      <c r="H246" s="7">
        <f>IFERROR(F246*G246,0)</f>
        <v>0</v>
      </c>
      <c r="M246" s="3" t="str">
        <f t="shared" si="3"/>
        <v/>
      </c>
    </row>
    <row r="247" spans="1:13">
      <c r="A247" s="5"/>
      <c r="E247" s="3" t="e">
        <f>VLOOKUP(TablaObra[[#This Row],[Equipo]],[1]Catalogos!$V$4:$W$64,2,FALSE)</f>
        <v>#N/A</v>
      </c>
      <c r="F247" s="6"/>
      <c r="G247" s="7"/>
      <c r="H247" s="7">
        <f>IFERROR(F247*G247,0)</f>
        <v>0</v>
      </c>
      <c r="M247" s="3" t="str">
        <f t="shared" si="3"/>
        <v/>
      </c>
    </row>
    <row r="248" spans="1:13">
      <c r="A248" s="5"/>
      <c r="E248" s="3" t="e">
        <f>VLOOKUP(TablaObra[[#This Row],[Equipo]],[1]Catalogos!$V$4:$W$64,2,FALSE)</f>
        <v>#N/A</v>
      </c>
      <c r="F248" s="6"/>
      <c r="G248" s="7"/>
      <c r="H248" s="7">
        <f>IFERROR(F248*G248,0)</f>
        <v>0</v>
      </c>
      <c r="M248" s="3" t="str">
        <f t="shared" si="3"/>
        <v/>
      </c>
    </row>
    <row r="249" spans="1:13">
      <c r="A249" s="5"/>
      <c r="E249" s="3" t="e">
        <f>VLOOKUP(TablaObra[[#This Row],[Equipo]],[1]Catalogos!$V$4:$W$64,2,FALSE)</f>
        <v>#N/A</v>
      </c>
      <c r="F249" s="6"/>
      <c r="G249" s="7"/>
      <c r="H249" s="7">
        <f>IFERROR(F249*G249,0)</f>
        <v>0</v>
      </c>
      <c r="M249" s="3" t="str">
        <f t="shared" si="3"/>
        <v/>
      </c>
    </row>
    <row r="250" spans="1:13">
      <c r="A250" s="5"/>
      <c r="E250" s="3" t="e">
        <f>VLOOKUP(TablaObra[[#This Row],[Equipo]],[1]Catalogos!$V$4:$W$64,2,FALSE)</f>
        <v>#N/A</v>
      </c>
      <c r="F250" s="6"/>
      <c r="G250" s="7"/>
      <c r="H250" s="7">
        <f>IFERROR(F250*G250,0)</f>
        <v>0</v>
      </c>
      <c r="M250" s="3" t="str">
        <f t="shared" si="3"/>
        <v/>
      </c>
    </row>
    <row r="251" spans="1:13">
      <c r="A251" s="5"/>
      <c r="E251" s="3" t="e">
        <f>VLOOKUP(TablaObra[[#This Row],[Equipo]],[1]Catalogos!$V$4:$W$64,2,FALSE)</f>
        <v>#N/A</v>
      </c>
      <c r="F251" s="6"/>
      <c r="G251" s="7"/>
      <c r="H251" s="7">
        <f>IFERROR(F251*G251,0)</f>
        <v>0</v>
      </c>
      <c r="M251" s="3" t="str">
        <f t="shared" si="3"/>
        <v/>
      </c>
    </row>
    <row r="252" spans="1:13">
      <c r="A252" s="5"/>
      <c r="E252" s="3" t="e">
        <f>VLOOKUP(TablaObra[[#This Row],[Equipo]],[1]Catalogos!$V$4:$W$64,2,FALSE)</f>
        <v>#N/A</v>
      </c>
      <c r="F252" s="6"/>
      <c r="G252" s="7"/>
      <c r="H252" s="7">
        <f>IFERROR(F252*G252,0)</f>
        <v>0</v>
      </c>
      <c r="M252" s="3" t="str">
        <f t="shared" si="3"/>
        <v/>
      </c>
    </row>
    <row r="253" spans="1:13">
      <c r="A253" s="5"/>
      <c r="E253" s="3" t="e">
        <f>VLOOKUP(TablaObra[[#This Row],[Equipo]],[1]Catalogos!$V$4:$W$64,2,FALSE)</f>
        <v>#N/A</v>
      </c>
      <c r="F253" s="6"/>
      <c r="G253" s="7"/>
      <c r="H253" s="7">
        <f>IFERROR(F253*G253,0)</f>
        <v>0</v>
      </c>
      <c r="M253" s="3" t="str">
        <f t="shared" si="3"/>
        <v/>
      </c>
    </row>
    <row r="254" spans="1:13">
      <c r="A254" s="5"/>
      <c r="E254" s="3" t="e">
        <f>VLOOKUP(TablaObra[[#This Row],[Equipo]],[1]Catalogos!$V$4:$W$64,2,FALSE)</f>
        <v>#N/A</v>
      </c>
      <c r="F254" s="6"/>
      <c r="G254" s="7"/>
      <c r="H254" s="7">
        <f>IFERROR(F254*G254,0)</f>
        <v>0</v>
      </c>
      <c r="M254" s="3" t="str">
        <f t="shared" si="3"/>
        <v/>
      </c>
    </row>
    <row r="255" spans="1:13">
      <c r="A255" s="5"/>
      <c r="E255" s="3" t="e">
        <f>VLOOKUP(TablaObra[[#This Row],[Equipo]],[1]Catalogos!$V$4:$W$64,2,FALSE)</f>
        <v>#N/A</v>
      </c>
      <c r="F255" s="6"/>
      <c r="G255" s="7"/>
      <c r="H255" s="7">
        <f>IFERROR(F255*G255,0)</f>
        <v>0</v>
      </c>
      <c r="M255" s="3" t="str">
        <f t="shared" si="3"/>
        <v/>
      </c>
    </row>
    <row r="256" spans="1:13">
      <c r="A256" s="5"/>
      <c r="E256" s="3" t="e">
        <f>VLOOKUP(TablaObra[[#This Row],[Equipo]],[1]Catalogos!$V$4:$W$64,2,FALSE)</f>
        <v>#N/A</v>
      </c>
      <c r="F256" s="6"/>
      <c r="G256" s="7"/>
      <c r="H256" s="7">
        <f>IFERROR(F256*G256,0)</f>
        <v>0</v>
      </c>
      <c r="M256" s="3" t="str">
        <f t="shared" si="3"/>
        <v/>
      </c>
    </row>
    <row r="257" spans="1:13">
      <c r="A257" s="5"/>
      <c r="E257" s="3" t="e">
        <f>VLOOKUP(TablaObra[[#This Row],[Equipo]],[1]Catalogos!$V$4:$W$64,2,FALSE)</f>
        <v>#N/A</v>
      </c>
      <c r="F257" s="6"/>
      <c r="G257" s="7"/>
      <c r="H257" s="7">
        <f>IFERROR(F257*G257,0)</f>
        <v>0</v>
      </c>
      <c r="M257" s="3" t="str">
        <f t="shared" si="3"/>
        <v/>
      </c>
    </row>
    <row r="258" spans="1:13">
      <c r="A258" s="5"/>
      <c r="E258" s="3" t="e">
        <f>VLOOKUP(TablaObra[[#This Row],[Equipo]],[1]Catalogos!$V$4:$W$64,2,FALSE)</f>
        <v>#N/A</v>
      </c>
      <c r="F258" s="6"/>
      <c r="G258" s="7"/>
      <c r="H258" s="7">
        <f>IFERROR(F258*G258,0)</f>
        <v>0</v>
      </c>
      <c r="M258" s="3" t="str">
        <f t="shared" si="3"/>
        <v/>
      </c>
    </row>
    <row r="259" spans="1:13">
      <c r="A259" s="5"/>
      <c r="E259" s="3" t="e">
        <f>VLOOKUP(TablaObra[[#This Row],[Equipo]],[1]Catalogos!$V$4:$W$64,2,FALSE)</f>
        <v>#N/A</v>
      </c>
      <c r="F259" s="6"/>
      <c r="G259" s="7"/>
      <c r="H259" s="7">
        <f>IFERROR(F259*G259,0)</f>
        <v>0</v>
      </c>
      <c r="M259" s="3" t="str">
        <f t="shared" si="3"/>
        <v/>
      </c>
    </row>
    <row r="260" spans="1:13">
      <c r="A260" s="5"/>
      <c r="E260" s="3" t="e">
        <f>VLOOKUP(TablaObra[[#This Row],[Equipo]],[1]Catalogos!$V$4:$W$64,2,FALSE)</f>
        <v>#N/A</v>
      </c>
      <c r="F260" s="6"/>
      <c r="G260" s="7"/>
      <c r="H260" s="7">
        <f>IFERROR(F260*G260,0)</f>
        <v>0</v>
      </c>
      <c r="M260" s="3" t="str">
        <f t="shared" si="3"/>
        <v/>
      </c>
    </row>
    <row r="261" spans="1:13">
      <c r="A261" s="5"/>
      <c r="E261" s="3" t="e">
        <f>VLOOKUP(TablaObra[[#This Row],[Equipo]],[1]Catalogos!$V$4:$W$64,2,FALSE)</f>
        <v>#N/A</v>
      </c>
      <c r="F261" s="6"/>
      <c r="G261" s="7"/>
      <c r="H261" s="7">
        <f>IFERROR(F261*G261,0)</f>
        <v>0</v>
      </c>
      <c r="M261" s="3" t="str">
        <f t="shared" ref="M261:M324" si="4">IF(A261="","", WEEKNUM(A261, 2))</f>
        <v/>
      </c>
    </row>
    <row r="262" spans="1:13">
      <c r="A262" s="5"/>
      <c r="E262" s="3" t="e">
        <f>VLOOKUP(TablaObra[[#This Row],[Equipo]],[1]Catalogos!$V$4:$W$64,2,FALSE)</f>
        <v>#N/A</v>
      </c>
      <c r="F262" s="6"/>
      <c r="G262" s="7"/>
      <c r="H262" s="7">
        <f>IFERROR(F262*G262,0)</f>
        <v>0</v>
      </c>
      <c r="M262" s="3" t="str">
        <f t="shared" si="4"/>
        <v/>
      </c>
    </row>
    <row r="263" spans="1:13">
      <c r="A263" s="5"/>
      <c r="E263" s="3" t="e">
        <f>VLOOKUP(TablaObra[[#This Row],[Equipo]],[1]Catalogos!$V$4:$W$64,2,FALSE)</f>
        <v>#N/A</v>
      </c>
      <c r="F263" s="6"/>
      <c r="G263" s="7"/>
      <c r="H263" s="7">
        <f>IFERROR(F263*G263,0)</f>
        <v>0</v>
      </c>
      <c r="M263" s="3" t="str">
        <f t="shared" si="4"/>
        <v/>
      </c>
    </row>
    <row r="264" spans="1:13">
      <c r="A264" s="5"/>
      <c r="E264" s="3" t="e">
        <f>VLOOKUP(TablaObra[[#This Row],[Equipo]],[1]Catalogos!$V$4:$W$64,2,FALSE)</f>
        <v>#N/A</v>
      </c>
      <c r="F264" s="6"/>
      <c r="G264" s="7"/>
      <c r="H264" s="7">
        <f>IFERROR(F264*G264,0)</f>
        <v>0</v>
      </c>
      <c r="M264" s="3" t="str">
        <f t="shared" si="4"/>
        <v/>
      </c>
    </row>
    <row r="265" spans="1:13">
      <c r="A265" s="5"/>
      <c r="E265" s="3" t="e">
        <f>VLOOKUP(TablaObra[[#This Row],[Equipo]],[1]Catalogos!$V$4:$W$64,2,FALSE)</f>
        <v>#N/A</v>
      </c>
      <c r="F265" s="6"/>
      <c r="G265" s="7"/>
      <c r="H265" s="7">
        <f>IFERROR(F265*G265,0)</f>
        <v>0</v>
      </c>
      <c r="M265" s="3" t="str">
        <f t="shared" si="4"/>
        <v/>
      </c>
    </row>
    <row r="266" spans="1:13">
      <c r="A266" s="5"/>
      <c r="E266" s="3" t="e">
        <f>VLOOKUP(TablaObra[[#This Row],[Equipo]],[1]Catalogos!$V$4:$W$64,2,FALSE)</f>
        <v>#N/A</v>
      </c>
      <c r="F266" s="6"/>
      <c r="G266" s="7"/>
      <c r="H266" s="7">
        <f>IFERROR(F266*G266,0)</f>
        <v>0</v>
      </c>
      <c r="M266" s="3" t="str">
        <f t="shared" si="4"/>
        <v/>
      </c>
    </row>
    <row r="267" spans="1:13">
      <c r="A267" s="5"/>
      <c r="E267" s="3" t="e">
        <f>VLOOKUP(TablaObra[[#This Row],[Equipo]],[1]Catalogos!$V$4:$W$64,2,FALSE)</f>
        <v>#N/A</v>
      </c>
      <c r="F267" s="6"/>
      <c r="G267" s="7"/>
      <c r="H267" s="7">
        <f>IFERROR(F267*G267,0)</f>
        <v>0</v>
      </c>
      <c r="M267" s="3" t="str">
        <f t="shared" si="4"/>
        <v/>
      </c>
    </row>
    <row r="268" spans="1:13">
      <c r="A268" s="5"/>
      <c r="E268" s="3" t="e">
        <f>VLOOKUP(TablaObra[[#This Row],[Equipo]],[1]Catalogos!$V$4:$W$64,2,FALSE)</f>
        <v>#N/A</v>
      </c>
      <c r="F268" s="6"/>
      <c r="G268" s="7"/>
      <c r="H268" s="7">
        <f>IFERROR(F268*G268,0)</f>
        <v>0</v>
      </c>
      <c r="M268" s="3" t="str">
        <f t="shared" si="4"/>
        <v/>
      </c>
    </row>
    <row r="269" spans="1:13">
      <c r="A269" s="5"/>
      <c r="E269" s="3" t="e">
        <f>VLOOKUP(TablaObra[[#This Row],[Equipo]],[1]Catalogos!$V$4:$W$64,2,FALSE)</f>
        <v>#N/A</v>
      </c>
      <c r="F269" s="6"/>
      <c r="G269" s="7"/>
      <c r="H269" s="7">
        <f>IFERROR(F269*G269,0)</f>
        <v>0</v>
      </c>
      <c r="M269" s="3" t="str">
        <f t="shared" si="4"/>
        <v/>
      </c>
    </row>
    <row r="270" spans="1:13">
      <c r="A270" s="5"/>
      <c r="E270" s="3" t="e">
        <f>VLOOKUP(TablaObra[[#This Row],[Equipo]],[1]Catalogos!$V$4:$W$64,2,FALSE)</f>
        <v>#N/A</v>
      </c>
      <c r="F270" s="6"/>
      <c r="G270" s="7"/>
      <c r="H270" s="7">
        <f>IFERROR(F270*G270,0)</f>
        <v>0</v>
      </c>
      <c r="M270" s="3" t="str">
        <f t="shared" si="4"/>
        <v/>
      </c>
    </row>
    <row r="271" spans="1:13">
      <c r="A271" s="5"/>
      <c r="E271" s="3" t="e">
        <f>VLOOKUP(TablaObra[[#This Row],[Equipo]],[1]Catalogos!$V$4:$W$64,2,FALSE)</f>
        <v>#N/A</v>
      </c>
      <c r="F271" s="6"/>
      <c r="G271" s="7"/>
      <c r="H271" s="7">
        <f>IFERROR(F271*G271,0)</f>
        <v>0</v>
      </c>
      <c r="M271" s="3" t="str">
        <f t="shared" si="4"/>
        <v/>
      </c>
    </row>
    <row r="272" spans="1:13">
      <c r="A272" s="5"/>
      <c r="E272" s="3" t="e">
        <f>VLOOKUP(TablaObra[[#This Row],[Equipo]],[1]Catalogos!$V$4:$W$64,2,FALSE)</f>
        <v>#N/A</v>
      </c>
      <c r="F272" s="6"/>
      <c r="G272" s="7"/>
      <c r="H272" s="7">
        <f>IFERROR(F272*G272,0)</f>
        <v>0</v>
      </c>
      <c r="M272" s="3" t="str">
        <f t="shared" si="4"/>
        <v/>
      </c>
    </row>
    <row r="273" spans="1:13">
      <c r="A273" s="5"/>
      <c r="E273" s="3" t="e">
        <f>VLOOKUP(TablaObra[[#This Row],[Equipo]],[1]Catalogos!$V$4:$W$64,2,FALSE)</f>
        <v>#N/A</v>
      </c>
      <c r="F273" s="6"/>
      <c r="G273" s="7"/>
      <c r="H273" s="7">
        <f>IFERROR(F273*G273,0)</f>
        <v>0</v>
      </c>
      <c r="M273" s="3" t="str">
        <f t="shared" si="4"/>
        <v/>
      </c>
    </row>
    <row r="274" spans="1:13">
      <c r="A274" s="5"/>
      <c r="E274" s="3" t="e">
        <f>VLOOKUP(TablaObra[[#This Row],[Equipo]],[1]Catalogos!$V$4:$W$64,2,FALSE)</f>
        <v>#N/A</v>
      </c>
      <c r="F274" s="6"/>
      <c r="G274" s="7"/>
      <c r="H274" s="7">
        <f>IFERROR(F274*G274,0)</f>
        <v>0</v>
      </c>
      <c r="M274" s="3" t="str">
        <f t="shared" si="4"/>
        <v/>
      </c>
    </row>
    <row r="275" spans="1:13">
      <c r="A275" s="5"/>
      <c r="E275" s="3" t="e">
        <f>VLOOKUP(TablaObra[[#This Row],[Equipo]],[1]Catalogos!$V$4:$W$64,2,FALSE)</f>
        <v>#N/A</v>
      </c>
      <c r="F275" s="6"/>
      <c r="G275" s="7"/>
      <c r="H275" s="7">
        <f>IFERROR(F275*G275,0)</f>
        <v>0</v>
      </c>
      <c r="M275" s="3" t="str">
        <f t="shared" si="4"/>
        <v/>
      </c>
    </row>
    <row r="276" spans="1:13">
      <c r="A276" s="5"/>
      <c r="E276" s="3" t="e">
        <f>VLOOKUP(TablaObra[[#This Row],[Equipo]],[1]Catalogos!$V$4:$W$64,2,FALSE)</f>
        <v>#N/A</v>
      </c>
      <c r="F276" s="6"/>
      <c r="G276" s="7"/>
      <c r="H276" s="7">
        <f>IFERROR(F276*G276,0)</f>
        <v>0</v>
      </c>
      <c r="M276" s="3" t="str">
        <f t="shared" si="4"/>
        <v/>
      </c>
    </row>
    <row r="277" spans="1:13">
      <c r="A277" s="5"/>
      <c r="E277" s="3" t="e">
        <f>VLOOKUP(TablaObra[[#This Row],[Equipo]],[1]Catalogos!$V$4:$W$64,2,FALSE)</f>
        <v>#N/A</v>
      </c>
      <c r="F277" s="6"/>
      <c r="G277" s="7"/>
      <c r="H277" s="7">
        <f>IFERROR(F277*G277,0)</f>
        <v>0</v>
      </c>
      <c r="M277" s="3" t="str">
        <f t="shared" si="4"/>
        <v/>
      </c>
    </row>
    <row r="278" spans="1:13">
      <c r="A278" s="5"/>
      <c r="E278" s="3" t="e">
        <f>VLOOKUP(TablaObra[[#This Row],[Equipo]],[1]Catalogos!$V$4:$W$64,2,FALSE)</f>
        <v>#N/A</v>
      </c>
      <c r="F278" s="6"/>
      <c r="G278" s="7"/>
      <c r="H278" s="7">
        <f>IFERROR(F278*G278,0)</f>
        <v>0</v>
      </c>
      <c r="M278" s="3" t="str">
        <f t="shared" si="4"/>
        <v/>
      </c>
    </row>
    <row r="279" spans="1:13">
      <c r="A279" s="5"/>
      <c r="E279" s="3" t="e">
        <f>VLOOKUP(TablaObra[[#This Row],[Equipo]],[1]Catalogos!$V$4:$W$64,2,FALSE)</f>
        <v>#N/A</v>
      </c>
      <c r="F279" s="6"/>
      <c r="G279" s="7"/>
      <c r="H279" s="7">
        <f>IFERROR(F279*G279,0)</f>
        <v>0</v>
      </c>
      <c r="M279" s="3" t="str">
        <f t="shared" si="4"/>
        <v/>
      </c>
    </row>
    <row r="280" spans="1:13">
      <c r="A280" s="5"/>
      <c r="E280" s="3" t="e">
        <f>VLOOKUP(TablaObra[[#This Row],[Equipo]],[1]Catalogos!$V$4:$W$64,2,FALSE)</f>
        <v>#N/A</v>
      </c>
      <c r="F280" s="6"/>
      <c r="G280" s="7"/>
      <c r="H280" s="7">
        <f>IFERROR(F280*G280,0)</f>
        <v>0</v>
      </c>
      <c r="M280" s="3" t="str">
        <f t="shared" si="4"/>
        <v/>
      </c>
    </row>
    <row r="281" spans="1:13">
      <c r="A281" s="5"/>
      <c r="E281" s="3" t="e">
        <f>VLOOKUP(TablaObra[[#This Row],[Equipo]],[1]Catalogos!$V$4:$W$64,2,FALSE)</f>
        <v>#N/A</v>
      </c>
      <c r="F281" s="6"/>
      <c r="G281" s="7"/>
      <c r="H281" s="7">
        <f>IFERROR(F281*G281,0)</f>
        <v>0</v>
      </c>
      <c r="M281" s="3" t="str">
        <f t="shared" si="4"/>
        <v/>
      </c>
    </row>
    <row r="282" spans="1:13">
      <c r="A282" s="5"/>
      <c r="E282" s="3" t="e">
        <f>VLOOKUP(TablaObra[[#This Row],[Equipo]],[1]Catalogos!$V$4:$W$64,2,FALSE)</f>
        <v>#N/A</v>
      </c>
      <c r="F282" s="6"/>
      <c r="G282" s="7"/>
      <c r="H282" s="7">
        <f>IFERROR(F282*G282,0)</f>
        <v>0</v>
      </c>
      <c r="M282" s="3" t="str">
        <f t="shared" si="4"/>
        <v/>
      </c>
    </row>
    <row r="283" spans="1:13">
      <c r="A283" s="5"/>
      <c r="E283" s="3" t="e">
        <f>VLOOKUP(TablaObra[[#This Row],[Equipo]],[1]Catalogos!$V$4:$W$64,2,FALSE)</f>
        <v>#N/A</v>
      </c>
      <c r="F283" s="6"/>
      <c r="G283" s="7"/>
      <c r="H283" s="7">
        <f>IFERROR(F283*G283,0)</f>
        <v>0</v>
      </c>
      <c r="M283" s="3" t="str">
        <f t="shared" si="4"/>
        <v/>
      </c>
    </row>
    <row r="284" spans="1:13">
      <c r="A284" s="5"/>
      <c r="E284" s="3" t="e">
        <f>VLOOKUP(TablaObra[[#This Row],[Equipo]],[1]Catalogos!$V$4:$W$64,2,FALSE)</f>
        <v>#N/A</v>
      </c>
      <c r="F284" s="6"/>
      <c r="G284" s="7"/>
      <c r="H284" s="7">
        <f>IFERROR(F284*G284,0)</f>
        <v>0</v>
      </c>
      <c r="M284" s="3" t="str">
        <f t="shared" si="4"/>
        <v/>
      </c>
    </row>
    <row r="285" spans="1:13">
      <c r="A285" s="5"/>
      <c r="E285" s="3" t="e">
        <f>VLOOKUP(TablaObra[[#This Row],[Equipo]],[1]Catalogos!$V$4:$W$64,2,FALSE)</f>
        <v>#N/A</v>
      </c>
      <c r="F285" s="6"/>
      <c r="G285" s="7"/>
      <c r="H285" s="7">
        <f>IFERROR(F285*G285,0)</f>
        <v>0</v>
      </c>
      <c r="M285" s="3" t="str">
        <f t="shared" si="4"/>
        <v/>
      </c>
    </row>
    <row r="286" spans="1:13">
      <c r="A286" s="5"/>
      <c r="E286" s="3" t="e">
        <f>VLOOKUP(TablaObra[[#This Row],[Equipo]],[1]Catalogos!$V$4:$W$64,2,FALSE)</f>
        <v>#N/A</v>
      </c>
      <c r="F286" s="6"/>
      <c r="G286" s="7"/>
      <c r="H286" s="7">
        <f>IFERROR(F286*G286,0)</f>
        <v>0</v>
      </c>
      <c r="M286" s="3" t="str">
        <f t="shared" si="4"/>
        <v/>
      </c>
    </row>
    <row r="287" spans="1:13">
      <c r="A287" s="5"/>
      <c r="E287" s="3" t="e">
        <f>VLOOKUP(TablaObra[[#This Row],[Equipo]],[1]Catalogos!$V$4:$W$64,2,FALSE)</f>
        <v>#N/A</v>
      </c>
      <c r="F287" s="6"/>
      <c r="G287" s="7"/>
      <c r="H287" s="7">
        <f>IFERROR(F287*G287,0)</f>
        <v>0</v>
      </c>
      <c r="M287" s="3" t="str">
        <f t="shared" si="4"/>
        <v/>
      </c>
    </row>
    <row r="288" spans="1:13">
      <c r="A288" s="5"/>
      <c r="E288" s="3" t="e">
        <f>VLOOKUP(TablaObra[[#This Row],[Equipo]],[1]Catalogos!$V$4:$W$64,2,FALSE)</f>
        <v>#N/A</v>
      </c>
      <c r="F288" s="6"/>
      <c r="G288" s="7"/>
      <c r="H288" s="7">
        <f>IFERROR(F288*G288,0)</f>
        <v>0</v>
      </c>
      <c r="M288" s="3" t="str">
        <f t="shared" si="4"/>
        <v/>
      </c>
    </row>
    <row r="289" spans="1:13">
      <c r="A289" s="5"/>
      <c r="E289" s="3" t="e">
        <f>VLOOKUP(TablaObra[[#This Row],[Equipo]],[1]Catalogos!$V$4:$W$64,2,FALSE)</f>
        <v>#N/A</v>
      </c>
      <c r="F289" s="6"/>
      <c r="G289" s="7"/>
      <c r="H289" s="7">
        <f>IFERROR(F289*G289,0)</f>
        <v>0</v>
      </c>
      <c r="M289" s="3" t="str">
        <f t="shared" si="4"/>
        <v/>
      </c>
    </row>
    <row r="290" spans="1:13">
      <c r="A290" s="5"/>
      <c r="E290" s="3" t="e">
        <f>VLOOKUP(TablaObra[[#This Row],[Equipo]],[1]Catalogos!$V$4:$W$64,2,FALSE)</f>
        <v>#N/A</v>
      </c>
      <c r="F290" s="6"/>
      <c r="G290" s="7"/>
      <c r="H290" s="7">
        <f>IFERROR(F290*G290,0)</f>
        <v>0</v>
      </c>
      <c r="M290" s="3" t="str">
        <f t="shared" si="4"/>
        <v/>
      </c>
    </row>
    <row r="291" spans="1:13">
      <c r="A291" s="5"/>
      <c r="E291" s="3" t="e">
        <f>VLOOKUP(TablaObra[[#This Row],[Equipo]],[1]Catalogos!$V$4:$W$64,2,FALSE)</f>
        <v>#N/A</v>
      </c>
      <c r="F291" s="6"/>
      <c r="G291" s="7"/>
      <c r="H291" s="7">
        <f>IFERROR(F291*G291,0)</f>
        <v>0</v>
      </c>
      <c r="M291" s="3" t="str">
        <f t="shared" si="4"/>
        <v/>
      </c>
    </row>
    <row r="292" spans="1:13">
      <c r="A292" s="5"/>
      <c r="E292" s="3" t="e">
        <f>VLOOKUP(TablaObra[[#This Row],[Equipo]],[1]Catalogos!$V$4:$W$64,2,FALSE)</f>
        <v>#N/A</v>
      </c>
      <c r="F292" s="6"/>
      <c r="G292" s="7"/>
      <c r="H292" s="7">
        <f>IFERROR(F292*G292,0)</f>
        <v>0</v>
      </c>
      <c r="M292" s="3" t="str">
        <f t="shared" si="4"/>
        <v/>
      </c>
    </row>
    <row r="293" spans="1:13">
      <c r="A293" s="5"/>
      <c r="E293" s="3" t="e">
        <f>VLOOKUP(TablaObra[[#This Row],[Equipo]],[1]Catalogos!$V$4:$W$64,2,FALSE)</f>
        <v>#N/A</v>
      </c>
      <c r="F293" s="6"/>
      <c r="G293" s="7"/>
      <c r="H293" s="7">
        <f>IFERROR(F293*G293,0)</f>
        <v>0</v>
      </c>
      <c r="M293" s="3" t="str">
        <f t="shared" si="4"/>
        <v/>
      </c>
    </row>
    <row r="294" spans="1:13">
      <c r="A294" s="5"/>
      <c r="E294" s="3" t="e">
        <f>VLOOKUP(TablaObra[[#This Row],[Equipo]],[1]Catalogos!$V$4:$W$64,2,FALSE)</f>
        <v>#N/A</v>
      </c>
      <c r="F294" s="6"/>
      <c r="G294" s="7"/>
      <c r="H294" s="7">
        <f>IFERROR(F294*G294,0)</f>
        <v>0</v>
      </c>
      <c r="M294" s="3" t="str">
        <f t="shared" si="4"/>
        <v/>
      </c>
    </row>
    <row r="295" spans="1:13">
      <c r="A295" s="5"/>
      <c r="E295" s="3" t="e">
        <f>VLOOKUP(TablaObra[[#This Row],[Equipo]],[1]Catalogos!$V$4:$W$64,2,FALSE)</f>
        <v>#N/A</v>
      </c>
      <c r="F295" s="6"/>
      <c r="G295" s="7"/>
      <c r="H295" s="7">
        <f>IFERROR(F295*G295,0)</f>
        <v>0</v>
      </c>
      <c r="M295" s="3" t="str">
        <f t="shared" si="4"/>
        <v/>
      </c>
    </row>
    <row r="296" spans="1:13">
      <c r="A296" s="5"/>
      <c r="E296" s="3" t="e">
        <f>VLOOKUP(TablaObra[[#This Row],[Equipo]],[1]Catalogos!$V$4:$W$64,2,FALSE)</f>
        <v>#N/A</v>
      </c>
      <c r="F296" s="6"/>
      <c r="G296" s="7"/>
      <c r="H296" s="7">
        <f>IFERROR(F296*G296,0)</f>
        <v>0</v>
      </c>
      <c r="M296" s="3" t="str">
        <f t="shared" si="4"/>
        <v/>
      </c>
    </row>
    <row r="297" spans="1:13">
      <c r="A297" s="5"/>
      <c r="E297" s="3" t="e">
        <f>VLOOKUP(TablaObra[[#This Row],[Equipo]],[1]Catalogos!$V$4:$W$64,2,FALSE)</f>
        <v>#N/A</v>
      </c>
      <c r="F297" s="6"/>
      <c r="G297" s="7"/>
      <c r="H297" s="7">
        <f>IFERROR(F297*G297,0)</f>
        <v>0</v>
      </c>
      <c r="M297" s="3" t="str">
        <f t="shared" si="4"/>
        <v/>
      </c>
    </row>
    <row r="298" spans="1:13">
      <c r="A298" s="5"/>
      <c r="E298" s="3" t="e">
        <f>VLOOKUP(TablaObra[[#This Row],[Equipo]],[1]Catalogos!$V$4:$W$64,2,FALSE)</f>
        <v>#N/A</v>
      </c>
      <c r="F298" s="6"/>
      <c r="G298" s="7"/>
      <c r="H298" s="7">
        <f>IFERROR(F298*G298,0)</f>
        <v>0</v>
      </c>
      <c r="M298" s="3" t="str">
        <f t="shared" si="4"/>
        <v/>
      </c>
    </row>
    <row r="299" spans="1:13">
      <c r="A299" s="5"/>
      <c r="E299" s="3" t="e">
        <f>VLOOKUP(TablaObra[[#This Row],[Equipo]],[1]Catalogos!$V$4:$W$64,2,FALSE)</f>
        <v>#N/A</v>
      </c>
      <c r="F299" s="6"/>
      <c r="G299" s="7"/>
      <c r="H299" s="7">
        <f>IFERROR(F299*G299,0)</f>
        <v>0</v>
      </c>
      <c r="M299" s="3" t="str">
        <f t="shared" si="4"/>
        <v/>
      </c>
    </row>
    <row r="300" spans="1:13">
      <c r="A300" s="5"/>
      <c r="E300" s="3" t="e">
        <f>VLOOKUP(TablaObra[[#This Row],[Equipo]],[1]Catalogos!$V$4:$W$64,2,FALSE)</f>
        <v>#N/A</v>
      </c>
      <c r="F300" s="6"/>
      <c r="G300" s="7"/>
      <c r="H300" s="7">
        <f>IFERROR(F300*G300,0)</f>
        <v>0</v>
      </c>
      <c r="M300" s="3" t="str">
        <f t="shared" si="4"/>
        <v/>
      </c>
    </row>
    <row r="301" spans="1:13">
      <c r="A301" s="5"/>
      <c r="E301" s="3" t="e">
        <f>VLOOKUP(TablaObra[[#This Row],[Equipo]],[1]Catalogos!$V$4:$W$64,2,FALSE)</f>
        <v>#N/A</v>
      </c>
      <c r="F301" s="6"/>
      <c r="G301" s="7"/>
      <c r="H301" s="7">
        <f>IFERROR(F301*G301,0)</f>
        <v>0</v>
      </c>
      <c r="M301" s="3" t="str">
        <f t="shared" si="4"/>
        <v/>
      </c>
    </row>
    <row r="302" spans="1:13">
      <c r="A302" s="5"/>
      <c r="E302" s="3" t="e">
        <f>VLOOKUP(TablaObra[[#This Row],[Equipo]],[1]Catalogos!$V$4:$W$64,2,FALSE)</f>
        <v>#N/A</v>
      </c>
      <c r="F302" s="6"/>
      <c r="G302" s="7"/>
      <c r="H302" s="7">
        <f>IFERROR(F302*G302,0)</f>
        <v>0</v>
      </c>
      <c r="M302" s="3" t="str">
        <f t="shared" si="4"/>
        <v/>
      </c>
    </row>
    <row r="303" spans="1:13">
      <c r="A303" s="5"/>
      <c r="E303" s="3" t="e">
        <f>VLOOKUP(TablaObra[[#This Row],[Equipo]],[1]Catalogos!$V$4:$W$64,2,FALSE)</f>
        <v>#N/A</v>
      </c>
      <c r="F303" s="6"/>
      <c r="G303" s="7"/>
      <c r="H303" s="7">
        <f>IFERROR(F303*G303,0)</f>
        <v>0</v>
      </c>
      <c r="M303" s="3" t="str">
        <f t="shared" si="4"/>
        <v/>
      </c>
    </row>
    <row r="304" spans="1:13">
      <c r="A304" s="5"/>
      <c r="E304" s="3" t="e">
        <f>VLOOKUP(TablaObra[[#This Row],[Equipo]],[1]Catalogos!$V$4:$W$64,2,FALSE)</f>
        <v>#N/A</v>
      </c>
      <c r="F304" s="6"/>
      <c r="G304" s="7"/>
      <c r="H304" s="7">
        <f>IFERROR(F304*G304,0)</f>
        <v>0</v>
      </c>
      <c r="M304" s="3" t="str">
        <f t="shared" si="4"/>
        <v/>
      </c>
    </row>
    <row r="305" spans="1:13">
      <c r="A305" s="5"/>
      <c r="E305" s="3" t="e">
        <f>VLOOKUP(TablaObra[[#This Row],[Equipo]],[1]Catalogos!$V$4:$W$64,2,FALSE)</f>
        <v>#N/A</v>
      </c>
      <c r="F305" s="6"/>
      <c r="G305" s="7"/>
      <c r="H305" s="7">
        <f>IFERROR(F305*G305,0)</f>
        <v>0</v>
      </c>
      <c r="M305" s="3" t="str">
        <f t="shared" si="4"/>
        <v/>
      </c>
    </row>
    <row r="306" spans="1:13">
      <c r="M306" s="3">
        <f>IF(A187="","", WEEKNUM(A187, 2))</f>
        <v>26</v>
      </c>
    </row>
    <row r="307" spans="1:13">
      <c r="M307" s="3">
        <f>IF(A188="","", WEEKNUM(A188, 2))</f>
        <v>26</v>
      </c>
    </row>
    <row r="308" spans="1:13">
      <c r="M308" s="3" t="str">
        <f t="shared" si="4"/>
        <v/>
      </c>
    </row>
    <row r="309" spans="1:13">
      <c r="M309" s="3" t="str">
        <f t="shared" si="4"/>
        <v/>
      </c>
    </row>
    <row r="310" spans="1:13">
      <c r="M310" s="3" t="str">
        <f t="shared" si="4"/>
        <v/>
      </c>
    </row>
    <row r="311" spans="1:13">
      <c r="M311" s="3" t="str">
        <f t="shared" si="4"/>
        <v/>
      </c>
    </row>
    <row r="312" spans="1:13">
      <c r="M312" s="3" t="str">
        <f t="shared" si="4"/>
        <v/>
      </c>
    </row>
    <row r="313" spans="1:13">
      <c r="M313" s="3" t="str">
        <f t="shared" si="4"/>
        <v/>
      </c>
    </row>
    <row r="314" spans="1:13">
      <c r="M314" s="3" t="str">
        <f t="shared" si="4"/>
        <v/>
      </c>
    </row>
    <row r="315" spans="1:13">
      <c r="M315" s="3" t="str">
        <f t="shared" si="4"/>
        <v/>
      </c>
    </row>
    <row r="316" spans="1:13">
      <c r="M316" s="3" t="str">
        <f t="shared" si="4"/>
        <v/>
      </c>
    </row>
    <row r="317" spans="1:13">
      <c r="M317" s="3" t="str">
        <f t="shared" si="4"/>
        <v/>
      </c>
    </row>
    <row r="318" spans="1:13">
      <c r="M318" s="3" t="str">
        <f t="shared" si="4"/>
        <v/>
      </c>
    </row>
    <row r="319" spans="1:13">
      <c r="M319" s="3" t="str">
        <f t="shared" si="4"/>
        <v/>
      </c>
    </row>
    <row r="320" spans="1:13">
      <c r="M320" s="3" t="str">
        <f t="shared" si="4"/>
        <v/>
      </c>
    </row>
    <row r="321" spans="13:13">
      <c r="M321" s="3" t="str">
        <f t="shared" si="4"/>
        <v/>
      </c>
    </row>
    <row r="322" spans="13:13">
      <c r="M322" s="3" t="str">
        <f t="shared" si="4"/>
        <v/>
      </c>
    </row>
    <row r="323" spans="13:13">
      <c r="M323" s="3" t="str">
        <f t="shared" si="4"/>
        <v/>
      </c>
    </row>
    <row r="324" spans="13:13">
      <c r="M324" s="3" t="str">
        <f t="shared" si="4"/>
        <v/>
      </c>
    </row>
    <row r="325" spans="13:13">
      <c r="M325" s="3" t="str">
        <f t="shared" ref="M325:M388" si="5">IF(A325="","", WEEKNUM(A325, 2))</f>
        <v/>
      </c>
    </row>
    <row r="326" spans="13:13">
      <c r="M326" s="3" t="str">
        <f t="shared" si="5"/>
        <v/>
      </c>
    </row>
    <row r="327" spans="13:13">
      <c r="M327" s="3" t="str">
        <f t="shared" si="5"/>
        <v/>
      </c>
    </row>
    <row r="328" spans="13:13">
      <c r="M328" s="3" t="str">
        <f t="shared" si="5"/>
        <v/>
      </c>
    </row>
    <row r="329" spans="13:13">
      <c r="M329" s="3" t="str">
        <f t="shared" si="5"/>
        <v/>
      </c>
    </row>
    <row r="330" spans="13:13">
      <c r="M330" s="3" t="str">
        <f t="shared" si="5"/>
        <v/>
      </c>
    </row>
    <row r="331" spans="13:13">
      <c r="M331" s="3" t="str">
        <f t="shared" si="5"/>
        <v/>
      </c>
    </row>
    <row r="332" spans="13:13">
      <c r="M332" s="3" t="str">
        <f t="shared" si="5"/>
        <v/>
      </c>
    </row>
    <row r="333" spans="13:13">
      <c r="M333" s="3" t="str">
        <f t="shared" si="5"/>
        <v/>
      </c>
    </row>
    <row r="334" spans="13:13">
      <c r="M334" s="3" t="str">
        <f t="shared" si="5"/>
        <v/>
      </c>
    </row>
    <row r="335" spans="13:13">
      <c r="M335" s="3" t="str">
        <f t="shared" si="5"/>
        <v/>
      </c>
    </row>
    <row r="336" spans="13:13">
      <c r="M336" s="3" t="str">
        <f t="shared" si="5"/>
        <v/>
      </c>
    </row>
    <row r="337" spans="13:13">
      <c r="M337" s="3" t="str">
        <f t="shared" si="5"/>
        <v/>
      </c>
    </row>
    <row r="338" spans="13:13">
      <c r="M338" s="3" t="str">
        <f t="shared" si="5"/>
        <v/>
      </c>
    </row>
    <row r="339" spans="13:13">
      <c r="M339" s="3" t="str">
        <f t="shared" si="5"/>
        <v/>
      </c>
    </row>
    <row r="340" spans="13:13">
      <c r="M340" s="3" t="str">
        <f t="shared" si="5"/>
        <v/>
      </c>
    </row>
    <row r="341" spans="13:13">
      <c r="M341" s="3" t="str">
        <f t="shared" si="5"/>
        <v/>
      </c>
    </row>
    <row r="342" spans="13:13">
      <c r="M342" s="3" t="str">
        <f t="shared" si="5"/>
        <v/>
      </c>
    </row>
    <row r="343" spans="13:13">
      <c r="M343" s="3" t="str">
        <f t="shared" si="5"/>
        <v/>
      </c>
    </row>
    <row r="344" spans="13:13">
      <c r="M344" s="3" t="str">
        <f t="shared" si="5"/>
        <v/>
      </c>
    </row>
    <row r="345" spans="13:13">
      <c r="M345" s="3" t="str">
        <f t="shared" si="5"/>
        <v/>
      </c>
    </row>
    <row r="346" spans="13:13">
      <c r="M346" s="3" t="str">
        <f t="shared" si="5"/>
        <v/>
      </c>
    </row>
    <row r="347" spans="13:13">
      <c r="M347" s="3" t="str">
        <f t="shared" si="5"/>
        <v/>
      </c>
    </row>
    <row r="348" spans="13:13">
      <c r="M348" s="3" t="str">
        <f t="shared" si="5"/>
        <v/>
      </c>
    </row>
    <row r="349" spans="13:13">
      <c r="M349" s="3" t="str">
        <f t="shared" si="5"/>
        <v/>
      </c>
    </row>
    <row r="350" spans="13:13">
      <c r="M350" s="3" t="str">
        <f t="shared" si="5"/>
        <v/>
      </c>
    </row>
    <row r="351" spans="13:13">
      <c r="M351" s="3" t="str">
        <f t="shared" si="5"/>
        <v/>
      </c>
    </row>
    <row r="352" spans="13:13">
      <c r="M352" s="3" t="str">
        <f t="shared" si="5"/>
        <v/>
      </c>
    </row>
    <row r="353" spans="13:13">
      <c r="M353" s="3" t="str">
        <f t="shared" si="5"/>
        <v/>
      </c>
    </row>
    <row r="354" spans="13:13">
      <c r="M354" s="3" t="str">
        <f t="shared" si="5"/>
        <v/>
      </c>
    </row>
    <row r="355" spans="13:13">
      <c r="M355" s="3" t="str">
        <f t="shared" si="5"/>
        <v/>
      </c>
    </row>
    <row r="356" spans="13:13">
      <c r="M356" s="3" t="str">
        <f t="shared" si="5"/>
        <v/>
      </c>
    </row>
    <row r="357" spans="13:13">
      <c r="M357" s="3" t="str">
        <f t="shared" si="5"/>
        <v/>
      </c>
    </row>
    <row r="358" spans="13:13">
      <c r="M358" s="3" t="str">
        <f t="shared" si="5"/>
        <v/>
      </c>
    </row>
    <row r="359" spans="13:13">
      <c r="M359" s="3" t="str">
        <f t="shared" si="5"/>
        <v/>
      </c>
    </row>
    <row r="360" spans="13:13">
      <c r="M360" s="3" t="str">
        <f t="shared" si="5"/>
        <v/>
      </c>
    </row>
    <row r="361" spans="13:13">
      <c r="M361" s="3" t="str">
        <f t="shared" si="5"/>
        <v/>
      </c>
    </row>
    <row r="362" spans="13:13">
      <c r="M362" s="3" t="str">
        <f t="shared" si="5"/>
        <v/>
      </c>
    </row>
    <row r="363" spans="13:13">
      <c r="M363" s="3" t="str">
        <f t="shared" si="5"/>
        <v/>
      </c>
    </row>
    <row r="364" spans="13:13">
      <c r="M364" s="3" t="str">
        <f t="shared" si="5"/>
        <v/>
      </c>
    </row>
    <row r="365" spans="13:13">
      <c r="M365" s="3" t="str">
        <f t="shared" si="5"/>
        <v/>
      </c>
    </row>
    <row r="366" spans="13:13">
      <c r="M366" s="3" t="str">
        <f t="shared" si="5"/>
        <v/>
      </c>
    </row>
    <row r="367" spans="13:13">
      <c r="M367" s="3" t="str">
        <f t="shared" si="5"/>
        <v/>
      </c>
    </row>
    <row r="368" spans="13:13">
      <c r="M368" s="3" t="str">
        <f t="shared" si="5"/>
        <v/>
      </c>
    </row>
    <row r="369" spans="13:13">
      <c r="M369" s="3" t="str">
        <f t="shared" si="5"/>
        <v/>
      </c>
    </row>
    <row r="370" spans="13:13">
      <c r="M370" s="3" t="str">
        <f t="shared" si="5"/>
        <v/>
      </c>
    </row>
    <row r="371" spans="13:13">
      <c r="M371" s="3" t="str">
        <f t="shared" si="5"/>
        <v/>
      </c>
    </row>
    <row r="372" spans="13:13">
      <c r="M372" s="3" t="str">
        <f t="shared" si="5"/>
        <v/>
      </c>
    </row>
    <row r="373" spans="13:13">
      <c r="M373" s="3" t="str">
        <f t="shared" si="5"/>
        <v/>
      </c>
    </row>
    <row r="374" spans="13:13">
      <c r="M374" s="3" t="str">
        <f t="shared" si="5"/>
        <v/>
      </c>
    </row>
    <row r="375" spans="13:13">
      <c r="M375" s="3" t="str">
        <f t="shared" si="5"/>
        <v/>
      </c>
    </row>
    <row r="376" spans="13:13">
      <c r="M376" s="3" t="str">
        <f t="shared" si="5"/>
        <v/>
      </c>
    </row>
    <row r="377" spans="13:13">
      <c r="M377" s="3" t="str">
        <f t="shared" si="5"/>
        <v/>
      </c>
    </row>
    <row r="378" spans="13:13">
      <c r="M378" s="3" t="str">
        <f t="shared" si="5"/>
        <v/>
      </c>
    </row>
    <row r="379" spans="13:13">
      <c r="M379" s="3" t="str">
        <f t="shared" si="5"/>
        <v/>
      </c>
    </row>
    <row r="380" spans="13:13">
      <c r="M380" s="3" t="str">
        <f t="shared" si="5"/>
        <v/>
      </c>
    </row>
    <row r="381" spans="13:13">
      <c r="M381" s="3" t="str">
        <f t="shared" si="5"/>
        <v/>
      </c>
    </row>
    <row r="382" spans="13:13">
      <c r="M382" s="3" t="str">
        <f t="shared" si="5"/>
        <v/>
      </c>
    </row>
    <row r="383" spans="13:13">
      <c r="M383" s="3" t="str">
        <f t="shared" si="5"/>
        <v/>
      </c>
    </row>
    <row r="384" spans="13:13">
      <c r="M384" s="3" t="str">
        <f t="shared" si="5"/>
        <v/>
      </c>
    </row>
    <row r="385" spans="13:13">
      <c r="M385" s="3" t="str">
        <f t="shared" si="5"/>
        <v/>
      </c>
    </row>
    <row r="386" spans="13:13">
      <c r="M386" s="3" t="str">
        <f t="shared" si="5"/>
        <v/>
      </c>
    </row>
    <row r="387" spans="13:13">
      <c r="M387" s="3" t="str">
        <f t="shared" si="5"/>
        <v/>
      </c>
    </row>
    <row r="388" spans="13:13">
      <c r="M388" s="3" t="str">
        <f t="shared" si="5"/>
        <v/>
      </c>
    </row>
    <row r="389" spans="13:13">
      <c r="M389" s="3" t="str">
        <f t="shared" ref="M389:M452" si="6">IF(A389="","", WEEKNUM(A389, 2))</f>
        <v/>
      </c>
    </row>
    <row r="390" spans="13:13">
      <c r="M390" s="3" t="str">
        <f t="shared" si="6"/>
        <v/>
      </c>
    </row>
    <row r="391" spans="13:13">
      <c r="M391" s="3" t="str">
        <f t="shared" si="6"/>
        <v/>
      </c>
    </row>
    <row r="392" spans="13:13">
      <c r="M392" s="3" t="str">
        <f t="shared" si="6"/>
        <v/>
      </c>
    </row>
    <row r="393" spans="13:13">
      <c r="M393" s="3" t="str">
        <f t="shared" si="6"/>
        <v/>
      </c>
    </row>
    <row r="394" spans="13:13">
      <c r="M394" s="3" t="str">
        <f t="shared" si="6"/>
        <v/>
      </c>
    </row>
    <row r="395" spans="13:13">
      <c r="M395" s="3" t="str">
        <f t="shared" si="6"/>
        <v/>
      </c>
    </row>
    <row r="396" spans="13:13">
      <c r="M396" s="3" t="str">
        <f t="shared" si="6"/>
        <v/>
      </c>
    </row>
    <row r="397" spans="13:13">
      <c r="M397" s="3" t="str">
        <f t="shared" si="6"/>
        <v/>
      </c>
    </row>
    <row r="398" spans="13:13">
      <c r="M398" s="3" t="str">
        <f t="shared" si="6"/>
        <v/>
      </c>
    </row>
    <row r="399" spans="13:13">
      <c r="M399" s="3" t="str">
        <f t="shared" si="6"/>
        <v/>
      </c>
    </row>
    <row r="400" spans="13:13">
      <c r="M400" s="3" t="str">
        <f t="shared" si="6"/>
        <v/>
      </c>
    </row>
    <row r="401" spans="13:13">
      <c r="M401" s="3" t="str">
        <f t="shared" si="6"/>
        <v/>
      </c>
    </row>
    <row r="402" spans="13:13">
      <c r="M402" s="3" t="str">
        <f t="shared" si="6"/>
        <v/>
      </c>
    </row>
    <row r="403" spans="13:13">
      <c r="M403" s="3" t="str">
        <f t="shared" si="6"/>
        <v/>
      </c>
    </row>
    <row r="404" spans="13:13">
      <c r="M404" s="3" t="str">
        <f t="shared" si="6"/>
        <v/>
      </c>
    </row>
    <row r="405" spans="13:13">
      <c r="M405" s="3" t="str">
        <f t="shared" si="6"/>
        <v/>
      </c>
    </row>
    <row r="406" spans="13:13">
      <c r="M406" s="3" t="str">
        <f t="shared" si="6"/>
        <v/>
      </c>
    </row>
    <row r="407" spans="13:13">
      <c r="M407" s="3" t="str">
        <f t="shared" si="6"/>
        <v/>
      </c>
    </row>
    <row r="408" spans="13:13">
      <c r="M408" s="3" t="str">
        <f t="shared" si="6"/>
        <v/>
      </c>
    </row>
    <row r="409" spans="13:13">
      <c r="M409" s="3" t="str">
        <f t="shared" si="6"/>
        <v/>
      </c>
    </row>
    <row r="410" spans="13:13">
      <c r="M410" s="3" t="str">
        <f t="shared" si="6"/>
        <v/>
      </c>
    </row>
    <row r="411" spans="13:13">
      <c r="M411" s="3" t="str">
        <f t="shared" si="6"/>
        <v/>
      </c>
    </row>
    <row r="412" spans="13:13">
      <c r="M412" s="3" t="str">
        <f t="shared" si="6"/>
        <v/>
      </c>
    </row>
    <row r="413" spans="13:13">
      <c r="M413" s="3" t="str">
        <f t="shared" si="6"/>
        <v/>
      </c>
    </row>
    <row r="414" spans="13:13">
      <c r="M414" s="3" t="str">
        <f t="shared" si="6"/>
        <v/>
      </c>
    </row>
    <row r="415" spans="13:13">
      <c r="M415" s="3" t="str">
        <f t="shared" si="6"/>
        <v/>
      </c>
    </row>
    <row r="416" spans="13:13">
      <c r="M416" s="3" t="str">
        <f t="shared" si="6"/>
        <v/>
      </c>
    </row>
    <row r="417" spans="13:13">
      <c r="M417" s="3" t="str">
        <f t="shared" si="6"/>
        <v/>
      </c>
    </row>
    <row r="418" spans="13:13">
      <c r="M418" s="3" t="str">
        <f t="shared" si="6"/>
        <v/>
      </c>
    </row>
    <row r="419" spans="13:13">
      <c r="M419" s="3" t="str">
        <f t="shared" si="6"/>
        <v/>
      </c>
    </row>
    <row r="420" spans="13:13">
      <c r="M420" s="3" t="str">
        <f t="shared" si="6"/>
        <v/>
      </c>
    </row>
    <row r="421" spans="13:13">
      <c r="M421" s="3" t="str">
        <f t="shared" si="6"/>
        <v/>
      </c>
    </row>
    <row r="422" spans="13:13">
      <c r="M422" s="3" t="str">
        <f t="shared" si="6"/>
        <v/>
      </c>
    </row>
    <row r="423" spans="13:13">
      <c r="M423" s="3" t="str">
        <f t="shared" si="6"/>
        <v/>
      </c>
    </row>
    <row r="424" spans="13:13">
      <c r="M424" s="3" t="str">
        <f t="shared" si="6"/>
        <v/>
      </c>
    </row>
    <row r="425" spans="13:13">
      <c r="M425" s="3" t="str">
        <f t="shared" si="6"/>
        <v/>
      </c>
    </row>
    <row r="426" spans="13:13">
      <c r="M426" s="3" t="str">
        <f t="shared" si="6"/>
        <v/>
      </c>
    </row>
    <row r="427" spans="13:13">
      <c r="M427" s="3" t="str">
        <f t="shared" si="6"/>
        <v/>
      </c>
    </row>
    <row r="428" spans="13:13">
      <c r="M428" s="3" t="str">
        <f t="shared" si="6"/>
        <v/>
      </c>
    </row>
    <row r="429" spans="13:13">
      <c r="M429" s="3" t="str">
        <f t="shared" si="6"/>
        <v/>
      </c>
    </row>
    <row r="430" spans="13:13">
      <c r="M430" s="3" t="str">
        <f t="shared" si="6"/>
        <v/>
      </c>
    </row>
    <row r="431" spans="13:13">
      <c r="M431" s="3" t="str">
        <f t="shared" si="6"/>
        <v/>
      </c>
    </row>
    <row r="432" spans="13:13">
      <c r="M432" s="3" t="str">
        <f t="shared" si="6"/>
        <v/>
      </c>
    </row>
    <row r="433" spans="13:13">
      <c r="M433" s="3" t="str">
        <f t="shared" si="6"/>
        <v/>
      </c>
    </row>
    <row r="434" spans="13:13">
      <c r="M434" s="3" t="str">
        <f t="shared" si="6"/>
        <v/>
      </c>
    </row>
    <row r="435" spans="13:13">
      <c r="M435" s="3" t="str">
        <f t="shared" si="6"/>
        <v/>
      </c>
    </row>
    <row r="436" spans="13:13">
      <c r="M436" s="3" t="str">
        <f t="shared" si="6"/>
        <v/>
      </c>
    </row>
    <row r="437" spans="13:13">
      <c r="M437" s="3" t="str">
        <f t="shared" si="6"/>
        <v/>
      </c>
    </row>
    <row r="438" spans="13:13">
      <c r="M438" s="3" t="str">
        <f t="shared" si="6"/>
        <v/>
      </c>
    </row>
    <row r="439" spans="13:13">
      <c r="M439" s="3" t="str">
        <f t="shared" si="6"/>
        <v/>
      </c>
    </row>
    <row r="440" spans="13:13">
      <c r="M440" s="3" t="str">
        <f t="shared" si="6"/>
        <v/>
      </c>
    </row>
    <row r="441" spans="13:13">
      <c r="M441" s="3" t="str">
        <f t="shared" si="6"/>
        <v/>
      </c>
    </row>
    <row r="442" spans="13:13">
      <c r="M442" s="3" t="str">
        <f t="shared" si="6"/>
        <v/>
      </c>
    </row>
    <row r="443" spans="13:13">
      <c r="M443" s="3" t="str">
        <f t="shared" si="6"/>
        <v/>
      </c>
    </row>
    <row r="444" spans="13:13">
      <c r="M444" s="3" t="str">
        <f t="shared" si="6"/>
        <v/>
      </c>
    </row>
    <row r="445" spans="13:13">
      <c r="M445" s="3" t="str">
        <f t="shared" si="6"/>
        <v/>
      </c>
    </row>
    <row r="446" spans="13:13">
      <c r="M446" s="3" t="str">
        <f t="shared" si="6"/>
        <v/>
      </c>
    </row>
    <row r="447" spans="13:13">
      <c r="M447" s="3" t="str">
        <f t="shared" si="6"/>
        <v/>
      </c>
    </row>
    <row r="448" spans="13:13">
      <c r="M448" s="3" t="str">
        <f t="shared" si="6"/>
        <v/>
      </c>
    </row>
    <row r="449" spans="13:13">
      <c r="M449" s="3" t="str">
        <f t="shared" si="6"/>
        <v/>
      </c>
    </row>
    <row r="450" spans="13:13">
      <c r="M450" s="3" t="str">
        <f t="shared" si="6"/>
        <v/>
      </c>
    </row>
    <row r="451" spans="13:13">
      <c r="M451" s="3" t="str">
        <f t="shared" si="6"/>
        <v/>
      </c>
    </row>
    <row r="452" spans="13:13">
      <c r="M452" s="3" t="str">
        <f t="shared" si="6"/>
        <v/>
      </c>
    </row>
    <row r="453" spans="13:13">
      <c r="M453" s="3" t="str">
        <f t="shared" ref="M453:M516" si="7">IF(A453="","", WEEKNUM(A453, 2))</f>
        <v/>
      </c>
    </row>
    <row r="454" spans="13:13">
      <c r="M454" s="3" t="str">
        <f t="shared" si="7"/>
        <v/>
      </c>
    </row>
    <row r="455" spans="13:13">
      <c r="M455" s="3" t="str">
        <f t="shared" si="7"/>
        <v/>
      </c>
    </row>
    <row r="456" spans="13:13">
      <c r="M456" s="3" t="str">
        <f t="shared" si="7"/>
        <v/>
      </c>
    </row>
    <row r="457" spans="13:13">
      <c r="M457" s="3" t="str">
        <f t="shared" si="7"/>
        <v/>
      </c>
    </row>
    <row r="458" spans="13:13">
      <c r="M458" s="3" t="str">
        <f t="shared" si="7"/>
        <v/>
      </c>
    </row>
    <row r="459" spans="13:13">
      <c r="M459" s="3" t="str">
        <f t="shared" si="7"/>
        <v/>
      </c>
    </row>
    <row r="460" spans="13:13">
      <c r="M460" s="3" t="str">
        <f t="shared" si="7"/>
        <v/>
      </c>
    </row>
    <row r="461" spans="13:13">
      <c r="M461" s="3" t="str">
        <f t="shared" si="7"/>
        <v/>
      </c>
    </row>
    <row r="462" spans="13:13">
      <c r="M462" s="3" t="str">
        <f t="shared" si="7"/>
        <v/>
      </c>
    </row>
    <row r="463" spans="13:13">
      <c r="M463" s="3" t="str">
        <f t="shared" si="7"/>
        <v/>
      </c>
    </row>
    <row r="464" spans="13:13">
      <c r="M464" s="3" t="str">
        <f t="shared" si="7"/>
        <v/>
      </c>
    </row>
    <row r="465" spans="13:13">
      <c r="M465" s="3" t="str">
        <f t="shared" si="7"/>
        <v/>
      </c>
    </row>
    <row r="466" spans="13:13">
      <c r="M466" s="3" t="str">
        <f t="shared" si="7"/>
        <v/>
      </c>
    </row>
    <row r="467" spans="13:13">
      <c r="M467" s="3" t="str">
        <f t="shared" si="7"/>
        <v/>
      </c>
    </row>
    <row r="468" spans="13:13">
      <c r="M468" s="3" t="str">
        <f t="shared" si="7"/>
        <v/>
      </c>
    </row>
    <row r="469" spans="13:13">
      <c r="M469" s="3" t="str">
        <f t="shared" si="7"/>
        <v/>
      </c>
    </row>
    <row r="470" spans="13:13">
      <c r="M470" s="3" t="str">
        <f t="shared" si="7"/>
        <v/>
      </c>
    </row>
    <row r="471" spans="13:13">
      <c r="M471" s="3" t="str">
        <f t="shared" si="7"/>
        <v/>
      </c>
    </row>
    <row r="472" spans="13:13">
      <c r="M472" s="3" t="str">
        <f t="shared" si="7"/>
        <v/>
      </c>
    </row>
    <row r="473" spans="13:13">
      <c r="M473" s="3" t="str">
        <f t="shared" si="7"/>
        <v/>
      </c>
    </row>
    <row r="474" spans="13:13">
      <c r="M474" s="3" t="str">
        <f t="shared" si="7"/>
        <v/>
      </c>
    </row>
    <row r="475" spans="13:13">
      <c r="M475" s="3" t="str">
        <f t="shared" si="7"/>
        <v/>
      </c>
    </row>
    <row r="476" spans="13:13">
      <c r="M476" s="3" t="str">
        <f t="shared" si="7"/>
        <v/>
      </c>
    </row>
    <row r="477" spans="13:13">
      <c r="M477" s="3" t="str">
        <f t="shared" si="7"/>
        <v/>
      </c>
    </row>
    <row r="478" spans="13:13">
      <c r="M478" s="3" t="str">
        <f t="shared" si="7"/>
        <v/>
      </c>
    </row>
    <row r="479" spans="13:13">
      <c r="M479" s="3" t="str">
        <f t="shared" si="7"/>
        <v/>
      </c>
    </row>
    <row r="480" spans="13:13">
      <c r="M480" s="3" t="str">
        <f t="shared" si="7"/>
        <v/>
      </c>
    </row>
    <row r="481" spans="13:13">
      <c r="M481" s="3" t="str">
        <f t="shared" si="7"/>
        <v/>
      </c>
    </row>
    <row r="482" spans="13:13">
      <c r="M482" s="3" t="str">
        <f t="shared" si="7"/>
        <v/>
      </c>
    </row>
    <row r="483" spans="13:13">
      <c r="M483" s="3" t="str">
        <f t="shared" si="7"/>
        <v/>
      </c>
    </row>
    <row r="484" spans="13:13">
      <c r="M484" s="3" t="str">
        <f t="shared" si="7"/>
        <v/>
      </c>
    </row>
    <row r="485" spans="13:13">
      <c r="M485" s="3" t="str">
        <f t="shared" si="7"/>
        <v/>
      </c>
    </row>
    <row r="486" spans="13:13">
      <c r="M486" s="3" t="str">
        <f t="shared" si="7"/>
        <v/>
      </c>
    </row>
    <row r="487" spans="13:13">
      <c r="M487" s="3" t="str">
        <f t="shared" si="7"/>
        <v/>
      </c>
    </row>
    <row r="488" spans="13:13">
      <c r="M488" s="3" t="str">
        <f t="shared" si="7"/>
        <v/>
      </c>
    </row>
    <row r="489" spans="13:13">
      <c r="M489" s="3" t="str">
        <f t="shared" si="7"/>
        <v/>
      </c>
    </row>
    <row r="490" spans="13:13">
      <c r="M490" s="3" t="str">
        <f t="shared" si="7"/>
        <v/>
      </c>
    </row>
    <row r="491" spans="13:13">
      <c r="M491" s="3" t="str">
        <f t="shared" si="7"/>
        <v/>
      </c>
    </row>
    <row r="492" spans="13:13">
      <c r="M492" s="3" t="str">
        <f t="shared" si="7"/>
        <v/>
      </c>
    </row>
    <row r="493" spans="13:13">
      <c r="M493" s="3" t="str">
        <f t="shared" si="7"/>
        <v/>
      </c>
    </row>
    <row r="494" spans="13:13">
      <c r="M494" s="3" t="str">
        <f t="shared" si="7"/>
        <v/>
      </c>
    </row>
    <row r="495" spans="13:13">
      <c r="M495" s="3" t="str">
        <f t="shared" si="7"/>
        <v/>
      </c>
    </row>
    <row r="496" spans="13:13">
      <c r="M496" s="3" t="str">
        <f t="shared" si="7"/>
        <v/>
      </c>
    </row>
    <row r="497" spans="13:13">
      <c r="M497" s="3" t="str">
        <f t="shared" si="7"/>
        <v/>
      </c>
    </row>
    <row r="498" spans="13:13">
      <c r="M498" s="3" t="str">
        <f t="shared" si="7"/>
        <v/>
      </c>
    </row>
    <row r="499" spans="13:13">
      <c r="M499" s="3" t="str">
        <f t="shared" si="7"/>
        <v/>
      </c>
    </row>
    <row r="500" spans="13:13">
      <c r="M500" s="3" t="str">
        <f t="shared" si="7"/>
        <v/>
      </c>
    </row>
    <row r="501" spans="13:13">
      <c r="M501" s="3" t="str">
        <f t="shared" si="7"/>
        <v/>
      </c>
    </row>
    <row r="502" spans="13:13">
      <c r="M502" s="3" t="str">
        <f t="shared" si="7"/>
        <v/>
      </c>
    </row>
    <row r="503" spans="13:13">
      <c r="M503" s="3" t="str">
        <f t="shared" si="7"/>
        <v/>
      </c>
    </row>
    <row r="504" spans="13:13">
      <c r="M504" s="3" t="str">
        <f t="shared" si="7"/>
        <v/>
      </c>
    </row>
    <row r="505" spans="13:13">
      <c r="M505" s="3" t="str">
        <f t="shared" si="7"/>
        <v/>
      </c>
    </row>
    <row r="506" spans="13:13">
      <c r="M506" s="3" t="str">
        <f t="shared" si="7"/>
        <v/>
      </c>
    </row>
    <row r="507" spans="13:13">
      <c r="M507" s="3" t="str">
        <f t="shared" si="7"/>
        <v/>
      </c>
    </row>
    <row r="508" spans="13:13">
      <c r="M508" s="3" t="str">
        <f t="shared" si="7"/>
        <v/>
      </c>
    </row>
    <row r="509" spans="13:13">
      <c r="M509" s="3" t="str">
        <f t="shared" si="7"/>
        <v/>
      </c>
    </row>
    <row r="510" spans="13:13">
      <c r="M510" s="3" t="str">
        <f t="shared" si="7"/>
        <v/>
      </c>
    </row>
    <row r="511" spans="13:13">
      <c r="M511" s="3" t="str">
        <f t="shared" si="7"/>
        <v/>
      </c>
    </row>
    <row r="512" spans="13:13">
      <c r="M512" s="3" t="str">
        <f t="shared" si="7"/>
        <v/>
      </c>
    </row>
    <row r="513" spans="13:13">
      <c r="M513" s="3" t="str">
        <f t="shared" si="7"/>
        <v/>
      </c>
    </row>
    <row r="514" spans="13:13">
      <c r="M514" s="3" t="str">
        <f t="shared" si="7"/>
        <v/>
      </c>
    </row>
    <row r="515" spans="13:13">
      <c r="M515" s="3" t="str">
        <f t="shared" si="7"/>
        <v/>
      </c>
    </row>
    <row r="516" spans="13:13">
      <c r="M516" s="3" t="str">
        <f t="shared" si="7"/>
        <v/>
      </c>
    </row>
    <row r="517" spans="13:13">
      <c r="M517" s="3" t="str">
        <f t="shared" ref="M517:M580" si="8">IF(A517="","", WEEKNUM(A517, 2))</f>
        <v/>
      </c>
    </row>
    <row r="518" spans="13:13">
      <c r="M518" s="3" t="str">
        <f t="shared" si="8"/>
        <v/>
      </c>
    </row>
    <row r="519" spans="13:13">
      <c r="M519" s="3" t="str">
        <f t="shared" si="8"/>
        <v/>
      </c>
    </row>
    <row r="520" spans="13:13">
      <c r="M520" s="3" t="str">
        <f t="shared" si="8"/>
        <v/>
      </c>
    </row>
    <row r="521" spans="13:13">
      <c r="M521" s="3" t="str">
        <f t="shared" si="8"/>
        <v/>
      </c>
    </row>
    <row r="522" spans="13:13">
      <c r="M522" s="3" t="str">
        <f t="shared" si="8"/>
        <v/>
      </c>
    </row>
    <row r="523" spans="13:13">
      <c r="M523" s="3" t="str">
        <f t="shared" si="8"/>
        <v/>
      </c>
    </row>
    <row r="524" spans="13:13">
      <c r="M524" s="3" t="str">
        <f t="shared" si="8"/>
        <v/>
      </c>
    </row>
    <row r="525" spans="13:13">
      <c r="M525" s="3" t="str">
        <f t="shared" si="8"/>
        <v/>
      </c>
    </row>
    <row r="526" spans="13:13">
      <c r="M526" s="3" t="str">
        <f t="shared" si="8"/>
        <v/>
      </c>
    </row>
    <row r="527" spans="13:13">
      <c r="M527" s="3" t="str">
        <f t="shared" si="8"/>
        <v/>
      </c>
    </row>
    <row r="528" spans="13:13">
      <c r="M528" s="3" t="str">
        <f t="shared" si="8"/>
        <v/>
      </c>
    </row>
    <row r="529" spans="13:13">
      <c r="M529" s="3" t="str">
        <f t="shared" si="8"/>
        <v/>
      </c>
    </row>
    <row r="530" spans="13:13">
      <c r="M530" s="3" t="str">
        <f t="shared" si="8"/>
        <v/>
      </c>
    </row>
    <row r="531" spans="13:13">
      <c r="M531" s="3" t="str">
        <f t="shared" si="8"/>
        <v/>
      </c>
    </row>
    <row r="532" spans="13:13">
      <c r="M532" s="3" t="str">
        <f t="shared" si="8"/>
        <v/>
      </c>
    </row>
    <row r="533" spans="13:13">
      <c r="M533" s="3" t="str">
        <f t="shared" si="8"/>
        <v/>
      </c>
    </row>
    <row r="534" spans="13:13">
      <c r="M534" s="3" t="str">
        <f t="shared" si="8"/>
        <v/>
      </c>
    </row>
    <row r="535" spans="13:13">
      <c r="M535" s="3" t="str">
        <f t="shared" si="8"/>
        <v/>
      </c>
    </row>
    <row r="536" spans="13:13">
      <c r="M536" s="3" t="str">
        <f t="shared" si="8"/>
        <v/>
      </c>
    </row>
    <row r="537" spans="13:13">
      <c r="M537" s="3" t="str">
        <f t="shared" si="8"/>
        <v/>
      </c>
    </row>
    <row r="538" spans="13:13">
      <c r="M538" s="3" t="str">
        <f t="shared" si="8"/>
        <v/>
      </c>
    </row>
    <row r="539" spans="13:13">
      <c r="M539" s="3" t="str">
        <f t="shared" si="8"/>
        <v/>
      </c>
    </row>
    <row r="540" spans="13:13">
      <c r="M540" s="3" t="str">
        <f t="shared" si="8"/>
        <v/>
      </c>
    </row>
    <row r="541" spans="13:13">
      <c r="M541" s="3" t="str">
        <f t="shared" si="8"/>
        <v/>
      </c>
    </row>
    <row r="542" spans="13:13">
      <c r="M542" s="3" t="str">
        <f t="shared" si="8"/>
        <v/>
      </c>
    </row>
    <row r="543" spans="13:13">
      <c r="M543" s="3" t="str">
        <f t="shared" si="8"/>
        <v/>
      </c>
    </row>
    <row r="544" spans="13:13">
      <c r="M544" s="3" t="str">
        <f t="shared" si="8"/>
        <v/>
      </c>
    </row>
    <row r="545" spans="13:13">
      <c r="M545" s="3" t="str">
        <f t="shared" si="8"/>
        <v/>
      </c>
    </row>
    <row r="546" spans="13:13">
      <c r="M546" s="3" t="str">
        <f t="shared" si="8"/>
        <v/>
      </c>
    </row>
    <row r="547" spans="13:13">
      <c r="M547" s="3" t="str">
        <f t="shared" si="8"/>
        <v/>
      </c>
    </row>
    <row r="548" spans="13:13">
      <c r="M548" s="3" t="str">
        <f t="shared" si="8"/>
        <v/>
      </c>
    </row>
    <row r="549" spans="13:13">
      <c r="M549" s="3" t="str">
        <f t="shared" si="8"/>
        <v/>
      </c>
    </row>
    <row r="550" spans="13:13">
      <c r="M550" s="3" t="str">
        <f t="shared" si="8"/>
        <v/>
      </c>
    </row>
    <row r="551" spans="13:13">
      <c r="M551" s="3" t="str">
        <f t="shared" si="8"/>
        <v/>
      </c>
    </row>
    <row r="552" spans="13:13">
      <c r="M552" s="3" t="str">
        <f t="shared" si="8"/>
        <v/>
      </c>
    </row>
    <row r="553" spans="13:13">
      <c r="M553" s="3" t="str">
        <f t="shared" si="8"/>
        <v/>
      </c>
    </row>
    <row r="554" spans="13:13">
      <c r="M554" s="3" t="str">
        <f t="shared" si="8"/>
        <v/>
      </c>
    </row>
    <row r="555" spans="13:13">
      <c r="M555" s="3" t="str">
        <f t="shared" si="8"/>
        <v/>
      </c>
    </row>
    <row r="556" spans="13:13">
      <c r="M556" s="3" t="str">
        <f t="shared" si="8"/>
        <v/>
      </c>
    </row>
    <row r="557" spans="13:13">
      <c r="M557" s="3" t="str">
        <f t="shared" si="8"/>
        <v/>
      </c>
    </row>
    <row r="558" spans="13:13">
      <c r="M558" s="3" t="str">
        <f t="shared" si="8"/>
        <v/>
      </c>
    </row>
    <row r="559" spans="13:13">
      <c r="M559" s="3" t="str">
        <f t="shared" si="8"/>
        <v/>
      </c>
    </row>
    <row r="560" spans="13:13">
      <c r="M560" s="3" t="str">
        <f t="shared" si="8"/>
        <v/>
      </c>
    </row>
    <row r="561" spans="13:13">
      <c r="M561" s="3" t="str">
        <f t="shared" si="8"/>
        <v/>
      </c>
    </row>
    <row r="562" spans="13:13">
      <c r="M562" s="3" t="str">
        <f t="shared" si="8"/>
        <v/>
      </c>
    </row>
    <row r="563" spans="13:13">
      <c r="M563" s="3" t="str">
        <f t="shared" si="8"/>
        <v/>
      </c>
    </row>
    <row r="564" spans="13:13">
      <c r="M564" s="3" t="str">
        <f t="shared" si="8"/>
        <v/>
      </c>
    </row>
    <row r="565" spans="13:13">
      <c r="M565" s="3" t="str">
        <f t="shared" si="8"/>
        <v/>
      </c>
    </row>
    <row r="566" spans="13:13">
      <c r="M566" s="3" t="str">
        <f t="shared" si="8"/>
        <v/>
      </c>
    </row>
    <row r="567" spans="13:13">
      <c r="M567" s="3" t="str">
        <f t="shared" si="8"/>
        <v/>
      </c>
    </row>
    <row r="568" spans="13:13">
      <c r="M568" s="3" t="str">
        <f t="shared" si="8"/>
        <v/>
      </c>
    </row>
    <row r="569" spans="13:13">
      <c r="M569" s="3" t="str">
        <f t="shared" si="8"/>
        <v/>
      </c>
    </row>
    <row r="570" spans="13:13">
      <c r="M570" s="3" t="str">
        <f t="shared" si="8"/>
        <v/>
      </c>
    </row>
    <row r="571" spans="13:13">
      <c r="M571" s="3" t="str">
        <f t="shared" si="8"/>
        <v/>
      </c>
    </row>
    <row r="572" spans="13:13">
      <c r="M572" s="3" t="str">
        <f t="shared" si="8"/>
        <v/>
      </c>
    </row>
    <row r="573" spans="13:13">
      <c r="M573" s="3" t="str">
        <f t="shared" si="8"/>
        <v/>
      </c>
    </row>
    <row r="574" spans="13:13">
      <c r="M574" s="3" t="str">
        <f t="shared" si="8"/>
        <v/>
      </c>
    </row>
    <row r="575" spans="13:13">
      <c r="M575" s="3" t="str">
        <f t="shared" si="8"/>
        <v/>
      </c>
    </row>
    <row r="576" spans="13:13">
      <c r="M576" s="3" t="str">
        <f t="shared" si="8"/>
        <v/>
      </c>
    </row>
    <row r="577" spans="13:13">
      <c r="M577" s="3" t="str">
        <f t="shared" si="8"/>
        <v/>
      </c>
    </row>
    <row r="578" spans="13:13">
      <c r="M578" s="3" t="str">
        <f t="shared" si="8"/>
        <v/>
      </c>
    </row>
    <row r="579" spans="13:13">
      <c r="M579" s="3" t="str">
        <f t="shared" si="8"/>
        <v/>
      </c>
    </row>
    <row r="580" spans="13:13">
      <c r="M580" s="3" t="str">
        <f t="shared" si="8"/>
        <v/>
      </c>
    </row>
    <row r="581" spans="13:13">
      <c r="M581" s="3" t="str">
        <f t="shared" ref="M581:M644" si="9">IF(A581="","", WEEKNUM(A581, 2))</f>
        <v/>
      </c>
    </row>
    <row r="582" spans="13:13">
      <c r="M582" s="3" t="str">
        <f t="shared" si="9"/>
        <v/>
      </c>
    </row>
    <row r="583" spans="13:13">
      <c r="M583" s="3" t="str">
        <f t="shared" si="9"/>
        <v/>
      </c>
    </row>
    <row r="584" spans="13:13">
      <c r="M584" s="3" t="str">
        <f t="shared" si="9"/>
        <v/>
      </c>
    </row>
    <row r="585" spans="13:13">
      <c r="M585" s="3" t="str">
        <f t="shared" si="9"/>
        <v/>
      </c>
    </row>
    <row r="586" spans="13:13">
      <c r="M586" s="3" t="str">
        <f t="shared" si="9"/>
        <v/>
      </c>
    </row>
    <row r="587" spans="13:13">
      <c r="M587" s="3" t="str">
        <f t="shared" si="9"/>
        <v/>
      </c>
    </row>
    <row r="588" spans="13:13">
      <c r="M588" s="3" t="str">
        <f t="shared" si="9"/>
        <v/>
      </c>
    </row>
    <row r="589" spans="13:13">
      <c r="M589" s="3" t="str">
        <f t="shared" si="9"/>
        <v/>
      </c>
    </row>
    <row r="590" spans="13:13">
      <c r="M590" s="3" t="str">
        <f t="shared" si="9"/>
        <v/>
      </c>
    </row>
    <row r="591" spans="13:13">
      <c r="M591" s="3" t="str">
        <f t="shared" si="9"/>
        <v/>
      </c>
    </row>
    <row r="592" spans="13:13">
      <c r="M592" s="3" t="str">
        <f t="shared" si="9"/>
        <v/>
      </c>
    </row>
    <row r="593" spans="13:13">
      <c r="M593" s="3" t="str">
        <f t="shared" si="9"/>
        <v/>
      </c>
    </row>
    <row r="594" spans="13:13">
      <c r="M594" s="3" t="str">
        <f t="shared" si="9"/>
        <v/>
      </c>
    </row>
    <row r="595" spans="13:13">
      <c r="M595" s="3" t="str">
        <f t="shared" si="9"/>
        <v/>
      </c>
    </row>
    <row r="596" spans="13:13">
      <c r="M596" s="3" t="str">
        <f t="shared" si="9"/>
        <v/>
      </c>
    </row>
    <row r="597" spans="13:13">
      <c r="M597" s="3" t="str">
        <f t="shared" si="9"/>
        <v/>
      </c>
    </row>
    <row r="598" spans="13:13">
      <c r="M598" s="3" t="str">
        <f t="shared" si="9"/>
        <v/>
      </c>
    </row>
    <row r="599" spans="13:13">
      <c r="M599" s="3" t="str">
        <f t="shared" si="9"/>
        <v/>
      </c>
    </row>
    <row r="600" spans="13:13">
      <c r="M600" s="3" t="str">
        <f t="shared" si="9"/>
        <v/>
      </c>
    </row>
    <row r="601" spans="13:13">
      <c r="M601" s="3" t="str">
        <f t="shared" si="9"/>
        <v/>
      </c>
    </row>
    <row r="602" spans="13:13">
      <c r="M602" s="3" t="str">
        <f t="shared" si="9"/>
        <v/>
      </c>
    </row>
    <row r="603" spans="13:13">
      <c r="M603" s="3" t="str">
        <f t="shared" si="9"/>
        <v/>
      </c>
    </row>
    <row r="604" spans="13:13">
      <c r="M604" s="3" t="str">
        <f t="shared" si="9"/>
        <v/>
      </c>
    </row>
    <row r="605" spans="13:13">
      <c r="M605" s="3" t="str">
        <f t="shared" si="9"/>
        <v/>
      </c>
    </row>
    <row r="606" spans="13:13">
      <c r="M606" s="3" t="str">
        <f t="shared" si="9"/>
        <v/>
      </c>
    </row>
    <row r="607" spans="13:13">
      <c r="M607" s="3" t="str">
        <f t="shared" si="9"/>
        <v/>
      </c>
    </row>
    <row r="608" spans="13:13">
      <c r="M608" s="3" t="str">
        <f t="shared" si="9"/>
        <v/>
      </c>
    </row>
    <row r="609" spans="13:13">
      <c r="M609" s="3" t="str">
        <f t="shared" si="9"/>
        <v/>
      </c>
    </row>
    <row r="610" spans="13:13">
      <c r="M610" s="3" t="str">
        <f t="shared" si="9"/>
        <v/>
      </c>
    </row>
    <row r="611" spans="13:13">
      <c r="M611" s="3" t="str">
        <f t="shared" si="9"/>
        <v/>
      </c>
    </row>
    <row r="612" spans="13:13">
      <c r="M612" s="3" t="str">
        <f t="shared" si="9"/>
        <v/>
      </c>
    </row>
    <row r="613" spans="13:13">
      <c r="M613" s="3" t="str">
        <f t="shared" si="9"/>
        <v/>
      </c>
    </row>
    <row r="614" spans="13:13">
      <c r="M614" s="3" t="str">
        <f t="shared" si="9"/>
        <v/>
      </c>
    </row>
    <row r="615" spans="13:13">
      <c r="M615" s="3" t="str">
        <f t="shared" si="9"/>
        <v/>
      </c>
    </row>
    <row r="616" spans="13:13">
      <c r="M616" s="3" t="str">
        <f t="shared" si="9"/>
        <v/>
      </c>
    </row>
    <row r="617" spans="13:13">
      <c r="M617" s="3" t="str">
        <f t="shared" si="9"/>
        <v/>
      </c>
    </row>
    <row r="618" spans="13:13">
      <c r="M618" s="3" t="str">
        <f t="shared" si="9"/>
        <v/>
      </c>
    </row>
    <row r="619" spans="13:13">
      <c r="M619" s="3" t="str">
        <f t="shared" si="9"/>
        <v/>
      </c>
    </row>
    <row r="620" spans="13:13">
      <c r="M620" s="3" t="str">
        <f t="shared" si="9"/>
        <v/>
      </c>
    </row>
    <row r="621" spans="13:13">
      <c r="M621" s="3" t="str">
        <f t="shared" si="9"/>
        <v/>
      </c>
    </row>
    <row r="622" spans="13:13">
      <c r="M622" s="3" t="str">
        <f t="shared" si="9"/>
        <v/>
      </c>
    </row>
    <row r="623" spans="13:13">
      <c r="M623" s="3" t="str">
        <f t="shared" si="9"/>
        <v/>
      </c>
    </row>
    <row r="624" spans="13:13">
      <c r="M624" s="3" t="str">
        <f t="shared" si="9"/>
        <v/>
      </c>
    </row>
    <row r="625" spans="13:13">
      <c r="M625" s="3" t="str">
        <f t="shared" si="9"/>
        <v/>
      </c>
    </row>
    <row r="626" spans="13:13">
      <c r="M626" s="3" t="str">
        <f t="shared" si="9"/>
        <v/>
      </c>
    </row>
    <row r="627" spans="13:13">
      <c r="M627" s="3" t="str">
        <f t="shared" si="9"/>
        <v/>
      </c>
    </row>
    <row r="628" spans="13:13">
      <c r="M628" s="3" t="str">
        <f t="shared" si="9"/>
        <v/>
      </c>
    </row>
    <row r="629" spans="13:13">
      <c r="M629" s="3" t="str">
        <f t="shared" si="9"/>
        <v/>
      </c>
    </row>
    <row r="630" spans="13:13">
      <c r="M630" s="3" t="str">
        <f t="shared" si="9"/>
        <v/>
      </c>
    </row>
    <row r="631" spans="13:13">
      <c r="M631" s="3" t="str">
        <f t="shared" si="9"/>
        <v/>
      </c>
    </row>
    <row r="632" spans="13:13">
      <c r="M632" s="3" t="str">
        <f t="shared" si="9"/>
        <v/>
      </c>
    </row>
    <row r="633" spans="13:13">
      <c r="M633" s="3" t="str">
        <f t="shared" si="9"/>
        <v/>
      </c>
    </row>
    <row r="634" spans="13:13">
      <c r="M634" s="3" t="str">
        <f t="shared" si="9"/>
        <v/>
      </c>
    </row>
    <row r="635" spans="13:13">
      <c r="M635" s="3" t="str">
        <f t="shared" si="9"/>
        <v/>
      </c>
    </row>
    <row r="636" spans="13:13">
      <c r="M636" s="3" t="str">
        <f t="shared" si="9"/>
        <v/>
      </c>
    </row>
    <row r="637" spans="13:13">
      <c r="M637" s="3" t="str">
        <f t="shared" si="9"/>
        <v/>
      </c>
    </row>
    <row r="638" spans="13:13">
      <c r="M638" s="3" t="str">
        <f t="shared" si="9"/>
        <v/>
      </c>
    </row>
    <row r="639" spans="13:13">
      <c r="M639" s="3" t="str">
        <f t="shared" si="9"/>
        <v/>
      </c>
    </row>
    <row r="640" spans="13:13">
      <c r="M640" s="3" t="str">
        <f t="shared" si="9"/>
        <v/>
      </c>
    </row>
    <row r="641" spans="13:13">
      <c r="M641" s="3" t="str">
        <f t="shared" si="9"/>
        <v/>
      </c>
    </row>
    <row r="642" spans="13:13">
      <c r="M642" s="3" t="str">
        <f t="shared" si="9"/>
        <v/>
      </c>
    </row>
    <row r="643" spans="13:13">
      <c r="M643" s="3" t="str">
        <f t="shared" si="9"/>
        <v/>
      </c>
    </row>
    <row r="644" spans="13:13">
      <c r="M644" s="3" t="str">
        <f t="shared" si="9"/>
        <v/>
      </c>
    </row>
    <row r="645" spans="13:13">
      <c r="M645" s="3" t="str">
        <f t="shared" ref="M645:M708" si="10">IF(A645="","", WEEKNUM(A645, 2))</f>
        <v/>
      </c>
    </row>
    <row r="646" spans="13:13">
      <c r="M646" s="3" t="str">
        <f t="shared" si="10"/>
        <v/>
      </c>
    </row>
    <row r="647" spans="13:13">
      <c r="M647" s="3" t="str">
        <f t="shared" si="10"/>
        <v/>
      </c>
    </row>
    <row r="648" spans="13:13">
      <c r="M648" s="3" t="str">
        <f t="shared" si="10"/>
        <v/>
      </c>
    </row>
    <row r="649" spans="13:13">
      <c r="M649" s="3" t="str">
        <f t="shared" si="10"/>
        <v/>
      </c>
    </row>
    <row r="650" spans="13:13">
      <c r="M650" s="3" t="str">
        <f t="shared" si="10"/>
        <v/>
      </c>
    </row>
    <row r="651" spans="13:13">
      <c r="M651" s="3" t="str">
        <f t="shared" si="10"/>
        <v/>
      </c>
    </row>
    <row r="652" spans="13:13">
      <c r="M652" s="3" t="str">
        <f t="shared" si="10"/>
        <v/>
      </c>
    </row>
    <row r="653" spans="13:13">
      <c r="M653" s="3" t="str">
        <f t="shared" si="10"/>
        <v/>
      </c>
    </row>
    <row r="654" spans="13:13">
      <c r="M654" s="3" t="str">
        <f t="shared" si="10"/>
        <v/>
      </c>
    </row>
    <row r="655" spans="13:13">
      <c r="M655" s="3" t="str">
        <f t="shared" si="10"/>
        <v/>
      </c>
    </row>
    <row r="656" spans="13:13">
      <c r="M656" s="3" t="str">
        <f t="shared" si="10"/>
        <v/>
      </c>
    </row>
    <row r="657" spans="13:13">
      <c r="M657" s="3" t="str">
        <f t="shared" si="10"/>
        <v/>
      </c>
    </row>
    <row r="658" spans="13:13">
      <c r="M658" s="3" t="str">
        <f t="shared" si="10"/>
        <v/>
      </c>
    </row>
    <row r="659" spans="13:13">
      <c r="M659" s="3" t="str">
        <f t="shared" si="10"/>
        <v/>
      </c>
    </row>
    <row r="660" spans="13:13">
      <c r="M660" s="3" t="str">
        <f t="shared" si="10"/>
        <v/>
      </c>
    </row>
    <row r="661" spans="13:13">
      <c r="M661" s="3" t="str">
        <f t="shared" si="10"/>
        <v/>
      </c>
    </row>
    <row r="662" spans="13:13">
      <c r="M662" s="3" t="str">
        <f t="shared" si="10"/>
        <v/>
      </c>
    </row>
    <row r="663" spans="13:13">
      <c r="M663" s="3" t="str">
        <f t="shared" si="10"/>
        <v/>
      </c>
    </row>
    <row r="664" spans="13:13">
      <c r="M664" s="3" t="str">
        <f t="shared" si="10"/>
        <v/>
      </c>
    </row>
    <row r="665" spans="13:13">
      <c r="M665" s="3" t="str">
        <f t="shared" si="10"/>
        <v/>
      </c>
    </row>
    <row r="666" spans="13:13">
      <c r="M666" s="3" t="str">
        <f t="shared" si="10"/>
        <v/>
      </c>
    </row>
    <row r="667" spans="13:13">
      <c r="M667" s="3" t="str">
        <f t="shared" si="10"/>
        <v/>
      </c>
    </row>
    <row r="668" spans="13:13">
      <c r="M668" s="3" t="str">
        <f t="shared" si="10"/>
        <v/>
      </c>
    </row>
    <row r="669" spans="13:13">
      <c r="M669" s="3" t="str">
        <f t="shared" si="10"/>
        <v/>
      </c>
    </row>
    <row r="670" spans="13:13">
      <c r="M670" s="3" t="str">
        <f t="shared" si="10"/>
        <v/>
      </c>
    </row>
    <row r="671" spans="13:13">
      <c r="M671" s="3" t="str">
        <f t="shared" si="10"/>
        <v/>
      </c>
    </row>
    <row r="672" spans="13:13">
      <c r="M672" s="3" t="str">
        <f t="shared" si="10"/>
        <v/>
      </c>
    </row>
    <row r="673" spans="13:13">
      <c r="M673" s="3" t="str">
        <f t="shared" si="10"/>
        <v/>
      </c>
    </row>
    <row r="674" spans="13:13">
      <c r="M674" s="3" t="str">
        <f t="shared" si="10"/>
        <v/>
      </c>
    </row>
    <row r="675" spans="13:13">
      <c r="M675" s="3" t="str">
        <f t="shared" si="10"/>
        <v/>
      </c>
    </row>
    <row r="676" spans="13:13">
      <c r="M676" s="3" t="str">
        <f t="shared" si="10"/>
        <v/>
      </c>
    </row>
    <row r="677" spans="13:13">
      <c r="M677" s="3" t="str">
        <f t="shared" si="10"/>
        <v/>
      </c>
    </row>
    <row r="678" spans="13:13">
      <c r="M678" s="3" t="str">
        <f t="shared" si="10"/>
        <v/>
      </c>
    </row>
    <row r="679" spans="13:13">
      <c r="M679" s="3" t="str">
        <f t="shared" si="10"/>
        <v/>
      </c>
    </row>
    <row r="680" spans="13:13">
      <c r="M680" s="3" t="str">
        <f t="shared" si="10"/>
        <v/>
      </c>
    </row>
    <row r="681" spans="13:13">
      <c r="M681" s="3" t="str">
        <f t="shared" si="10"/>
        <v/>
      </c>
    </row>
    <row r="682" spans="13:13">
      <c r="M682" s="3" t="str">
        <f t="shared" si="10"/>
        <v/>
      </c>
    </row>
    <row r="683" spans="13:13">
      <c r="M683" s="3" t="str">
        <f t="shared" si="10"/>
        <v/>
      </c>
    </row>
    <row r="684" spans="13:13">
      <c r="M684" s="3" t="str">
        <f t="shared" si="10"/>
        <v/>
      </c>
    </row>
    <row r="685" spans="13:13">
      <c r="M685" s="3" t="str">
        <f t="shared" si="10"/>
        <v/>
      </c>
    </row>
    <row r="686" spans="13:13">
      <c r="M686" s="3" t="str">
        <f t="shared" si="10"/>
        <v/>
      </c>
    </row>
    <row r="687" spans="13:13">
      <c r="M687" s="3" t="str">
        <f t="shared" si="10"/>
        <v/>
      </c>
    </row>
    <row r="688" spans="13:13">
      <c r="M688" s="3" t="str">
        <f t="shared" si="10"/>
        <v/>
      </c>
    </row>
    <row r="689" spans="13:13">
      <c r="M689" s="3" t="str">
        <f t="shared" si="10"/>
        <v/>
      </c>
    </row>
    <row r="690" spans="13:13">
      <c r="M690" s="3" t="str">
        <f t="shared" si="10"/>
        <v/>
      </c>
    </row>
    <row r="691" spans="13:13">
      <c r="M691" s="3" t="str">
        <f t="shared" si="10"/>
        <v/>
      </c>
    </row>
    <row r="692" spans="13:13">
      <c r="M692" s="3" t="str">
        <f t="shared" si="10"/>
        <v/>
      </c>
    </row>
    <row r="693" spans="13:13">
      <c r="M693" s="3" t="str">
        <f t="shared" si="10"/>
        <v/>
      </c>
    </row>
    <row r="694" spans="13:13">
      <c r="M694" s="3" t="str">
        <f t="shared" si="10"/>
        <v/>
      </c>
    </row>
    <row r="695" spans="13:13">
      <c r="M695" s="3" t="str">
        <f t="shared" si="10"/>
        <v/>
      </c>
    </row>
    <row r="696" spans="13:13">
      <c r="M696" s="3" t="str">
        <f t="shared" si="10"/>
        <v/>
      </c>
    </row>
    <row r="697" spans="13:13">
      <c r="M697" s="3" t="str">
        <f t="shared" si="10"/>
        <v/>
      </c>
    </row>
    <row r="698" spans="13:13">
      <c r="M698" s="3" t="str">
        <f t="shared" si="10"/>
        <v/>
      </c>
    </row>
    <row r="699" spans="13:13">
      <c r="M699" s="3" t="str">
        <f t="shared" si="10"/>
        <v/>
      </c>
    </row>
    <row r="700" spans="13:13">
      <c r="M700" s="3" t="str">
        <f t="shared" si="10"/>
        <v/>
      </c>
    </row>
    <row r="701" spans="13:13">
      <c r="M701" s="3" t="str">
        <f t="shared" si="10"/>
        <v/>
      </c>
    </row>
    <row r="702" spans="13:13">
      <c r="M702" s="3" t="str">
        <f t="shared" si="10"/>
        <v/>
      </c>
    </row>
    <row r="703" spans="13:13">
      <c r="M703" s="3" t="str">
        <f t="shared" si="10"/>
        <v/>
      </c>
    </row>
    <row r="704" spans="13:13">
      <c r="M704" s="3" t="str">
        <f t="shared" si="10"/>
        <v/>
      </c>
    </row>
    <row r="705" spans="13:13">
      <c r="M705" s="3" t="str">
        <f t="shared" si="10"/>
        <v/>
      </c>
    </row>
    <row r="706" spans="13:13">
      <c r="M706" s="3" t="str">
        <f t="shared" si="10"/>
        <v/>
      </c>
    </row>
    <row r="707" spans="13:13">
      <c r="M707" s="3" t="str">
        <f t="shared" si="10"/>
        <v/>
      </c>
    </row>
    <row r="708" spans="13:13">
      <c r="M708" s="3" t="str">
        <f t="shared" si="10"/>
        <v/>
      </c>
    </row>
    <row r="709" spans="13:13">
      <c r="M709" s="3" t="str">
        <f t="shared" ref="M709:M772" si="11">IF(A709="","", WEEKNUM(A709, 2))</f>
        <v/>
      </c>
    </row>
    <row r="710" spans="13:13">
      <c r="M710" s="3" t="str">
        <f t="shared" si="11"/>
        <v/>
      </c>
    </row>
    <row r="711" spans="13:13">
      <c r="M711" s="3" t="str">
        <f t="shared" si="11"/>
        <v/>
      </c>
    </row>
    <row r="712" spans="13:13">
      <c r="M712" s="3" t="str">
        <f t="shared" si="11"/>
        <v/>
      </c>
    </row>
    <row r="713" spans="13:13">
      <c r="M713" s="3" t="str">
        <f t="shared" si="11"/>
        <v/>
      </c>
    </row>
    <row r="714" spans="13:13">
      <c r="M714" s="3" t="str">
        <f t="shared" si="11"/>
        <v/>
      </c>
    </row>
    <row r="715" spans="13:13">
      <c r="M715" s="3" t="str">
        <f t="shared" si="11"/>
        <v/>
      </c>
    </row>
    <row r="716" spans="13:13">
      <c r="M716" s="3" t="str">
        <f t="shared" si="11"/>
        <v/>
      </c>
    </row>
    <row r="717" spans="13:13">
      <c r="M717" s="3" t="str">
        <f t="shared" si="11"/>
        <v/>
      </c>
    </row>
    <row r="718" spans="13:13">
      <c r="M718" s="3" t="str">
        <f t="shared" si="11"/>
        <v/>
      </c>
    </row>
    <row r="719" spans="13:13">
      <c r="M719" s="3" t="str">
        <f t="shared" si="11"/>
        <v/>
      </c>
    </row>
    <row r="720" spans="13:13">
      <c r="M720" s="3" t="str">
        <f t="shared" si="11"/>
        <v/>
      </c>
    </row>
    <row r="721" spans="13:13">
      <c r="M721" s="3" t="str">
        <f t="shared" si="11"/>
        <v/>
      </c>
    </row>
    <row r="722" spans="13:13">
      <c r="M722" s="3" t="str">
        <f t="shared" si="11"/>
        <v/>
      </c>
    </row>
    <row r="723" spans="13:13">
      <c r="M723" s="3" t="str">
        <f t="shared" si="11"/>
        <v/>
      </c>
    </row>
    <row r="724" spans="13:13">
      <c r="M724" s="3" t="str">
        <f t="shared" si="11"/>
        <v/>
      </c>
    </row>
    <row r="725" spans="13:13">
      <c r="M725" s="3" t="str">
        <f t="shared" si="11"/>
        <v/>
      </c>
    </row>
    <row r="726" spans="13:13">
      <c r="M726" s="3" t="str">
        <f t="shared" si="11"/>
        <v/>
      </c>
    </row>
    <row r="727" spans="13:13">
      <c r="M727" s="3" t="str">
        <f t="shared" si="11"/>
        <v/>
      </c>
    </row>
    <row r="728" spans="13:13">
      <c r="M728" s="3" t="str">
        <f t="shared" si="11"/>
        <v/>
      </c>
    </row>
    <row r="729" spans="13:13">
      <c r="M729" s="3" t="str">
        <f t="shared" si="11"/>
        <v/>
      </c>
    </row>
    <row r="730" spans="13:13">
      <c r="M730" s="3" t="str">
        <f t="shared" si="11"/>
        <v/>
      </c>
    </row>
    <row r="731" spans="13:13">
      <c r="M731" s="3" t="str">
        <f t="shared" si="11"/>
        <v/>
      </c>
    </row>
    <row r="732" spans="13:13">
      <c r="M732" s="3" t="str">
        <f t="shared" si="11"/>
        <v/>
      </c>
    </row>
    <row r="733" spans="13:13">
      <c r="M733" s="3" t="str">
        <f t="shared" si="11"/>
        <v/>
      </c>
    </row>
    <row r="734" spans="13:13">
      <c r="M734" s="3" t="str">
        <f t="shared" si="11"/>
        <v/>
      </c>
    </row>
    <row r="735" spans="13:13">
      <c r="M735" s="3" t="str">
        <f t="shared" si="11"/>
        <v/>
      </c>
    </row>
    <row r="736" spans="13:13">
      <c r="M736" s="3" t="str">
        <f t="shared" si="11"/>
        <v/>
      </c>
    </row>
    <row r="737" spans="13:13">
      <c r="M737" s="3" t="str">
        <f t="shared" si="11"/>
        <v/>
      </c>
    </row>
    <row r="738" spans="13:13">
      <c r="M738" s="3" t="str">
        <f t="shared" si="11"/>
        <v/>
      </c>
    </row>
    <row r="739" spans="13:13">
      <c r="M739" s="3" t="str">
        <f t="shared" si="11"/>
        <v/>
      </c>
    </row>
    <row r="740" spans="13:13">
      <c r="M740" s="3" t="str">
        <f t="shared" si="11"/>
        <v/>
      </c>
    </row>
    <row r="741" spans="13:13">
      <c r="M741" s="3" t="str">
        <f t="shared" si="11"/>
        <v/>
      </c>
    </row>
    <row r="742" spans="13:13">
      <c r="M742" s="3" t="str">
        <f t="shared" si="11"/>
        <v/>
      </c>
    </row>
    <row r="743" spans="13:13">
      <c r="M743" s="3" t="str">
        <f t="shared" si="11"/>
        <v/>
      </c>
    </row>
    <row r="744" spans="13:13">
      <c r="M744" s="3" t="str">
        <f t="shared" si="11"/>
        <v/>
      </c>
    </row>
    <row r="745" spans="13:13">
      <c r="M745" s="3" t="str">
        <f t="shared" si="11"/>
        <v/>
      </c>
    </row>
    <row r="746" spans="13:13">
      <c r="M746" s="3" t="str">
        <f t="shared" si="11"/>
        <v/>
      </c>
    </row>
    <row r="747" spans="13:13">
      <c r="M747" s="3" t="str">
        <f t="shared" si="11"/>
        <v/>
      </c>
    </row>
    <row r="748" spans="13:13">
      <c r="M748" s="3" t="str">
        <f t="shared" si="11"/>
        <v/>
      </c>
    </row>
    <row r="749" spans="13:13">
      <c r="M749" s="3" t="str">
        <f t="shared" si="11"/>
        <v/>
      </c>
    </row>
    <row r="750" spans="13:13">
      <c r="M750" s="3" t="str">
        <f t="shared" si="11"/>
        <v/>
      </c>
    </row>
    <row r="751" spans="13:13">
      <c r="M751" s="3" t="str">
        <f t="shared" si="11"/>
        <v/>
      </c>
    </row>
    <row r="752" spans="13:13">
      <c r="M752" s="3" t="str">
        <f t="shared" si="11"/>
        <v/>
      </c>
    </row>
    <row r="753" spans="13:13">
      <c r="M753" s="3" t="str">
        <f t="shared" si="11"/>
        <v/>
      </c>
    </row>
    <row r="754" spans="13:13">
      <c r="M754" s="3" t="str">
        <f t="shared" si="11"/>
        <v/>
      </c>
    </row>
    <row r="755" spans="13:13">
      <c r="M755" s="3" t="str">
        <f t="shared" si="11"/>
        <v/>
      </c>
    </row>
    <row r="756" spans="13:13">
      <c r="M756" s="3" t="str">
        <f t="shared" si="11"/>
        <v/>
      </c>
    </row>
    <row r="757" spans="13:13">
      <c r="M757" s="3" t="str">
        <f t="shared" si="11"/>
        <v/>
      </c>
    </row>
    <row r="758" spans="13:13">
      <c r="M758" s="3" t="str">
        <f t="shared" si="11"/>
        <v/>
      </c>
    </row>
    <row r="759" spans="13:13">
      <c r="M759" s="3" t="str">
        <f t="shared" si="11"/>
        <v/>
      </c>
    </row>
    <row r="760" spans="13:13">
      <c r="M760" s="3" t="str">
        <f t="shared" si="11"/>
        <v/>
      </c>
    </row>
    <row r="761" spans="13:13">
      <c r="M761" s="3" t="str">
        <f t="shared" si="11"/>
        <v/>
      </c>
    </row>
    <row r="762" spans="13:13">
      <c r="M762" s="3" t="str">
        <f t="shared" si="11"/>
        <v/>
      </c>
    </row>
    <row r="763" spans="13:13">
      <c r="M763" s="3" t="str">
        <f t="shared" si="11"/>
        <v/>
      </c>
    </row>
    <row r="764" spans="13:13">
      <c r="M764" s="3" t="str">
        <f t="shared" si="11"/>
        <v/>
      </c>
    </row>
    <row r="765" spans="13:13">
      <c r="M765" s="3" t="str">
        <f t="shared" si="11"/>
        <v/>
      </c>
    </row>
    <row r="766" spans="13:13">
      <c r="M766" s="3" t="str">
        <f t="shared" si="11"/>
        <v/>
      </c>
    </row>
    <row r="767" spans="13:13">
      <c r="M767" s="3" t="str">
        <f t="shared" si="11"/>
        <v/>
      </c>
    </row>
    <row r="768" spans="13:13">
      <c r="M768" s="3" t="str">
        <f t="shared" si="11"/>
        <v/>
      </c>
    </row>
    <row r="769" spans="13:13">
      <c r="M769" s="3" t="str">
        <f t="shared" si="11"/>
        <v/>
      </c>
    </row>
    <row r="770" spans="13:13">
      <c r="M770" s="3" t="str">
        <f t="shared" si="11"/>
        <v/>
      </c>
    </row>
    <row r="771" spans="13:13">
      <c r="M771" s="3" t="str">
        <f t="shared" si="11"/>
        <v/>
      </c>
    </row>
    <row r="772" spans="13:13">
      <c r="M772" s="3" t="str">
        <f t="shared" si="11"/>
        <v/>
      </c>
    </row>
    <row r="773" spans="13:13">
      <c r="M773" s="3" t="str">
        <f t="shared" ref="M773:M836" si="12">IF(A773="","", WEEKNUM(A773, 2))</f>
        <v/>
      </c>
    </row>
    <row r="774" spans="13:13">
      <c r="M774" s="3" t="str">
        <f t="shared" si="12"/>
        <v/>
      </c>
    </row>
    <row r="775" spans="13:13">
      <c r="M775" s="3" t="str">
        <f t="shared" si="12"/>
        <v/>
      </c>
    </row>
    <row r="776" spans="13:13">
      <c r="M776" s="3" t="str">
        <f t="shared" si="12"/>
        <v/>
      </c>
    </row>
    <row r="777" spans="13:13">
      <c r="M777" s="3" t="str">
        <f t="shared" si="12"/>
        <v/>
      </c>
    </row>
    <row r="778" spans="13:13">
      <c r="M778" s="3" t="str">
        <f t="shared" si="12"/>
        <v/>
      </c>
    </row>
    <row r="779" spans="13:13">
      <c r="M779" s="3" t="str">
        <f t="shared" si="12"/>
        <v/>
      </c>
    </row>
    <row r="780" spans="13:13">
      <c r="M780" s="3" t="str">
        <f t="shared" si="12"/>
        <v/>
      </c>
    </row>
    <row r="781" spans="13:13">
      <c r="M781" s="3" t="str">
        <f t="shared" si="12"/>
        <v/>
      </c>
    </row>
    <row r="782" spans="13:13">
      <c r="M782" s="3" t="str">
        <f t="shared" si="12"/>
        <v/>
      </c>
    </row>
    <row r="783" spans="13:13">
      <c r="M783" s="3" t="str">
        <f t="shared" si="12"/>
        <v/>
      </c>
    </row>
    <row r="784" spans="13:13">
      <c r="M784" s="3" t="str">
        <f t="shared" si="12"/>
        <v/>
      </c>
    </row>
    <row r="785" spans="13:13">
      <c r="M785" s="3" t="str">
        <f t="shared" si="12"/>
        <v/>
      </c>
    </row>
    <row r="786" spans="13:13">
      <c r="M786" s="3" t="str">
        <f t="shared" si="12"/>
        <v/>
      </c>
    </row>
    <row r="787" spans="13:13">
      <c r="M787" s="3" t="str">
        <f t="shared" si="12"/>
        <v/>
      </c>
    </row>
    <row r="788" spans="13:13">
      <c r="M788" s="3" t="str">
        <f t="shared" si="12"/>
        <v/>
      </c>
    </row>
    <row r="789" spans="13:13">
      <c r="M789" s="3" t="str">
        <f t="shared" si="12"/>
        <v/>
      </c>
    </row>
    <row r="790" spans="13:13">
      <c r="M790" s="3" t="str">
        <f t="shared" si="12"/>
        <v/>
      </c>
    </row>
    <row r="791" spans="13:13">
      <c r="M791" s="3" t="str">
        <f t="shared" si="12"/>
        <v/>
      </c>
    </row>
    <row r="792" spans="13:13">
      <c r="M792" s="3" t="str">
        <f t="shared" si="12"/>
        <v/>
      </c>
    </row>
    <row r="793" spans="13:13">
      <c r="M793" s="3" t="str">
        <f t="shared" si="12"/>
        <v/>
      </c>
    </row>
    <row r="794" spans="13:13">
      <c r="M794" s="3" t="str">
        <f t="shared" si="12"/>
        <v/>
      </c>
    </row>
    <row r="795" spans="13:13">
      <c r="M795" s="3" t="str">
        <f t="shared" si="12"/>
        <v/>
      </c>
    </row>
    <row r="796" spans="13:13">
      <c r="M796" s="3" t="str">
        <f t="shared" si="12"/>
        <v/>
      </c>
    </row>
    <row r="797" spans="13:13">
      <c r="M797" s="3" t="str">
        <f t="shared" si="12"/>
        <v/>
      </c>
    </row>
    <row r="798" spans="13:13">
      <c r="M798" s="3" t="str">
        <f t="shared" si="12"/>
        <v/>
      </c>
    </row>
    <row r="799" spans="13:13">
      <c r="M799" s="3" t="str">
        <f t="shared" si="12"/>
        <v/>
      </c>
    </row>
    <row r="800" spans="13:13">
      <c r="M800" s="3" t="str">
        <f t="shared" si="12"/>
        <v/>
      </c>
    </row>
    <row r="801" spans="13:13">
      <c r="M801" s="3" t="str">
        <f t="shared" si="12"/>
        <v/>
      </c>
    </row>
    <row r="802" spans="13:13">
      <c r="M802" s="3" t="str">
        <f t="shared" si="12"/>
        <v/>
      </c>
    </row>
    <row r="803" spans="13:13">
      <c r="M803" s="3" t="str">
        <f t="shared" si="12"/>
        <v/>
      </c>
    </row>
    <row r="804" spans="13:13">
      <c r="M804" s="3" t="str">
        <f t="shared" si="12"/>
        <v/>
      </c>
    </row>
    <row r="805" spans="13:13">
      <c r="M805" s="3" t="str">
        <f t="shared" si="12"/>
        <v/>
      </c>
    </row>
    <row r="806" spans="13:13">
      <c r="M806" s="3" t="str">
        <f t="shared" si="12"/>
        <v/>
      </c>
    </row>
    <row r="807" spans="13:13">
      <c r="M807" s="3" t="str">
        <f t="shared" si="12"/>
        <v/>
      </c>
    </row>
    <row r="808" spans="13:13">
      <c r="M808" s="3" t="str">
        <f t="shared" si="12"/>
        <v/>
      </c>
    </row>
    <row r="809" spans="13:13">
      <c r="M809" s="3" t="str">
        <f t="shared" si="12"/>
        <v/>
      </c>
    </row>
    <row r="810" spans="13:13">
      <c r="M810" s="3" t="str">
        <f t="shared" si="12"/>
        <v/>
      </c>
    </row>
    <row r="811" spans="13:13">
      <c r="M811" s="3" t="str">
        <f t="shared" si="12"/>
        <v/>
      </c>
    </row>
    <row r="812" spans="13:13">
      <c r="M812" s="3" t="str">
        <f t="shared" si="12"/>
        <v/>
      </c>
    </row>
    <row r="813" spans="13:13">
      <c r="M813" s="3" t="str">
        <f t="shared" si="12"/>
        <v/>
      </c>
    </row>
    <row r="814" spans="13:13">
      <c r="M814" s="3" t="str">
        <f t="shared" si="12"/>
        <v/>
      </c>
    </row>
    <row r="815" spans="13:13">
      <c r="M815" s="3" t="str">
        <f t="shared" si="12"/>
        <v/>
      </c>
    </row>
    <row r="816" spans="13:13">
      <c r="M816" s="3" t="str">
        <f t="shared" si="12"/>
        <v/>
      </c>
    </row>
    <row r="817" spans="13:13">
      <c r="M817" s="3" t="str">
        <f t="shared" si="12"/>
        <v/>
      </c>
    </row>
    <row r="818" spans="13:13">
      <c r="M818" s="3" t="str">
        <f t="shared" si="12"/>
        <v/>
      </c>
    </row>
    <row r="819" spans="13:13">
      <c r="M819" s="3" t="str">
        <f t="shared" si="12"/>
        <v/>
      </c>
    </row>
    <row r="820" spans="13:13">
      <c r="M820" s="3" t="str">
        <f t="shared" si="12"/>
        <v/>
      </c>
    </row>
    <row r="821" spans="13:13">
      <c r="M821" s="3" t="str">
        <f t="shared" si="12"/>
        <v/>
      </c>
    </row>
    <row r="822" spans="13:13">
      <c r="M822" s="3" t="str">
        <f t="shared" si="12"/>
        <v/>
      </c>
    </row>
    <row r="823" spans="13:13">
      <c r="M823" s="3" t="str">
        <f t="shared" si="12"/>
        <v/>
      </c>
    </row>
    <row r="824" spans="13:13">
      <c r="M824" s="3" t="str">
        <f t="shared" si="12"/>
        <v/>
      </c>
    </row>
    <row r="825" spans="13:13">
      <c r="M825" s="3" t="str">
        <f t="shared" si="12"/>
        <v/>
      </c>
    </row>
    <row r="826" spans="13:13">
      <c r="M826" s="3" t="str">
        <f t="shared" si="12"/>
        <v/>
      </c>
    </row>
    <row r="827" spans="13:13">
      <c r="M827" s="3" t="str">
        <f t="shared" si="12"/>
        <v/>
      </c>
    </row>
    <row r="828" spans="13:13">
      <c r="M828" s="3" t="str">
        <f t="shared" si="12"/>
        <v/>
      </c>
    </row>
    <row r="829" spans="13:13">
      <c r="M829" s="3" t="str">
        <f t="shared" si="12"/>
        <v/>
      </c>
    </row>
    <row r="830" spans="13:13">
      <c r="M830" s="3" t="str">
        <f t="shared" si="12"/>
        <v/>
      </c>
    </row>
    <row r="831" spans="13:13">
      <c r="M831" s="3" t="str">
        <f t="shared" si="12"/>
        <v/>
      </c>
    </row>
    <row r="832" spans="13:13">
      <c r="M832" s="3" t="str">
        <f t="shared" si="12"/>
        <v/>
      </c>
    </row>
    <row r="833" spans="13:13">
      <c r="M833" s="3" t="str">
        <f t="shared" si="12"/>
        <v/>
      </c>
    </row>
    <row r="834" spans="13:13">
      <c r="M834" s="3" t="str">
        <f t="shared" si="12"/>
        <v/>
      </c>
    </row>
    <row r="835" spans="13:13">
      <c r="M835" s="3" t="str">
        <f t="shared" si="12"/>
        <v/>
      </c>
    </row>
    <row r="836" spans="13:13">
      <c r="M836" s="3" t="str">
        <f t="shared" si="12"/>
        <v/>
      </c>
    </row>
    <row r="837" spans="13:13">
      <c r="M837" s="3" t="str">
        <f t="shared" ref="M837:M900" si="13">IF(A837="","", WEEKNUM(A837, 2))</f>
        <v/>
      </c>
    </row>
    <row r="838" spans="13:13">
      <c r="M838" s="3" t="str">
        <f t="shared" si="13"/>
        <v/>
      </c>
    </row>
    <row r="839" spans="13:13">
      <c r="M839" s="3" t="str">
        <f t="shared" si="13"/>
        <v/>
      </c>
    </row>
    <row r="840" spans="13:13">
      <c r="M840" s="3" t="str">
        <f t="shared" si="13"/>
        <v/>
      </c>
    </row>
    <row r="841" spans="13:13">
      <c r="M841" s="3" t="str">
        <f t="shared" si="13"/>
        <v/>
      </c>
    </row>
    <row r="842" spans="13:13">
      <c r="M842" s="3" t="str">
        <f t="shared" si="13"/>
        <v/>
      </c>
    </row>
    <row r="843" spans="13:13">
      <c r="M843" s="3" t="str">
        <f t="shared" si="13"/>
        <v/>
      </c>
    </row>
    <row r="844" spans="13:13">
      <c r="M844" s="3" t="str">
        <f t="shared" si="13"/>
        <v/>
      </c>
    </row>
    <row r="845" spans="13:13">
      <c r="M845" s="3" t="str">
        <f t="shared" si="13"/>
        <v/>
      </c>
    </row>
    <row r="846" spans="13:13">
      <c r="M846" s="3" t="str">
        <f t="shared" si="13"/>
        <v/>
      </c>
    </row>
    <row r="847" spans="13:13">
      <c r="M847" s="3" t="str">
        <f t="shared" si="13"/>
        <v/>
      </c>
    </row>
    <row r="848" spans="13:13">
      <c r="M848" s="3" t="str">
        <f t="shared" si="13"/>
        <v/>
      </c>
    </row>
    <row r="849" spans="13:13">
      <c r="M849" s="3" t="str">
        <f t="shared" si="13"/>
        <v/>
      </c>
    </row>
    <row r="850" spans="13:13">
      <c r="M850" s="3" t="str">
        <f t="shared" si="13"/>
        <v/>
      </c>
    </row>
    <row r="851" spans="13:13">
      <c r="M851" s="3" t="str">
        <f t="shared" si="13"/>
        <v/>
      </c>
    </row>
    <row r="852" spans="13:13">
      <c r="M852" s="3" t="str">
        <f t="shared" si="13"/>
        <v/>
      </c>
    </row>
    <row r="853" spans="13:13">
      <c r="M853" s="3" t="str">
        <f t="shared" si="13"/>
        <v/>
      </c>
    </row>
    <row r="854" spans="13:13">
      <c r="M854" s="3" t="str">
        <f t="shared" si="13"/>
        <v/>
      </c>
    </row>
    <row r="855" spans="13:13">
      <c r="M855" s="3" t="str">
        <f t="shared" si="13"/>
        <v/>
      </c>
    </row>
    <row r="856" spans="13:13">
      <c r="M856" s="3" t="str">
        <f t="shared" si="13"/>
        <v/>
      </c>
    </row>
    <row r="857" spans="13:13">
      <c r="M857" s="3" t="str">
        <f t="shared" si="13"/>
        <v/>
      </c>
    </row>
    <row r="858" spans="13:13">
      <c r="M858" s="3" t="str">
        <f t="shared" si="13"/>
        <v/>
      </c>
    </row>
    <row r="859" spans="13:13">
      <c r="M859" s="3" t="str">
        <f t="shared" si="13"/>
        <v/>
      </c>
    </row>
    <row r="860" spans="13:13">
      <c r="M860" s="3" t="str">
        <f t="shared" si="13"/>
        <v/>
      </c>
    </row>
    <row r="861" spans="13:13">
      <c r="M861" s="3" t="str">
        <f t="shared" si="13"/>
        <v/>
      </c>
    </row>
    <row r="862" spans="13:13">
      <c r="M862" s="3" t="str">
        <f t="shared" si="13"/>
        <v/>
      </c>
    </row>
    <row r="863" spans="13:13">
      <c r="M863" s="3" t="str">
        <f t="shared" si="13"/>
        <v/>
      </c>
    </row>
    <row r="864" spans="13:13">
      <c r="M864" s="3" t="str">
        <f t="shared" si="13"/>
        <v/>
      </c>
    </row>
    <row r="865" spans="13:13">
      <c r="M865" s="3" t="str">
        <f t="shared" si="13"/>
        <v/>
      </c>
    </row>
    <row r="866" spans="13:13">
      <c r="M866" s="3" t="str">
        <f t="shared" si="13"/>
        <v/>
      </c>
    </row>
    <row r="867" spans="13:13">
      <c r="M867" s="3" t="str">
        <f t="shared" si="13"/>
        <v/>
      </c>
    </row>
    <row r="868" spans="13:13">
      <c r="M868" s="3" t="str">
        <f t="shared" si="13"/>
        <v/>
      </c>
    </row>
    <row r="869" spans="13:13">
      <c r="M869" s="3" t="str">
        <f t="shared" si="13"/>
        <v/>
      </c>
    </row>
    <row r="870" spans="13:13">
      <c r="M870" s="3" t="str">
        <f t="shared" si="13"/>
        <v/>
      </c>
    </row>
    <row r="871" spans="13:13">
      <c r="M871" s="3" t="str">
        <f t="shared" si="13"/>
        <v/>
      </c>
    </row>
    <row r="872" spans="13:13">
      <c r="M872" s="3" t="str">
        <f t="shared" si="13"/>
        <v/>
      </c>
    </row>
    <row r="873" spans="13:13">
      <c r="M873" s="3" t="str">
        <f t="shared" si="13"/>
        <v/>
      </c>
    </row>
    <row r="874" spans="13:13">
      <c r="M874" s="3" t="str">
        <f t="shared" si="13"/>
        <v/>
      </c>
    </row>
    <row r="875" spans="13:13">
      <c r="M875" s="3" t="str">
        <f t="shared" si="13"/>
        <v/>
      </c>
    </row>
    <row r="876" spans="13:13">
      <c r="M876" s="3" t="str">
        <f t="shared" si="13"/>
        <v/>
      </c>
    </row>
    <row r="877" spans="13:13">
      <c r="M877" s="3" t="str">
        <f t="shared" si="13"/>
        <v/>
      </c>
    </row>
    <row r="878" spans="13:13">
      <c r="M878" s="3" t="str">
        <f t="shared" si="13"/>
        <v/>
      </c>
    </row>
    <row r="879" spans="13:13">
      <c r="M879" s="3" t="str">
        <f t="shared" si="13"/>
        <v/>
      </c>
    </row>
    <row r="880" spans="13:13">
      <c r="M880" s="3" t="str">
        <f t="shared" si="13"/>
        <v/>
      </c>
    </row>
    <row r="881" spans="13:13">
      <c r="M881" s="3" t="str">
        <f t="shared" si="13"/>
        <v/>
      </c>
    </row>
    <row r="882" spans="13:13">
      <c r="M882" s="3" t="str">
        <f t="shared" si="13"/>
        <v/>
      </c>
    </row>
    <row r="883" spans="13:13">
      <c r="M883" s="3" t="str">
        <f t="shared" si="13"/>
        <v/>
      </c>
    </row>
    <row r="884" spans="13:13">
      <c r="M884" s="3" t="str">
        <f t="shared" si="13"/>
        <v/>
      </c>
    </row>
    <row r="885" spans="13:13">
      <c r="M885" s="3" t="str">
        <f t="shared" si="13"/>
        <v/>
      </c>
    </row>
    <row r="886" spans="13:13">
      <c r="M886" s="3" t="str">
        <f t="shared" si="13"/>
        <v/>
      </c>
    </row>
    <row r="887" spans="13:13">
      <c r="M887" s="3" t="str">
        <f t="shared" si="13"/>
        <v/>
      </c>
    </row>
    <row r="888" spans="13:13">
      <c r="M888" s="3" t="str">
        <f t="shared" si="13"/>
        <v/>
      </c>
    </row>
    <row r="889" spans="13:13">
      <c r="M889" s="3" t="str">
        <f t="shared" si="13"/>
        <v/>
      </c>
    </row>
    <row r="890" spans="13:13">
      <c r="M890" s="3" t="str">
        <f t="shared" si="13"/>
        <v/>
      </c>
    </row>
    <row r="891" spans="13:13">
      <c r="M891" s="3" t="str">
        <f t="shared" si="13"/>
        <v/>
      </c>
    </row>
    <row r="892" spans="13:13">
      <c r="M892" s="3" t="str">
        <f t="shared" si="13"/>
        <v/>
      </c>
    </row>
    <row r="893" spans="13:13">
      <c r="M893" s="3" t="str">
        <f t="shared" si="13"/>
        <v/>
      </c>
    </row>
    <row r="894" spans="13:13">
      <c r="M894" s="3" t="str">
        <f t="shared" si="13"/>
        <v/>
      </c>
    </row>
    <row r="895" spans="13:13">
      <c r="M895" s="3" t="str">
        <f t="shared" si="13"/>
        <v/>
      </c>
    </row>
    <row r="896" spans="13:13">
      <c r="M896" s="3" t="str">
        <f t="shared" si="13"/>
        <v/>
      </c>
    </row>
    <row r="897" spans="13:13">
      <c r="M897" s="3" t="str">
        <f t="shared" si="13"/>
        <v/>
      </c>
    </row>
    <row r="898" spans="13:13">
      <c r="M898" s="3" t="str">
        <f t="shared" si="13"/>
        <v/>
      </c>
    </row>
    <row r="899" spans="13:13">
      <c r="M899" s="3" t="str">
        <f t="shared" si="13"/>
        <v/>
      </c>
    </row>
    <row r="900" spans="13:13">
      <c r="M900" s="3" t="str">
        <f t="shared" si="13"/>
        <v/>
      </c>
    </row>
    <row r="901" spans="13:13">
      <c r="M901" s="3" t="str">
        <f t="shared" ref="M901:M964" si="14">IF(A901="","", WEEKNUM(A901, 2))</f>
        <v/>
      </c>
    </row>
    <row r="902" spans="13:13">
      <c r="M902" s="3" t="str">
        <f t="shared" si="14"/>
        <v/>
      </c>
    </row>
    <row r="903" spans="13:13">
      <c r="M903" s="3" t="str">
        <f t="shared" si="14"/>
        <v/>
      </c>
    </row>
    <row r="904" spans="13:13">
      <c r="M904" s="3" t="str">
        <f t="shared" si="14"/>
        <v/>
      </c>
    </row>
    <row r="905" spans="13:13">
      <c r="M905" s="3" t="str">
        <f t="shared" si="14"/>
        <v/>
      </c>
    </row>
    <row r="906" spans="13:13">
      <c r="M906" s="3" t="str">
        <f t="shared" si="14"/>
        <v/>
      </c>
    </row>
    <row r="907" spans="13:13">
      <c r="M907" s="3" t="str">
        <f t="shared" si="14"/>
        <v/>
      </c>
    </row>
    <row r="908" spans="13:13">
      <c r="M908" s="3" t="str">
        <f t="shared" si="14"/>
        <v/>
      </c>
    </row>
    <row r="909" spans="13:13">
      <c r="M909" s="3" t="str">
        <f t="shared" si="14"/>
        <v/>
      </c>
    </row>
    <row r="910" spans="13:13">
      <c r="M910" s="3" t="str">
        <f t="shared" si="14"/>
        <v/>
      </c>
    </row>
    <row r="911" spans="13:13">
      <c r="M911" s="3" t="str">
        <f t="shared" si="14"/>
        <v/>
      </c>
    </row>
    <row r="912" spans="13:13">
      <c r="M912" s="3" t="str">
        <f t="shared" si="14"/>
        <v/>
      </c>
    </row>
    <row r="913" spans="13:13">
      <c r="M913" s="3" t="str">
        <f t="shared" si="14"/>
        <v/>
      </c>
    </row>
    <row r="914" spans="13:13">
      <c r="M914" s="3" t="str">
        <f t="shared" si="14"/>
        <v/>
      </c>
    </row>
    <row r="915" spans="13:13">
      <c r="M915" s="3" t="str">
        <f t="shared" si="14"/>
        <v/>
      </c>
    </row>
    <row r="916" spans="13:13">
      <c r="M916" s="3" t="str">
        <f t="shared" si="14"/>
        <v/>
      </c>
    </row>
    <row r="917" spans="13:13">
      <c r="M917" s="3" t="str">
        <f t="shared" si="14"/>
        <v/>
      </c>
    </row>
    <row r="918" spans="13:13">
      <c r="M918" s="3" t="str">
        <f t="shared" si="14"/>
        <v/>
      </c>
    </row>
    <row r="919" spans="13:13">
      <c r="M919" s="3" t="str">
        <f t="shared" si="14"/>
        <v/>
      </c>
    </row>
    <row r="920" spans="13:13">
      <c r="M920" s="3" t="str">
        <f t="shared" si="14"/>
        <v/>
      </c>
    </row>
    <row r="921" spans="13:13">
      <c r="M921" s="3" t="str">
        <f t="shared" si="14"/>
        <v/>
      </c>
    </row>
    <row r="922" spans="13:13">
      <c r="M922" s="3" t="str">
        <f t="shared" si="14"/>
        <v/>
      </c>
    </row>
    <row r="923" spans="13:13">
      <c r="M923" s="3" t="str">
        <f t="shared" si="14"/>
        <v/>
      </c>
    </row>
    <row r="924" spans="13:13">
      <c r="M924" s="3" t="str">
        <f t="shared" si="14"/>
        <v/>
      </c>
    </row>
    <row r="925" spans="13:13">
      <c r="M925" s="3" t="str">
        <f t="shared" si="14"/>
        <v/>
      </c>
    </row>
    <row r="926" spans="13:13">
      <c r="M926" s="3" t="str">
        <f t="shared" si="14"/>
        <v/>
      </c>
    </row>
    <row r="927" spans="13:13">
      <c r="M927" s="3" t="str">
        <f t="shared" si="14"/>
        <v/>
      </c>
    </row>
    <row r="928" spans="13:13">
      <c r="M928" s="3" t="str">
        <f t="shared" si="14"/>
        <v/>
      </c>
    </row>
    <row r="929" spans="13:13">
      <c r="M929" s="3" t="str">
        <f t="shared" si="14"/>
        <v/>
      </c>
    </row>
    <row r="930" spans="13:13">
      <c r="M930" s="3" t="str">
        <f t="shared" si="14"/>
        <v/>
      </c>
    </row>
    <row r="931" spans="13:13">
      <c r="M931" s="3" t="str">
        <f t="shared" si="14"/>
        <v/>
      </c>
    </row>
    <row r="932" spans="13:13">
      <c r="M932" s="3" t="str">
        <f t="shared" si="14"/>
        <v/>
      </c>
    </row>
    <row r="933" spans="13:13">
      <c r="M933" s="3" t="str">
        <f t="shared" si="14"/>
        <v/>
      </c>
    </row>
    <row r="934" spans="13:13">
      <c r="M934" s="3" t="str">
        <f t="shared" si="14"/>
        <v/>
      </c>
    </row>
    <row r="935" spans="13:13">
      <c r="M935" s="3" t="str">
        <f t="shared" si="14"/>
        <v/>
      </c>
    </row>
    <row r="936" spans="13:13">
      <c r="M936" s="3" t="str">
        <f t="shared" si="14"/>
        <v/>
      </c>
    </row>
    <row r="937" spans="13:13">
      <c r="M937" s="3" t="str">
        <f t="shared" si="14"/>
        <v/>
      </c>
    </row>
    <row r="938" spans="13:13">
      <c r="M938" s="3" t="str">
        <f t="shared" si="14"/>
        <v/>
      </c>
    </row>
    <row r="939" spans="13:13">
      <c r="M939" s="3" t="str">
        <f t="shared" si="14"/>
        <v/>
      </c>
    </row>
    <row r="940" spans="13:13">
      <c r="M940" s="3" t="str">
        <f t="shared" si="14"/>
        <v/>
      </c>
    </row>
    <row r="941" spans="13:13">
      <c r="M941" s="3" t="str">
        <f t="shared" si="14"/>
        <v/>
      </c>
    </row>
    <row r="942" spans="13:13">
      <c r="M942" s="3" t="str">
        <f t="shared" si="14"/>
        <v/>
      </c>
    </row>
    <row r="943" spans="13:13">
      <c r="M943" s="3" t="str">
        <f t="shared" si="14"/>
        <v/>
      </c>
    </row>
    <row r="944" spans="13:13">
      <c r="M944" s="3" t="str">
        <f t="shared" si="14"/>
        <v/>
      </c>
    </row>
    <row r="945" spans="13:13">
      <c r="M945" s="3" t="str">
        <f t="shared" si="14"/>
        <v/>
      </c>
    </row>
    <row r="946" spans="13:13">
      <c r="M946" s="3" t="str">
        <f t="shared" si="14"/>
        <v/>
      </c>
    </row>
    <row r="947" spans="13:13">
      <c r="M947" s="3" t="str">
        <f t="shared" si="14"/>
        <v/>
      </c>
    </row>
    <row r="948" spans="13:13">
      <c r="M948" s="3" t="str">
        <f t="shared" si="14"/>
        <v/>
      </c>
    </row>
    <row r="949" spans="13:13">
      <c r="M949" s="3" t="str">
        <f t="shared" si="14"/>
        <v/>
      </c>
    </row>
    <row r="950" spans="13:13">
      <c r="M950" s="3" t="str">
        <f t="shared" si="14"/>
        <v/>
      </c>
    </row>
    <row r="951" spans="13:13">
      <c r="M951" s="3" t="str">
        <f t="shared" si="14"/>
        <v/>
      </c>
    </row>
    <row r="952" spans="13:13">
      <c r="M952" s="3" t="str">
        <f t="shared" si="14"/>
        <v/>
      </c>
    </row>
    <row r="953" spans="13:13">
      <c r="M953" s="3" t="str">
        <f t="shared" si="14"/>
        <v/>
      </c>
    </row>
    <row r="954" spans="13:13">
      <c r="M954" s="3" t="str">
        <f t="shared" si="14"/>
        <v/>
      </c>
    </row>
    <row r="955" spans="13:13">
      <c r="M955" s="3" t="str">
        <f t="shared" si="14"/>
        <v/>
      </c>
    </row>
    <row r="956" spans="13:13">
      <c r="M956" s="3" t="str">
        <f t="shared" si="14"/>
        <v/>
      </c>
    </row>
    <row r="957" spans="13:13">
      <c r="M957" s="3" t="str">
        <f t="shared" si="14"/>
        <v/>
      </c>
    </row>
    <row r="958" spans="13:13">
      <c r="M958" s="3" t="str">
        <f t="shared" si="14"/>
        <v/>
      </c>
    </row>
    <row r="959" spans="13:13">
      <c r="M959" s="3" t="str">
        <f t="shared" si="14"/>
        <v/>
      </c>
    </row>
    <row r="960" spans="13:13">
      <c r="M960" s="3" t="str">
        <f t="shared" si="14"/>
        <v/>
      </c>
    </row>
    <row r="961" spans="13:13">
      <c r="M961" s="3" t="str">
        <f t="shared" si="14"/>
        <v/>
      </c>
    </row>
    <row r="962" spans="13:13">
      <c r="M962" s="3" t="str">
        <f t="shared" si="14"/>
        <v/>
      </c>
    </row>
    <row r="963" spans="13:13">
      <c r="M963" s="3" t="str">
        <f t="shared" si="14"/>
        <v/>
      </c>
    </row>
    <row r="964" spans="13:13">
      <c r="M964" s="3" t="str">
        <f t="shared" si="14"/>
        <v/>
      </c>
    </row>
    <row r="965" spans="13:13">
      <c r="M965" s="3" t="str">
        <f t="shared" ref="M965:M1028" si="15">IF(A965="","", WEEKNUM(A965, 2))</f>
        <v/>
      </c>
    </row>
    <row r="966" spans="13:13">
      <c r="M966" s="3" t="str">
        <f t="shared" si="15"/>
        <v/>
      </c>
    </row>
    <row r="967" spans="13:13">
      <c r="M967" s="3" t="str">
        <f t="shared" si="15"/>
        <v/>
      </c>
    </row>
    <row r="968" spans="13:13">
      <c r="M968" s="3" t="str">
        <f t="shared" si="15"/>
        <v/>
      </c>
    </row>
    <row r="969" spans="13:13">
      <c r="M969" s="3" t="str">
        <f t="shared" si="15"/>
        <v/>
      </c>
    </row>
    <row r="970" spans="13:13">
      <c r="M970" s="3" t="str">
        <f t="shared" si="15"/>
        <v/>
      </c>
    </row>
    <row r="971" spans="13:13">
      <c r="M971" s="3" t="str">
        <f t="shared" si="15"/>
        <v/>
      </c>
    </row>
    <row r="972" spans="13:13">
      <c r="M972" s="3" t="str">
        <f t="shared" si="15"/>
        <v/>
      </c>
    </row>
    <row r="973" spans="13:13">
      <c r="M973" s="3" t="str">
        <f t="shared" si="15"/>
        <v/>
      </c>
    </row>
    <row r="974" spans="13:13">
      <c r="M974" s="3" t="str">
        <f t="shared" si="15"/>
        <v/>
      </c>
    </row>
    <row r="975" spans="13:13">
      <c r="M975" s="3" t="str">
        <f t="shared" si="15"/>
        <v/>
      </c>
    </row>
    <row r="976" spans="13:13">
      <c r="M976" s="3" t="str">
        <f t="shared" si="15"/>
        <v/>
      </c>
    </row>
    <row r="977" spans="13:13">
      <c r="M977" s="3" t="str">
        <f t="shared" si="15"/>
        <v/>
      </c>
    </row>
    <row r="978" spans="13:13">
      <c r="M978" s="3" t="str">
        <f t="shared" si="15"/>
        <v/>
      </c>
    </row>
    <row r="979" spans="13:13">
      <c r="M979" s="3" t="str">
        <f t="shared" si="15"/>
        <v/>
      </c>
    </row>
    <row r="980" spans="13:13">
      <c r="M980" s="3" t="str">
        <f t="shared" si="15"/>
        <v/>
      </c>
    </row>
    <row r="981" spans="13:13">
      <c r="M981" s="3" t="str">
        <f t="shared" si="15"/>
        <v/>
      </c>
    </row>
    <row r="982" spans="13:13">
      <c r="M982" s="3" t="str">
        <f t="shared" si="15"/>
        <v/>
      </c>
    </row>
    <row r="983" spans="13:13">
      <c r="M983" s="3" t="str">
        <f t="shared" si="15"/>
        <v/>
      </c>
    </row>
    <row r="984" spans="13:13">
      <c r="M984" s="3" t="str">
        <f t="shared" si="15"/>
        <v/>
      </c>
    </row>
    <row r="985" spans="13:13">
      <c r="M985" s="3" t="str">
        <f t="shared" si="15"/>
        <v/>
      </c>
    </row>
    <row r="986" spans="13:13">
      <c r="M986" s="3" t="str">
        <f t="shared" si="15"/>
        <v/>
      </c>
    </row>
    <row r="987" spans="13:13">
      <c r="M987" s="3" t="str">
        <f t="shared" si="15"/>
        <v/>
      </c>
    </row>
    <row r="988" spans="13:13">
      <c r="M988" s="3" t="str">
        <f t="shared" si="15"/>
        <v/>
      </c>
    </row>
    <row r="989" spans="13:13">
      <c r="M989" s="3" t="str">
        <f t="shared" si="15"/>
        <v/>
      </c>
    </row>
    <row r="990" spans="13:13">
      <c r="M990" s="3" t="str">
        <f t="shared" si="15"/>
        <v/>
      </c>
    </row>
    <row r="991" spans="13:13">
      <c r="M991" s="3" t="str">
        <f t="shared" si="15"/>
        <v/>
      </c>
    </row>
    <row r="992" spans="13:13">
      <c r="M992" s="3" t="str">
        <f t="shared" si="15"/>
        <v/>
      </c>
    </row>
    <row r="993" spans="13:13">
      <c r="M993" s="3" t="str">
        <f t="shared" si="15"/>
        <v/>
      </c>
    </row>
    <row r="994" spans="13:13">
      <c r="M994" s="3" t="str">
        <f t="shared" si="15"/>
        <v/>
      </c>
    </row>
    <row r="995" spans="13:13">
      <c r="M995" s="3" t="str">
        <f t="shared" si="15"/>
        <v/>
      </c>
    </row>
    <row r="996" spans="13:13">
      <c r="M996" s="3" t="str">
        <f t="shared" si="15"/>
        <v/>
      </c>
    </row>
    <row r="997" spans="13:13">
      <c r="M997" s="3" t="str">
        <f t="shared" si="15"/>
        <v/>
      </c>
    </row>
    <row r="998" spans="13:13">
      <c r="M998" s="3" t="str">
        <f t="shared" si="15"/>
        <v/>
      </c>
    </row>
    <row r="999" spans="13:13">
      <c r="M999" s="3" t="str">
        <f t="shared" si="15"/>
        <v/>
      </c>
    </row>
    <row r="1000" spans="13:13">
      <c r="M1000" s="3" t="str">
        <f t="shared" si="15"/>
        <v/>
      </c>
    </row>
    <row r="1001" spans="13:13">
      <c r="M1001" s="3" t="str">
        <f t="shared" si="15"/>
        <v/>
      </c>
    </row>
    <row r="1002" spans="13:13">
      <c r="M1002" s="3" t="str">
        <f t="shared" si="15"/>
        <v/>
      </c>
    </row>
    <row r="1003" spans="13:13">
      <c r="M1003" s="3" t="str">
        <f t="shared" si="15"/>
        <v/>
      </c>
    </row>
    <row r="1004" spans="13:13">
      <c r="M1004" s="3" t="str">
        <f t="shared" si="15"/>
        <v/>
      </c>
    </row>
    <row r="1005" spans="13:13">
      <c r="M1005" s="3" t="str">
        <f t="shared" si="15"/>
        <v/>
      </c>
    </row>
    <row r="1006" spans="13:13">
      <c r="M1006" s="3" t="str">
        <f t="shared" si="15"/>
        <v/>
      </c>
    </row>
    <row r="1007" spans="13:13">
      <c r="M1007" s="3" t="str">
        <f t="shared" si="15"/>
        <v/>
      </c>
    </row>
    <row r="1008" spans="13:13">
      <c r="M1008" s="3" t="str">
        <f t="shared" si="15"/>
        <v/>
      </c>
    </row>
    <row r="1009" spans="13:13">
      <c r="M1009" s="3" t="str">
        <f t="shared" si="15"/>
        <v/>
      </c>
    </row>
    <row r="1010" spans="13:13">
      <c r="M1010" s="3" t="str">
        <f t="shared" si="15"/>
        <v/>
      </c>
    </row>
    <row r="1011" spans="13:13">
      <c r="M1011" s="3" t="str">
        <f t="shared" si="15"/>
        <v/>
      </c>
    </row>
    <row r="1012" spans="13:13">
      <c r="M1012" s="3" t="str">
        <f t="shared" si="15"/>
        <v/>
      </c>
    </row>
    <row r="1013" spans="13:13">
      <c r="M1013" s="3" t="str">
        <f t="shared" si="15"/>
        <v/>
      </c>
    </row>
    <row r="1014" spans="13:13">
      <c r="M1014" s="3" t="str">
        <f t="shared" si="15"/>
        <v/>
      </c>
    </row>
    <row r="1015" spans="13:13">
      <c r="M1015" s="3" t="str">
        <f t="shared" si="15"/>
        <v/>
      </c>
    </row>
    <row r="1016" spans="13:13">
      <c r="M1016" s="3" t="str">
        <f t="shared" si="15"/>
        <v/>
      </c>
    </row>
    <row r="1017" spans="13:13">
      <c r="M1017" s="3" t="str">
        <f t="shared" si="15"/>
        <v/>
      </c>
    </row>
    <row r="1018" spans="13:13">
      <c r="M1018" s="3" t="str">
        <f t="shared" si="15"/>
        <v/>
      </c>
    </row>
    <row r="1019" spans="13:13">
      <c r="M1019" s="3" t="str">
        <f t="shared" si="15"/>
        <v/>
      </c>
    </row>
    <row r="1020" spans="13:13">
      <c r="M1020" s="3" t="str">
        <f t="shared" si="15"/>
        <v/>
      </c>
    </row>
    <row r="1021" spans="13:13">
      <c r="M1021" s="3" t="str">
        <f t="shared" si="15"/>
        <v/>
      </c>
    </row>
    <row r="1022" spans="13:13">
      <c r="M1022" s="3" t="str">
        <f t="shared" si="15"/>
        <v/>
      </c>
    </row>
    <row r="1023" spans="13:13">
      <c r="M1023" s="3" t="str">
        <f t="shared" si="15"/>
        <v/>
      </c>
    </row>
    <row r="1024" spans="13:13">
      <c r="M1024" s="3" t="str">
        <f t="shared" si="15"/>
        <v/>
      </c>
    </row>
    <row r="1025" spans="13:13">
      <c r="M1025" s="3" t="str">
        <f t="shared" si="15"/>
        <v/>
      </c>
    </row>
    <row r="1026" spans="13:13">
      <c r="M1026" s="3" t="str">
        <f t="shared" si="15"/>
        <v/>
      </c>
    </row>
    <row r="1027" spans="13:13">
      <c r="M1027" s="3" t="str">
        <f t="shared" si="15"/>
        <v/>
      </c>
    </row>
    <row r="1028" spans="13:13">
      <c r="M1028" s="3" t="str">
        <f t="shared" si="15"/>
        <v/>
      </c>
    </row>
    <row r="1029" spans="13:13">
      <c r="M1029" s="3" t="str">
        <f t="shared" ref="M1029:M1092" si="16">IF(A1029="","", WEEKNUM(A1029, 2))</f>
        <v/>
      </c>
    </row>
    <row r="1030" spans="13:13">
      <c r="M1030" s="3" t="str">
        <f t="shared" si="16"/>
        <v/>
      </c>
    </row>
    <row r="1031" spans="13:13">
      <c r="M1031" s="3" t="str">
        <f t="shared" si="16"/>
        <v/>
      </c>
    </row>
    <row r="1032" spans="13:13">
      <c r="M1032" s="3" t="str">
        <f t="shared" si="16"/>
        <v/>
      </c>
    </row>
    <row r="1033" spans="13:13">
      <c r="M1033" s="3" t="str">
        <f t="shared" si="16"/>
        <v/>
      </c>
    </row>
    <row r="1034" spans="13:13">
      <c r="M1034" s="3" t="str">
        <f t="shared" si="16"/>
        <v/>
      </c>
    </row>
    <row r="1035" spans="13:13">
      <c r="M1035" s="3" t="str">
        <f t="shared" si="16"/>
        <v/>
      </c>
    </row>
    <row r="1036" spans="13:13">
      <c r="M1036" s="3" t="str">
        <f t="shared" si="16"/>
        <v/>
      </c>
    </row>
    <row r="1037" spans="13:13">
      <c r="M1037" s="3" t="str">
        <f t="shared" si="16"/>
        <v/>
      </c>
    </row>
    <row r="1038" spans="13:13">
      <c r="M1038" s="3" t="str">
        <f t="shared" si="16"/>
        <v/>
      </c>
    </row>
    <row r="1039" spans="13:13">
      <c r="M1039" s="3" t="str">
        <f t="shared" si="16"/>
        <v/>
      </c>
    </row>
    <row r="1040" spans="13:13">
      <c r="M1040" s="3" t="str">
        <f t="shared" si="16"/>
        <v/>
      </c>
    </row>
    <row r="1041" spans="13:13">
      <c r="M1041" s="3" t="str">
        <f t="shared" si="16"/>
        <v/>
      </c>
    </row>
    <row r="1042" spans="13:13">
      <c r="M1042" s="3" t="str">
        <f t="shared" si="16"/>
        <v/>
      </c>
    </row>
    <row r="1043" spans="13:13">
      <c r="M1043" s="3" t="str">
        <f t="shared" si="16"/>
        <v/>
      </c>
    </row>
    <row r="1044" spans="13:13">
      <c r="M1044" s="3" t="str">
        <f t="shared" si="16"/>
        <v/>
      </c>
    </row>
    <row r="1045" spans="13:13">
      <c r="M1045" s="3" t="str">
        <f t="shared" si="16"/>
        <v/>
      </c>
    </row>
    <row r="1046" spans="13:13">
      <c r="M1046" s="3" t="str">
        <f t="shared" si="16"/>
        <v/>
      </c>
    </row>
    <row r="1047" spans="13:13">
      <c r="M1047" s="3" t="str">
        <f t="shared" si="16"/>
        <v/>
      </c>
    </row>
    <row r="1048" spans="13:13">
      <c r="M1048" s="3" t="str">
        <f t="shared" si="16"/>
        <v/>
      </c>
    </row>
    <row r="1049" spans="13:13">
      <c r="M1049" s="3" t="str">
        <f t="shared" si="16"/>
        <v/>
      </c>
    </row>
    <row r="1050" spans="13:13">
      <c r="M1050" s="3" t="str">
        <f t="shared" si="16"/>
        <v/>
      </c>
    </row>
    <row r="1051" spans="13:13">
      <c r="M1051" s="3" t="str">
        <f t="shared" si="16"/>
        <v/>
      </c>
    </row>
    <row r="1052" spans="13:13">
      <c r="M1052" s="3" t="str">
        <f t="shared" si="16"/>
        <v/>
      </c>
    </row>
    <row r="1053" spans="13:13">
      <c r="M1053" s="3" t="str">
        <f t="shared" si="16"/>
        <v/>
      </c>
    </row>
    <row r="1054" spans="13:13">
      <c r="M1054" s="3" t="str">
        <f t="shared" si="16"/>
        <v/>
      </c>
    </row>
    <row r="1055" spans="13:13">
      <c r="M1055" s="3" t="str">
        <f t="shared" si="16"/>
        <v/>
      </c>
    </row>
    <row r="1056" spans="13:13">
      <c r="M1056" s="3" t="str">
        <f t="shared" si="16"/>
        <v/>
      </c>
    </row>
    <row r="1057" spans="13:13">
      <c r="M1057" s="3" t="str">
        <f t="shared" si="16"/>
        <v/>
      </c>
    </row>
    <row r="1058" spans="13:13">
      <c r="M1058" s="3" t="str">
        <f t="shared" si="16"/>
        <v/>
      </c>
    </row>
    <row r="1059" spans="13:13">
      <c r="M1059" s="3" t="str">
        <f t="shared" si="16"/>
        <v/>
      </c>
    </row>
    <row r="1060" spans="13:13">
      <c r="M1060" s="3" t="str">
        <f t="shared" si="16"/>
        <v/>
      </c>
    </row>
    <row r="1061" spans="13:13">
      <c r="M1061" s="3" t="str">
        <f t="shared" si="16"/>
        <v/>
      </c>
    </row>
    <row r="1062" spans="13:13">
      <c r="M1062" s="3" t="str">
        <f t="shared" si="16"/>
        <v/>
      </c>
    </row>
    <row r="1063" spans="13:13">
      <c r="M1063" s="3" t="str">
        <f t="shared" si="16"/>
        <v/>
      </c>
    </row>
    <row r="1064" spans="13:13">
      <c r="M1064" s="3" t="str">
        <f t="shared" si="16"/>
        <v/>
      </c>
    </row>
    <row r="1065" spans="13:13">
      <c r="M1065" s="3" t="str">
        <f t="shared" si="16"/>
        <v/>
      </c>
    </row>
    <row r="1066" spans="13:13">
      <c r="M1066" s="3" t="str">
        <f t="shared" si="16"/>
        <v/>
      </c>
    </row>
    <row r="1067" spans="13:13">
      <c r="M1067" s="3" t="str">
        <f t="shared" si="16"/>
        <v/>
      </c>
    </row>
    <row r="1068" spans="13:13">
      <c r="M1068" s="3" t="str">
        <f t="shared" si="16"/>
        <v/>
      </c>
    </row>
    <row r="1069" spans="13:13">
      <c r="M1069" s="3" t="str">
        <f t="shared" si="16"/>
        <v/>
      </c>
    </row>
    <row r="1070" spans="13:13">
      <c r="M1070" s="3" t="str">
        <f t="shared" si="16"/>
        <v/>
      </c>
    </row>
    <row r="1071" spans="13:13">
      <c r="M1071" s="3" t="str">
        <f t="shared" si="16"/>
        <v/>
      </c>
    </row>
    <row r="1072" spans="13:13">
      <c r="M1072" s="3" t="str">
        <f t="shared" si="16"/>
        <v/>
      </c>
    </row>
    <row r="1073" spans="13:13">
      <c r="M1073" s="3" t="str">
        <f t="shared" si="16"/>
        <v/>
      </c>
    </row>
    <row r="1074" spans="13:13">
      <c r="M1074" s="3" t="str">
        <f t="shared" si="16"/>
        <v/>
      </c>
    </row>
    <row r="1075" spans="13:13">
      <c r="M1075" s="3" t="str">
        <f t="shared" si="16"/>
        <v/>
      </c>
    </row>
    <row r="1076" spans="13:13">
      <c r="M1076" s="3" t="str">
        <f t="shared" si="16"/>
        <v/>
      </c>
    </row>
    <row r="1077" spans="13:13">
      <c r="M1077" s="3" t="str">
        <f t="shared" si="16"/>
        <v/>
      </c>
    </row>
    <row r="1078" spans="13:13">
      <c r="M1078" s="3" t="str">
        <f t="shared" si="16"/>
        <v/>
      </c>
    </row>
    <row r="1079" spans="13:13">
      <c r="M1079" s="3" t="str">
        <f t="shared" si="16"/>
        <v/>
      </c>
    </row>
    <row r="1080" spans="13:13">
      <c r="M1080" s="3" t="str">
        <f t="shared" si="16"/>
        <v/>
      </c>
    </row>
    <row r="1081" spans="13:13">
      <c r="M1081" s="3" t="str">
        <f t="shared" si="16"/>
        <v/>
      </c>
    </row>
    <row r="1082" spans="13:13">
      <c r="M1082" s="3" t="str">
        <f t="shared" si="16"/>
        <v/>
      </c>
    </row>
    <row r="1083" spans="13:13">
      <c r="M1083" s="3" t="str">
        <f t="shared" si="16"/>
        <v/>
      </c>
    </row>
    <row r="1084" spans="13:13">
      <c r="M1084" s="3" t="str">
        <f t="shared" si="16"/>
        <v/>
      </c>
    </row>
    <row r="1085" spans="13:13">
      <c r="M1085" s="3" t="str">
        <f t="shared" si="16"/>
        <v/>
      </c>
    </row>
    <row r="1086" spans="13:13">
      <c r="M1086" s="3" t="str">
        <f t="shared" si="16"/>
        <v/>
      </c>
    </row>
    <row r="1087" spans="13:13">
      <c r="M1087" s="3" t="str">
        <f t="shared" si="16"/>
        <v/>
      </c>
    </row>
    <row r="1088" spans="13:13">
      <c r="M1088" s="3" t="str">
        <f t="shared" si="16"/>
        <v/>
      </c>
    </row>
    <row r="1089" spans="13:13">
      <c r="M1089" s="3" t="str">
        <f t="shared" si="16"/>
        <v/>
      </c>
    </row>
    <row r="1090" spans="13:13">
      <c r="M1090" s="3" t="str">
        <f t="shared" si="16"/>
        <v/>
      </c>
    </row>
    <row r="1091" spans="13:13">
      <c r="M1091" s="3" t="str">
        <f t="shared" si="16"/>
        <v/>
      </c>
    </row>
    <row r="1092" spans="13:13">
      <c r="M1092" s="3" t="str">
        <f t="shared" si="16"/>
        <v/>
      </c>
    </row>
    <row r="1093" spans="13:13">
      <c r="M1093" s="3" t="str">
        <f t="shared" ref="M1093:M1156" si="17">IF(A1093="","", WEEKNUM(A1093, 2))</f>
        <v/>
      </c>
    </row>
    <row r="1094" spans="13:13">
      <c r="M1094" s="3" t="str">
        <f t="shared" si="17"/>
        <v/>
      </c>
    </row>
    <row r="1095" spans="13:13">
      <c r="M1095" s="3" t="str">
        <f t="shared" si="17"/>
        <v/>
      </c>
    </row>
    <row r="1096" spans="13:13">
      <c r="M1096" s="3" t="str">
        <f t="shared" si="17"/>
        <v/>
      </c>
    </row>
    <row r="1097" spans="13:13">
      <c r="M1097" s="3" t="str">
        <f t="shared" si="17"/>
        <v/>
      </c>
    </row>
    <row r="1098" spans="13:13">
      <c r="M1098" s="3" t="str">
        <f t="shared" si="17"/>
        <v/>
      </c>
    </row>
    <row r="1099" spans="13:13">
      <c r="M1099" s="3" t="str">
        <f t="shared" si="17"/>
        <v/>
      </c>
    </row>
    <row r="1100" spans="13:13">
      <c r="M1100" s="3" t="str">
        <f t="shared" si="17"/>
        <v/>
      </c>
    </row>
    <row r="1101" spans="13:13">
      <c r="M1101" s="3" t="str">
        <f t="shared" si="17"/>
        <v/>
      </c>
    </row>
    <row r="1102" spans="13:13">
      <c r="M1102" s="3" t="str">
        <f t="shared" si="17"/>
        <v/>
      </c>
    </row>
    <row r="1103" spans="13:13">
      <c r="M1103" s="3" t="str">
        <f t="shared" si="17"/>
        <v/>
      </c>
    </row>
    <row r="1104" spans="13:13">
      <c r="M1104" s="3" t="str">
        <f t="shared" si="17"/>
        <v/>
      </c>
    </row>
    <row r="1105" spans="13:13">
      <c r="M1105" s="3" t="str">
        <f t="shared" si="17"/>
        <v/>
      </c>
    </row>
    <row r="1106" spans="13:13">
      <c r="M1106" s="3" t="str">
        <f t="shared" si="17"/>
        <v/>
      </c>
    </row>
    <row r="1107" spans="13:13">
      <c r="M1107" s="3" t="str">
        <f t="shared" si="17"/>
        <v/>
      </c>
    </row>
    <row r="1108" spans="13:13">
      <c r="M1108" s="3" t="str">
        <f t="shared" si="17"/>
        <v/>
      </c>
    </row>
    <row r="1109" spans="13:13">
      <c r="M1109" s="3" t="str">
        <f t="shared" si="17"/>
        <v/>
      </c>
    </row>
    <row r="1110" spans="13:13">
      <c r="M1110" s="3" t="str">
        <f t="shared" si="17"/>
        <v/>
      </c>
    </row>
    <row r="1111" spans="13:13">
      <c r="M1111" s="3" t="str">
        <f t="shared" si="17"/>
        <v/>
      </c>
    </row>
    <row r="1112" spans="13:13">
      <c r="M1112" s="3" t="str">
        <f t="shared" si="17"/>
        <v/>
      </c>
    </row>
    <row r="1113" spans="13:13">
      <c r="M1113" s="3" t="str">
        <f t="shared" si="17"/>
        <v/>
      </c>
    </row>
    <row r="1114" spans="13:13">
      <c r="M1114" s="3" t="str">
        <f t="shared" si="17"/>
        <v/>
      </c>
    </row>
    <row r="1115" spans="13:13">
      <c r="M1115" s="3" t="str">
        <f t="shared" si="17"/>
        <v/>
      </c>
    </row>
    <row r="1116" spans="13:13">
      <c r="M1116" s="3" t="str">
        <f t="shared" si="17"/>
        <v/>
      </c>
    </row>
    <row r="1117" spans="13:13">
      <c r="M1117" s="3" t="str">
        <f t="shared" si="17"/>
        <v/>
      </c>
    </row>
    <row r="1118" spans="13:13">
      <c r="M1118" s="3" t="str">
        <f t="shared" si="17"/>
        <v/>
      </c>
    </row>
    <row r="1119" spans="13:13">
      <c r="M1119" s="3" t="str">
        <f t="shared" si="17"/>
        <v/>
      </c>
    </row>
    <row r="1120" spans="13:13">
      <c r="M1120" s="3" t="str">
        <f t="shared" si="17"/>
        <v/>
      </c>
    </row>
    <row r="1121" spans="13:13">
      <c r="M1121" s="3" t="str">
        <f t="shared" si="17"/>
        <v/>
      </c>
    </row>
    <row r="1122" spans="13:13">
      <c r="M1122" s="3" t="str">
        <f t="shared" si="17"/>
        <v/>
      </c>
    </row>
    <row r="1123" spans="13:13">
      <c r="M1123" s="3" t="str">
        <f t="shared" si="17"/>
        <v/>
      </c>
    </row>
    <row r="1124" spans="13:13">
      <c r="M1124" s="3" t="str">
        <f t="shared" si="17"/>
        <v/>
      </c>
    </row>
    <row r="1125" spans="13:13">
      <c r="M1125" s="3" t="str">
        <f t="shared" si="17"/>
        <v/>
      </c>
    </row>
    <row r="1126" spans="13:13">
      <c r="M1126" s="3" t="str">
        <f t="shared" si="17"/>
        <v/>
      </c>
    </row>
    <row r="1127" spans="13:13">
      <c r="M1127" s="3" t="str">
        <f t="shared" si="17"/>
        <v/>
      </c>
    </row>
    <row r="1128" spans="13:13">
      <c r="M1128" s="3" t="str">
        <f t="shared" si="17"/>
        <v/>
      </c>
    </row>
    <row r="1129" spans="13:13">
      <c r="M1129" s="3" t="str">
        <f t="shared" si="17"/>
        <v/>
      </c>
    </row>
    <row r="1130" spans="13:13">
      <c r="M1130" s="3" t="str">
        <f t="shared" si="17"/>
        <v/>
      </c>
    </row>
    <row r="1131" spans="13:13">
      <c r="M1131" s="3" t="str">
        <f t="shared" si="17"/>
        <v/>
      </c>
    </row>
    <row r="1132" spans="13:13">
      <c r="M1132" s="3" t="str">
        <f t="shared" si="17"/>
        <v/>
      </c>
    </row>
    <row r="1133" spans="13:13">
      <c r="M1133" s="3" t="str">
        <f t="shared" si="17"/>
        <v/>
      </c>
    </row>
    <row r="1134" spans="13:13">
      <c r="M1134" s="3" t="str">
        <f t="shared" si="17"/>
        <v/>
      </c>
    </row>
    <row r="1135" spans="13:13">
      <c r="M1135" s="3" t="str">
        <f t="shared" si="17"/>
        <v/>
      </c>
    </row>
    <row r="1136" spans="13:13">
      <c r="M1136" s="3" t="str">
        <f t="shared" si="17"/>
        <v/>
      </c>
    </row>
    <row r="1137" spans="13:13">
      <c r="M1137" s="3" t="str">
        <f t="shared" si="17"/>
        <v/>
      </c>
    </row>
    <row r="1138" spans="13:13">
      <c r="M1138" s="3" t="str">
        <f t="shared" si="17"/>
        <v/>
      </c>
    </row>
    <row r="1139" spans="13:13">
      <c r="M1139" s="3" t="str">
        <f t="shared" si="17"/>
        <v/>
      </c>
    </row>
    <row r="1140" spans="13:13">
      <c r="M1140" s="3" t="str">
        <f t="shared" si="17"/>
        <v/>
      </c>
    </row>
    <row r="1141" spans="13:13">
      <c r="M1141" s="3" t="str">
        <f t="shared" si="17"/>
        <v/>
      </c>
    </row>
    <row r="1142" spans="13:13">
      <c r="M1142" s="3" t="str">
        <f t="shared" si="17"/>
        <v/>
      </c>
    </row>
    <row r="1143" spans="13:13">
      <c r="M1143" s="3" t="str">
        <f t="shared" si="17"/>
        <v/>
      </c>
    </row>
    <row r="1144" spans="13:13">
      <c r="M1144" s="3" t="str">
        <f t="shared" si="17"/>
        <v/>
      </c>
    </row>
    <row r="1145" spans="13:13">
      <c r="M1145" s="3" t="str">
        <f t="shared" si="17"/>
        <v/>
      </c>
    </row>
    <row r="1146" spans="13:13">
      <c r="M1146" s="3" t="str">
        <f t="shared" si="17"/>
        <v/>
      </c>
    </row>
    <row r="1147" spans="13:13">
      <c r="M1147" s="3" t="str">
        <f t="shared" si="17"/>
        <v/>
      </c>
    </row>
    <row r="1148" spans="13:13">
      <c r="M1148" s="3" t="str">
        <f t="shared" si="17"/>
        <v/>
      </c>
    </row>
    <row r="1149" spans="13:13">
      <c r="M1149" s="3" t="str">
        <f t="shared" si="17"/>
        <v/>
      </c>
    </row>
    <row r="1150" spans="13:13">
      <c r="M1150" s="3" t="str">
        <f t="shared" si="17"/>
        <v/>
      </c>
    </row>
    <row r="1151" spans="13:13">
      <c r="M1151" s="3" t="str">
        <f t="shared" si="17"/>
        <v/>
      </c>
    </row>
    <row r="1152" spans="13:13">
      <c r="M1152" s="3" t="str">
        <f t="shared" si="17"/>
        <v/>
      </c>
    </row>
    <row r="1153" spans="13:13">
      <c r="M1153" s="3" t="str">
        <f t="shared" si="17"/>
        <v/>
      </c>
    </row>
    <row r="1154" spans="13:13">
      <c r="M1154" s="3" t="str">
        <f t="shared" si="17"/>
        <v/>
      </c>
    </row>
    <row r="1155" spans="13:13">
      <c r="M1155" s="3" t="str">
        <f t="shared" si="17"/>
        <v/>
      </c>
    </row>
    <row r="1156" spans="13:13">
      <c r="M1156" s="3" t="str">
        <f t="shared" si="17"/>
        <v/>
      </c>
    </row>
    <row r="1157" spans="13:13">
      <c r="M1157" s="3" t="str">
        <f t="shared" ref="M1157:M1220" si="18">IF(A1157="","", WEEKNUM(A1157, 2))</f>
        <v/>
      </c>
    </row>
    <row r="1158" spans="13:13">
      <c r="M1158" s="3" t="str">
        <f t="shared" si="18"/>
        <v/>
      </c>
    </row>
    <row r="1159" spans="13:13">
      <c r="M1159" s="3" t="str">
        <f t="shared" si="18"/>
        <v/>
      </c>
    </row>
    <row r="1160" spans="13:13">
      <c r="M1160" s="3" t="str">
        <f t="shared" si="18"/>
        <v/>
      </c>
    </row>
    <row r="1161" spans="13:13">
      <c r="M1161" s="3" t="str">
        <f t="shared" si="18"/>
        <v/>
      </c>
    </row>
    <row r="1162" spans="13:13">
      <c r="M1162" s="3" t="str">
        <f t="shared" si="18"/>
        <v/>
      </c>
    </row>
    <row r="1163" spans="13:13">
      <c r="M1163" s="3" t="str">
        <f t="shared" si="18"/>
        <v/>
      </c>
    </row>
    <row r="1164" spans="13:13">
      <c r="M1164" s="3" t="str">
        <f t="shared" si="18"/>
        <v/>
      </c>
    </row>
    <row r="1165" spans="13:13">
      <c r="M1165" s="3" t="str">
        <f t="shared" si="18"/>
        <v/>
      </c>
    </row>
    <row r="1166" spans="13:13">
      <c r="M1166" s="3" t="str">
        <f t="shared" si="18"/>
        <v/>
      </c>
    </row>
    <row r="1167" spans="13:13">
      <c r="M1167" s="3" t="str">
        <f t="shared" si="18"/>
        <v/>
      </c>
    </row>
    <row r="1168" spans="13:13">
      <c r="M1168" s="3" t="str">
        <f t="shared" si="18"/>
        <v/>
      </c>
    </row>
    <row r="1169" spans="13:13">
      <c r="M1169" s="3" t="str">
        <f t="shared" si="18"/>
        <v/>
      </c>
    </row>
    <row r="1170" spans="13:13">
      <c r="M1170" s="3" t="str">
        <f t="shared" si="18"/>
        <v/>
      </c>
    </row>
    <row r="1171" spans="13:13">
      <c r="M1171" s="3" t="str">
        <f t="shared" si="18"/>
        <v/>
      </c>
    </row>
    <row r="1172" spans="13:13">
      <c r="M1172" s="3" t="str">
        <f t="shared" si="18"/>
        <v/>
      </c>
    </row>
    <row r="1173" spans="13:13">
      <c r="M1173" s="3" t="str">
        <f t="shared" si="18"/>
        <v/>
      </c>
    </row>
    <row r="1174" spans="13:13">
      <c r="M1174" s="3" t="str">
        <f t="shared" si="18"/>
        <v/>
      </c>
    </row>
    <row r="1175" spans="13:13">
      <c r="M1175" s="3" t="str">
        <f t="shared" si="18"/>
        <v/>
      </c>
    </row>
    <row r="1176" spans="13:13">
      <c r="M1176" s="3" t="str">
        <f t="shared" si="18"/>
        <v/>
      </c>
    </row>
    <row r="1177" spans="13:13">
      <c r="M1177" s="3" t="str">
        <f t="shared" si="18"/>
        <v/>
      </c>
    </row>
    <row r="1178" spans="13:13">
      <c r="M1178" s="3" t="str">
        <f t="shared" si="18"/>
        <v/>
      </c>
    </row>
    <row r="1179" spans="13:13">
      <c r="M1179" s="3" t="str">
        <f t="shared" si="18"/>
        <v/>
      </c>
    </row>
    <row r="1180" spans="13:13">
      <c r="M1180" s="3" t="str">
        <f t="shared" si="18"/>
        <v/>
      </c>
    </row>
    <row r="1181" spans="13:13">
      <c r="M1181" s="3" t="str">
        <f t="shared" si="18"/>
        <v/>
      </c>
    </row>
    <row r="1182" spans="13:13">
      <c r="M1182" s="3" t="str">
        <f t="shared" si="18"/>
        <v/>
      </c>
    </row>
    <row r="1183" spans="13:13">
      <c r="M1183" s="3" t="str">
        <f t="shared" si="18"/>
        <v/>
      </c>
    </row>
    <row r="1184" spans="13:13">
      <c r="M1184" s="3" t="str">
        <f t="shared" si="18"/>
        <v/>
      </c>
    </row>
    <row r="1185" spans="13:13">
      <c r="M1185" s="3" t="str">
        <f t="shared" si="18"/>
        <v/>
      </c>
    </row>
    <row r="1186" spans="13:13">
      <c r="M1186" s="3" t="str">
        <f t="shared" si="18"/>
        <v/>
      </c>
    </row>
    <row r="1187" spans="13:13">
      <c r="M1187" s="3" t="str">
        <f t="shared" si="18"/>
        <v/>
      </c>
    </row>
    <row r="1188" spans="13:13">
      <c r="M1188" s="3" t="str">
        <f t="shared" si="18"/>
        <v/>
      </c>
    </row>
    <row r="1189" spans="13:13">
      <c r="M1189" s="3" t="str">
        <f t="shared" si="18"/>
        <v/>
      </c>
    </row>
    <row r="1190" spans="13:13">
      <c r="M1190" s="3" t="str">
        <f t="shared" si="18"/>
        <v/>
      </c>
    </row>
    <row r="1191" spans="13:13">
      <c r="M1191" s="3" t="str">
        <f t="shared" si="18"/>
        <v/>
      </c>
    </row>
    <row r="1192" spans="13:13">
      <c r="M1192" s="3" t="str">
        <f t="shared" si="18"/>
        <v/>
      </c>
    </row>
    <row r="1193" spans="13:13">
      <c r="M1193" s="3" t="str">
        <f t="shared" si="18"/>
        <v/>
      </c>
    </row>
    <row r="1194" spans="13:13">
      <c r="M1194" s="3" t="str">
        <f t="shared" si="18"/>
        <v/>
      </c>
    </row>
    <row r="1195" spans="13:13">
      <c r="M1195" s="3" t="str">
        <f t="shared" si="18"/>
        <v/>
      </c>
    </row>
    <row r="1196" spans="13:13">
      <c r="M1196" s="3" t="str">
        <f t="shared" si="18"/>
        <v/>
      </c>
    </row>
    <row r="1197" spans="13:13">
      <c r="M1197" s="3" t="str">
        <f t="shared" si="18"/>
        <v/>
      </c>
    </row>
    <row r="1198" spans="13:13">
      <c r="M1198" s="3" t="str">
        <f t="shared" si="18"/>
        <v/>
      </c>
    </row>
    <row r="1199" spans="13:13">
      <c r="M1199" s="3" t="str">
        <f t="shared" si="18"/>
        <v/>
      </c>
    </row>
    <row r="1200" spans="13:13">
      <c r="M1200" s="3" t="str">
        <f t="shared" si="18"/>
        <v/>
      </c>
    </row>
    <row r="1201" spans="13:13">
      <c r="M1201" s="3" t="str">
        <f t="shared" si="18"/>
        <v/>
      </c>
    </row>
    <row r="1202" spans="13:13">
      <c r="M1202" s="3" t="str">
        <f t="shared" si="18"/>
        <v/>
      </c>
    </row>
    <row r="1203" spans="13:13">
      <c r="M1203" s="3" t="str">
        <f t="shared" si="18"/>
        <v/>
      </c>
    </row>
    <row r="1204" spans="13:13">
      <c r="M1204" s="3" t="str">
        <f t="shared" si="18"/>
        <v/>
      </c>
    </row>
    <row r="1205" spans="13:13">
      <c r="M1205" s="3" t="str">
        <f t="shared" si="18"/>
        <v/>
      </c>
    </row>
    <row r="1206" spans="13:13">
      <c r="M1206" s="3" t="str">
        <f t="shared" si="18"/>
        <v/>
      </c>
    </row>
    <row r="1207" spans="13:13">
      <c r="M1207" s="3" t="str">
        <f t="shared" si="18"/>
        <v/>
      </c>
    </row>
    <row r="1208" spans="13:13">
      <c r="M1208" s="3" t="str">
        <f t="shared" si="18"/>
        <v/>
      </c>
    </row>
    <row r="1209" spans="13:13">
      <c r="M1209" s="3" t="str">
        <f t="shared" si="18"/>
        <v/>
      </c>
    </row>
    <row r="1210" spans="13:13">
      <c r="M1210" s="3" t="str">
        <f t="shared" si="18"/>
        <v/>
      </c>
    </row>
    <row r="1211" spans="13:13">
      <c r="M1211" s="3" t="str">
        <f t="shared" si="18"/>
        <v/>
      </c>
    </row>
    <row r="1212" spans="13:13">
      <c r="M1212" s="3" t="str">
        <f t="shared" si="18"/>
        <v/>
      </c>
    </row>
    <row r="1213" spans="13:13">
      <c r="M1213" s="3" t="str">
        <f t="shared" si="18"/>
        <v/>
      </c>
    </row>
    <row r="1214" spans="13:13">
      <c r="M1214" s="3" t="str">
        <f t="shared" si="18"/>
        <v/>
      </c>
    </row>
    <row r="1215" spans="13:13">
      <c r="M1215" s="3" t="str">
        <f t="shared" si="18"/>
        <v/>
      </c>
    </row>
    <row r="1216" spans="13:13">
      <c r="M1216" s="3" t="str">
        <f t="shared" si="18"/>
        <v/>
      </c>
    </row>
    <row r="1217" spans="13:13">
      <c r="M1217" s="3" t="str">
        <f t="shared" si="18"/>
        <v/>
      </c>
    </row>
    <row r="1218" spans="13:13">
      <c r="M1218" s="3" t="str">
        <f t="shared" si="18"/>
        <v/>
      </c>
    </row>
    <row r="1219" spans="13:13">
      <c r="M1219" s="3" t="str">
        <f t="shared" si="18"/>
        <v/>
      </c>
    </row>
    <row r="1220" spans="13:13">
      <c r="M1220" s="3" t="str">
        <f t="shared" si="18"/>
        <v/>
      </c>
    </row>
    <row r="1221" spans="13:13">
      <c r="M1221" s="3" t="str">
        <f t="shared" ref="M1221:M1284" si="19">IF(A1221="","", WEEKNUM(A1221, 2))</f>
        <v/>
      </c>
    </row>
    <row r="1222" spans="13:13">
      <c r="M1222" s="3" t="str">
        <f t="shared" si="19"/>
        <v/>
      </c>
    </row>
    <row r="1223" spans="13:13">
      <c r="M1223" s="3" t="str">
        <f t="shared" si="19"/>
        <v/>
      </c>
    </row>
    <row r="1224" spans="13:13">
      <c r="M1224" s="3" t="str">
        <f t="shared" si="19"/>
        <v/>
      </c>
    </row>
    <row r="1225" spans="13:13">
      <c r="M1225" s="3" t="str">
        <f t="shared" si="19"/>
        <v/>
      </c>
    </row>
    <row r="1226" spans="13:13">
      <c r="M1226" s="3" t="str">
        <f t="shared" si="19"/>
        <v/>
      </c>
    </row>
    <row r="1227" spans="13:13">
      <c r="M1227" s="3" t="str">
        <f t="shared" si="19"/>
        <v/>
      </c>
    </row>
    <row r="1228" spans="13:13">
      <c r="M1228" s="3" t="str">
        <f t="shared" si="19"/>
        <v/>
      </c>
    </row>
    <row r="1229" spans="13:13">
      <c r="M1229" s="3" t="str">
        <f t="shared" si="19"/>
        <v/>
      </c>
    </row>
    <row r="1230" spans="13:13">
      <c r="M1230" s="3" t="str">
        <f t="shared" si="19"/>
        <v/>
      </c>
    </row>
    <row r="1231" spans="13:13">
      <c r="M1231" s="3" t="str">
        <f t="shared" si="19"/>
        <v/>
      </c>
    </row>
    <row r="1232" spans="13:13">
      <c r="M1232" s="3" t="str">
        <f t="shared" si="19"/>
        <v/>
      </c>
    </row>
    <row r="1233" spans="13:13">
      <c r="M1233" s="3" t="str">
        <f t="shared" si="19"/>
        <v/>
      </c>
    </row>
    <row r="1234" spans="13:13">
      <c r="M1234" s="3" t="str">
        <f t="shared" si="19"/>
        <v/>
      </c>
    </row>
    <row r="1235" spans="13:13">
      <c r="M1235" s="3" t="str">
        <f t="shared" si="19"/>
        <v/>
      </c>
    </row>
    <row r="1236" spans="13:13">
      <c r="M1236" s="3" t="str">
        <f t="shared" si="19"/>
        <v/>
      </c>
    </row>
    <row r="1237" spans="13:13">
      <c r="M1237" s="3" t="str">
        <f t="shared" si="19"/>
        <v/>
      </c>
    </row>
    <row r="1238" spans="13:13">
      <c r="M1238" s="3" t="str">
        <f t="shared" si="19"/>
        <v/>
      </c>
    </row>
    <row r="1239" spans="13:13">
      <c r="M1239" s="3" t="str">
        <f t="shared" si="19"/>
        <v/>
      </c>
    </row>
    <row r="1240" spans="13:13">
      <c r="M1240" s="3" t="str">
        <f t="shared" si="19"/>
        <v/>
      </c>
    </row>
    <row r="1241" spans="13:13">
      <c r="M1241" s="3" t="str">
        <f t="shared" si="19"/>
        <v/>
      </c>
    </row>
    <row r="1242" spans="13:13">
      <c r="M1242" s="3" t="str">
        <f t="shared" si="19"/>
        <v/>
      </c>
    </row>
    <row r="1243" spans="13:13">
      <c r="M1243" s="3" t="str">
        <f t="shared" si="19"/>
        <v/>
      </c>
    </row>
    <row r="1244" spans="13:13">
      <c r="M1244" s="3" t="str">
        <f t="shared" si="19"/>
        <v/>
      </c>
    </row>
    <row r="1245" spans="13:13">
      <c r="M1245" s="3" t="str">
        <f t="shared" si="19"/>
        <v/>
      </c>
    </row>
    <row r="1246" spans="13:13">
      <c r="M1246" s="3" t="str">
        <f t="shared" si="19"/>
        <v/>
      </c>
    </row>
    <row r="1247" spans="13:13">
      <c r="M1247" s="3" t="str">
        <f t="shared" si="19"/>
        <v/>
      </c>
    </row>
    <row r="1248" spans="13:13">
      <c r="M1248" s="3" t="str">
        <f t="shared" si="19"/>
        <v/>
      </c>
    </row>
    <row r="1249" spans="13:13">
      <c r="M1249" s="3" t="str">
        <f t="shared" si="19"/>
        <v/>
      </c>
    </row>
    <row r="1250" spans="13:13">
      <c r="M1250" s="3" t="str">
        <f t="shared" si="19"/>
        <v/>
      </c>
    </row>
    <row r="1251" spans="13:13">
      <c r="M1251" s="3" t="str">
        <f t="shared" si="19"/>
        <v/>
      </c>
    </row>
    <row r="1252" spans="13:13">
      <c r="M1252" s="3" t="str">
        <f t="shared" si="19"/>
        <v/>
      </c>
    </row>
    <row r="1253" spans="13:13">
      <c r="M1253" s="3" t="str">
        <f t="shared" si="19"/>
        <v/>
      </c>
    </row>
    <row r="1254" spans="13:13">
      <c r="M1254" s="3" t="str">
        <f t="shared" si="19"/>
        <v/>
      </c>
    </row>
    <row r="1255" spans="13:13">
      <c r="M1255" s="3" t="str">
        <f t="shared" si="19"/>
        <v/>
      </c>
    </row>
    <row r="1256" spans="13:13">
      <c r="M1256" s="3" t="str">
        <f t="shared" si="19"/>
        <v/>
      </c>
    </row>
    <row r="1257" spans="13:13">
      <c r="M1257" s="3" t="str">
        <f t="shared" si="19"/>
        <v/>
      </c>
    </row>
    <row r="1258" spans="13:13">
      <c r="M1258" s="3" t="str">
        <f t="shared" si="19"/>
        <v/>
      </c>
    </row>
    <row r="1259" spans="13:13">
      <c r="M1259" s="3" t="str">
        <f t="shared" si="19"/>
        <v/>
      </c>
    </row>
    <row r="1260" spans="13:13">
      <c r="M1260" s="3" t="str">
        <f t="shared" si="19"/>
        <v/>
      </c>
    </row>
    <row r="1261" spans="13:13">
      <c r="M1261" s="3" t="str">
        <f t="shared" si="19"/>
        <v/>
      </c>
    </row>
    <row r="1262" spans="13:13">
      <c r="M1262" s="3" t="str">
        <f t="shared" si="19"/>
        <v/>
      </c>
    </row>
    <row r="1263" spans="13:13">
      <c r="M1263" s="3" t="str">
        <f t="shared" si="19"/>
        <v/>
      </c>
    </row>
    <row r="1264" spans="13:13">
      <c r="M1264" s="3" t="str">
        <f t="shared" si="19"/>
        <v/>
      </c>
    </row>
    <row r="1265" spans="13:13">
      <c r="M1265" s="3" t="str">
        <f t="shared" si="19"/>
        <v/>
      </c>
    </row>
    <row r="1266" spans="13:13">
      <c r="M1266" s="3" t="str">
        <f t="shared" si="19"/>
        <v/>
      </c>
    </row>
    <row r="1267" spans="13:13">
      <c r="M1267" s="3" t="str">
        <f t="shared" si="19"/>
        <v/>
      </c>
    </row>
    <row r="1268" spans="13:13">
      <c r="M1268" s="3" t="str">
        <f t="shared" si="19"/>
        <v/>
      </c>
    </row>
    <row r="1269" spans="13:13">
      <c r="M1269" s="3" t="str">
        <f t="shared" si="19"/>
        <v/>
      </c>
    </row>
    <row r="1270" spans="13:13">
      <c r="M1270" s="3" t="str">
        <f t="shared" si="19"/>
        <v/>
      </c>
    </row>
    <row r="1271" spans="13:13">
      <c r="M1271" s="3" t="str">
        <f t="shared" si="19"/>
        <v/>
      </c>
    </row>
    <row r="1272" spans="13:13">
      <c r="M1272" s="3" t="str">
        <f t="shared" si="19"/>
        <v/>
      </c>
    </row>
    <row r="1273" spans="13:13">
      <c r="M1273" s="3" t="str">
        <f t="shared" si="19"/>
        <v/>
      </c>
    </row>
    <row r="1274" spans="13:13">
      <c r="M1274" s="3" t="str">
        <f t="shared" si="19"/>
        <v/>
      </c>
    </row>
    <row r="1275" spans="13:13">
      <c r="M1275" s="3" t="str">
        <f t="shared" si="19"/>
        <v/>
      </c>
    </row>
    <row r="1276" spans="13:13">
      <c r="M1276" s="3" t="str">
        <f t="shared" si="19"/>
        <v/>
      </c>
    </row>
    <row r="1277" spans="13:13">
      <c r="M1277" s="3" t="str">
        <f t="shared" si="19"/>
        <v/>
      </c>
    </row>
    <row r="1278" spans="13:13">
      <c r="M1278" s="3" t="str">
        <f t="shared" si="19"/>
        <v/>
      </c>
    </row>
    <row r="1279" spans="13:13">
      <c r="M1279" s="3" t="str">
        <f t="shared" si="19"/>
        <v/>
      </c>
    </row>
    <row r="1280" spans="13:13">
      <c r="M1280" s="3" t="str">
        <f t="shared" si="19"/>
        <v/>
      </c>
    </row>
    <row r="1281" spans="13:13">
      <c r="M1281" s="3" t="str">
        <f t="shared" si="19"/>
        <v/>
      </c>
    </row>
    <row r="1282" spans="13:13">
      <c r="M1282" s="3" t="str">
        <f t="shared" si="19"/>
        <v/>
      </c>
    </row>
    <row r="1283" spans="13:13">
      <c r="M1283" s="3" t="str">
        <f t="shared" si="19"/>
        <v/>
      </c>
    </row>
    <row r="1284" spans="13:13">
      <c r="M1284" s="3" t="str">
        <f t="shared" si="19"/>
        <v/>
      </c>
    </row>
    <row r="1285" spans="13:13">
      <c r="M1285" s="3" t="str">
        <f t="shared" ref="M1285:M1348" si="20">IF(A1285="","", WEEKNUM(A1285, 2))</f>
        <v/>
      </c>
    </row>
    <row r="1286" spans="13:13">
      <c r="M1286" s="3" t="str">
        <f t="shared" si="20"/>
        <v/>
      </c>
    </row>
    <row r="1287" spans="13:13">
      <c r="M1287" s="3" t="str">
        <f t="shared" si="20"/>
        <v/>
      </c>
    </row>
    <row r="1288" spans="13:13">
      <c r="M1288" s="3" t="str">
        <f t="shared" si="20"/>
        <v/>
      </c>
    </row>
    <row r="1289" spans="13:13">
      <c r="M1289" s="3" t="str">
        <f t="shared" si="20"/>
        <v/>
      </c>
    </row>
    <row r="1290" spans="13:13">
      <c r="M1290" s="3" t="str">
        <f t="shared" si="20"/>
        <v/>
      </c>
    </row>
    <row r="1291" spans="13:13">
      <c r="M1291" s="3" t="str">
        <f t="shared" si="20"/>
        <v/>
      </c>
    </row>
    <row r="1292" spans="13:13">
      <c r="M1292" s="3" t="str">
        <f t="shared" si="20"/>
        <v/>
      </c>
    </row>
    <row r="1293" spans="13:13">
      <c r="M1293" s="3" t="str">
        <f t="shared" si="20"/>
        <v/>
      </c>
    </row>
    <row r="1294" spans="13:13">
      <c r="M1294" s="3" t="str">
        <f t="shared" si="20"/>
        <v/>
      </c>
    </row>
    <row r="1295" spans="13:13">
      <c r="M1295" s="3" t="str">
        <f t="shared" si="20"/>
        <v/>
      </c>
    </row>
    <row r="1296" spans="13:13">
      <c r="M1296" s="3" t="str">
        <f t="shared" si="20"/>
        <v/>
      </c>
    </row>
    <row r="1297" spans="13:13">
      <c r="M1297" s="3" t="str">
        <f t="shared" si="20"/>
        <v/>
      </c>
    </row>
    <row r="1298" spans="13:13">
      <c r="M1298" s="3" t="str">
        <f t="shared" si="20"/>
        <v/>
      </c>
    </row>
    <row r="1299" spans="13:13">
      <c r="M1299" s="3" t="str">
        <f t="shared" si="20"/>
        <v/>
      </c>
    </row>
    <row r="1300" spans="13:13">
      <c r="M1300" s="3" t="str">
        <f t="shared" si="20"/>
        <v/>
      </c>
    </row>
    <row r="1301" spans="13:13">
      <c r="M1301" s="3" t="str">
        <f t="shared" si="20"/>
        <v/>
      </c>
    </row>
    <row r="1302" spans="13:13">
      <c r="M1302" s="3" t="str">
        <f t="shared" si="20"/>
        <v/>
      </c>
    </row>
    <row r="1303" spans="13:13">
      <c r="M1303" s="3" t="str">
        <f t="shared" si="20"/>
        <v/>
      </c>
    </row>
    <row r="1304" spans="13:13">
      <c r="M1304" s="3" t="str">
        <f t="shared" si="20"/>
        <v/>
      </c>
    </row>
    <row r="1305" spans="13:13">
      <c r="M1305" s="3" t="str">
        <f t="shared" si="20"/>
        <v/>
      </c>
    </row>
    <row r="1306" spans="13:13">
      <c r="M1306" s="3" t="str">
        <f t="shared" si="20"/>
        <v/>
      </c>
    </row>
    <row r="1307" spans="13:13">
      <c r="M1307" s="3" t="str">
        <f t="shared" si="20"/>
        <v/>
      </c>
    </row>
    <row r="1308" spans="13:13">
      <c r="M1308" s="3" t="str">
        <f t="shared" si="20"/>
        <v/>
      </c>
    </row>
    <row r="1309" spans="13:13">
      <c r="M1309" s="3" t="str">
        <f t="shared" si="20"/>
        <v/>
      </c>
    </row>
    <row r="1310" spans="13:13">
      <c r="M1310" s="3" t="str">
        <f t="shared" si="20"/>
        <v/>
      </c>
    </row>
    <row r="1311" spans="13:13">
      <c r="M1311" s="3" t="str">
        <f t="shared" si="20"/>
        <v/>
      </c>
    </row>
    <row r="1312" spans="13:13">
      <c r="M1312" s="3" t="str">
        <f t="shared" si="20"/>
        <v/>
      </c>
    </row>
    <row r="1313" spans="13:13">
      <c r="M1313" s="3" t="str">
        <f t="shared" si="20"/>
        <v/>
      </c>
    </row>
    <row r="1314" spans="13:13">
      <c r="M1314" s="3" t="str">
        <f t="shared" si="20"/>
        <v/>
      </c>
    </row>
    <row r="1315" spans="13:13">
      <c r="M1315" s="3" t="str">
        <f t="shared" si="20"/>
        <v/>
      </c>
    </row>
    <row r="1316" spans="13:13">
      <c r="M1316" s="3" t="str">
        <f t="shared" si="20"/>
        <v/>
      </c>
    </row>
    <row r="1317" spans="13:13">
      <c r="M1317" s="3" t="str">
        <f t="shared" si="20"/>
        <v/>
      </c>
    </row>
    <row r="1318" spans="13:13">
      <c r="M1318" s="3" t="str">
        <f t="shared" si="20"/>
        <v/>
      </c>
    </row>
    <row r="1319" spans="13:13">
      <c r="M1319" s="3" t="str">
        <f t="shared" si="20"/>
        <v/>
      </c>
    </row>
    <row r="1320" spans="13:13">
      <c r="M1320" s="3" t="str">
        <f t="shared" si="20"/>
        <v/>
      </c>
    </row>
    <row r="1321" spans="13:13">
      <c r="M1321" s="3" t="str">
        <f t="shared" si="20"/>
        <v/>
      </c>
    </row>
    <row r="1322" spans="13:13">
      <c r="M1322" s="3" t="str">
        <f t="shared" si="20"/>
        <v/>
      </c>
    </row>
    <row r="1323" spans="13:13">
      <c r="M1323" s="3" t="str">
        <f t="shared" si="20"/>
        <v/>
      </c>
    </row>
    <row r="1324" spans="13:13">
      <c r="M1324" s="3" t="str">
        <f t="shared" si="20"/>
        <v/>
      </c>
    </row>
    <row r="1325" spans="13:13">
      <c r="M1325" s="3" t="str">
        <f t="shared" si="20"/>
        <v/>
      </c>
    </row>
    <row r="1326" spans="13:13">
      <c r="M1326" s="3" t="str">
        <f t="shared" si="20"/>
        <v/>
      </c>
    </row>
    <row r="1327" spans="13:13">
      <c r="M1327" s="3" t="str">
        <f t="shared" si="20"/>
        <v/>
      </c>
    </row>
    <row r="1328" spans="13:13">
      <c r="M1328" s="3" t="str">
        <f t="shared" si="20"/>
        <v/>
      </c>
    </row>
    <row r="1329" spans="13:13">
      <c r="M1329" s="3" t="str">
        <f t="shared" si="20"/>
        <v/>
      </c>
    </row>
    <row r="1330" spans="13:13">
      <c r="M1330" s="3" t="str">
        <f t="shared" si="20"/>
        <v/>
      </c>
    </row>
    <row r="1331" spans="13:13">
      <c r="M1331" s="3" t="str">
        <f t="shared" si="20"/>
        <v/>
      </c>
    </row>
    <row r="1332" spans="13:13">
      <c r="M1332" s="3" t="str">
        <f t="shared" si="20"/>
        <v/>
      </c>
    </row>
    <row r="1333" spans="13:13">
      <c r="M1333" s="3" t="str">
        <f t="shared" si="20"/>
        <v/>
      </c>
    </row>
    <row r="1334" spans="13:13">
      <c r="M1334" s="3" t="str">
        <f t="shared" si="20"/>
        <v/>
      </c>
    </row>
    <row r="1335" spans="13:13">
      <c r="M1335" s="3" t="str">
        <f t="shared" si="20"/>
        <v/>
      </c>
    </row>
    <row r="1336" spans="13:13">
      <c r="M1336" s="3" t="str">
        <f t="shared" si="20"/>
        <v/>
      </c>
    </row>
    <row r="1337" spans="13:13">
      <c r="M1337" s="3" t="str">
        <f t="shared" si="20"/>
        <v/>
      </c>
    </row>
    <row r="1338" spans="13:13">
      <c r="M1338" s="3" t="str">
        <f t="shared" si="20"/>
        <v/>
      </c>
    </row>
    <row r="1339" spans="13:13">
      <c r="M1339" s="3" t="str">
        <f t="shared" si="20"/>
        <v/>
      </c>
    </row>
    <row r="1340" spans="13:13">
      <c r="M1340" s="3" t="str">
        <f t="shared" si="20"/>
        <v/>
      </c>
    </row>
    <row r="1341" spans="13:13">
      <c r="M1341" s="3" t="str">
        <f t="shared" si="20"/>
        <v/>
      </c>
    </row>
    <row r="1342" spans="13:13">
      <c r="M1342" s="3" t="str">
        <f t="shared" si="20"/>
        <v/>
      </c>
    </row>
    <row r="1343" spans="13:13">
      <c r="M1343" s="3" t="str">
        <f t="shared" si="20"/>
        <v/>
      </c>
    </row>
    <row r="1344" spans="13:13">
      <c r="M1344" s="3" t="str">
        <f t="shared" si="20"/>
        <v/>
      </c>
    </row>
    <row r="1345" spans="13:13">
      <c r="M1345" s="3" t="str">
        <f t="shared" si="20"/>
        <v/>
      </c>
    </row>
    <row r="1346" spans="13:13">
      <c r="M1346" s="3" t="str">
        <f t="shared" si="20"/>
        <v/>
      </c>
    </row>
    <row r="1347" spans="13:13">
      <c r="M1347" s="3" t="str">
        <f t="shared" si="20"/>
        <v/>
      </c>
    </row>
    <row r="1348" spans="13:13">
      <c r="M1348" s="3" t="str">
        <f t="shared" si="20"/>
        <v/>
      </c>
    </row>
    <row r="1349" spans="13:13">
      <c r="M1349" s="3" t="str">
        <f t="shared" ref="M1349:M1412" si="21">IF(A1349="","", WEEKNUM(A1349, 2))</f>
        <v/>
      </c>
    </row>
    <row r="1350" spans="13:13">
      <c r="M1350" s="3" t="str">
        <f t="shared" si="21"/>
        <v/>
      </c>
    </row>
    <row r="1351" spans="13:13">
      <c r="M1351" s="3" t="str">
        <f t="shared" si="21"/>
        <v/>
      </c>
    </row>
    <row r="1352" spans="13:13">
      <c r="M1352" s="3" t="str">
        <f t="shared" si="21"/>
        <v/>
      </c>
    </row>
    <row r="1353" spans="13:13">
      <c r="M1353" s="3" t="str">
        <f t="shared" si="21"/>
        <v/>
      </c>
    </row>
    <row r="1354" spans="13:13">
      <c r="M1354" s="3" t="str">
        <f t="shared" si="21"/>
        <v/>
      </c>
    </row>
    <row r="1355" spans="13:13">
      <c r="M1355" s="3" t="str">
        <f t="shared" si="21"/>
        <v/>
      </c>
    </row>
    <row r="1356" spans="13:13">
      <c r="M1356" s="3" t="str">
        <f t="shared" si="21"/>
        <v/>
      </c>
    </row>
    <row r="1357" spans="13:13">
      <c r="M1357" s="3" t="str">
        <f t="shared" si="21"/>
        <v/>
      </c>
    </row>
    <row r="1358" spans="13:13">
      <c r="M1358" s="3" t="str">
        <f t="shared" si="21"/>
        <v/>
      </c>
    </row>
    <row r="1359" spans="13:13">
      <c r="M1359" s="3" t="str">
        <f t="shared" si="21"/>
        <v/>
      </c>
    </row>
    <row r="1360" spans="13:13">
      <c r="M1360" s="3" t="str">
        <f t="shared" si="21"/>
        <v/>
      </c>
    </row>
    <row r="1361" spans="13:13">
      <c r="M1361" s="3" t="str">
        <f t="shared" si="21"/>
        <v/>
      </c>
    </row>
    <row r="1362" spans="13:13">
      <c r="M1362" s="3" t="str">
        <f t="shared" si="21"/>
        <v/>
      </c>
    </row>
    <row r="1363" spans="13:13">
      <c r="M1363" s="3" t="str">
        <f t="shared" si="21"/>
        <v/>
      </c>
    </row>
    <row r="1364" spans="13:13">
      <c r="M1364" s="3" t="str">
        <f t="shared" si="21"/>
        <v/>
      </c>
    </row>
    <row r="1365" spans="13:13">
      <c r="M1365" s="3" t="str">
        <f t="shared" si="21"/>
        <v/>
      </c>
    </row>
    <row r="1366" spans="13:13">
      <c r="M1366" s="3" t="str">
        <f t="shared" si="21"/>
        <v/>
      </c>
    </row>
    <row r="1367" spans="13:13">
      <c r="M1367" s="3" t="str">
        <f t="shared" si="21"/>
        <v/>
      </c>
    </row>
    <row r="1368" spans="13:13">
      <c r="M1368" s="3" t="str">
        <f t="shared" si="21"/>
        <v/>
      </c>
    </row>
    <row r="1369" spans="13:13">
      <c r="M1369" s="3" t="str">
        <f t="shared" si="21"/>
        <v/>
      </c>
    </row>
    <row r="1370" spans="13:13">
      <c r="M1370" s="3" t="str">
        <f t="shared" si="21"/>
        <v/>
      </c>
    </row>
    <row r="1371" spans="13:13">
      <c r="M1371" s="3" t="str">
        <f t="shared" si="21"/>
        <v/>
      </c>
    </row>
    <row r="1372" spans="13:13">
      <c r="M1372" s="3" t="str">
        <f t="shared" si="21"/>
        <v/>
      </c>
    </row>
    <row r="1373" spans="13:13">
      <c r="M1373" s="3" t="str">
        <f t="shared" si="21"/>
        <v/>
      </c>
    </row>
    <row r="1374" spans="13:13">
      <c r="M1374" s="3" t="str">
        <f t="shared" si="21"/>
        <v/>
      </c>
    </row>
    <row r="1375" spans="13:13">
      <c r="M1375" s="3" t="str">
        <f t="shared" si="21"/>
        <v/>
      </c>
    </row>
    <row r="1376" spans="13:13">
      <c r="M1376" s="3" t="str">
        <f t="shared" si="21"/>
        <v/>
      </c>
    </row>
    <row r="1377" spans="13:13">
      <c r="M1377" s="3" t="str">
        <f t="shared" si="21"/>
        <v/>
      </c>
    </row>
    <row r="1378" spans="13:13">
      <c r="M1378" s="3" t="str">
        <f t="shared" si="21"/>
        <v/>
      </c>
    </row>
    <row r="1379" spans="13:13">
      <c r="M1379" s="3" t="str">
        <f t="shared" si="21"/>
        <v/>
      </c>
    </row>
    <row r="1380" spans="13:13">
      <c r="M1380" s="3" t="str">
        <f t="shared" si="21"/>
        <v/>
      </c>
    </row>
    <row r="1381" spans="13:13">
      <c r="M1381" s="3" t="str">
        <f t="shared" si="21"/>
        <v/>
      </c>
    </row>
    <row r="1382" spans="13:13">
      <c r="M1382" s="3" t="str">
        <f t="shared" si="21"/>
        <v/>
      </c>
    </row>
    <row r="1383" spans="13:13">
      <c r="M1383" s="3" t="str">
        <f t="shared" si="21"/>
        <v/>
      </c>
    </row>
    <row r="1384" spans="13:13">
      <c r="M1384" s="3" t="str">
        <f t="shared" si="21"/>
        <v/>
      </c>
    </row>
    <row r="1385" spans="13:13">
      <c r="M1385" s="3" t="str">
        <f t="shared" si="21"/>
        <v/>
      </c>
    </row>
    <row r="1386" spans="13:13">
      <c r="M1386" s="3" t="str">
        <f t="shared" si="21"/>
        <v/>
      </c>
    </row>
    <row r="1387" spans="13:13">
      <c r="M1387" s="3" t="str">
        <f t="shared" si="21"/>
        <v/>
      </c>
    </row>
    <row r="1388" spans="13:13">
      <c r="M1388" s="3" t="str">
        <f t="shared" si="21"/>
        <v/>
      </c>
    </row>
    <row r="1389" spans="13:13">
      <c r="M1389" s="3" t="str">
        <f t="shared" si="21"/>
        <v/>
      </c>
    </row>
    <row r="1390" spans="13:13">
      <c r="M1390" s="3" t="str">
        <f t="shared" si="21"/>
        <v/>
      </c>
    </row>
    <row r="1391" spans="13:13">
      <c r="M1391" s="3" t="str">
        <f t="shared" si="21"/>
        <v/>
      </c>
    </row>
    <row r="1392" spans="13:13">
      <c r="M1392" s="3" t="str">
        <f t="shared" si="21"/>
        <v/>
      </c>
    </row>
    <row r="1393" spans="13:13">
      <c r="M1393" s="3" t="str">
        <f t="shared" si="21"/>
        <v/>
      </c>
    </row>
    <row r="1394" spans="13:13">
      <c r="M1394" s="3" t="str">
        <f t="shared" si="21"/>
        <v/>
      </c>
    </row>
    <row r="1395" spans="13:13">
      <c r="M1395" s="3" t="str">
        <f t="shared" si="21"/>
        <v/>
      </c>
    </row>
    <row r="1396" spans="13:13">
      <c r="M1396" s="3" t="str">
        <f t="shared" si="21"/>
        <v/>
      </c>
    </row>
    <row r="1397" spans="13:13">
      <c r="M1397" s="3" t="str">
        <f t="shared" si="21"/>
        <v/>
      </c>
    </row>
    <row r="1398" spans="13:13">
      <c r="M1398" s="3" t="str">
        <f t="shared" si="21"/>
        <v/>
      </c>
    </row>
    <row r="1399" spans="13:13">
      <c r="M1399" s="3" t="str">
        <f t="shared" si="21"/>
        <v/>
      </c>
    </row>
    <row r="1400" spans="13:13">
      <c r="M1400" s="3" t="str">
        <f t="shared" si="21"/>
        <v/>
      </c>
    </row>
    <row r="1401" spans="13:13">
      <c r="M1401" s="3" t="str">
        <f t="shared" si="21"/>
        <v/>
      </c>
    </row>
    <row r="1402" spans="13:13">
      <c r="M1402" s="3" t="str">
        <f t="shared" si="21"/>
        <v/>
      </c>
    </row>
    <row r="1403" spans="13:13">
      <c r="M1403" s="3" t="str">
        <f t="shared" si="21"/>
        <v/>
      </c>
    </row>
    <row r="1404" spans="13:13">
      <c r="M1404" s="3" t="str">
        <f t="shared" si="21"/>
        <v/>
      </c>
    </row>
    <row r="1405" spans="13:13">
      <c r="M1405" s="3" t="str">
        <f t="shared" si="21"/>
        <v/>
      </c>
    </row>
    <row r="1406" spans="13:13">
      <c r="M1406" s="3" t="str">
        <f t="shared" si="21"/>
        <v/>
      </c>
    </row>
    <row r="1407" spans="13:13">
      <c r="M1407" s="3" t="str">
        <f t="shared" si="21"/>
        <v/>
      </c>
    </row>
    <row r="1408" spans="13:13">
      <c r="M1408" s="3" t="str">
        <f t="shared" si="21"/>
        <v/>
      </c>
    </row>
    <row r="1409" spans="13:13">
      <c r="M1409" s="3" t="str">
        <f t="shared" si="21"/>
        <v/>
      </c>
    </row>
    <row r="1410" spans="13:13">
      <c r="M1410" s="3" t="str">
        <f t="shared" si="21"/>
        <v/>
      </c>
    </row>
    <row r="1411" spans="13:13">
      <c r="M1411" s="3" t="str">
        <f t="shared" si="21"/>
        <v/>
      </c>
    </row>
    <row r="1412" spans="13:13">
      <c r="M1412" s="3" t="str">
        <f t="shared" si="21"/>
        <v/>
      </c>
    </row>
    <row r="1413" spans="13:13">
      <c r="M1413" s="3" t="str">
        <f t="shared" ref="M1413:M1476" si="22">IF(A1413="","", WEEKNUM(A1413, 2))</f>
        <v/>
      </c>
    </row>
    <row r="1414" spans="13:13">
      <c r="M1414" s="3" t="str">
        <f t="shared" si="22"/>
        <v/>
      </c>
    </row>
    <row r="1415" spans="13:13">
      <c r="M1415" s="3" t="str">
        <f t="shared" si="22"/>
        <v/>
      </c>
    </row>
    <row r="1416" spans="13:13">
      <c r="M1416" s="3" t="str">
        <f t="shared" si="22"/>
        <v/>
      </c>
    </row>
    <row r="1417" spans="13:13">
      <c r="M1417" s="3" t="str">
        <f t="shared" si="22"/>
        <v/>
      </c>
    </row>
    <row r="1418" spans="13:13">
      <c r="M1418" s="3" t="str">
        <f t="shared" si="22"/>
        <v/>
      </c>
    </row>
    <row r="1419" spans="13:13">
      <c r="M1419" s="3" t="str">
        <f t="shared" si="22"/>
        <v/>
      </c>
    </row>
    <row r="1420" spans="13:13">
      <c r="M1420" s="3" t="str">
        <f t="shared" si="22"/>
        <v/>
      </c>
    </row>
    <row r="1421" spans="13:13">
      <c r="M1421" s="3" t="str">
        <f t="shared" si="22"/>
        <v/>
      </c>
    </row>
    <row r="1422" spans="13:13">
      <c r="M1422" s="3" t="str">
        <f t="shared" si="22"/>
        <v/>
      </c>
    </row>
    <row r="1423" spans="13:13">
      <c r="M1423" s="3" t="str">
        <f t="shared" si="22"/>
        <v/>
      </c>
    </row>
    <row r="1424" spans="13:13">
      <c r="M1424" s="3" t="str">
        <f t="shared" si="22"/>
        <v/>
      </c>
    </row>
    <row r="1425" spans="13:13">
      <c r="M1425" s="3" t="str">
        <f t="shared" si="22"/>
        <v/>
      </c>
    </row>
    <row r="1426" spans="13:13">
      <c r="M1426" s="3" t="str">
        <f t="shared" si="22"/>
        <v/>
      </c>
    </row>
    <row r="1427" spans="13:13">
      <c r="M1427" s="3" t="str">
        <f t="shared" si="22"/>
        <v/>
      </c>
    </row>
    <row r="1428" spans="13:13">
      <c r="M1428" s="3" t="str">
        <f t="shared" si="22"/>
        <v/>
      </c>
    </row>
    <row r="1429" spans="13:13">
      <c r="M1429" s="3" t="str">
        <f t="shared" si="22"/>
        <v/>
      </c>
    </row>
    <row r="1430" spans="13:13">
      <c r="M1430" s="3" t="str">
        <f t="shared" si="22"/>
        <v/>
      </c>
    </row>
    <row r="1431" spans="13:13">
      <c r="M1431" s="3" t="str">
        <f t="shared" si="22"/>
        <v/>
      </c>
    </row>
    <row r="1432" spans="13:13">
      <c r="M1432" s="3" t="str">
        <f t="shared" si="22"/>
        <v/>
      </c>
    </row>
    <row r="1433" spans="13:13">
      <c r="M1433" s="3" t="str">
        <f t="shared" si="22"/>
        <v/>
      </c>
    </row>
    <row r="1434" spans="13:13">
      <c r="M1434" s="3" t="str">
        <f t="shared" si="22"/>
        <v/>
      </c>
    </row>
    <row r="1435" spans="13:13">
      <c r="M1435" s="3" t="str">
        <f t="shared" si="22"/>
        <v/>
      </c>
    </row>
    <row r="1436" spans="13:13">
      <c r="M1436" s="3" t="str">
        <f t="shared" si="22"/>
        <v/>
      </c>
    </row>
    <row r="1437" spans="13:13">
      <c r="M1437" s="3" t="str">
        <f t="shared" si="22"/>
        <v/>
      </c>
    </row>
    <row r="1438" spans="13:13">
      <c r="M1438" s="3" t="str">
        <f t="shared" si="22"/>
        <v/>
      </c>
    </row>
    <row r="1439" spans="13:13">
      <c r="M1439" s="3" t="str">
        <f t="shared" si="22"/>
        <v/>
      </c>
    </row>
    <row r="1440" spans="13:13">
      <c r="M1440" s="3" t="str">
        <f t="shared" si="22"/>
        <v/>
      </c>
    </row>
    <row r="1441" spans="13:13">
      <c r="M1441" s="3" t="str">
        <f t="shared" si="22"/>
        <v/>
      </c>
    </row>
    <row r="1442" spans="13:13">
      <c r="M1442" s="3" t="str">
        <f t="shared" si="22"/>
        <v/>
      </c>
    </row>
    <row r="1443" spans="13:13">
      <c r="M1443" s="3" t="str">
        <f t="shared" si="22"/>
        <v/>
      </c>
    </row>
    <row r="1444" spans="13:13">
      <c r="M1444" s="3" t="str">
        <f t="shared" si="22"/>
        <v/>
      </c>
    </row>
    <row r="1445" spans="13:13">
      <c r="M1445" s="3" t="str">
        <f t="shared" si="22"/>
        <v/>
      </c>
    </row>
    <row r="1446" spans="13:13">
      <c r="M1446" s="3" t="str">
        <f t="shared" si="22"/>
        <v/>
      </c>
    </row>
    <row r="1447" spans="13:13">
      <c r="M1447" s="3" t="str">
        <f t="shared" si="22"/>
        <v/>
      </c>
    </row>
    <row r="1448" spans="13:13">
      <c r="M1448" s="3" t="str">
        <f t="shared" si="22"/>
        <v/>
      </c>
    </row>
    <row r="1449" spans="13:13">
      <c r="M1449" s="3" t="str">
        <f t="shared" si="22"/>
        <v/>
      </c>
    </row>
    <row r="1450" spans="13:13">
      <c r="M1450" s="3" t="str">
        <f t="shared" si="22"/>
        <v/>
      </c>
    </row>
    <row r="1451" spans="13:13">
      <c r="M1451" s="3" t="str">
        <f t="shared" si="22"/>
        <v/>
      </c>
    </row>
    <row r="1452" spans="13:13">
      <c r="M1452" s="3" t="str">
        <f t="shared" si="22"/>
        <v/>
      </c>
    </row>
    <row r="1453" spans="13:13">
      <c r="M1453" s="3" t="str">
        <f t="shared" si="22"/>
        <v/>
      </c>
    </row>
    <row r="1454" spans="13:13">
      <c r="M1454" s="3" t="str">
        <f t="shared" si="22"/>
        <v/>
      </c>
    </row>
    <row r="1455" spans="13:13">
      <c r="M1455" s="3" t="str">
        <f t="shared" si="22"/>
        <v/>
      </c>
    </row>
    <row r="1456" spans="13:13">
      <c r="M1456" s="3" t="str">
        <f t="shared" si="22"/>
        <v/>
      </c>
    </row>
    <row r="1457" spans="13:13">
      <c r="M1457" s="3" t="str">
        <f t="shared" si="22"/>
        <v/>
      </c>
    </row>
    <row r="1458" spans="13:13">
      <c r="M1458" s="3" t="str">
        <f t="shared" si="22"/>
        <v/>
      </c>
    </row>
    <row r="1459" spans="13:13">
      <c r="M1459" s="3" t="str">
        <f t="shared" si="22"/>
        <v/>
      </c>
    </row>
    <row r="1460" spans="13:13">
      <c r="M1460" s="3" t="str">
        <f t="shared" si="22"/>
        <v/>
      </c>
    </row>
    <row r="1461" spans="13:13">
      <c r="M1461" s="3" t="str">
        <f t="shared" si="22"/>
        <v/>
      </c>
    </row>
    <row r="1462" spans="13:13">
      <c r="M1462" s="3" t="str">
        <f t="shared" si="22"/>
        <v/>
      </c>
    </row>
    <row r="1463" spans="13:13">
      <c r="M1463" s="3" t="str">
        <f t="shared" si="22"/>
        <v/>
      </c>
    </row>
    <row r="1464" spans="13:13">
      <c r="M1464" s="3" t="str">
        <f t="shared" si="22"/>
        <v/>
      </c>
    </row>
    <row r="1465" spans="13:13">
      <c r="M1465" s="3" t="str">
        <f t="shared" si="22"/>
        <v/>
      </c>
    </row>
    <row r="1466" spans="13:13">
      <c r="M1466" s="3" t="str">
        <f t="shared" si="22"/>
        <v/>
      </c>
    </row>
    <row r="1467" spans="13:13">
      <c r="M1467" s="3" t="str">
        <f t="shared" si="22"/>
        <v/>
      </c>
    </row>
    <row r="1468" spans="13:13">
      <c r="M1468" s="3" t="str">
        <f t="shared" si="22"/>
        <v/>
      </c>
    </row>
    <row r="1469" spans="13:13">
      <c r="M1469" s="3" t="str">
        <f t="shared" si="22"/>
        <v/>
      </c>
    </row>
    <row r="1470" spans="13:13">
      <c r="M1470" s="3" t="str">
        <f t="shared" si="22"/>
        <v/>
      </c>
    </row>
    <row r="1471" spans="13:13">
      <c r="M1471" s="3" t="str">
        <f t="shared" si="22"/>
        <v/>
      </c>
    </row>
    <row r="1472" spans="13:13">
      <c r="M1472" s="3" t="str">
        <f t="shared" si="22"/>
        <v/>
      </c>
    </row>
    <row r="1473" spans="13:13">
      <c r="M1473" s="3" t="str">
        <f t="shared" si="22"/>
        <v/>
      </c>
    </row>
    <row r="1474" spans="13:13">
      <c r="M1474" s="3" t="str">
        <f t="shared" si="22"/>
        <v/>
      </c>
    </row>
    <row r="1475" spans="13:13">
      <c r="M1475" s="3" t="str">
        <f t="shared" si="22"/>
        <v/>
      </c>
    </row>
    <row r="1476" spans="13:13">
      <c r="M1476" s="3" t="str">
        <f t="shared" si="22"/>
        <v/>
      </c>
    </row>
    <row r="1477" spans="13:13">
      <c r="M1477" s="3" t="str">
        <f t="shared" ref="M1477:M1540" si="23">IF(A1477="","", WEEKNUM(A1477, 2))</f>
        <v/>
      </c>
    </row>
    <row r="1478" spans="13:13">
      <c r="M1478" s="3" t="str">
        <f t="shared" si="23"/>
        <v/>
      </c>
    </row>
    <row r="1479" spans="13:13">
      <c r="M1479" s="3" t="str">
        <f t="shared" si="23"/>
        <v/>
      </c>
    </row>
    <row r="1480" spans="13:13">
      <c r="M1480" s="3" t="str">
        <f t="shared" si="23"/>
        <v/>
      </c>
    </row>
    <row r="1481" spans="13:13">
      <c r="M1481" s="3" t="str">
        <f t="shared" si="23"/>
        <v/>
      </c>
    </row>
    <row r="1482" spans="13:13">
      <c r="M1482" s="3" t="str">
        <f t="shared" si="23"/>
        <v/>
      </c>
    </row>
    <row r="1483" spans="13:13">
      <c r="M1483" s="3" t="str">
        <f t="shared" si="23"/>
        <v/>
      </c>
    </row>
    <row r="1484" spans="13:13">
      <c r="M1484" s="3" t="str">
        <f t="shared" si="23"/>
        <v/>
      </c>
    </row>
    <row r="1485" spans="13:13">
      <c r="M1485" s="3" t="str">
        <f t="shared" si="23"/>
        <v/>
      </c>
    </row>
    <row r="1486" spans="13:13">
      <c r="M1486" s="3" t="str">
        <f t="shared" si="23"/>
        <v/>
      </c>
    </row>
    <row r="1487" spans="13:13">
      <c r="M1487" s="3" t="str">
        <f t="shared" si="23"/>
        <v/>
      </c>
    </row>
    <row r="1488" spans="13:13">
      <c r="M1488" s="3" t="str">
        <f t="shared" si="23"/>
        <v/>
      </c>
    </row>
    <row r="1489" spans="13:13">
      <c r="M1489" s="3" t="str">
        <f t="shared" si="23"/>
        <v/>
      </c>
    </row>
    <row r="1490" spans="13:13">
      <c r="M1490" s="3" t="str">
        <f t="shared" si="23"/>
        <v/>
      </c>
    </row>
    <row r="1491" spans="13:13">
      <c r="M1491" s="3" t="str">
        <f t="shared" si="23"/>
        <v/>
      </c>
    </row>
    <row r="1492" spans="13:13">
      <c r="M1492" s="3" t="str">
        <f t="shared" si="23"/>
        <v/>
      </c>
    </row>
    <row r="1493" spans="13:13">
      <c r="M1493" s="3" t="str">
        <f t="shared" si="23"/>
        <v/>
      </c>
    </row>
    <row r="1494" spans="13:13">
      <c r="M1494" s="3" t="str">
        <f t="shared" si="23"/>
        <v/>
      </c>
    </row>
    <row r="1495" spans="13:13">
      <c r="M1495" s="3" t="str">
        <f t="shared" si="23"/>
        <v/>
      </c>
    </row>
    <row r="1496" spans="13:13">
      <c r="M1496" s="3" t="str">
        <f t="shared" si="23"/>
        <v/>
      </c>
    </row>
    <row r="1497" spans="13:13">
      <c r="M1497" s="3" t="str">
        <f t="shared" si="23"/>
        <v/>
      </c>
    </row>
    <row r="1498" spans="13:13">
      <c r="M1498" s="3" t="str">
        <f t="shared" si="23"/>
        <v/>
      </c>
    </row>
    <row r="1499" spans="13:13">
      <c r="M1499" s="3" t="str">
        <f t="shared" si="23"/>
        <v/>
      </c>
    </row>
    <row r="1500" spans="13:13">
      <c r="M1500" s="3" t="str">
        <f t="shared" si="23"/>
        <v/>
      </c>
    </row>
    <row r="1501" spans="13:13">
      <c r="M1501" s="3" t="str">
        <f t="shared" si="23"/>
        <v/>
      </c>
    </row>
    <row r="1502" spans="13:13">
      <c r="M1502" s="3" t="str">
        <f t="shared" si="23"/>
        <v/>
      </c>
    </row>
    <row r="1503" spans="13:13">
      <c r="M1503" s="3" t="str">
        <f t="shared" si="23"/>
        <v/>
      </c>
    </row>
    <row r="1504" spans="13:13">
      <c r="M1504" s="3" t="str">
        <f t="shared" si="23"/>
        <v/>
      </c>
    </row>
    <row r="1505" spans="13:13">
      <c r="M1505" s="3" t="str">
        <f t="shared" si="23"/>
        <v/>
      </c>
    </row>
    <row r="1506" spans="13:13">
      <c r="M1506" s="3" t="str">
        <f t="shared" si="23"/>
        <v/>
      </c>
    </row>
    <row r="1507" spans="13:13">
      <c r="M1507" s="3" t="str">
        <f t="shared" si="23"/>
        <v/>
      </c>
    </row>
    <row r="1508" spans="13:13">
      <c r="M1508" s="3" t="str">
        <f t="shared" si="23"/>
        <v/>
      </c>
    </row>
    <row r="1509" spans="13:13">
      <c r="M1509" s="3" t="str">
        <f t="shared" si="23"/>
        <v/>
      </c>
    </row>
    <row r="1510" spans="13:13">
      <c r="M1510" s="3" t="str">
        <f t="shared" si="23"/>
        <v/>
      </c>
    </row>
    <row r="1511" spans="13:13">
      <c r="M1511" s="3" t="str">
        <f t="shared" si="23"/>
        <v/>
      </c>
    </row>
    <row r="1512" spans="13:13">
      <c r="M1512" s="3" t="str">
        <f t="shared" si="23"/>
        <v/>
      </c>
    </row>
    <row r="1513" spans="13:13">
      <c r="M1513" s="3" t="str">
        <f t="shared" si="23"/>
        <v/>
      </c>
    </row>
    <row r="1514" spans="13:13">
      <c r="M1514" s="3" t="str">
        <f t="shared" si="23"/>
        <v/>
      </c>
    </row>
    <row r="1515" spans="13:13">
      <c r="M1515" s="3" t="str">
        <f t="shared" si="23"/>
        <v/>
      </c>
    </row>
    <row r="1516" spans="13:13">
      <c r="M1516" s="3" t="str">
        <f t="shared" si="23"/>
        <v/>
      </c>
    </row>
    <row r="1517" spans="13:13">
      <c r="M1517" s="3" t="str">
        <f t="shared" si="23"/>
        <v/>
      </c>
    </row>
    <row r="1518" spans="13:13">
      <c r="M1518" s="3" t="str">
        <f t="shared" si="23"/>
        <v/>
      </c>
    </row>
    <row r="1519" spans="13:13">
      <c r="M1519" s="3" t="str">
        <f t="shared" si="23"/>
        <v/>
      </c>
    </row>
    <row r="1520" spans="13:13">
      <c r="M1520" s="3" t="str">
        <f t="shared" si="23"/>
        <v/>
      </c>
    </row>
    <row r="1521" spans="13:13">
      <c r="M1521" s="3" t="str">
        <f t="shared" si="23"/>
        <v/>
      </c>
    </row>
    <row r="1522" spans="13:13">
      <c r="M1522" s="3" t="str">
        <f t="shared" si="23"/>
        <v/>
      </c>
    </row>
    <row r="1523" spans="13:13">
      <c r="M1523" s="3" t="str">
        <f t="shared" si="23"/>
        <v/>
      </c>
    </row>
    <row r="1524" spans="13:13">
      <c r="M1524" s="3" t="str">
        <f t="shared" si="23"/>
        <v/>
      </c>
    </row>
    <row r="1525" spans="13:13">
      <c r="M1525" s="3" t="str">
        <f t="shared" si="23"/>
        <v/>
      </c>
    </row>
    <row r="1526" spans="13:13">
      <c r="M1526" s="3" t="str">
        <f t="shared" si="23"/>
        <v/>
      </c>
    </row>
    <row r="1527" spans="13:13">
      <c r="M1527" s="3" t="str">
        <f t="shared" si="23"/>
        <v/>
      </c>
    </row>
    <row r="1528" spans="13:13">
      <c r="M1528" s="3" t="str">
        <f t="shared" si="23"/>
        <v/>
      </c>
    </row>
    <row r="1529" spans="13:13">
      <c r="M1529" s="3" t="str">
        <f t="shared" si="23"/>
        <v/>
      </c>
    </row>
    <row r="1530" spans="13:13">
      <c r="M1530" s="3" t="str">
        <f t="shared" si="23"/>
        <v/>
      </c>
    </row>
    <row r="1531" spans="13:13">
      <c r="M1531" s="3" t="str">
        <f t="shared" si="23"/>
        <v/>
      </c>
    </row>
    <row r="1532" spans="13:13">
      <c r="M1532" s="3" t="str">
        <f t="shared" si="23"/>
        <v/>
      </c>
    </row>
    <row r="1533" spans="13:13">
      <c r="M1533" s="3" t="str">
        <f t="shared" si="23"/>
        <v/>
      </c>
    </row>
    <row r="1534" spans="13:13">
      <c r="M1534" s="3" t="str">
        <f t="shared" si="23"/>
        <v/>
      </c>
    </row>
    <row r="1535" spans="13:13">
      <c r="M1535" s="3" t="str">
        <f t="shared" si="23"/>
        <v/>
      </c>
    </row>
    <row r="1536" spans="13:13">
      <c r="M1536" s="3" t="str">
        <f t="shared" si="23"/>
        <v/>
      </c>
    </row>
    <row r="1537" spans="13:13">
      <c r="M1537" s="3" t="str">
        <f t="shared" si="23"/>
        <v/>
      </c>
    </row>
    <row r="1538" spans="13:13">
      <c r="M1538" s="3" t="str">
        <f t="shared" si="23"/>
        <v/>
      </c>
    </row>
    <row r="1539" spans="13:13">
      <c r="M1539" s="3" t="str">
        <f t="shared" si="23"/>
        <v/>
      </c>
    </row>
    <row r="1540" spans="13:13">
      <c r="M1540" s="3" t="str">
        <f t="shared" si="23"/>
        <v/>
      </c>
    </row>
    <row r="1541" spans="13:13">
      <c r="M1541" s="3" t="str">
        <f t="shared" ref="M1541:M1604" si="24">IF(A1541="","", WEEKNUM(A1541, 2))</f>
        <v/>
      </c>
    </row>
    <row r="1542" spans="13:13">
      <c r="M1542" s="3" t="str">
        <f t="shared" si="24"/>
        <v/>
      </c>
    </row>
    <row r="1543" spans="13:13">
      <c r="M1543" s="3" t="str">
        <f t="shared" si="24"/>
        <v/>
      </c>
    </row>
    <row r="1544" spans="13:13">
      <c r="M1544" s="3" t="str">
        <f t="shared" si="24"/>
        <v/>
      </c>
    </row>
    <row r="1545" spans="13:13">
      <c r="M1545" s="3" t="str">
        <f t="shared" si="24"/>
        <v/>
      </c>
    </row>
    <row r="1546" spans="13:13">
      <c r="M1546" s="3" t="str">
        <f t="shared" si="24"/>
        <v/>
      </c>
    </row>
    <row r="1547" spans="13:13">
      <c r="M1547" s="3" t="str">
        <f t="shared" si="24"/>
        <v/>
      </c>
    </row>
    <row r="1548" spans="13:13">
      <c r="M1548" s="3" t="str">
        <f t="shared" si="24"/>
        <v/>
      </c>
    </row>
    <row r="1549" spans="13:13">
      <c r="M1549" s="3" t="str">
        <f t="shared" si="24"/>
        <v/>
      </c>
    </row>
    <row r="1550" spans="13:13">
      <c r="M1550" s="3" t="str">
        <f t="shared" si="24"/>
        <v/>
      </c>
    </row>
    <row r="1551" spans="13:13">
      <c r="M1551" s="3" t="str">
        <f t="shared" si="24"/>
        <v/>
      </c>
    </row>
    <row r="1552" spans="13:13">
      <c r="M1552" s="3" t="str">
        <f t="shared" si="24"/>
        <v/>
      </c>
    </row>
    <row r="1553" spans="13:13">
      <c r="M1553" s="3" t="str">
        <f t="shared" si="24"/>
        <v/>
      </c>
    </row>
    <row r="1554" spans="13:13">
      <c r="M1554" s="3" t="str">
        <f t="shared" si="24"/>
        <v/>
      </c>
    </row>
    <row r="1555" spans="13:13">
      <c r="M1555" s="3" t="str">
        <f t="shared" si="24"/>
        <v/>
      </c>
    </row>
    <row r="1556" spans="13:13">
      <c r="M1556" s="3" t="str">
        <f t="shared" si="24"/>
        <v/>
      </c>
    </row>
    <row r="1557" spans="13:13">
      <c r="M1557" s="3" t="str">
        <f t="shared" si="24"/>
        <v/>
      </c>
    </row>
    <row r="1558" spans="13:13">
      <c r="M1558" s="3" t="str">
        <f t="shared" si="24"/>
        <v/>
      </c>
    </row>
    <row r="1559" spans="13:13">
      <c r="M1559" s="3" t="str">
        <f t="shared" si="24"/>
        <v/>
      </c>
    </row>
    <row r="1560" spans="13:13">
      <c r="M1560" s="3" t="str">
        <f t="shared" si="24"/>
        <v/>
      </c>
    </row>
    <row r="1561" spans="13:13">
      <c r="M1561" s="3" t="str">
        <f t="shared" si="24"/>
        <v/>
      </c>
    </row>
    <row r="1562" spans="13:13">
      <c r="M1562" s="3" t="str">
        <f t="shared" si="24"/>
        <v/>
      </c>
    </row>
    <row r="1563" spans="13:13">
      <c r="M1563" s="3" t="str">
        <f t="shared" si="24"/>
        <v/>
      </c>
    </row>
    <row r="1564" spans="13:13">
      <c r="M1564" s="3" t="str">
        <f t="shared" si="24"/>
        <v/>
      </c>
    </row>
    <row r="1565" spans="13:13">
      <c r="M1565" s="3" t="str">
        <f t="shared" si="24"/>
        <v/>
      </c>
    </row>
    <row r="1566" spans="13:13">
      <c r="M1566" s="3" t="str">
        <f t="shared" si="24"/>
        <v/>
      </c>
    </row>
    <row r="1567" spans="13:13">
      <c r="M1567" s="3" t="str">
        <f t="shared" si="24"/>
        <v/>
      </c>
    </row>
    <row r="1568" spans="13:13">
      <c r="M1568" s="3" t="str">
        <f t="shared" si="24"/>
        <v/>
      </c>
    </row>
    <row r="1569" spans="13:13">
      <c r="M1569" s="3" t="str">
        <f t="shared" si="24"/>
        <v/>
      </c>
    </row>
    <row r="1570" spans="13:13">
      <c r="M1570" s="3" t="str">
        <f t="shared" si="24"/>
        <v/>
      </c>
    </row>
    <row r="1571" spans="13:13">
      <c r="M1571" s="3" t="str">
        <f t="shared" si="24"/>
        <v/>
      </c>
    </row>
    <row r="1572" spans="13:13">
      <c r="M1572" s="3" t="str">
        <f t="shared" si="24"/>
        <v/>
      </c>
    </row>
    <row r="1573" spans="13:13">
      <c r="M1573" s="3" t="str">
        <f t="shared" si="24"/>
        <v/>
      </c>
    </row>
    <row r="1574" spans="13:13">
      <c r="M1574" s="3" t="str">
        <f t="shared" si="24"/>
        <v/>
      </c>
    </row>
    <row r="1575" spans="13:13">
      <c r="M1575" s="3" t="str">
        <f t="shared" si="24"/>
        <v/>
      </c>
    </row>
    <row r="1576" spans="13:13">
      <c r="M1576" s="3" t="str">
        <f t="shared" si="24"/>
        <v/>
      </c>
    </row>
    <row r="1577" spans="13:13">
      <c r="M1577" s="3" t="str">
        <f t="shared" si="24"/>
        <v/>
      </c>
    </row>
    <row r="1578" spans="13:13">
      <c r="M1578" s="3" t="str">
        <f t="shared" si="24"/>
        <v/>
      </c>
    </row>
    <row r="1579" spans="13:13">
      <c r="M1579" s="3" t="str">
        <f t="shared" si="24"/>
        <v/>
      </c>
    </row>
    <row r="1580" spans="13:13">
      <c r="M1580" s="3" t="str">
        <f t="shared" si="24"/>
        <v/>
      </c>
    </row>
    <row r="1581" spans="13:13">
      <c r="M1581" s="3" t="str">
        <f t="shared" si="24"/>
        <v/>
      </c>
    </row>
    <row r="1582" spans="13:13">
      <c r="M1582" s="3" t="str">
        <f t="shared" si="24"/>
        <v/>
      </c>
    </row>
    <row r="1583" spans="13:13">
      <c r="M1583" s="3" t="str">
        <f t="shared" si="24"/>
        <v/>
      </c>
    </row>
    <row r="1584" spans="13:13">
      <c r="M1584" s="3" t="str">
        <f t="shared" si="24"/>
        <v/>
      </c>
    </row>
    <row r="1585" spans="13:13">
      <c r="M1585" s="3" t="str">
        <f t="shared" si="24"/>
        <v/>
      </c>
    </row>
    <row r="1586" spans="13:13">
      <c r="M1586" s="3" t="str">
        <f t="shared" si="24"/>
        <v/>
      </c>
    </row>
    <row r="1587" spans="13:13">
      <c r="M1587" s="3" t="str">
        <f t="shared" si="24"/>
        <v/>
      </c>
    </row>
    <row r="1588" spans="13:13">
      <c r="M1588" s="3" t="str">
        <f t="shared" si="24"/>
        <v/>
      </c>
    </row>
    <row r="1589" spans="13:13">
      <c r="M1589" s="3" t="str">
        <f t="shared" si="24"/>
        <v/>
      </c>
    </row>
    <row r="1590" spans="13:13">
      <c r="M1590" s="3" t="str">
        <f t="shared" si="24"/>
        <v/>
      </c>
    </row>
    <row r="1591" spans="13:13">
      <c r="M1591" s="3" t="str">
        <f t="shared" si="24"/>
        <v/>
      </c>
    </row>
    <row r="1592" spans="13:13">
      <c r="M1592" s="3" t="str">
        <f t="shared" si="24"/>
        <v/>
      </c>
    </row>
    <row r="1593" spans="13:13">
      <c r="M1593" s="3" t="str">
        <f t="shared" si="24"/>
        <v/>
      </c>
    </row>
    <row r="1594" spans="13:13">
      <c r="M1594" s="3" t="str">
        <f t="shared" si="24"/>
        <v/>
      </c>
    </row>
    <row r="1595" spans="13:13">
      <c r="M1595" s="3" t="str">
        <f t="shared" si="24"/>
        <v/>
      </c>
    </row>
    <row r="1596" spans="13:13">
      <c r="M1596" s="3" t="str">
        <f t="shared" si="24"/>
        <v/>
      </c>
    </row>
    <row r="1597" spans="13:13">
      <c r="M1597" s="3" t="str">
        <f t="shared" si="24"/>
        <v/>
      </c>
    </row>
    <row r="1598" spans="13:13">
      <c r="M1598" s="3" t="str">
        <f t="shared" si="24"/>
        <v/>
      </c>
    </row>
    <row r="1599" spans="13:13">
      <c r="M1599" s="3" t="str">
        <f t="shared" si="24"/>
        <v/>
      </c>
    </row>
    <row r="1600" spans="13:13">
      <c r="M1600" s="3" t="str">
        <f t="shared" si="24"/>
        <v/>
      </c>
    </row>
    <row r="1601" spans="13:13">
      <c r="M1601" s="3" t="str">
        <f t="shared" si="24"/>
        <v/>
      </c>
    </row>
    <row r="1602" spans="13:13">
      <c r="M1602" s="3" t="str">
        <f t="shared" si="24"/>
        <v/>
      </c>
    </row>
    <row r="1603" spans="13:13">
      <c r="M1603" s="3" t="str">
        <f t="shared" si="24"/>
        <v/>
      </c>
    </row>
    <row r="1604" spans="13:13">
      <c r="M1604" s="3" t="str">
        <f t="shared" si="24"/>
        <v/>
      </c>
    </row>
    <row r="1605" spans="13:13">
      <c r="M1605" s="3" t="str">
        <f t="shared" ref="M1605:M1668" si="25">IF(A1605="","", WEEKNUM(A1605, 2))</f>
        <v/>
      </c>
    </row>
    <row r="1606" spans="13:13">
      <c r="M1606" s="3" t="str">
        <f t="shared" si="25"/>
        <v/>
      </c>
    </row>
    <row r="1607" spans="13:13">
      <c r="M1607" s="3" t="str">
        <f t="shared" si="25"/>
        <v/>
      </c>
    </row>
    <row r="1608" spans="13:13">
      <c r="M1608" s="3" t="str">
        <f t="shared" si="25"/>
        <v/>
      </c>
    </row>
    <row r="1609" spans="13:13">
      <c r="M1609" s="3" t="str">
        <f t="shared" si="25"/>
        <v/>
      </c>
    </row>
    <row r="1610" spans="13:13">
      <c r="M1610" s="3" t="str">
        <f t="shared" si="25"/>
        <v/>
      </c>
    </row>
    <row r="1611" spans="13:13">
      <c r="M1611" s="3" t="str">
        <f t="shared" si="25"/>
        <v/>
      </c>
    </row>
    <row r="1612" spans="13:13">
      <c r="M1612" s="3" t="str">
        <f t="shared" si="25"/>
        <v/>
      </c>
    </row>
    <row r="1613" spans="13:13">
      <c r="M1613" s="3" t="str">
        <f t="shared" si="25"/>
        <v/>
      </c>
    </row>
    <row r="1614" spans="13:13">
      <c r="M1614" s="3" t="str">
        <f t="shared" si="25"/>
        <v/>
      </c>
    </row>
    <row r="1615" spans="13:13">
      <c r="M1615" s="3" t="str">
        <f t="shared" si="25"/>
        <v/>
      </c>
    </row>
    <row r="1616" spans="13:13">
      <c r="M1616" s="3" t="str">
        <f t="shared" si="25"/>
        <v/>
      </c>
    </row>
    <row r="1617" spans="13:13">
      <c r="M1617" s="3" t="str">
        <f t="shared" si="25"/>
        <v/>
      </c>
    </row>
    <row r="1618" spans="13:13">
      <c r="M1618" s="3" t="str">
        <f t="shared" si="25"/>
        <v/>
      </c>
    </row>
    <row r="1619" spans="13:13">
      <c r="M1619" s="3" t="str">
        <f t="shared" si="25"/>
        <v/>
      </c>
    </row>
    <row r="1620" spans="13:13">
      <c r="M1620" s="3" t="str">
        <f t="shared" si="25"/>
        <v/>
      </c>
    </row>
    <row r="1621" spans="13:13">
      <c r="M1621" s="3" t="str">
        <f t="shared" si="25"/>
        <v/>
      </c>
    </row>
    <row r="1622" spans="13:13">
      <c r="M1622" s="3" t="str">
        <f t="shared" si="25"/>
        <v/>
      </c>
    </row>
    <row r="1623" spans="13:13">
      <c r="M1623" s="3" t="str">
        <f t="shared" si="25"/>
        <v/>
      </c>
    </row>
    <row r="1624" spans="13:13">
      <c r="M1624" s="3" t="str">
        <f t="shared" si="25"/>
        <v/>
      </c>
    </row>
    <row r="1625" spans="13:13">
      <c r="M1625" s="3" t="str">
        <f t="shared" si="25"/>
        <v/>
      </c>
    </row>
    <row r="1626" spans="13:13">
      <c r="M1626" s="3" t="str">
        <f t="shared" si="25"/>
        <v/>
      </c>
    </row>
    <row r="1627" spans="13:13">
      <c r="M1627" s="3" t="str">
        <f t="shared" si="25"/>
        <v/>
      </c>
    </row>
    <row r="1628" spans="13:13">
      <c r="M1628" s="3" t="str">
        <f t="shared" si="25"/>
        <v/>
      </c>
    </row>
    <row r="1629" spans="13:13">
      <c r="M1629" s="3" t="str">
        <f t="shared" si="25"/>
        <v/>
      </c>
    </row>
    <row r="1630" spans="13:13">
      <c r="M1630" s="3" t="str">
        <f t="shared" si="25"/>
        <v/>
      </c>
    </row>
    <row r="1631" spans="13:13">
      <c r="M1631" s="3" t="str">
        <f t="shared" si="25"/>
        <v/>
      </c>
    </row>
    <row r="1632" spans="13:13">
      <c r="M1632" s="3" t="str">
        <f t="shared" si="25"/>
        <v/>
      </c>
    </row>
    <row r="1633" spans="13:13">
      <c r="M1633" s="3" t="str">
        <f t="shared" si="25"/>
        <v/>
      </c>
    </row>
    <row r="1634" spans="13:13">
      <c r="M1634" s="3" t="str">
        <f t="shared" si="25"/>
        <v/>
      </c>
    </row>
    <row r="1635" spans="13:13">
      <c r="M1635" s="3" t="str">
        <f t="shared" si="25"/>
        <v/>
      </c>
    </row>
    <row r="1636" spans="13:13">
      <c r="M1636" s="3" t="str">
        <f t="shared" si="25"/>
        <v/>
      </c>
    </row>
    <row r="1637" spans="13:13">
      <c r="M1637" s="3" t="str">
        <f t="shared" si="25"/>
        <v/>
      </c>
    </row>
    <row r="1638" spans="13:13">
      <c r="M1638" s="3" t="str">
        <f t="shared" si="25"/>
        <v/>
      </c>
    </row>
    <row r="1639" spans="13:13">
      <c r="M1639" s="3" t="str">
        <f t="shared" si="25"/>
        <v/>
      </c>
    </row>
    <row r="1640" spans="13:13">
      <c r="M1640" s="3" t="str">
        <f t="shared" si="25"/>
        <v/>
      </c>
    </row>
    <row r="1641" spans="13:13">
      <c r="M1641" s="3" t="str">
        <f t="shared" si="25"/>
        <v/>
      </c>
    </row>
    <row r="1642" spans="13:13">
      <c r="M1642" s="3" t="str">
        <f t="shared" si="25"/>
        <v/>
      </c>
    </row>
    <row r="1643" spans="13:13">
      <c r="M1643" s="3" t="str">
        <f t="shared" si="25"/>
        <v/>
      </c>
    </row>
    <row r="1644" spans="13:13">
      <c r="M1644" s="3" t="str">
        <f t="shared" si="25"/>
        <v/>
      </c>
    </row>
    <row r="1645" spans="13:13">
      <c r="M1645" s="3" t="str">
        <f t="shared" si="25"/>
        <v/>
      </c>
    </row>
    <row r="1646" spans="13:13">
      <c r="M1646" s="3" t="str">
        <f t="shared" si="25"/>
        <v/>
      </c>
    </row>
    <row r="1647" spans="13:13">
      <c r="M1647" s="3" t="str">
        <f t="shared" si="25"/>
        <v/>
      </c>
    </row>
    <row r="1648" spans="13:13">
      <c r="M1648" s="3" t="str">
        <f t="shared" si="25"/>
        <v/>
      </c>
    </row>
    <row r="1649" spans="13:13">
      <c r="M1649" s="3" t="str">
        <f t="shared" si="25"/>
        <v/>
      </c>
    </row>
    <row r="1650" spans="13:13">
      <c r="M1650" s="3" t="str">
        <f t="shared" si="25"/>
        <v/>
      </c>
    </row>
    <row r="1651" spans="13:13">
      <c r="M1651" s="3" t="str">
        <f t="shared" si="25"/>
        <v/>
      </c>
    </row>
    <row r="1652" spans="13:13">
      <c r="M1652" s="3" t="str">
        <f t="shared" si="25"/>
        <v/>
      </c>
    </row>
    <row r="1653" spans="13:13">
      <c r="M1653" s="3" t="str">
        <f t="shared" si="25"/>
        <v/>
      </c>
    </row>
    <row r="1654" spans="13:13">
      <c r="M1654" s="3" t="str">
        <f t="shared" si="25"/>
        <v/>
      </c>
    </row>
    <row r="1655" spans="13:13">
      <c r="M1655" s="3" t="str">
        <f t="shared" si="25"/>
        <v/>
      </c>
    </row>
    <row r="1656" spans="13:13">
      <c r="M1656" s="3" t="str">
        <f t="shared" si="25"/>
        <v/>
      </c>
    </row>
    <row r="1657" spans="13:13">
      <c r="M1657" s="3" t="str">
        <f t="shared" si="25"/>
        <v/>
      </c>
    </row>
    <row r="1658" spans="13:13">
      <c r="M1658" s="3" t="str">
        <f t="shared" si="25"/>
        <v/>
      </c>
    </row>
    <row r="1659" spans="13:13">
      <c r="M1659" s="3" t="str">
        <f t="shared" si="25"/>
        <v/>
      </c>
    </row>
    <row r="1660" spans="13:13">
      <c r="M1660" s="3" t="str">
        <f t="shared" si="25"/>
        <v/>
      </c>
    </row>
    <row r="1661" spans="13:13">
      <c r="M1661" s="3" t="str">
        <f t="shared" si="25"/>
        <v/>
      </c>
    </row>
    <row r="1662" spans="13:13">
      <c r="M1662" s="3" t="str">
        <f t="shared" si="25"/>
        <v/>
      </c>
    </row>
    <row r="1663" spans="13:13">
      <c r="M1663" s="3" t="str">
        <f t="shared" si="25"/>
        <v/>
      </c>
    </row>
    <row r="1664" spans="13:13">
      <c r="M1664" s="3" t="str">
        <f t="shared" si="25"/>
        <v/>
      </c>
    </row>
    <row r="1665" spans="13:13">
      <c r="M1665" s="3" t="str">
        <f t="shared" si="25"/>
        <v/>
      </c>
    </row>
    <row r="1666" spans="13:13">
      <c r="M1666" s="3" t="str">
        <f t="shared" si="25"/>
        <v/>
      </c>
    </row>
    <row r="1667" spans="13:13">
      <c r="M1667" s="3" t="str">
        <f t="shared" si="25"/>
        <v/>
      </c>
    </row>
    <row r="1668" spans="13:13">
      <c r="M1668" s="3" t="str">
        <f t="shared" si="25"/>
        <v/>
      </c>
    </row>
    <row r="1669" spans="13:13">
      <c r="M1669" s="3" t="str">
        <f t="shared" ref="M1669:M1732" si="26">IF(A1669="","", WEEKNUM(A1669, 2))</f>
        <v/>
      </c>
    </row>
    <row r="1670" spans="13:13">
      <c r="M1670" s="3" t="str">
        <f t="shared" si="26"/>
        <v/>
      </c>
    </row>
    <row r="1671" spans="13:13">
      <c r="M1671" s="3" t="str">
        <f t="shared" si="26"/>
        <v/>
      </c>
    </row>
    <row r="1672" spans="13:13">
      <c r="M1672" s="3" t="str">
        <f t="shared" si="26"/>
        <v/>
      </c>
    </row>
    <row r="1673" spans="13:13">
      <c r="M1673" s="3" t="str">
        <f t="shared" si="26"/>
        <v/>
      </c>
    </row>
    <row r="1674" spans="13:13">
      <c r="M1674" s="3" t="str">
        <f t="shared" si="26"/>
        <v/>
      </c>
    </row>
    <row r="1675" spans="13:13">
      <c r="M1675" s="3" t="str">
        <f t="shared" si="26"/>
        <v/>
      </c>
    </row>
    <row r="1676" spans="13:13">
      <c r="M1676" s="3" t="str">
        <f t="shared" si="26"/>
        <v/>
      </c>
    </row>
    <row r="1677" spans="13:13">
      <c r="M1677" s="3" t="str">
        <f t="shared" si="26"/>
        <v/>
      </c>
    </row>
    <row r="1678" spans="13:13">
      <c r="M1678" s="3" t="str">
        <f t="shared" si="26"/>
        <v/>
      </c>
    </row>
    <row r="1679" spans="13:13">
      <c r="M1679" s="3" t="str">
        <f t="shared" si="26"/>
        <v/>
      </c>
    </row>
    <row r="1680" spans="13:13">
      <c r="M1680" s="3" t="str">
        <f t="shared" si="26"/>
        <v/>
      </c>
    </row>
    <row r="1681" spans="13:13">
      <c r="M1681" s="3" t="str">
        <f t="shared" si="26"/>
        <v/>
      </c>
    </row>
    <row r="1682" spans="13:13">
      <c r="M1682" s="3" t="str">
        <f t="shared" si="26"/>
        <v/>
      </c>
    </row>
    <row r="1683" spans="13:13">
      <c r="M1683" s="3" t="str">
        <f t="shared" si="26"/>
        <v/>
      </c>
    </row>
    <row r="1684" spans="13:13">
      <c r="M1684" s="3" t="str">
        <f t="shared" si="26"/>
        <v/>
      </c>
    </row>
    <row r="1685" spans="13:13">
      <c r="M1685" s="3" t="str">
        <f t="shared" si="26"/>
        <v/>
      </c>
    </row>
    <row r="1686" spans="13:13">
      <c r="M1686" s="3" t="str">
        <f t="shared" si="26"/>
        <v/>
      </c>
    </row>
    <row r="1687" spans="13:13">
      <c r="M1687" s="3" t="str">
        <f t="shared" si="26"/>
        <v/>
      </c>
    </row>
    <row r="1688" spans="13:13">
      <c r="M1688" s="3" t="str">
        <f t="shared" si="26"/>
        <v/>
      </c>
    </row>
    <row r="1689" spans="13:13">
      <c r="M1689" s="3" t="str">
        <f t="shared" si="26"/>
        <v/>
      </c>
    </row>
    <row r="1690" spans="13:13">
      <c r="M1690" s="3" t="str">
        <f t="shared" si="26"/>
        <v/>
      </c>
    </row>
    <row r="1691" spans="13:13">
      <c r="M1691" s="3" t="str">
        <f t="shared" si="26"/>
        <v/>
      </c>
    </row>
    <row r="1692" spans="13:13">
      <c r="M1692" s="3" t="str">
        <f t="shared" si="26"/>
        <v/>
      </c>
    </row>
    <row r="1693" spans="13:13">
      <c r="M1693" s="3" t="str">
        <f t="shared" si="26"/>
        <v/>
      </c>
    </row>
    <row r="1694" spans="13:13">
      <c r="M1694" s="3" t="str">
        <f t="shared" si="26"/>
        <v/>
      </c>
    </row>
    <row r="1695" spans="13:13">
      <c r="M1695" s="3" t="str">
        <f t="shared" si="26"/>
        <v/>
      </c>
    </row>
    <row r="1696" spans="13:13">
      <c r="M1696" s="3" t="str">
        <f t="shared" si="26"/>
        <v/>
      </c>
    </row>
    <row r="1697" spans="13:13">
      <c r="M1697" s="3" t="str">
        <f t="shared" si="26"/>
        <v/>
      </c>
    </row>
    <row r="1698" spans="13:13">
      <c r="M1698" s="3" t="str">
        <f t="shared" si="26"/>
        <v/>
      </c>
    </row>
    <row r="1699" spans="13:13">
      <c r="M1699" s="3" t="str">
        <f t="shared" si="26"/>
        <v/>
      </c>
    </row>
    <row r="1700" spans="13:13">
      <c r="M1700" s="3" t="str">
        <f t="shared" si="26"/>
        <v/>
      </c>
    </row>
    <row r="1701" spans="13:13">
      <c r="M1701" s="3" t="str">
        <f t="shared" si="26"/>
        <v/>
      </c>
    </row>
    <row r="1702" spans="13:13">
      <c r="M1702" s="3" t="str">
        <f t="shared" si="26"/>
        <v/>
      </c>
    </row>
    <row r="1703" spans="13:13">
      <c r="M1703" s="3" t="str">
        <f t="shared" si="26"/>
        <v/>
      </c>
    </row>
    <row r="1704" spans="13:13">
      <c r="M1704" s="3" t="str">
        <f t="shared" si="26"/>
        <v/>
      </c>
    </row>
    <row r="1705" spans="13:13">
      <c r="M1705" s="3" t="str">
        <f t="shared" si="26"/>
        <v/>
      </c>
    </row>
    <row r="1706" spans="13:13">
      <c r="M1706" s="3" t="str">
        <f t="shared" si="26"/>
        <v/>
      </c>
    </row>
    <row r="1707" spans="13:13">
      <c r="M1707" s="3" t="str">
        <f t="shared" si="26"/>
        <v/>
      </c>
    </row>
    <row r="1708" spans="13:13">
      <c r="M1708" s="3" t="str">
        <f t="shared" si="26"/>
        <v/>
      </c>
    </row>
    <row r="1709" spans="13:13">
      <c r="M1709" s="3" t="str">
        <f t="shared" si="26"/>
        <v/>
      </c>
    </row>
    <row r="1710" spans="13:13">
      <c r="M1710" s="3" t="str">
        <f t="shared" si="26"/>
        <v/>
      </c>
    </row>
    <row r="1711" spans="13:13">
      <c r="M1711" s="3" t="str">
        <f t="shared" si="26"/>
        <v/>
      </c>
    </row>
    <row r="1712" spans="13:13">
      <c r="M1712" s="3" t="str">
        <f t="shared" si="26"/>
        <v/>
      </c>
    </row>
    <row r="1713" spans="13:13">
      <c r="M1713" s="3" t="str">
        <f t="shared" si="26"/>
        <v/>
      </c>
    </row>
    <row r="1714" spans="13:13">
      <c r="M1714" s="3" t="str">
        <f t="shared" si="26"/>
        <v/>
      </c>
    </row>
    <row r="1715" spans="13:13">
      <c r="M1715" s="3" t="str">
        <f t="shared" si="26"/>
        <v/>
      </c>
    </row>
    <row r="1716" spans="13:13">
      <c r="M1716" s="3" t="str">
        <f t="shared" si="26"/>
        <v/>
      </c>
    </row>
    <row r="1717" spans="13:13">
      <c r="M1717" s="3" t="str">
        <f t="shared" si="26"/>
        <v/>
      </c>
    </row>
    <row r="1718" spans="13:13">
      <c r="M1718" s="3" t="str">
        <f t="shared" si="26"/>
        <v/>
      </c>
    </row>
    <row r="1719" spans="13:13">
      <c r="M1719" s="3" t="str">
        <f t="shared" si="26"/>
        <v/>
      </c>
    </row>
    <row r="1720" spans="13:13">
      <c r="M1720" s="3" t="str">
        <f t="shared" si="26"/>
        <v/>
      </c>
    </row>
    <row r="1721" spans="13:13">
      <c r="M1721" s="3" t="str">
        <f t="shared" si="26"/>
        <v/>
      </c>
    </row>
    <row r="1722" spans="13:13">
      <c r="M1722" s="3" t="str">
        <f t="shared" si="26"/>
        <v/>
      </c>
    </row>
    <row r="1723" spans="13:13">
      <c r="M1723" s="3" t="str">
        <f t="shared" si="26"/>
        <v/>
      </c>
    </row>
    <row r="1724" spans="13:13">
      <c r="M1724" s="3" t="str">
        <f t="shared" si="26"/>
        <v/>
      </c>
    </row>
    <row r="1725" spans="13:13">
      <c r="M1725" s="3" t="str">
        <f t="shared" si="26"/>
        <v/>
      </c>
    </row>
    <row r="1726" spans="13:13">
      <c r="M1726" s="3" t="str">
        <f t="shared" si="26"/>
        <v/>
      </c>
    </row>
    <row r="1727" spans="13:13">
      <c r="M1727" s="3" t="str">
        <f t="shared" si="26"/>
        <v/>
      </c>
    </row>
    <row r="1728" spans="13:13">
      <c r="M1728" s="3" t="str">
        <f t="shared" si="26"/>
        <v/>
      </c>
    </row>
    <row r="1729" spans="13:13">
      <c r="M1729" s="3" t="str">
        <f t="shared" si="26"/>
        <v/>
      </c>
    </row>
    <row r="1730" spans="13:13">
      <c r="M1730" s="3" t="str">
        <f t="shared" si="26"/>
        <v/>
      </c>
    </row>
    <row r="1731" spans="13:13">
      <c r="M1731" s="3" t="str">
        <f t="shared" si="26"/>
        <v/>
      </c>
    </row>
    <row r="1732" spans="13:13">
      <c r="M1732" s="3" t="str">
        <f t="shared" si="26"/>
        <v/>
      </c>
    </row>
    <row r="1733" spans="13:13">
      <c r="M1733" s="3" t="str">
        <f t="shared" ref="M1733:M1796" si="27">IF(A1733="","", WEEKNUM(A1733, 2))</f>
        <v/>
      </c>
    </row>
    <row r="1734" spans="13:13">
      <c r="M1734" s="3" t="str">
        <f t="shared" si="27"/>
        <v/>
      </c>
    </row>
    <row r="1735" spans="13:13">
      <c r="M1735" s="3" t="str">
        <f t="shared" si="27"/>
        <v/>
      </c>
    </row>
    <row r="1736" spans="13:13">
      <c r="M1736" s="3" t="str">
        <f t="shared" si="27"/>
        <v/>
      </c>
    </row>
    <row r="1737" spans="13:13">
      <c r="M1737" s="3" t="str">
        <f t="shared" si="27"/>
        <v/>
      </c>
    </row>
    <row r="1738" spans="13:13">
      <c r="M1738" s="3" t="str">
        <f t="shared" si="27"/>
        <v/>
      </c>
    </row>
    <row r="1739" spans="13:13">
      <c r="M1739" s="3" t="str">
        <f t="shared" si="27"/>
        <v/>
      </c>
    </row>
    <row r="1740" spans="13:13">
      <c r="M1740" s="3" t="str">
        <f t="shared" si="27"/>
        <v/>
      </c>
    </row>
    <row r="1741" spans="13:13">
      <c r="M1741" s="3" t="str">
        <f t="shared" si="27"/>
        <v/>
      </c>
    </row>
    <row r="1742" spans="13:13">
      <c r="M1742" s="3" t="str">
        <f t="shared" si="27"/>
        <v/>
      </c>
    </row>
    <row r="1743" spans="13:13">
      <c r="M1743" s="3" t="str">
        <f t="shared" si="27"/>
        <v/>
      </c>
    </row>
    <row r="1744" spans="13:13">
      <c r="M1744" s="3" t="str">
        <f t="shared" si="27"/>
        <v/>
      </c>
    </row>
    <row r="1745" spans="13:13">
      <c r="M1745" s="3" t="str">
        <f t="shared" si="27"/>
        <v/>
      </c>
    </row>
    <row r="1746" spans="13:13">
      <c r="M1746" s="3" t="str">
        <f t="shared" si="27"/>
        <v/>
      </c>
    </row>
    <row r="1747" spans="13:13">
      <c r="M1747" s="3" t="str">
        <f t="shared" si="27"/>
        <v/>
      </c>
    </row>
    <row r="1748" spans="13:13">
      <c r="M1748" s="3" t="str">
        <f t="shared" si="27"/>
        <v/>
      </c>
    </row>
    <row r="1749" spans="13:13">
      <c r="M1749" s="3" t="str">
        <f t="shared" si="27"/>
        <v/>
      </c>
    </row>
    <row r="1750" spans="13:13">
      <c r="M1750" s="3" t="str">
        <f t="shared" si="27"/>
        <v/>
      </c>
    </row>
    <row r="1751" spans="13:13">
      <c r="M1751" s="3" t="str">
        <f t="shared" si="27"/>
        <v/>
      </c>
    </row>
    <row r="1752" spans="13:13">
      <c r="M1752" s="3" t="str">
        <f t="shared" si="27"/>
        <v/>
      </c>
    </row>
    <row r="1753" spans="13:13">
      <c r="M1753" s="3" t="str">
        <f t="shared" si="27"/>
        <v/>
      </c>
    </row>
    <row r="1754" spans="13:13">
      <c r="M1754" s="3" t="str">
        <f t="shared" si="27"/>
        <v/>
      </c>
    </row>
    <row r="1755" spans="13:13">
      <c r="M1755" s="3" t="str">
        <f t="shared" si="27"/>
        <v/>
      </c>
    </row>
    <row r="1756" spans="13:13">
      <c r="M1756" s="3" t="str">
        <f t="shared" si="27"/>
        <v/>
      </c>
    </row>
    <row r="1757" spans="13:13">
      <c r="M1757" s="3" t="str">
        <f t="shared" si="27"/>
        <v/>
      </c>
    </row>
    <row r="1758" spans="13:13">
      <c r="M1758" s="3" t="str">
        <f t="shared" si="27"/>
        <v/>
      </c>
    </row>
    <row r="1759" spans="13:13">
      <c r="M1759" s="3" t="str">
        <f t="shared" si="27"/>
        <v/>
      </c>
    </row>
    <row r="1760" spans="13:13">
      <c r="M1760" s="3" t="str">
        <f t="shared" si="27"/>
        <v/>
      </c>
    </row>
    <row r="1761" spans="13:13">
      <c r="M1761" s="3" t="str">
        <f t="shared" si="27"/>
        <v/>
      </c>
    </row>
    <row r="1762" spans="13:13">
      <c r="M1762" s="3" t="str">
        <f t="shared" si="27"/>
        <v/>
      </c>
    </row>
    <row r="1763" spans="13:13">
      <c r="M1763" s="3" t="str">
        <f t="shared" si="27"/>
        <v/>
      </c>
    </row>
    <row r="1764" spans="13:13">
      <c r="M1764" s="3" t="str">
        <f t="shared" si="27"/>
        <v/>
      </c>
    </row>
    <row r="1765" spans="13:13">
      <c r="M1765" s="3" t="str">
        <f t="shared" si="27"/>
        <v/>
      </c>
    </row>
    <row r="1766" spans="13:13">
      <c r="M1766" s="3" t="str">
        <f t="shared" si="27"/>
        <v/>
      </c>
    </row>
    <row r="1767" spans="13:13">
      <c r="M1767" s="3" t="str">
        <f t="shared" si="27"/>
        <v/>
      </c>
    </row>
    <row r="1768" spans="13:13">
      <c r="M1768" s="3" t="str">
        <f t="shared" si="27"/>
        <v/>
      </c>
    </row>
    <row r="1769" spans="13:13">
      <c r="M1769" s="3" t="str">
        <f t="shared" si="27"/>
        <v/>
      </c>
    </row>
    <row r="1770" spans="13:13">
      <c r="M1770" s="3" t="str">
        <f t="shared" si="27"/>
        <v/>
      </c>
    </row>
    <row r="1771" spans="13:13">
      <c r="M1771" s="3" t="str">
        <f t="shared" si="27"/>
        <v/>
      </c>
    </row>
    <row r="1772" spans="13:13">
      <c r="M1772" s="3" t="str">
        <f t="shared" si="27"/>
        <v/>
      </c>
    </row>
    <row r="1773" spans="13:13">
      <c r="M1773" s="3" t="str">
        <f t="shared" si="27"/>
        <v/>
      </c>
    </row>
    <row r="1774" spans="13:13">
      <c r="M1774" s="3" t="str">
        <f t="shared" si="27"/>
        <v/>
      </c>
    </row>
    <row r="1775" spans="13:13">
      <c r="M1775" s="3" t="str">
        <f t="shared" si="27"/>
        <v/>
      </c>
    </row>
    <row r="1776" spans="13:13">
      <c r="M1776" s="3" t="str">
        <f t="shared" si="27"/>
        <v/>
      </c>
    </row>
    <row r="1777" spans="13:13">
      <c r="M1777" s="3" t="str">
        <f t="shared" si="27"/>
        <v/>
      </c>
    </row>
    <row r="1778" spans="13:13">
      <c r="M1778" s="3" t="str">
        <f t="shared" si="27"/>
        <v/>
      </c>
    </row>
    <row r="1779" spans="13:13">
      <c r="M1779" s="3" t="str">
        <f t="shared" si="27"/>
        <v/>
      </c>
    </row>
    <row r="1780" spans="13:13">
      <c r="M1780" s="3" t="str">
        <f t="shared" si="27"/>
        <v/>
      </c>
    </row>
    <row r="1781" spans="13:13">
      <c r="M1781" s="3" t="str">
        <f t="shared" si="27"/>
        <v/>
      </c>
    </row>
    <row r="1782" spans="13:13">
      <c r="M1782" s="3" t="str">
        <f t="shared" si="27"/>
        <v/>
      </c>
    </row>
    <row r="1783" spans="13:13">
      <c r="M1783" s="3" t="str">
        <f t="shared" si="27"/>
        <v/>
      </c>
    </row>
    <row r="1784" spans="13:13">
      <c r="M1784" s="3" t="str">
        <f t="shared" si="27"/>
        <v/>
      </c>
    </row>
    <row r="1785" spans="13:13">
      <c r="M1785" s="3" t="str">
        <f t="shared" si="27"/>
        <v/>
      </c>
    </row>
    <row r="1786" spans="13:13">
      <c r="M1786" s="3" t="str">
        <f t="shared" si="27"/>
        <v/>
      </c>
    </row>
    <row r="1787" spans="13:13">
      <c r="M1787" s="3" t="str">
        <f t="shared" si="27"/>
        <v/>
      </c>
    </row>
    <row r="1788" spans="13:13">
      <c r="M1788" s="3" t="str">
        <f t="shared" si="27"/>
        <v/>
      </c>
    </row>
    <row r="1789" spans="13:13">
      <c r="M1789" s="3" t="str">
        <f t="shared" si="27"/>
        <v/>
      </c>
    </row>
    <row r="1790" spans="13:13">
      <c r="M1790" s="3" t="str">
        <f t="shared" si="27"/>
        <v/>
      </c>
    </row>
    <row r="1791" spans="13:13">
      <c r="M1791" s="3" t="str">
        <f t="shared" si="27"/>
        <v/>
      </c>
    </row>
    <row r="1792" spans="13:13">
      <c r="M1792" s="3" t="str">
        <f t="shared" si="27"/>
        <v/>
      </c>
    </row>
    <row r="1793" spans="13:13">
      <c r="M1793" s="3" t="str">
        <f t="shared" si="27"/>
        <v/>
      </c>
    </row>
    <row r="1794" spans="13:13">
      <c r="M1794" s="3" t="str">
        <f t="shared" si="27"/>
        <v/>
      </c>
    </row>
    <row r="1795" spans="13:13">
      <c r="M1795" s="3" t="str">
        <f t="shared" si="27"/>
        <v/>
      </c>
    </row>
    <row r="1796" spans="13:13">
      <c r="M1796" s="3" t="str">
        <f t="shared" si="27"/>
        <v/>
      </c>
    </row>
    <row r="1797" spans="13:13">
      <c r="M1797" s="3" t="str">
        <f t="shared" ref="M1797:M1860" si="28">IF(A1797="","", WEEKNUM(A1797, 2))</f>
        <v/>
      </c>
    </row>
    <row r="1798" spans="13:13">
      <c r="M1798" s="3" t="str">
        <f t="shared" si="28"/>
        <v/>
      </c>
    </row>
    <row r="1799" spans="13:13">
      <c r="M1799" s="3" t="str">
        <f t="shared" si="28"/>
        <v/>
      </c>
    </row>
    <row r="1800" spans="13:13">
      <c r="M1800" s="3" t="str">
        <f t="shared" si="28"/>
        <v/>
      </c>
    </row>
    <row r="1801" spans="13:13">
      <c r="M1801" s="3" t="str">
        <f t="shared" si="28"/>
        <v/>
      </c>
    </row>
    <row r="1802" spans="13:13">
      <c r="M1802" s="3" t="str">
        <f t="shared" si="28"/>
        <v/>
      </c>
    </row>
    <row r="1803" spans="13:13">
      <c r="M1803" s="3" t="str">
        <f t="shared" si="28"/>
        <v/>
      </c>
    </row>
    <row r="1804" spans="13:13">
      <c r="M1804" s="3" t="str">
        <f t="shared" si="28"/>
        <v/>
      </c>
    </row>
    <row r="1805" spans="13:13">
      <c r="M1805" s="3" t="str">
        <f t="shared" si="28"/>
        <v/>
      </c>
    </row>
    <row r="1806" spans="13:13">
      <c r="M1806" s="3" t="str">
        <f t="shared" si="28"/>
        <v/>
      </c>
    </row>
    <row r="1807" spans="13:13">
      <c r="M1807" s="3" t="str">
        <f t="shared" si="28"/>
        <v/>
      </c>
    </row>
    <row r="1808" spans="13:13">
      <c r="M1808" s="3" t="str">
        <f t="shared" si="28"/>
        <v/>
      </c>
    </row>
    <row r="1809" spans="13:13">
      <c r="M1809" s="3" t="str">
        <f t="shared" si="28"/>
        <v/>
      </c>
    </row>
    <row r="1810" spans="13:13">
      <c r="M1810" s="3" t="str">
        <f t="shared" si="28"/>
        <v/>
      </c>
    </row>
    <row r="1811" spans="13:13">
      <c r="M1811" s="3" t="str">
        <f t="shared" si="28"/>
        <v/>
      </c>
    </row>
    <row r="1812" spans="13:13">
      <c r="M1812" s="3" t="str">
        <f t="shared" si="28"/>
        <v/>
      </c>
    </row>
    <row r="1813" spans="13:13">
      <c r="M1813" s="3" t="str">
        <f t="shared" si="28"/>
        <v/>
      </c>
    </row>
    <row r="1814" spans="13:13">
      <c r="M1814" s="3" t="str">
        <f t="shared" si="28"/>
        <v/>
      </c>
    </row>
    <row r="1815" spans="13:13">
      <c r="M1815" s="3" t="str">
        <f t="shared" si="28"/>
        <v/>
      </c>
    </row>
    <row r="1816" spans="13:13">
      <c r="M1816" s="3" t="str">
        <f t="shared" si="28"/>
        <v/>
      </c>
    </row>
    <row r="1817" spans="13:13">
      <c r="M1817" s="3" t="str">
        <f t="shared" si="28"/>
        <v/>
      </c>
    </row>
    <row r="1818" spans="13:13">
      <c r="M1818" s="3" t="str">
        <f t="shared" si="28"/>
        <v/>
      </c>
    </row>
    <row r="1819" spans="13:13">
      <c r="M1819" s="3" t="str">
        <f t="shared" si="28"/>
        <v/>
      </c>
    </row>
    <row r="1820" spans="13:13">
      <c r="M1820" s="3" t="str">
        <f t="shared" si="28"/>
        <v/>
      </c>
    </row>
    <row r="1821" spans="13:13">
      <c r="M1821" s="3" t="str">
        <f t="shared" si="28"/>
        <v/>
      </c>
    </row>
    <row r="1822" spans="13:13">
      <c r="M1822" s="3" t="str">
        <f t="shared" si="28"/>
        <v/>
      </c>
    </row>
    <row r="1823" spans="13:13">
      <c r="M1823" s="3" t="str">
        <f t="shared" si="28"/>
        <v/>
      </c>
    </row>
    <row r="1824" spans="13:13">
      <c r="M1824" s="3" t="str">
        <f t="shared" si="28"/>
        <v/>
      </c>
    </row>
    <row r="1825" spans="13:13">
      <c r="M1825" s="3" t="str">
        <f t="shared" si="28"/>
        <v/>
      </c>
    </row>
    <row r="1826" spans="13:13">
      <c r="M1826" s="3" t="str">
        <f t="shared" si="28"/>
        <v/>
      </c>
    </row>
    <row r="1827" spans="13:13">
      <c r="M1827" s="3" t="str">
        <f t="shared" si="28"/>
        <v/>
      </c>
    </row>
    <row r="1828" spans="13:13">
      <c r="M1828" s="3" t="str">
        <f t="shared" si="28"/>
        <v/>
      </c>
    </row>
    <row r="1829" spans="13:13">
      <c r="M1829" s="3" t="str">
        <f t="shared" si="28"/>
        <v/>
      </c>
    </row>
    <row r="1830" spans="13:13">
      <c r="M1830" s="3" t="str">
        <f t="shared" si="28"/>
        <v/>
      </c>
    </row>
    <row r="1831" spans="13:13">
      <c r="M1831" s="3" t="str">
        <f t="shared" si="28"/>
        <v/>
      </c>
    </row>
    <row r="1832" spans="13:13">
      <c r="M1832" s="3" t="str">
        <f t="shared" si="28"/>
        <v/>
      </c>
    </row>
    <row r="1833" spans="13:13">
      <c r="M1833" s="3" t="str">
        <f t="shared" si="28"/>
        <v/>
      </c>
    </row>
    <row r="1834" spans="13:13">
      <c r="M1834" s="3" t="str">
        <f t="shared" si="28"/>
        <v/>
      </c>
    </row>
    <row r="1835" spans="13:13">
      <c r="M1835" s="3" t="str">
        <f t="shared" si="28"/>
        <v/>
      </c>
    </row>
    <row r="1836" spans="13:13">
      <c r="M1836" s="3" t="str">
        <f t="shared" si="28"/>
        <v/>
      </c>
    </row>
    <row r="1837" spans="13:13">
      <c r="M1837" s="3" t="str">
        <f t="shared" si="28"/>
        <v/>
      </c>
    </row>
    <row r="1838" spans="13:13">
      <c r="M1838" s="3" t="str">
        <f t="shared" si="28"/>
        <v/>
      </c>
    </row>
    <row r="1839" spans="13:13">
      <c r="M1839" s="3" t="str">
        <f t="shared" si="28"/>
        <v/>
      </c>
    </row>
    <row r="1840" spans="13:13">
      <c r="M1840" s="3" t="str">
        <f t="shared" si="28"/>
        <v/>
      </c>
    </row>
    <row r="1841" spans="13:13">
      <c r="M1841" s="3" t="str">
        <f t="shared" si="28"/>
        <v/>
      </c>
    </row>
    <row r="1842" spans="13:13">
      <c r="M1842" s="3" t="str">
        <f t="shared" si="28"/>
        <v/>
      </c>
    </row>
    <row r="1843" spans="13:13">
      <c r="M1843" s="3" t="str">
        <f t="shared" si="28"/>
        <v/>
      </c>
    </row>
    <row r="1844" spans="13:13">
      <c r="M1844" s="3" t="str">
        <f t="shared" si="28"/>
        <v/>
      </c>
    </row>
    <row r="1845" spans="13:13">
      <c r="M1845" s="3" t="str">
        <f t="shared" si="28"/>
        <v/>
      </c>
    </row>
    <row r="1846" spans="13:13">
      <c r="M1846" s="3" t="str">
        <f t="shared" si="28"/>
        <v/>
      </c>
    </row>
    <row r="1847" spans="13:13">
      <c r="M1847" s="3" t="str">
        <f t="shared" si="28"/>
        <v/>
      </c>
    </row>
    <row r="1848" spans="13:13">
      <c r="M1848" s="3" t="str">
        <f t="shared" si="28"/>
        <v/>
      </c>
    </row>
    <row r="1849" spans="13:13">
      <c r="M1849" s="3" t="str">
        <f t="shared" si="28"/>
        <v/>
      </c>
    </row>
    <row r="1850" spans="13:13">
      <c r="M1850" s="3" t="str">
        <f t="shared" si="28"/>
        <v/>
      </c>
    </row>
    <row r="1851" spans="13:13">
      <c r="M1851" s="3" t="str">
        <f t="shared" si="28"/>
        <v/>
      </c>
    </row>
    <row r="1852" spans="13:13">
      <c r="M1852" s="3" t="str">
        <f t="shared" si="28"/>
        <v/>
      </c>
    </row>
    <row r="1853" spans="13:13">
      <c r="M1853" s="3" t="str">
        <f t="shared" si="28"/>
        <v/>
      </c>
    </row>
    <row r="1854" spans="13:13">
      <c r="M1854" s="3" t="str">
        <f t="shared" si="28"/>
        <v/>
      </c>
    </row>
    <row r="1855" spans="13:13">
      <c r="M1855" s="3" t="str">
        <f t="shared" si="28"/>
        <v/>
      </c>
    </row>
    <row r="1856" spans="13:13">
      <c r="M1856" s="3" t="str">
        <f t="shared" si="28"/>
        <v/>
      </c>
    </row>
    <row r="1857" spans="13:13">
      <c r="M1857" s="3" t="str">
        <f t="shared" si="28"/>
        <v/>
      </c>
    </row>
    <row r="1858" spans="13:13">
      <c r="M1858" s="3" t="str">
        <f t="shared" si="28"/>
        <v/>
      </c>
    </row>
    <row r="1859" spans="13:13">
      <c r="M1859" s="3" t="str">
        <f t="shared" si="28"/>
        <v/>
      </c>
    </row>
    <row r="1860" spans="13:13">
      <c r="M1860" s="3" t="str">
        <f t="shared" si="28"/>
        <v/>
      </c>
    </row>
    <row r="1861" spans="13:13">
      <c r="M1861" s="3" t="str">
        <f t="shared" ref="M1861:M1924" si="29">IF(A1861="","", WEEKNUM(A1861, 2))</f>
        <v/>
      </c>
    </row>
    <row r="1862" spans="13:13">
      <c r="M1862" s="3" t="str">
        <f t="shared" si="29"/>
        <v/>
      </c>
    </row>
    <row r="1863" spans="13:13">
      <c r="M1863" s="3" t="str">
        <f t="shared" si="29"/>
        <v/>
      </c>
    </row>
    <row r="1864" spans="13:13">
      <c r="M1864" s="3" t="str">
        <f t="shared" si="29"/>
        <v/>
      </c>
    </row>
    <row r="1865" spans="13:13">
      <c r="M1865" s="3" t="str">
        <f t="shared" si="29"/>
        <v/>
      </c>
    </row>
    <row r="1866" spans="13:13">
      <c r="M1866" s="3" t="str">
        <f t="shared" si="29"/>
        <v/>
      </c>
    </row>
    <row r="1867" spans="13:13">
      <c r="M1867" s="3" t="str">
        <f t="shared" si="29"/>
        <v/>
      </c>
    </row>
    <row r="1868" spans="13:13">
      <c r="M1868" s="3" t="str">
        <f t="shared" si="29"/>
        <v/>
      </c>
    </row>
    <row r="1869" spans="13:13">
      <c r="M1869" s="3" t="str">
        <f t="shared" si="29"/>
        <v/>
      </c>
    </row>
    <row r="1870" spans="13:13">
      <c r="M1870" s="3" t="str">
        <f t="shared" si="29"/>
        <v/>
      </c>
    </row>
    <row r="1871" spans="13:13">
      <c r="M1871" s="3" t="str">
        <f t="shared" si="29"/>
        <v/>
      </c>
    </row>
    <row r="1872" spans="13:13">
      <c r="M1872" s="3" t="str">
        <f t="shared" si="29"/>
        <v/>
      </c>
    </row>
    <row r="1873" spans="13:13">
      <c r="M1873" s="3" t="str">
        <f t="shared" si="29"/>
        <v/>
      </c>
    </row>
    <row r="1874" spans="13:13">
      <c r="M1874" s="3" t="str">
        <f t="shared" si="29"/>
        <v/>
      </c>
    </row>
    <row r="1875" spans="13:13">
      <c r="M1875" s="3" t="str">
        <f t="shared" si="29"/>
        <v/>
      </c>
    </row>
    <row r="1876" spans="13:13">
      <c r="M1876" s="3" t="str">
        <f t="shared" si="29"/>
        <v/>
      </c>
    </row>
    <row r="1877" spans="13:13">
      <c r="M1877" s="3" t="str">
        <f t="shared" si="29"/>
        <v/>
      </c>
    </row>
    <row r="1878" spans="13:13">
      <c r="M1878" s="3" t="str">
        <f t="shared" si="29"/>
        <v/>
      </c>
    </row>
    <row r="1879" spans="13:13">
      <c r="M1879" s="3" t="str">
        <f t="shared" si="29"/>
        <v/>
      </c>
    </row>
    <row r="1880" spans="13:13">
      <c r="M1880" s="3" t="str">
        <f t="shared" si="29"/>
        <v/>
      </c>
    </row>
    <row r="1881" spans="13:13">
      <c r="M1881" s="3" t="str">
        <f t="shared" si="29"/>
        <v/>
      </c>
    </row>
    <row r="1882" spans="13:13">
      <c r="M1882" s="3" t="str">
        <f t="shared" si="29"/>
        <v/>
      </c>
    </row>
    <row r="1883" spans="13:13">
      <c r="M1883" s="3" t="str">
        <f t="shared" si="29"/>
        <v/>
      </c>
    </row>
    <row r="1884" spans="13:13">
      <c r="M1884" s="3" t="str">
        <f t="shared" si="29"/>
        <v/>
      </c>
    </row>
    <row r="1885" spans="13:13">
      <c r="M1885" s="3" t="str">
        <f t="shared" si="29"/>
        <v/>
      </c>
    </row>
    <row r="1886" spans="13:13">
      <c r="M1886" s="3" t="str">
        <f t="shared" si="29"/>
        <v/>
      </c>
    </row>
    <row r="1887" spans="13:13">
      <c r="M1887" s="3" t="str">
        <f t="shared" si="29"/>
        <v/>
      </c>
    </row>
    <row r="1888" spans="13:13">
      <c r="M1888" s="3" t="str">
        <f t="shared" si="29"/>
        <v/>
      </c>
    </row>
    <row r="1889" spans="13:13">
      <c r="M1889" s="3" t="str">
        <f t="shared" si="29"/>
        <v/>
      </c>
    </row>
    <row r="1890" spans="13:13">
      <c r="M1890" s="3" t="str">
        <f t="shared" si="29"/>
        <v/>
      </c>
    </row>
    <row r="1891" spans="13:13">
      <c r="M1891" s="3" t="str">
        <f t="shared" si="29"/>
        <v/>
      </c>
    </row>
    <row r="1892" spans="13:13">
      <c r="M1892" s="3" t="str">
        <f t="shared" si="29"/>
        <v/>
      </c>
    </row>
    <row r="1893" spans="13:13">
      <c r="M1893" s="3" t="str">
        <f t="shared" si="29"/>
        <v/>
      </c>
    </row>
    <row r="1894" spans="13:13">
      <c r="M1894" s="3" t="str">
        <f t="shared" si="29"/>
        <v/>
      </c>
    </row>
    <row r="1895" spans="13:13">
      <c r="M1895" s="3" t="str">
        <f t="shared" si="29"/>
        <v/>
      </c>
    </row>
    <row r="1896" spans="13:13">
      <c r="M1896" s="3" t="str">
        <f t="shared" si="29"/>
        <v/>
      </c>
    </row>
    <row r="1897" spans="13:13">
      <c r="M1897" s="3" t="str">
        <f t="shared" si="29"/>
        <v/>
      </c>
    </row>
    <row r="1898" spans="13:13">
      <c r="M1898" s="3" t="str">
        <f t="shared" si="29"/>
        <v/>
      </c>
    </row>
    <row r="1899" spans="13:13">
      <c r="M1899" s="3" t="str">
        <f t="shared" si="29"/>
        <v/>
      </c>
    </row>
    <row r="1900" spans="13:13">
      <c r="M1900" s="3" t="str">
        <f t="shared" si="29"/>
        <v/>
      </c>
    </row>
    <row r="1901" spans="13:13">
      <c r="M1901" s="3" t="str">
        <f t="shared" si="29"/>
        <v/>
      </c>
    </row>
    <row r="1902" spans="13:13">
      <c r="M1902" s="3" t="str">
        <f t="shared" si="29"/>
        <v/>
      </c>
    </row>
    <row r="1903" spans="13:13">
      <c r="M1903" s="3" t="str">
        <f t="shared" si="29"/>
        <v/>
      </c>
    </row>
    <row r="1904" spans="13:13">
      <c r="M1904" s="3" t="str">
        <f t="shared" si="29"/>
        <v/>
      </c>
    </row>
    <row r="1905" spans="13:13">
      <c r="M1905" s="3" t="str">
        <f t="shared" si="29"/>
        <v/>
      </c>
    </row>
    <row r="1906" spans="13:13">
      <c r="M1906" s="3" t="str">
        <f t="shared" si="29"/>
        <v/>
      </c>
    </row>
    <row r="1907" spans="13:13">
      <c r="M1907" s="3" t="str">
        <f t="shared" si="29"/>
        <v/>
      </c>
    </row>
    <row r="1908" spans="13:13">
      <c r="M1908" s="3" t="str">
        <f t="shared" si="29"/>
        <v/>
      </c>
    </row>
    <row r="1909" spans="13:13">
      <c r="M1909" s="3" t="str">
        <f t="shared" si="29"/>
        <v/>
      </c>
    </row>
    <row r="1910" spans="13:13">
      <c r="M1910" s="3" t="str">
        <f t="shared" si="29"/>
        <v/>
      </c>
    </row>
    <row r="1911" spans="13:13">
      <c r="M1911" s="3" t="str">
        <f t="shared" si="29"/>
        <v/>
      </c>
    </row>
    <row r="1912" spans="13:13">
      <c r="M1912" s="3" t="str">
        <f t="shared" si="29"/>
        <v/>
      </c>
    </row>
    <row r="1913" spans="13:13">
      <c r="M1913" s="3" t="str">
        <f t="shared" si="29"/>
        <v/>
      </c>
    </row>
    <row r="1914" spans="13:13">
      <c r="M1914" s="3" t="str">
        <f t="shared" si="29"/>
        <v/>
      </c>
    </row>
    <row r="1915" spans="13:13">
      <c r="M1915" s="3" t="str">
        <f t="shared" si="29"/>
        <v/>
      </c>
    </row>
    <row r="1916" spans="13:13">
      <c r="M1916" s="3" t="str">
        <f t="shared" si="29"/>
        <v/>
      </c>
    </row>
    <row r="1917" spans="13:13">
      <c r="M1917" s="3" t="str">
        <f t="shared" si="29"/>
        <v/>
      </c>
    </row>
    <row r="1918" spans="13:13">
      <c r="M1918" s="3" t="str">
        <f t="shared" si="29"/>
        <v/>
      </c>
    </row>
    <row r="1919" spans="13:13">
      <c r="M1919" s="3" t="str">
        <f t="shared" si="29"/>
        <v/>
      </c>
    </row>
    <row r="1920" spans="13:13">
      <c r="M1920" s="3" t="str">
        <f t="shared" si="29"/>
        <v/>
      </c>
    </row>
    <row r="1921" spans="13:13">
      <c r="M1921" s="3" t="str">
        <f t="shared" si="29"/>
        <v/>
      </c>
    </row>
    <row r="1922" spans="13:13">
      <c r="M1922" s="3" t="str">
        <f t="shared" si="29"/>
        <v/>
      </c>
    </row>
    <row r="1923" spans="13:13">
      <c r="M1923" s="3" t="str">
        <f t="shared" si="29"/>
        <v/>
      </c>
    </row>
    <row r="1924" spans="13:13">
      <c r="M1924" s="3" t="str">
        <f t="shared" si="29"/>
        <v/>
      </c>
    </row>
    <row r="1925" spans="13:13">
      <c r="M1925" s="3" t="str">
        <f t="shared" ref="M1925:M1988" si="30">IF(A1925="","", WEEKNUM(A1925, 2))</f>
        <v/>
      </c>
    </row>
    <row r="1926" spans="13:13">
      <c r="M1926" s="3" t="str">
        <f t="shared" si="30"/>
        <v/>
      </c>
    </row>
    <row r="1927" spans="13:13">
      <c r="M1927" s="3" t="str">
        <f t="shared" si="30"/>
        <v/>
      </c>
    </row>
    <row r="1928" spans="13:13">
      <c r="M1928" s="3" t="str">
        <f t="shared" si="30"/>
        <v/>
      </c>
    </row>
    <row r="1929" spans="13:13">
      <c r="M1929" s="3" t="str">
        <f t="shared" si="30"/>
        <v/>
      </c>
    </row>
    <row r="1930" spans="13:13">
      <c r="M1930" s="3" t="str">
        <f t="shared" si="30"/>
        <v/>
      </c>
    </row>
    <row r="1931" spans="13:13">
      <c r="M1931" s="3" t="str">
        <f t="shared" si="30"/>
        <v/>
      </c>
    </row>
    <row r="1932" spans="13:13">
      <c r="M1932" s="3" t="str">
        <f t="shared" si="30"/>
        <v/>
      </c>
    </row>
    <row r="1933" spans="13:13">
      <c r="M1933" s="3" t="str">
        <f t="shared" si="30"/>
        <v/>
      </c>
    </row>
    <row r="1934" spans="13:13">
      <c r="M1934" s="3" t="str">
        <f t="shared" si="30"/>
        <v/>
      </c>
    </row>
    <row r="1935" spans="13:13">
      <c r="M1935" s="3" t="str">
        <f t="shared" si="30"/>
        <v/>
      </c>
    </row>
    <row r="1936" spans="13:13">
      <c r="M1936" s="3" t="str">
        <f t="shared" si="30"/>
        <v/>
      </c>
    </row>
    <row r="1937" spans="13:13">
      <c r="M1937" s="3" t="str">
        <f t="shared" si="30"/>
        <v/>
      </c>
    </row>
    <row r="1938" spans="13:13">
      <c r="M1938" s="3" t="str">
        <f t="shared" si="30"/>
        <v/>
      </c>
    </row>
    <row r="1939" spans="13:13">
      <c r="M1939" s="3" t="str">
        <f t="shared" si="30"/>
        <v/>
      </c>
    </row>
    <row r="1940" spans="13:13">
      <c r="M1940" s="3" t="str">
        <f t="shared" si="30"/>
        <v/>
      </c>
    </row>
    <row r="1941" spans="13:13">
      <c r="M1941" s="3" t="str">
        <f t="shared" si="30"/>
        <v/>
      </c>
    </row>
    <row r="1942" spans="13:13">
      <c r="M1942" s="3" t="str">
        <f t="shared" si="30"/>
        <v/>
      </c>
    </row>
    <row r="1943" spans="13:13">
      <c r="M1943" s="3" t="str">
        <f t="shared" si="30"/>
        <v/>
      </c>
    </row>
    <row r="1944" spans="13:13">
      <c r="M1944" s="3" t="str">
        <f t="shared" si="30"/>
        <v/>
      </c>
    </row>
    <row r="1945" spans="13:13">
      <c r="M1945" s="3" t="str">
        <f t="shared" si="30"/>
        <v/>
      </c>
    </row>
    <row r="1946" spans="13:13">
      <c r="M1946" s="3" t="str">
        <f t="shared" si="30"/>
        <v/>
      </c>
    </row>
    <row r="1947" spans="13:13">
      <c r="M1947" s="3" t="str">
        <f t="shared" si="30"/>
        <v/>
      </c>
    </row>
    <row r="1948" spans="13:13">
      <c r="M1948" s="3" t="str">
        <f t="shared" si="30"/>
        <v/>
      </c>
    </row>
    <row r="1949" spans="13:13">
      <c r="M1949" s="3" t="str">
        <f t="shared" si="30"/>
        <v/>
      </c>
    </row>
    <row r="1950" spans="13:13">
      <c r="M1950" s="3" t="str">
        <f t="shared" si="30"/>
        <v/>
      </c>
    </row>
    <row r="1951" spans="13:13">
      <c r="M1951" s="3" t="str">
        <f t="shared" si="30"/>
        <v/>
      </c>
    </row>
    <row r="1952" spans="13:13">
      <c r="M1952" s="3" t="str">
        <f t="shared" si="30"/>
        <v/>
      </c>
    </row>
    <row r="1953" spans="13:13">
      <c r="M1953" s="3" t="str">
        <f t="shared" si="30"/>
        <v/>
      </c>
    </row>
    <row r="1954" spans="13:13">
      <c r="M1954" s="3" t="str">
        <f t="shared" si="30"/>
        <v/>
      </c>
    </row>
    <row r="1955" spans="13:13">
      <c r="M1955" s="3" t="str">
        <f t="shared" si="30"/>
        <v/>
      </c>
    </row>
    <row r="1956" spans="13:13">
      <c r="M1956" s="3" t="str">
        <f t="shared" si="30"/>
        <v/>
      </c>
    </row>
    <row r="1957" spans="13:13">
      <c r="M1957" s="3" t="str">
        <f t="shared" si="30"/>
        <v/>
      </c>
    </row>
    <row r="1958" spans="13:13">
      <c r="M1958" s="3" t="str">
        <f t="shared" si="30"/>
        <v/>
      </c>
    </row>
    <row r="1959" spans="13:13">
      <c r="M1959" s="3" t="str">
        <f t="shared" si="30"/>
        <v/>
      </c>
    </row>
    <row r="1960" spans="13:13">
      <c r="M1960" s="3" t="str">
        <f t="shared" si="30"/>
        <v/>
      </c>
    </row>
    <row r="1961" spans="13:13">
      <c r="M1961" s="3" t="str">
        <f t="shared" si="30"/>
        <v/>
      </c>
    </row>
    <row r="1962" spans="13:13">
      <c r="M1962" s="3" t="str">
        <f t="shared" si="30"/>
        <v/>
      </c>
    </row>
    <row r="1963" spans="13:13">
      <c r="M1963" s="3" t="str">
        <f t="shared" si="30"/>
        <v/>
      </c>
    </row>
    <row r="1964" spans="13:13">
      <c r="M1964" s="3" t="str">
        <f t="shared" si="30"/>
        <v/>
      </c>
    </row>
    <row r="1965" spans="13:13">
      <c r="M1965" s="3" t="str">
        <f t="shared" si="30"/>
        <v/>
      </c>
    </row>
    <row r="1966" spans="13:13">
      <c r="M1966" s="3" t="str">
        <f t="shared" si="30"/>
        <v/>
      </c>
    </row>
    <row r="1967" spans="13:13">
      <c r="M1967" s="3" t="str">
        <f t="shared" si="30"/>
        <v/>
      </c>
    </row>
    <row r="1968" spans="13:13">
      <c r="M1968" s="3" t="str">
        <f t="shared" si="30"/>
        <v/>
      </c>
    </row>
    <row r="1969" spans="13:13">
      <c r="M1969" s="3" t="str">
        <f t="shared" si="30"/>
        <v/>
      </c>
    </row>
    <row r="1970" spans="13:13">
      <c r="M1970" s="3" t="str">
        <f t="shared" si="30"/>
        <v/>
      </c>
    </row>
    <row r="1971" spans="13:13">
      <c r="M1971" s="3" t="str">
        <f t="shared" si="30"/>
        <v/>
      </c>
    </row>
    <row r="1972" spans="13:13">
      <c r="M1972" s="3" t="str">
        <f t="shared" si="30"/>
        <v/>
      </c>
    </row>
    <row r="1973" spans="13:13">
      <c r="M1973" s="3" t="str">
        <f t="shared" si="30"/>
        <v/>
      </c>
    </row>
    <row r="1974" spans="13:13">
      <c r="M1974" s="3" t="str">
        <f t="shared" si="30"/>
        <v/>
      </c>
    </row>
    <row r="1975" spans="13:13">
      <c r="M1975" s="3" t="str">
        <f t="shared" si="30"/>
        <v/>
      </c>
    </row>
    <row r="1976" spans="13:13">
      <c r="M1976" s="3" t="str">
        <f t="shared" si="30"/>
        <v/>
      </c>
    </row>
    <row r="1977" spans="13:13">
      <c r="M1977" s="3" t="str">
        <f t="shared" si="30"/>
        <v/>
      </c>
    </row>
    <row r="1978" spans="13:13">
      <c r="M1978" s="3" t="str">
        <f t="shared" si="30"/>
        <v/>
      </c>
    </row>
    <row r="1979" spans="13:13">
      <c r="M1979" s="3" t="str">
        <f t="shared" si="30"/>
        <v/>
      </c>
    </row>
    <row r="1980" spans="13:13">
      <c r="M1980" s="3" t="str">
        <f t="shared" si="30"/>
        <v/>
      </c>
    </row>
    <row r="1981" spans="13:13">
      <c r="M1981" s="3" t="str">
        <f t="shared" si="30"/>
        <v/>
      </c>
    </row>
    <row r="1982" spans="13:13">
      <c r="M1982" s="3" t="str">
        <f t="shared" si="30"/>
        <v/>
      </c>
    </row>
    <row r="1983" spans="13:13">
      <c r="M1983" s="3" t="str">
        <f t="shared" si="30"/>
        <v/>
      </c>
    </row>
    <row r="1984" spans="13:13">
      <c r="M1984" s="3" t="str">
        <f t="shared" si="30"/>
        <v/>
      </c>
    </row>
    <row r="1985" spans="13:13">
      <c r="M1985" s="3" t="str">
        <f t="shared" si="30"/>
        <v/>
      </c>
    </row>
    <row r="1986" spans="13:13">
      <c r="M1986" s="3" t="str">
        <f t="shared" si="30"/>
        <v/>
      </c>
    </row>
    <row r="1987" spans="13:13">
      <c r="M1987" s="3" t="str">
        <f t="shared" si="30"/>
        <v/>
      </c>
    </row>
    <row r="1988" spans="13:13">
      <c r="M1988" s="3" t="str">
        <f t="shared" si="30"/>
        <v/>
      </c>
    </row>
    <row r="1989" spans="13:13">
      <c r="M1989" s="3" t="str">
        <f t="shared" ref="M1989:M2000" si="31">IF(A1989="","", WEEKNUM(A1989, 2))</f>
        <v/>
      </c>
    </row>
    <row r="1990" spans="13:13">
      <c r="M1990" s="3" t="str">
        <f t="shared" si="31"/>
        <v/>
      </c>
    </row>
    <row r="1991" spans="13:13">
      <c r="M1991" s="3" t="str">
        <f t="shared" si="31"/>
        <v/>
      </c>
    </row>
    <row r="1992" spans="13:13">
      <c r="M1992" s="3" t="str">
        <f t="shared" si="31"/>
        <v/>
      </c>
    </row>
    <row r="1993" spans="13:13">
      <c r="M1993" s="3" t="str">
        <f t="shared" si="31"/>
        <v/>
      </c>
    </row>
    <row r="1994" spans="13:13">
      <c r="M1994" s="3" t="str">
        <f t="shared" si="31"/>
        <v/>
      </c>
    </row>
    <row r="1995" spans="13:13">
      <c r="M1995" s="3" t="str">
        <f t="shared" si="31"/>
        <v/>
      </c>
    </row>
    <row r="1996" spans="13:13">
      <c r="M1996" s="3" t="str">
        <f t="shared" si="31"/>
        <v/>
      </c>
    </row>
    <row r="1997" spans="13:13">
      <c r="M1997" s="3" t="str">
        <f t="shared" si="31"/>
        <v/>
      </c>
    </row>
    <row r="1998" spans="13:13">
      <c r="M1998" s="3" t="str">
        <f t="shared" si="31"/>
        <v/>
      </c>
    </row>
    <row r="1999" spans="13:13">
      <c r="M1999" s="3" t="str">
        <f t="shared" si="31"/>
        <v/>
      </c>
    </row>
    <row r="2000" spans="13:13">
      <c r="M2000" s="3" t="str">
        <f t="shared" si="31"/>
        <v/>
      </c>
    </row>
  </sheetData>
  <mergeCells count="1">
    <mergeCell ref="A1:K1"/>
  </mergeCells>
  <dataValidations count="2">
    <dataValidation type="list" sqref="C5:C305" xr:uid="{4BBED6B9-BA05-40C5-AA86-7F9CFA619778}">
      <formula1>"Marimba M-01,Pegaso Directo,Otro"</formula1>
    </dataValidation>
    <dataValidation type="list" sqref="J5:J307" xr:uid="{F1B5CE52-4CE3-4038-A76A-C791CDD30D5E}">
      <formula1>"Sin incidencia,Fuga,Reparación,Equipo parado,Consumo extraordinario,Otro"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E361B-026F-4BC9-93E1-FA0518019FFF}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Captura_Jalisco</vt:lpstr>
      <vt:lpstr>Captura_Obra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TRUJANO 03</dc:creator>
  <cp:lastModifiedBy>GRUPO TRUJANO 03</cp:lastModifiedBy>
  <dcterms:created xsi:type="dcterms:W3CDTF">2026-06-27T01:22:33Z</dcterms:created>
  <dcterms:modified xsi:type="dcterms:W3CDTF">2026-06-27T01:24:12Z</dcterms:modified>
</cp:coreProperties>
</file>