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26" sheetId="1" state="visible" r:id="rId1"/>
    <sheet name="SEMANA 27" sheetId="2" state="visible" r:id="rId2"/>
    <sheet name="SEMANA 28" sheetId="3" state="visible" r:id="rId3"/>
    <sheet name="SEMANA 29" sheetId="4" state="visible" r:id="rId4"/>
    <sheet name="SEMANA 30" sheetId="5" state="visible" r:id="rId5"/>
    <sheet name="SEMANA 31" sheetId="6" state="visible" r:id="rId6"/>
    <sheet name="SEMANA 32" sheetId="7" state="visible" r:id="rId7"/>
    <sheet name="SEMANA 33" sheetId="8" state="visible" r:id="rId8"/>
    <sheet name="SEMANA 34" sheetId="9" state="visible" r:id="rId9"/>
    <sheet name="SEMANA 35" sheetId="10" state="visible" r:id="rId10"/>
    <sheet name="SEMANA 36" sheetId="11" state="visible" r:id="rId11"/>
    <sheet name="SEMANA 37" sheetId="12" state="visible" r:id="rId12"/>
  </sheets>
  <definedNames>
    <definedName name="_xlnm.Print_Area" localSheetId="0">'SEMANA 26'!$A$1:$AA$48</definedName>
    <definedName name="_xlnm.Print_Area" localSheetId="1">'SEMANA 27'!$A$1:$Z$51</definedName>
    <definedName name="_xlnm.Print_Area" localSheetId="2">'SEMANA 28'!$A$1:$AC$54</definedName>
    <definedName name="_xlnm.Print_Area" localSheetId="3">'SEMANA 29'!$A$1:$AC$54</definedName>
    <definedName name="_xlnm.Print_Area" localSheetId="4">'SEMANA 30'!$A$1:$AC$57</definedName>
    <definedName name="_xlnm.Print_Area" localSheetId="5">'SEMANA 31'!$A$1:$AH$57</definedName>
    <definedName name="_xlnm.Print_Area" localSheetId="6">'SEMANA 32'!$A$1:$AH$57</definedName>
    <definedName name="_xlnm.Print_Area" localSheetId="7">'SEMANA 33'!$A$1:$AF$58</definedName>
    <definedName name="_xlnm.Print_Area" localSheetId="8">'SEMANA 34'!$A$1:$AF$55</definedName>
    <definedName name="_xlnm.Print_Area" localSheetId="9">'SEMANA 35'!$A$1:$AF$55</definedName>
    <definedName name="_xlnm.Print_Area" localSheetId="10">'SEMANA 36'!$A$1:$AF$55</definedName>
    <definedName name="_xlnm.Print_Area" localSheetId="11">'SEMANA 37'!$A$1:$AF$55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6">
    <font>
      <name val="Calibri"/>
      <family val="2"/>
      <color theme="1"/>
      <sz val="11"/>
      <scheme val="minor"/>
    </font>
    <font>
      <name val="Arial"/>
      <b val="1"/>
      <color rgb="00000000"/>
      <sz val="9.5"/>
    </font>
    <font>
      <name val="Arial"/>
      <b val="1"/>
      <color rgb="00000000"/>
      <sz val="7.5"/>
    </font>
    <font>
      <name val="Arial"/>
      <b val="1"/>
      <color rgb="00000000"/>
      <sz val="6.5"/>
    </font>
    <font>
      <name val="Arial"/>
      <color rgb="00000000"/>
      <sz val="6.5"/>
    </font>
    <font>
      <name val="Arial"/>
      <b val="1"/>
      <color rgb="00C00000"/>
      <sz val="6.5"/>
    </font>
  </fonts>
  <fills count="6">
    <fill>
      <patternFill/>
    </fill>
    <fill>
      <patternFill patternType="gray125"/>
    </fill>
    <fill>
      <patternFill patternType="solid">
        <fgColor rgb="00B3E5A1"/>
        <bgColor rgb="00B3E5A1"/>
      </patternFill>
    </fill>
    <fill>
      <patternFill patternType="solid">
        <fgColor rgb="0045B0E1"/>
        <bgColor rgb="0045B0E1"/>
      </patternFill>
    </fill>
    <fill>
      <patternFill patternType="solid">
        <fgColor rgb="00F9FBFC"/>
        <bgColor rgb="00F9FBFC"/>
      </patternFill>
    </fill>
    <fill>
      <patternFill patternType="solid">
        <fgColor rgb="00F6C6AC"/>
        <bgColor rgb="00F6C6AC"/>
      </patternFill>
    </fill>
  </fills>
  <borders count="3">
    <border>
      <left/>
      <right/>
      <top/>
      <bottom/>
      <diagonal/>
    </border>
    <border>
      <left style="thin">
        <color rgb="00A0AAB5"/>
      </left>
      <right style="thin">
        <color rgb="00A0AAB5"/>
      </right>
      <top style="thin">
        <color rgb="00A0AAB5"/>
      </top>
      <bottom style="thin">
        <color rgb="00A0AAB5"/>
      </bottom>
    </border>
    <border>
      <left style="thin">
        <color rgb="00A0AAB5"/>
      </left>
      <right style="thin">
        <color rgb="00A0AAB5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pivotButton="0" quotePrefix="0" xfId="0"/>
    <xf numFmtId="0" fontId="2" fillId="5" borderId="2" applyAlignment="1" pivotButton="0" quotePrefix="0" xfId="0">
      <alignment horizontal="center" vertical="center"/>
    </xf>
    <xf numFmtId="0" fontId="0" fillId="5" borderId="2" pivotButton="0" quotePrefix="0" xfId="0"/>
    <xf numFmtId="164" fontId="2" fillId="5" borderId="2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8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8.5" customWidth="1" min="26" max="26"/>
    <col width="8.800000000000001" customWidth="1" min="27" max="27"/>
  </cols>
  <sheetData>
    <row r="1" ht="18" customHeight="1">
      <c r="A1" s="1" t="inlineStr">
        <is>
          <t>GASOLINA - J.D.J. EQUIPO Y CONSTRUCCIONES S.A. DE C.V.  (SEMANA 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22/JUN</t>
        </is>
      </c>
      <c r="H2" s="2" t="n"/>
      <c r="I2" s="2" t="n"/>
      <c r="J2" s="4" t="inlineStr">
        <is>
          <t>MAR 23/JUN</t>
        </is>
      </c>
      <c r="K2" s="2" t="n"/>
      <c r="L2" s="2" t="n"/>
      <c r="M2" s="4" t="inlineStr">
        <is>
          <t>MIÉ 24/JUN</t>
        </is>
      </c>
      <c r="N2" s="2" t="n"/>
      <c r="O2" s="2" t="n"/>
      <c r="P2" s="4" t="inlineStr">
        <is>
          <t>JUE 25/JUN</t>
        </is>
      </c>
      <c r="Q2" s="2" t="n"/>
      <c r="R2" s="2" t="n"/>
      <c r="S2" s="4" t="inlineStr">
        <is>
          <t>VIE 26/JUN</t>
        </is>
      </c>
      <c r="T2" s="2" t="n"/>
      <c r="U2" s="2" t="n"/>
      <c r="V2" s="4" t="inlineStr">
        <is>
          <t>SÁB 27/JUN</t>
        </is>
      </c>
      <c r="W2" s="2" t="n"/>
      <c r="X2" s="2" t="n"/>
      <c r="Y2" s="4" t="inlineStr">
        <is>
          <t>REMANENTE</t>
        </is>
      </c>
      <c r="Z2" s="5" t="inlineStr">
        <is>
          <t>REMANENTE
(SALDO)</t>
        </is>
      </c>
      <c r="AA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SI VALE</t>
        </is>
      </c>
      <c r="J3" s="7" t="inlineStr">
        <is>
          <t>LEVET</t>
        </is>
      </c>
      <c r="K3" s="7" t="inlineStr">
        <is>
          <t>MOBILE</t>
        </is>
      </c>
      <c r="L3" s="7" t="inlineStr">
        <is>
          <t>SI VALE</t>
        </is>
      </c>
      <c r="M3" s="7" t="inlineStr">
        <is>
          <t>LEVET</t>
        </is>
      </c>
      <c r="N3" s="7" t="inlineStr">
        <is>
          <t>MOBILE</t>
        </is>
      </c>
      <c r="O3" s="7" t="inlineStr">
        <is>
          <t>SI VALE</t>
        </is>
      </c>
      <c r="P3" s="7" t="inlineStr">
        <is>
          <t>LEVET</t>
        </is>
      </c>
      <c r="Q3" s="7" t="inlineStr">
        <is>
          <t>MOBILE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SI VALE</t>
        </is>
      </c>
      <c r="V3" s="7" t="inlineStr">
        <is>
          <t>LEVET</t>
        </is>
      </c>
      <c r="W3" s="7" t="inlineStr">
        <is>
          <t>MOBILE</t>
        </is>
      </c>
      <c r="X3" s="7" t="inlineStr">
        <is>
          <t>SI VALE</t>
        </is>
      </c>
      <c r="Y3" s="7" t="inlineStr"/>
      <c r="Z3" s="2" t="n"/>
      <c r="AA3" s="6" t="n"/>
    </row>
    <row r="4" ht="11.5" customHeight="1">
      <c r="A4" s="8" t="n">
        <v>1</v>
      </c>
      <c r="B4" s="9" t="inlineStr">
        <is>
          <t>ING.ARMANDO  COLIN</t>
        </is>
      </c>
      <c r="C4" s="9" t="inlineStr">
        <is>
          <t>BACHEO TOLUCA</t>
        </is>
      </c>
      <c r="D4" s="9" t="inlineStr">
        <is>
          <t>CHEVROLET S10</t>
        </is>
      </c>
      <c r="E4" s="8" t="inlineStr">
        <is>
          <t>PAT8298</t>
        </is>
      </c>
      <c r="F4" s="10" t="n">
        <v>1200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0" t="n">
        <v>1200</v>
      </c>
      <c r="Z4" s="10" t="n">
        <v>0</v>
      </c>
      <c r="AA4" s="11" t="n"/>
    </row>
    <row r="5" ht="11.5" customHeight="1">
      <c r="A5" s="12" t="n">
        <v>2</v>
      </c>
      <c r="B5" s="13" t="inlineStr"/>
      <c r="C5" s="13" t="inlineStr"/>
      <c r="D5" s="13" t="inlineStr">
        <is>
          <t>EQUIPO MENOR</t>
        </is>
      </c>
      <c r="E5" s="12" t="inlineStr"/>
      <c r="F5" s="14" t="n">
        <v>500</v>
      </c>
      <c r="G5" s="14" t="n">
        <v>500</v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4" t="n">
        <v>0</v>
      </c>
      <c r="Z5" s="14" t="n">
        <v>500</v>
      </c>
      <c r="AA5" s="15" t="n"/>
    </row>
    <row r="6" ht="11.5" customHeight="1">
      <c r="A6" s="8" t="n">
        <v>3</v>
      </c>
      <c r="B6" s="9" t="inlineStr">
        <is>
          <t>ING. ANTONIO IBAÑEZ</t>
        </is>
      </c>
      <c r="C6" s="9" t="inlineStr">
        <is>
          <t>MAQUINARIA</t>
        </is>
      </c>
      <c r="D6" s="9" t="inlineStr">
        <is>
          <t>RAM 1200</t>
        </is>
      </c>
      <c r="E6" s="8" t="inlineStr">
        <is>
          <t>LHB188D</t>
        </is>
      </c>
      <c r="F6" s="10" t="n">
        <v>2500</v>
      </c>
      <c r="G6" s="11" t="n"/>
      <c r="H6" s="11" t="n"/>
      <c r="I6" s="11" t="n"/>
      <c r="J6" s="10" t="n">
        <v>1850.22</v>
      </c>
      <c r="K6" s="11" t="n"/>
      <c r="L6" s="11" t="n"/>
      <c r="M6" s="11" t="n"/>
      <c r="N6" s="11" t="n"/>
      <c r="O6" s="11" t="n"/>
      <c r="P6" s="11" t="n"/>
      <c r="Q6" s="11" t="n"/>
      <c r="R6" s="10" t="n">
        <v>2000</v>
      </c>
      <c r="S6" s="11" t="n"/>
      <c r="T6" s="11" t="n"/>
      <c r="U6" s="11" t="n"/>
      <c r="V6" s="11" t="n"/>
      <c r="W6" s="11" t="n"/>
      <c r="X6" s="11" t="n"/>
      <c r="Y6" s="10" t="n">
        <v>-1350.22</v>
      </c>
      <c r="Z6" s="10" t="n">
        <v>3850.22</v>
      </c>
      <c r="AA6" s="11" t="n"/>
    </row>
    <row r="7" ht="11.5" customHeight="1">
      <c r="A7" s="12" t="n">
        <v>4</v>
      </c>
      <c r="B7" s="13" t="inlineStr"/>
      <c r="C7" s="13" t="inlineStr"/>
      <c r="D7" s="13" t="inlineStr">
        <is>
          <t>EQUIPO MENOR</t>
        </is>
      </c>
      <c r="E7" s="12" t="inlineStr"/>
      <c r="F7" s="14" t="n">
        <v>500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4" t="n">
        <v>300</v>
      </c>
      <c r="T7" s="15" t="n"/>
      <c r="U7" s="15" t="n"/>
      <c r="V7" s="15" t="n"/>
      <c r="W7" s="15" t="n"/>
      <c r="X7" s="15" t="n"/>
      <c r="Y7" s="14" t="n">
        <v>200</v>
      </c>
      <c r="Z7" s="14" t="n">
        <v>300</v>
      </c>
      <c r="AA7" s="15" t="n"/>
    </row>
    <row r="8" ht="11.5" customHeight="1">
      <c r="A8" s="8" t="n">
        <v>5</v>
      </c>
      <c r="B8" s="9" t="inlineStr">
        <is>
          <t>ALBERTO HERNANDEZ DE JESUS</t>
        </is>
      </c>
      <c r="C8" s="9" t="inlineStr">
        <is>
          <t>MAQUINARIA</t>
        </is>
      </c>
      <c r="D8" s="9" t="inlineStr">
        <is>
          <t>DODGE RAM 700</t>
        </is>
      </c>
      <c r="E8" s="8" t="inlineStr">
        <is>
          <t>NXP4918</t>
        </is>
      </c>
      <c r="F8" s="10" t="n">
        <v>2500</v>
      </c>
      <c r="G8" s="11" t="n"/>
      <c r="H8" s="10" t="n">
        <v>1000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0" t="n">
        <v>800</v>
      </c>
      <c r="T8" s="11" t="n"/>
      <c r="U8" s="11" t="n"/>
      <c r="V8" s="10" t="n">
        <v>500</v>
      </c>
      <c r="W8" s="11" t="n"/>
      <c r="X8" s="11" t="n"/>
      <c r="Y8" s="10" t="n">
        <v>200</v>
      </c>
      <c r="Z8" s="10" t="n">
        <v>2300</v>
      </c>
      <c r="AA8" s="11" t="n"/>
    </row>
    <row r="9" ht="11.5" customHeight="1">
      <c r="A9" s="12" t="n">
        <v>6</v>
      </c>
      <c r="B9" s="13" t="inlineStr">
        <is>
          <t>JUAN CARLOS NAZAR</t>
        </is>
      </c>
      <c r="C9" s="13" t="inlineStr">
        <is>
          <t>MAQUINARIA</t>
        </is>
      </c>
      <c r="D9" s="13" t="inlineStr">
        <is>
          <t>DODGE RAM 700</t>
        </is>
      </c>
      <c r="E9" s="12" t="inlineStr">
        <is>
          <t>PCW9391</t>
        </is>
      </c>
      <c r="F9" s="14" t="n">
        <v>1500</v>
      </c>
      <c r="G9" s="14" t="n">
        <v>500</v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4" t="n">
        <v>-242.4</v>
      </c>
      <c r="Z9" s="14" t="n">
        <v>500</v>
      </c>
      <c r="AA9" s="15" t="n"/>
    </row>
    <row r="10" ht="11.5" customHeight="1">
      <c r="A10" s="8" t="n">
        <v>7</v>
      </c>
      <c r="B10" s="9" t="inlineStr">
        <is>
          <t>EDGAR VELAZQUEZ ESQUIVEL</t>
        </is>
      </c>
      <c r="C10" s="9" t="inlineStr">
        <is>
          <t>MAQUINARIA</t>
        </is>
      </c>
      <c r="D10" s="9" t="inlineStr"/>
      <c r="E10" s="8" t="inlineStr">
        <is>
          <t>PCW9238</t>
        </is>
      </c>
      <c r="F10" s="10" t="n">
        <v>1500</v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0" t="n">
        <v>1242.4</v>
      </c>
      <c r="T10" s="11" t="n"/>
      <c r="U10" s="11" t="n"/>
      <c r="V10" s="11" t="n"/>
      <c r="W10" s="11" t="n"/>
      <c r="X10" s="11" t="n"/>
      <c r="Y10" s="10" t="n">
        <v>257.6</v>
      </c>
      <c r="Z10" s="10" t="n">
        <v>1242.4</v>
      </c>
      <c r="AA10" s="11" t="n"/>
    </row>
    <row r="11" ht="11.5" customHeight="1">
      <c r="A11" s="12" t="n">
        <v>8</v>
      </c>
      <c r="B11" s="13" t="inlineStr">
        <is>
          <t>ROBERTO CARLOS GARCÍA</t>
        </is>
      </c>
      <c r="C11" s="13" t="inlineStr">
        <is>
          <t>H. COLEGIO MILITAR</t>
        </is>
      </c>
      <c r="D11" s="13" t="inlineStr">
        <is>
          <t>CHANGAN ALSVIN</t>
        </is>
      </c>
      <c r="E11" s="12" t="inlineStr">
        <is>
          <t>LMH893A</t>
        </is>
      </c>
      <c r="F11" s="14" t="n">
        <v>700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4" t="n">
        <v>700</v>
      </c>
      <c r="Z11" s="14" t="n">
        <v>0</v>
      </c>
      <c r="AA11" s="15" t="n"/>
    </row>
    <row r="12" ht="11.5" customHeight="1">
      <c r="A12" s="8" t="n">
        <v>9</v>
      </c>
      <c r="B12" s="9" t="inlineStr">
        <is>
          <t>OSCAR ESTRADA LINARES</t>
        </is>
      </c>
      <c r="C12" s="9" t="inlineStr">
        <is>
          <t>EXPLANADA DAMIAN CARMONA</t>
        </is>
      </c>
      <c r="D12" s="9" t="inlineStr">
        <is>
          <t>NISSAN NP-300</t>
        </is>
      </c>
      <c r="E12" s="8" t="inlineStr">
        <is>
          <t>MAH844C</t>
        </is>
      </c>
      <c r="F12" s="10" t="n">
        <v>1500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0" t="n">
        <v>1500</v>
      </c>
      <c r="Z12" s="10" t="n">
        <v>0</v>
      </c>
      <c r="AA12" s="11" t="n"/>
    </row>
    <row r="13" ht="11.5" customHeight="1">
      <c r="A13" s="12" t="n">
        <v>10</v>
      </c>
      <c r="B13" s="13" t="inlineStr">
        <is>
          <t>DIEGO CARREOLA</t>
        </is>
      </c>
      <c r="C13" s="13" t="inlineStr">
        <is>
          <t>BACHEO TOLUCA Y C. VICENTE LOMBARDO</t>
        </is>
      </c>
      <c r="D13" s="13" t="inlineStr">
        <is>
          <t>MITSUBISHI L1200</t>
        </is>
      </c>
      <c r="E13" s="12" t="inlineStr">
        <is>
          <t>NYZ829C</t>
        </is>
      </c>
      <c r="F13" s="14" t="n">
        <v>1500</v>
      </c>
      <c r="G13" s="15" t="n"/>
      <c r="H13" s="15" t="n"/>
      <c r="I13" s="15" t="n"/>
      <c r="J13" s="15" t="n"/>
      <c r="K13" s="15" t="n"/>
      <c r="L13" s="15" t="n"/>
      <c r="M13" s="14" t="n">
        <v>1532.1</v>
      </c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4" t="n">
        <v>-32.1</v>
      </c>
      <c r="Z13" s="14" t="n">
        <v>1532.1</v>
      </c>
      <c r="AA13" s="15" t="n"/>
    </row>
    <row r="14" ht="11.5" customHeight="1">
      <c r="A14" s="8" t="n">
        <v>11</v>
      </c>
      <c r="B14" s="9" t="inlineStr"/>
      <c r="C14" s="9" t="inlineStr">
        <is>
          <t>BACHEO TOLUCA</t>
        </is>
      </c>
      <c r="D14" s="9" t="inlineStr">
        <is>
          <t>EQUIPO MENOR</t>
        </is>
      </c>
      <c r="E14" s="8" t="inlineStr"/>
      <c r="F14" s="10" t="n">
        <v>500</v>
      </c>
      <c r="G14" s="10" t="n">
        <v>500</v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0" t="n">
        <v>400</v>
      </c>
      <c r="Q14" s="11" t="n"/>
      <c r="R14" s="11" t="n"/>
      <c r="S14" s="11" t="n"/>
      <c r="T14" s="11" t="n"/>
      <c r="U14" s="11" t="n"/>
      <c r="V14" s="11" t="n"/>
      <c r="W14" s="11" t="n"/>
      <c r="X14" s="11" t="n"/>
      <c r="Y14" s="10" t="n">
        <v>-400</v>
      </c>
      <c r="Z14" s="10" t="n">
        <v>900</v>
      </c>
      <c r="AA14" s="11" t="n"/>
    </row>
    <row r="15" ht="11.5" customHeight="1">
      <c r="A15" s="12" t="n">
        <v>12</v>
      </c>
      <c r="B15" s="13" t="inlineStr">
        <is>
          <t>TOMAS ARANDA PROSPERO</t>
        </is>
      </c>
      <c r="C15" s="13" t="inlineStr">
        <is>
          <t>BACHEO TOLUCA Y C. VICENTE LOMBARDO</t>
        </is>
      </c>
      <c r="D15" s="13" t="inlineStr">
        <is>
          <t>DODGE RAM 4000 (3/2)</t>
        </is>
      </c>
      <c r="E15" s="12" t="inlineStr">
        <is>
          <t>LF05470</t>
        </is>
      </c>
      <c r="F15" s="14" t="n">
        <v>1500</v>
      </c>
      <c r="G15" s="14" t="n">
        <v>1500</v>
      </c>
      <c r="H15" s="15" t="n"/>
      <c r="I15" s="15" t="n"/>
      <c r="J15" s="15" t="n"/>
      <c r="K15" s="15" t="n"/>
      <c r="L15" s="15" t="n"/>
      <c r="M15" s="14" t="n">
        <v>1500</v>
      </c>
      <c r="N15" s="15" t="n"/>
      <c r="O15" s="15" t="n"/>
      <c r="P15" s="15" t="n"/>
      <c r="Q15" s="15" t="n"/>
      <c r="R15" s="15" t="n"/>
      <c r="S15" s="14" t="n">
        <v>1500</v>
      </c>
      <c r="T15" s="15" t="n"/>
      <c r="U15" s="15" t="n"/>
      <c r="V15" s="15" t="n"/>
      <c r="W15" s="15" t="n"/>
      <c r="X15" s="15" t="n"/>
      <c r="Y15" s="14" t="n">
        <v>-3000</v>
      </c>
      <c r="Z15" s="14" t="n">
        <v>4500</v>
      </c>
      <c r="AA15" s="15" t="n"/>
    </row>
    <row r="16" ht="11.5" customHeight="1">
      <c r="A16" s="8" t="n">
        <v>13</v>
      </c>
      <c r="B16" s="9" t="inlineStr">
        <is>
          <t>JAVIER PEREZ DÍAZ</t>
        </is>
      </c>
      <c r="C16" s="9" t="inlineStr">
        <is>
          <t>OBRA MÉXICO TOLUCA</t>
        </is>
      </c>
      <c r="D16" s="9" t="inlineStr">
        <is>
          <t>MITSUBISHI 1200</t>
        </is>
      </c>
      <c r="E16" s="8" t="inlineStr">
        <is>
          <t>MHL758A</t>
        </is>
      </c>
      <c r="F16" s="10" t="n">
        <v>2500</v>
      </c>
      <c r="G16" s="11" t="n"/>
      <c r="H16" s="10" t="n">
        <v>1500</v>
      </c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0" t="n">
        <v>1000</v>
      </c>
      <c r="X16" s="11" t="n"/>
      <c r="Y16" s="10" t="n">
        <v>0</v>
      </c>
      <c r="Z16" s="10" t="n">
        <v>2500</v>
      </c>
      <c r="AA16" s="10" t="n">
        <v>6500</v>
      </c>
    </row>
    <row r="17" ht="11.5" customHeight="1">
      <c r="A17" s="12" t="n">
        <v>14</v>
      </c>
      <c r="B17" s="13" t="inlineStr">
        <is>
          <t>ALEXIS SAMUEL RENDON DOMINGUEZ</t>
        </is>
      </c>
      <c r="C17" s="13" t="inlineStr">
        <is>
          <t>OBRA MÉXICO TOLUCA</t>
        </is>
      </c>
      <c r="D17" s="13" t="inlineStr">
        <is>
          <t>TOYOTA HIACE (URBAN)</t>
        </is>
      </c>
      <c r="E17" s="12" t="inlineStr">
        <is>
          <t>PBT1230</t>
        </is>
      </c>
      <c r="F17" s="14" t="n">
        <v>2500</v>
      </c>
      <c r="G17" s="15" t="n"/>
      <c r="H17" s="15" t="n"/>
      <c r="I17" s="15" t="n"/>
      <c r="J17" s="15" t="n"/>
      <c r="K17" s="15" t="n"/>
      <c r="L17" s="15" t="n"/>
      <c r="M17" s="15" t="n"/>
      <c r="N17" s="14" t="n">
        <v>1500</v>
      </c>
      <c r="O17" s="15" t="n"/>
      <c r="P17" s="15" t="n"/>
      <c r="Q17" s="15" t="n"/>
      <c r="R17" s="15" t="n"/>
      <c r="S17" s="15" t="n"/>
      <c r="T17" s="15" t="n"/>
      <c r="U17" s="15" t="n"/>
      <c r="V17" s="15" t="n"/>
      <c r="W17" s="14" t="n">
        <v>1000</v>
      </c>
      <c r="X17" s="15" t="n"/>
      <c r="Y17" s="14" t="n">
        <v>0</v>
      </c>
      <c r="Z17" s="14" t="n">
        <v>2500</v>
      </c>
      <c r="AA17" s="15" t="n"/>
    </row>
    <row r="18" ht="11.5" customHeight="1">
      <c r="A18" s="8" t="n">
        <v>15</v>
      </c>
      <c r="B18" s="9" t="inlineStr">
        <is>
          <t>CRISTIAN REYES GAMORA</t>
        </is>
      </c>
      <c r="C18" s="9" t="inlineStr">
        <is>
          <t>OBRA MÉXICO TOLUCA</t>
        </is>
      </c>
      <c r="D18" s="9" t="inlineStr">
        <is>
          <t>DODGE RAM 4000 (3/2)</t>
        </is>
      </c>
      <c r="E18" s="8" t="inlineStr">
        <is>
          <t>LH49730</t>
        </is>
      </c>
      <c r="F18" s="10" t="n">
        <v>4000</v>
      </c>
      <c r="G18" s="11" t="n"/>
      <c r="H18" s="10" t="n">
        <v>1500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0" t="n">
        <v>2500</v>
      </c>
      <c r="Z18" s="10" t="n">
        <v>1500</v>
      </c>
      <c r="AA18" s="11" t="n"/>
    </row>
    <row r="19" ht="11.5" customHeight="1">
      <c r="A19" s="12" t="n">
        <v>16</v>
      </c>
      <c r="B19" s="13" t="inlineStr">
        <is>
          <t>APOLINAR REYES BOLAINA</t>
        </is>
      </c>
      <c r="C19" s="13" t="inlineStr">
        <is>
          <t>LERMA TENANGO</t>
        </is>
      </c>
      <c r="D19" s="13" t="inlineStr">
        <is>
          <t>MITSUBISHI 1200</t>
        </is>
      </c>
      <c r="E19" s="12" t="inlineStr">
        <is>
          <t>NYZ971C</t>
        </is>
      </c>
      <c r="F19" s="14" t="n">
        <v>2500</v>
      </c>
      <c r="G19" s="14" t="n">
        <v>1473.84</v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4" t="n">
        <v>1026.16</v>
      </c>
      <c r="Z19" s="14" t="n">
        <v>1473.84</v>
      </c>
      <c r="AA19" s="15" t="n"/>
    </row>
    <row r="20" ht="11.5" customHeight="1">
      <c r="A20" s="8" t="n">
        <v>17</v>
      </c>
      <c r="B20" s="9" t="inlineStr"/>
      <c r="C20" s="9" t="inlineStr"/>
      <c r="D20" s="9" t="inlineStr">
        <is>
          <t>CORTADORA DE CONCRETO</t>
        </is>
      </c>
      <c r="E20" s="8" t="inlineStr"/>
      <c r="F20" s="10" t="n">
        <v>1000</v>
      </c>
      <c r="G20" s="11" t="n"/>
      <c r="H20" s="11" t="n"/>
      <c r="I20" s="11" t="n"/>
      <c r="J20" s="10" t="n">
        <v>1000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0" t="n">
        <v>0</v>
      </c>
      <c r="Z20" s="10" t="n">
        <v>1000</v>
      </c>
      <c r="AA20" s="10" t="n">
        <v>10473.84</v>
      </c>
    </row>
    <row r="21" ht="11.5" customHeight="1">
      <c r="A21" s="12" t="n">
        <v>18</v>
      </c>
      <c r="B21" s="13" t="inlineStr"/>
      <c r="C21" s="13" t="inlineStr"/>
      <c r="D21" s="13" t="inlineStr">
        <is>
          <t>MOTOR AUXILIAR PETROLIZADORA</t>
        </is>
      </c>
      <c r="E21" s="12" t="inlineStr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4" t="n">
        <v>0</v>
      </c>
      <c r="Z21" s="14" t="n">
        <v>0</v>
      </c>
      <c r="AA21" s="15" t="n"/>
    </row>
    <row r="22" ht="11.5" customHeight="1">
      <c r="A22" s="8" t="n">
        <v>19</v>
      </c>
      <c r="B22" s="9" t="inlineStr"/>
      <c r="C22" s="9" t="inlineStr"/>
      <c r="D22" s="9" t="inlineStr">
        <is>
          <t>MOTOR AUXILIAR PIPA DE AGUA</t>
        </is>
      </c>
      <c r="E22" s="8" t="inlineStr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0" t="n">
        <v>0</v>
      </c>
      <c r="Z22" s="10" t="n">
        <v>0</v>
      </c>
      <c r="AA22" s="11" t="n"/>
    </row>
    <row r="23" ht="11.5" customHeight="1">
      <c r="A23" s="12" t="n">
        <v>20</v>
      </c>
      <c r="B23" s="13" t="inlineStr">
        <is>
          <t>LEONCIO MARTINEZ PASCACIO</t>
        </is>
      </c>
      <c r="C23" s="13" t="inlineStr">
        <is>
          <t>LERMA TENANGO</t>
        </is>
      </c>
      <c r="D23" s="13" t="inlineStr">
        <is>
          <t>MITSUBISHI 1200</t>
        </is>
      </c>
      <c r="E23" s="12" t="inlineStr">
        <is>
          <t>NYZ790C</t>
        </is>
      </c>
      <c r="F23" s="14" t="n">
        <v>1500</v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4" t="n">
        <v>1500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4" t="n">
        <v>0</v>
      </c>
      <c r="Z23" s="14" t="n">
        <v>1500</v>
      </c>
      <c r="AA23" s="15" t="n"/>
    </row>
    <row r="24" ht="11.5" customHeight="1">
      <c r="A24" s="8" t="n">
        <v>21</v>
      </c>
      <c r="B24" s="9" t="inlineStr">
        <is>
          <t>CARMELO ALVAREZ ANICETO</t>
        </is>
      </c>
      <c r="C24" s="9" t="inlineStr">
        <is>
          <t>LERMA TENANGO</t>
        </is>
      </c>
      <c r="D24" s="9" t="inlineStr">
        <is>
          <t>DODGE RAM 4000 (3/2)</t>
        </is>
      </c>
      <c r="E24" s="8" t="inlineStr">
        <is>
          <t>LH49746</t>
        </is>
      </c>
      <c r="F24" s="10" t="n">
        <v>3000</v>
      </c>
      <c r="G24" s="11" t="n"/>
      <c r="H24" s="11" t="n"/>
      <c r="I24" s="11" t="n"/>
      <c r="J24" s="10" t="n">
        <v>3000</v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0" t="n">
        <v>1000</v>
      </c>
      <c r="T24" s="11" t="n"/>
      <c r="U24" s="11" t="n"/>
      <c r="V24" s="11" t="n"/>
      <c r="W24" s="11" t="n"/>
      <c r="X24" s="11" t="n"/>
      <c r="Y24" s="10" t="n">
        <v>-1000</v>
      </c>
      <c r="Z24" s="10" t="n">
        <v>4000</v>
      </c>
      <c r="AA24" s="11" t="n"/>
    </row>
    <row r="25" ht="11.5" customHeight="1">
      <c r="A25" s="12" t="n">
        <v>22</v>
      </c>
      <c r="B25" s="13" t="inlineStr">
        <is>
          <t>DIEGO FERNANDEZ SANTIAGO</t>
        </is>
      </c>
      <c r="C25" s="13" t="inlineStr">
        <is>
          <t>LERMA TENANGO</t>
        </is>
      </c>
      <c r="D25" s="13" t="inlineStr">
        <is>
          <t>TOYOTA HIACE (URBAN)</t>
        </is>
      </c>
      <c r="E25" s="12" t="inlineStr">
        <is>
          <t>PBT1229</t>
        </is>
      </c>
      <c r="F25" s="14" t="n">
        <v>2500</v>
      </c>
      <c r="G25" s="15" t="n"/>
      <c r="H25" s="15" t="n"/>
      <c r="I25" s="15" t="n"/>
      <c r="J25" s="14" t="n">
        <v>1290.54</v>
      </c>
      <c r="K25" s="15" t="n"/>
      <c r="L25" s="15" t="n"/>
      <c r="M25" s="15" t="n"/>
      <c r="N25" s="15" t="n"/>
      <c r="O25" s="15" t="n"/>
      <c r="P25" s="15" t="n"/>
      <c r="Q25" s="15" t="n"/>
      <c r="R25" s="15" t="n"/>
      <c r="S25" s="14" t="n">
        <v>1209.46</v>
      </c>
      <c r="T25" s="15" t="n"/>
      <c r="U25" s="15" t="n"/>
      <c r="V25" s="15" t="n"/>
      <c r="W25" s="15" t="n"/>
      <c r="X25" s="15" t="n"/>
      <c r="Y25" s="14" t="n">
        <v>0</v>
      </c>
      <c r="Z25" s="14" t="n">
        <v>2500</v>
      </c>
      <c r="AA25" s="15" t="n"/>
    </row>
    <row r="26" ht="11.5" customHeight="1">
      <c r="A26" s="8" t="n">
        <v>23</v>
      </c>
      <c r="B26" s="9" t="inlineStr">
        <is>
          <t>DAMIAN ANTONIO PUINI</t>
        </is>
      </c>
      <c r="C26" s="9" t="inlineStr">
        <is>
          <t>P. ASFALTO HUIXQUILUCAN</t>
        </is>
      </c>
      <c r="D26" s="9" t="inlineStr">
        <is>
          <t>FORD RANGER</t>
        </is>
      </c>
      <c r="E26" s="8" t="inlineStr">
        <is>
          <t>PCU7482</t>
        </is>
      </c>
      <c r="F26" s="10" t="n">
        <v>2500</v>
      </c>
      <c r="G26" s="10" t="n">
        <v>1000</v>
      </c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0" t="n">
        <v>1500</v>
      </c>
      <c r="R26" s="11" t="n"/>
      <c r="S26" s="11" t="n"/>
      <c r="T26" s="11" t="n"/>
      <c r="U26" s="11" t="n"/>
      <c r="V26" s="11" t="n"/>
      <c r="W26" s="10" t="n">
        <v>500</v>
      </c>
      <c r="X26" s="11" t="n"/>
      <c r="Y26" s="10" t="n">
        <v>-500</v>
      </c>
      <c r="Z26" s="10" t="n">
        <v>3000</v>
      </c>
      <c r="AA26" s="11" t="n"/>
    </row>
    <row r="27" ht="11.5" customHeight="1">
      <c r="A27" s="12" t="n">
        <v>24</v>
      </c>
      <c r="B27" s="13" t="inlineStr">
        <is>
          <t>LUIS VALDEZ</t>
        </is>
      </c>
      <c r="C27" s="13" t="inlineStr"/>
      <c r="D27" s="13" t="inlineStr">
        <is>
          <t>EQUIPO MENOR</t>
        </is>
      </c>
      <c r="E27" s="12" t="inlineStr"/>
      <c r="F27" s="14" t="n">
        <v>500</v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4" t="n">
        <v>500</v>
      </c>
      <c r="Z27" s="14" t="n">
        <v>0</v>
      </c>
      <c r="AA27" s="15" t="n"/>
    </row>
    <row r="28" ht="11.5" customHeight="1">
      <c r="A28" s="8" t="n">
        <v>25</v>
      </c>
      <c r="B28" s="9" t="inlineStr">
        <is>
          <t>CLEMENTE SANABRIA</t>
        </is>
      </c>
      <c r="C28" s="9" t="inlineStr">
        <is>
          <t>TRANSPORTES FLOTILLA</t>
        </is>
      </c>
      <c r="D28" s="9" t="inlineStr">
        <is>
          <t>RAM 1200</t>
        </is>
      </c>
      <c r="E28" s="8" t="inlineStr">
        <is>
          <t>LHB184D</t>
        </is>
      </c>
      <c r="F28" s="10" t="n">
        <v>2500</v>
      </c>
      <c r="G28" s="11" t="n"/>
      <c r="H28" s="11" t="n"/>
      <c r="I28" s="10" t="n">
        <v>1000</v>
      </c>
      <c r="J28" s="11" t="n"/>
      <c r="K28" s="11" t="n"/>
      <c r="L28" s="10" t="n">
        <v>1400</v>
      </c>
      <c r="M28" s="11" t="n"/>
      <c r="N28" s="11" t="n"/>
      <c r="O28" s="10" t="n">
        <v>1500</v>
      </c>
      <c r="P28" s="11" t="n"/>
      <c r="Q28" s="11" t="n"/>
      <c r="R28" s="10" t="n">
        <v>1300</v>
      </c>
      <c r="S28" s="11" t="n"/>
      <c r="T28" s="10" t="n">
        <v>1000</v>
      </c>
      <c r="U28" s="11" t="n"/>
      <c r="V28" s="11" t="n"/>
      <c r="W28" s="11" t="n"/>
      <c r="X28" s="11" t="n"/>
      <c r="Y28" s="8" t="e">
        <v>#REF!</v>
      </c>
      <c r="Z28" s="10" t="n">
        <v>6200</v>
      </c>
      <c r="AA28" s="11" t="n"/>
    </row>
    <row r="29" ht="11.5" customHeight="1">
      <c r="A29" s="12" t="n">
        <v>26</v>
      </c>
      <c r="B29" s="13" t="inlineStr">
        <is>
          <t>BRYAN GABRIEL CHAVEZ ALVAREZ</t>
        </is>
      </c>
      <c r="C29" s="13" t="inlineStr">
        <is>
          <t>TRANSPORTES FLOTILLA</t>
        </is>
      </c>
      <c r="D29" s="13" t="inlineStr">
        <is>
          <t>CHEVROLET TORNADO</t>
        </is>
      </c>
      <c r="E29" s="12" t="inlineStr">
        <is>
          <t>NUZ948C</t>
        </is>
      </c>
      <c r="F29" s="14" t="n">
        <v>1000</v>
      </c>
      <c r="G29" s="14" t="n">
        <v>800</v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4" t="n">
        <v>700.04</v>
      </c>
      <c r="T29" s="15" t="n"/>
      <c r="U29" s="15" t="n"/>
      <c r="V29" s="15" t="n"/>
      <c r="W29" s="15" t="n"/>
      <c r="X29" s="15" t="n"/>
      <c r="Y29" s="14" t="n">
        <v>-500.04</v>
      </c>
      <c r="Z29" s="14" t="n">
        <v>1500.04</v>
      </c>
      <c r="AA29" s="15" t="n"/>
    </row>
    <row r="30" ht="11.5" customHeight="1">
      <c r="A30" s="8" t="n">
        <v>27</v>
      </c>
      <c r="B30" s="9" t="inlineStr"/>
      <c r="C30" s="9" t="inlineStr"/>
      <c r="D30" s="9" t="inlineStr">
        <is>
          <t>MOTORES LOWBOY</t>
        </is>
      </c>
      <c r="E30" s="8" t="inlineStr"/>
      <c r="F30" s="10" t="n">
        <v>500</v>
      </c>
      <c r="G30" s="10" t="n">
        <v>500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0" t="n">
        <v>0</v>
      </c>
      <c r="Z30" s="10" t="n">
        <v>500</v>
      </c>
      <c r="AA30" s="11" t="n"/>
    </row>
    <row r="31" ht="11.5" customHeight="1">
      <c r="A31" s="12" t="n">
        <v>28</v>
      </c>
      <c r="B31" s="13" t="inlineStr"/>
      <c r="C31" s="13" t="inlineStr"/>
      <c r="D31" s="13" t="inlineStr">
        <is>
          <t>MOTORES LOWBOY</t>
        </is>
      </c>
      <c r="E31" s="12" t="inlineStr"/>
      <c r="F31" s="14" t="n">
        <v>500</v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4" t="n">
        <v>500</v>
      </c>
      <c r="Z31" s="14" t="n">
        <v>0</v>
      </c>
      <c r="AA31" s="15" t="n"/>
    </row>
    <row r="32" ht="11.5" customHeight="1">
      <c r="A32" s="8" t="n">
        <v>29</v>
      </c>
      <c r="B32" s="9" t="inlineStr">
        <is>
          <t>ROBERTO ORTEGA</t>
        </is>
      </c>
      <c r="C32" s="9" t="inlineStr"/>
      <c r="D32" s="9" t="inlineStr"/>
      <c r="E32" s="8" t="inlineStr">
        <is>
          <t>MNX601B</t>
        </is>
      </c>
      <c r="F32" s="10" t="n">
        <v>800</v>
      </c>
      <c r="G32" s="10" t="n">
        <v>800</v>
      </c>
      <c r="H32" s="11" t="n"/>
      <c r="I32" s="11" t="n"/>
      <c r="J32" s="11" t="n"/>
      <c r="K32" s="11" t="n"/>
      <c r="L32" s="11" t="n"/>
      <c r="M32" s="11" t="n"/>
      <c r="N32" s="11" t="n"/>
      <c r="O32" s="11" t="n"/>
      <c r="P32" s="10" t="n">
        <v>1000</v>
      </c>
      <c r="Q32" s="11" t="n"/>
      <c r="R32" s="11" t="n"/>
      <c r="S32" s="11" t="n"/>
      <c r="T32" s="11" t="n"/>
      <c r="U32" s="11" t="n"/>
      <c r="V32" s="11" t="n"/>
      <c r="W32" s="11" t="n"/>
      <c r="X32" s="11" t="n"/>
      <c r="Y32" s="10" t="n">
        <v>-1000</v>
      </c>
      <c r="Z32" s="10" t="n">
        <v>1800</v>
      </c>
      <c r="AA32" s="11" t="n"/>
    </row>
    <row r="33" ht="11.5" customHeight="1">
      <c r="A33" s="12" t="n">
        <v>30</v>
      </c>
      <c r="B33" s="13" t="inlineStr"/>
      <c r="C33" s="13" t="inlineStr"/>
      <c r="D33" s="13" t="inlineStr">
        <is>
          <t>EQUIPO MENOR</t>
        </is>
      </c>
      <c r="E33" s="12" t="inlineStr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4" t="n">
        <v>300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4" t="n">
        <v>-300</v>
      </c>
      <c r="Z33" s="14" t="n">
        <v>300</v>
      </c>
      <c r="AA33" s="15" t="n"/>
    </row>
    <row r="34" ht="11.5" customHeight="1">
      <c r="A34" s="8" t="inlineStr"/>
      <c r="B34" s="9" t="inlineStr">
        <is>
          <t>VICTOR</t>
        </is>
      </c>
      <c r="C34" s="9" t="inlineStr"/>
      <c r="D34" s="9" t="inlineStr"/>
      <c r="E34" s="8" t="inlineStr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0" t="n">
        <v>890.8200000000001</v>
      </c>
      <c r="V34" s="11" t="n"/>
      <c r="W34" s="11" t="n"/>
      <c r="X34" s="11" t="n"/>
      <c r="Y34" s="11" t="n"/>
      <c r="Z34" s="11" t="n"/>
      <c r="AA34" s="11" t="n"/>
    </row>
    <row r="35" ht="11.5" customHeight="1">
      <c r="A35" s="12" t="n">
        <v>31</v>
      </c>
      <c r="B35" s="13" t="inlineStr">
        <is>
          <t>SAMUEL ORTEGA SILVA</t>
        </is>
      </c>
      <c r="C35" s="13" t="inlineStr"/>
      <c r="D35" s="13" t="inlineStr">
        <is>
          <t>MITSUBISHI L200</t>
        </is>
      </c>
      <c r="E35" s="12" t="inlineStr">
        <is>
          <t>NZT266B</t>
        </is>
      </c>
      <c r="F35" s="14" t="n">
        <v>3000</v>
      </c>
      <c r="G35" s="15" t="n"/>
      <c r="H35" s="14" t="n">
        <v>1000</v>
      </c>
      <c r="I35" s="15" t="n"/>
      <c r="J35" s="15" t="n"/>
      <c r="K35" s="15" t="n"/>
      <c r="L35" s="15" t="n"/>
      <c r="M35" s="15" t="n"/>
      <c r="N35" s="14" t="n">
        <v>1000</v>
      </c>
      <c r="O35" s="15" t="n"/>
      <c r="P35" s="15" t="n"/>
      <c r="Q35" s="15" t="n"/>
      <c r="R35" s="15" t="n"/>
      <c r="S35" s="15" t="n"/>
      <c r="T35" s="14" t="n">
        <v>1000</v>
      </c>
      <c r="U35" s="15" t="n"/>
      <c r="V35" s="15" t="n"/>
      <c r="W35" s="15" t="n"/>
      <c r="X35" s="15" t="n"/>
      <c r="Y35" s="14" t="n">
        <v>0</v>
      </c>
      <c r="Z35" s="14" t="n">
        <v>3000</v>
      </c>
      <c r="AA35" s="15" t="n"/>
    </row>
    <row r="36" ht="13.5" customHeight="1">
      <c r="A36" s="16" t="inlineStr">
        <is>
          <t>TOTALES J.D.J.</t>
        </is>
      </c>
      <c r="B36" s="17" t="n"/>
      <c r="C36" s="17" t="n"/>
      <c r="D36" s="17" t="n"/>
      <c r="E36" s="17" t="n"/>
      <c r="F36" s="18">
        <f>SUM(F4:F35)</f>
        <v/>
      </c>
      <c r="G36" s="18">
        <f>SUM(G4:G35)</f>
        <v/>
      </c>
      <c r="H36" s="18">
        <f>SUM(H4:H35)</f>
        <v/>
      </c>
      <c r="I36" s="18">
        <f>SUM(I4:I35)</f>
        <v/>
      </c>
      <c r="J36" s="18">
        <f>SUM(J4:J35)</f>
        <v/>
      </c>
      <c r="K36" s="18">
        <f>SUM(K4:K35)</f>
        <v/>
      </c>
      <c r="L36" s="18">
        <f>SUM(L4:L35)</f>
        <v/>
      </c>
      <c r="M36" s="18">
        <f>SUM(M4:M35)</f>
        <v/>
      </c>
      <c r="N36" s="18">
        <f>SUM(N4:N35)</f>
        <v/>
      </c>
      <c r="O36" s="18">
        <f>SUM(O4:O35)</f>
        <v/>
      </c>
      <c r="P36" s="18">
        <f>SUM(P4:P35)</f>
        <v/>
      </c>
      <c r="Q36" s="18">
        <f>SUM(Q4:Q35)</f>
        <v/>
      </c>
      <c r="R36" s="18">
        <f>SUM(R4:R35)</f>
        <v/>
      </c>
      <c r="S36" s="18">
        <f>SUM(S4:S35)</f>
        <v/>
      </c>
      <c r="T36" s="18">
        <f>SUM(T4:T35)</f>
        <v/>
      </c>
      <c r="U36" s="18">
        <f>SUM(U4:U35)</f>
        <v/>
      </c>
      <c r="V36" s="18">
        <f>SUM(V4:V35)</f>
        <v/>
      </c>
      <c r="W36" s="18">
        <f>SUM(W4:W35)</f>
        <v/>
      </c>
      <c r="X36" s="18">
        <f>SUM(X4:X35)</f>
        <v/>
      </c>
      <c r="Y36" s="18">
        <f>SUM(Y4:Y35)</f>
        <v/>
      </c>
      <c r="Z36" s="18">
        <f>SUM(Z4:Z35)</f>
        <v/>
      </c>
      <c r="AA36" s="18">
        <f>SUM(AA4:AA35)</f>
        <v/>
      </c>
    </row>
    <row r="37" ht="6" customHeight="1"/>
    <row r="38" ht="17" customHeight="1">
      <c r="A38" s="1" t="inlineStr">
        <is>
          <t>GASOLINA - TRITURADORA ROCA DURA SAN MIGUEL  (SEMANA 26)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4" customHeight="1">
      <c r="A39" s="3" t="inlineStr">
        <is>
          <t>NO.</t>
        </is>
      </c>
      <c r="B39" s="3" t="inlineStr">
        <is>
          <t>RESPONSABLE</t>
        </is>
      </c>
      <c r="C39" s="3" t="inlineStr">
        <is>
          <t>CENTRO DE TRABAJO</t>
        </is>
      </c>
      <c r="D39" s="3" t="inlineStr">
        <is>
          <t>UNIDAD / EQUIPO</t>
        </is>
      </c>
      <c r="E39" s="3" t="inlineStr">
        <is>
          <t>PLACAS</t>
        </is>
      </c>
      <c r="F39" s="3" t="inlineStr">
        <is>
          <t>IMPORTE AUTORIZADO</t>
        </is>
      </c>
      <c r="G39" s="4" t="inlineStr">
        <is>
          <t>LUN 22/JUN</t>
        </is>
      </c>
      <c r="H39" s="2" t="n"/>
      <c r="I39" s="2" t="n"/>
      <c r="J39" s="4" t="inlineStr">
        <is>
          <t>MAR 23/JUN</t>
        </is>
      </c>
      <c r="K39" s="2" t="n"/>
      <c r="L39" s="2" t="n"/>
      <c r="M39" s="4" t="inlineStr">
        <is>
          <t>MIÉ 24/JUN</t>
        </is>
      </c>
      <c r="N39" s="2" t="n"/>
      <c r="O39" s="2" t="n"/>
      <c r="P39" s="4" t="inlineStr">
        <is>
          <t>JUE 25/JUN</t>
        </is>
      </c>
      <c r="Q39" s="2" t="n"/>
      <c r="R39" s="2" t="n"/>
      <c r="S39" s="4" t="inlineStr">
        <is>
          <t>VIE 26/JUN</t>
        </is>
      </c>
      <c r="T39" s="2" t="n"/>
      <c r="U39" s="2" t="n"/>
      <c r="V39" s="4" t="inlineStr">
        <is>
          <t>SÁB 27/JUN</t>
        </is>
      </c>
      <c r="W39" s="2" t="n"/>
      <c r="X39" s="2" t="n"/>
      <c r="Y39" s="4" t="inlineStr">
        <is>
          <t>REMANENTE</t>
        </is>
      </c>
      <c r="Z39" s="5" t="inlineStr">
        <is>
          <t>REMANENTE
(SALDO)</t>
        </is>
      </c>
      <c r="AA39" s="3" t="inlineStr">
        <is>
          <t>CONSUMO
SEMANAL</t>
        </is>
      </c>
    </row>
    <row r="40" ht="13" customHeight="1">
      <c r="A40" s="6" t="n"/>
      <c r="B40" s="6" t="n"/>
      <c r="C40" s="6" t="n"/>
      <c r="D40" s="6" t="n"/>
      <c r="E40" s="6" t="n"/>
      <c r="F40" s="6" t="n"/>
      <c r="G40" s="7" t="inlineStr">
        <is>
          <t>LEVET</t>
        </is>
      </c>
      <c r="H40" s="7" t="inlineStr">
        <is>
          <t>MOBILE</t>
        </is>
      </c>
      <c r="I40" s="7" t="inlineStr">
        <is>
          <t>SI VALE</t>
        </is>
      </c>
      <c r="J40" s="7" t="inlineStr">
        <is>
          <t>LEVET</t>
        </is>
      </c>
      <c r="K40" s="7" t="inlineStr">
        <is>
          <t>MOBILE</t>
        </is>
      </c>
      <c r="L40" s="7" t="inlineStr">
        <is>
          <t>SI VALE</t>
        </is>
      </c>
      <c r="M40" s="7" t="inlineStr">
        <is>
          <t>LEVET</t>
        </is>
      </c>
      <c r="N40" s="7" t="inlineStr">
        <is>
          <t>MOBILE</t>
        </is>
      </c>
      <c r="O40" s="7" t="inlineStr">
        <is>
          <t>SI VALE</t>
        </is>
      </c>
      <c r="P40" s="7" t="inlineStr">
        <is>
          <t>LEVET</t>
        </is>
      </c>
      <c r="Q40" s="7" t="inlineStr">
        <is>
          <t>MOBILE</t>
        </is>
      </c>
      <c r="R40" s="7" t="inlineStr">
        <is>
          <t>SI VALE</t>
        </is>
      </c>
      <c r="S40" s="7" t="inlineStr">
        <is>
          <t>LEVET</t>
        </is>
      </c>
      <c r="T40" s="7" t="inlineStr">
        <is>
          <t>MOBILE</t>
        </is>
      </c>
      <c r="U40" s="7" t="inlineStr">
        <is>
          <t>SI VALE</t>
        </is>
      </c>
      <c r="V40" s="7" t="inlineStr">
        <is>
          <t>LEVET</t>
        </is>
      </c>
      <c r="W40" s="7" t="inlineStr">
        <is>
          <t>MOBILE</t>
        </is>
      </c>
      <c r="X40" s="7" t="inlineStr">
        <is>
          <t>SI VALE</t>
        </is>
      </c>
      <c r="Y40" s="7" t="inlineStr"/>
      <c r="Z40" s="2" t="n"/>
      <c r="AA40" s="6" t="n"/>
    </row>
    <row r="41" ht="11.5" customHeight="1">
      <c r="A41" s="8" t="n">
        <v>1</v>
      </c>
      <c r="B41" s="9" t="inlineStr">
        <is>
          <t>CARLOS REYES TRUJANO</t>
        </is>
      </c>
      <c r="C41" s="9" t="inlineStr">
        <is>
          <t>MINA TABERNILLAS</t>
        </is>
      </c>
      <c r="D41" s="9" t="inlineStr">
        <is>
          <t>TOYOTA TACOMA</t>
        </is>
      </c>
      <c r="E41" s="8" t="inlineStr">
        <is>
          <t>33K849</t>
        </is>
      </c>
      <c r="F41" s="10" t="n">
        <v>2500</v>
      </c>
      <c r="G41" s="11" t="n"/>
      <c r="H41" s="11" t="n"/>
      <c r="I41" s="11" t="n"/>
      <c r="J41" s="11" t="n"/>
      <c r="K41" s="11" t="n"/>
      <c r="L41" s="11" t="n"/>
      <c r="M41" s="10" t="n">
        <v>2010.26</v>
      </c>
      <c r="N41" s="11" t="n"/>
      <c r="O41" s="11" t="n"/>
      <c r="P41" s="10" t="n">
        <v>386.67</v>
      </c>
      <c r="Q41" s="11" t="n"/>
      <c r="R41" s="11" t="n"/>
      <c r="S41" s="11" t="n"/>
      <c r="T41" s="11" t="n"/>
      <c r="U41" s="11" t="n"/>
      <c r="V41" s="11" t="n"/>
      <c r="W41" s="11" t="n"/>
      <c r="X41" s="11" t="n"/>
      <c r="Y41" s="10" t="n">
        <v>103.07</v>
      </c>
      <c r="Z41" s="10" t="n">
        <v>2396.93</v>
      </c>
      <c r="AA41" s="11" t="n"/>
    </row>
    <row r="42" ht="11.5" customHeight="1">
      <c r="A42" s="12" t="n">
        <v>2</v>
      </c>
      <c r="B42" s="13" t="inlineStr">
        <is>
          <t>LAZARO PINAL RIOS</t>
        </is>
      </c>
      <c r="C42" s="13" t="inlineStr">
        <is>
          <t>MINA TABERNILLAS</t>
        </is>
      </c>
      <c r="D42" s="13" t="inlineStr">
        <is>
          <t>MITSUBISHI L200</t>
        </is>
      </c>
      <c r="E42" s="12" t="inlineStr">
        <is>
          <t>MHL757A</t>
        </is>
      </c>
      <c r="F42" s="14" t="n">
        <v>1500</v>
      </c>
      <c r="G42" s="15" t="n"/>
      <c r="H42" s="15" t="n"/>
      <c r="I42" s="15" t="n"/>
      <c r="J42" s="14" t="n">
        <v>1700</v>
      </c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4" t="n">
        <v>-200</v>
      </c>
      <c r="Z42" s="14" t="n">
        <v>1700</v>
      </c>
      <c r="AA42" s="15" t="n"/>
    </row>
    <row r="43" ht="11.5" customHeight="1">
      <c r="A43" s="8" t="n">
        <v>3</v>
      </c>
      <c r="B43" s="9" t="inlineStr">
        <is>
          <t>ARMANDO COLIN MORENO</t>
        </is>
      </c>
      <c r="C43" s="9" t="inlineStr">
        <is>
          <t>MINA TABERNILLAS</t>
        </is>
      </c>
      <c r="D43" s="9" t="inlineStr">
        <is>
          <t>CHEVORLET</t>
        </is>
      </c>
      <c r="E43" s="8" t="inlineStr">
        <is>
          <t>PAT8298</t>
        </is>
      </c>
      <c r="F43" s="10" t="n">
        <v>2000</v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0" t="n">
        <v>2000</v>
      </c>
      <c r="Z43" s="10" t="n">
        <v>0</v>
      </c>
      <c r="AA43" s="11" t="n"/>
    </row>
    <row r="44" ht="11.5" customHeight="1">
      <c r="A44" s="12" t="inlineStr"/>
      <c r="B44" s="13" t="inlineStr"/>
      <c r="C44" s="13" t="inlineStr"/>
      <c r="D44" s="13" t="inlineStr">
        <is>
          <t>EQUIPO MENOR</t>
        </is>
      </c>
      <c r="E44" s="12" t="inlineStr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4" t="n">
        <v>0</v>
      </c>
      <c r="Z44" s="14" t="n">
        <v>0</v>
      </c>
      <c r="AA44" s="15" t="n"/>
    </row>
    <row r="45" ht="11.5" customHeight="1">
      <c r="A45" s="8" t="n">
        <v>4</v>
      </c>
      <c r="B45" s="9" t="inlineStr">
        <is>
          <t>ABNER OSORIO BARTOLO</t>
        </is>
      </c>
      <c r="C45" s="9" t="inlineStr">
        <is>
          <t>MINA ZUMPAHUACAN</t>
        </is>
      </c>
      <c r="D45" s="9" t="inlineStr">
        <is>
          <t>MITSUBISHI L200</t>
        </is>
      </c>
      <c r="E45" s="8" t="inlineStr">
        <is>
          <t>NYZ828C</t>
        </is>
      </c>
      <c r="F45" s="10" t="n">
        <v>1500</v>
      </c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0" t="n">
        <v>1500</v>
      </c>
      <c r="Z45" s="10" t="n">
        <v>0</v>
      </c>
      <c r="AA45" s="11" t="n"/>
    </row>
    <row r="46" ht="11.5" customHeight="1">
      <c r="A46" s="12" t="n">
        <v>5</v>
      </c>
      <c r="B46" s="13" t="inlineStr">
        <is>
          <t>ISAAC GONZALEZ GONZALEZ</t>
        </is>
      </c>
      <c r="C46" s="13" t="inlineStr">
        <is>
          <t>MINA ZUMPAHUACAN</t>
        </is>
      </c>
      <c r="D46" s="13" t="inlineStr">
        <is>
          <t>MITSUBISHI L200</t>
        </is>
      </c>
      <c r="E46" s="12" t="inlineStr">
        <is>
          <t>NYZ839C</t>
        </is>
      </c>
      <c r="F46" s="14" t="n">
        <v>1500</v>
      </c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4" t="n">
        <v>1500</v>
      </c>
      <c r="Z46" s="14" t="n">
        <v>0</v>
      </c>
      <c r="AA46" s="15" t="n"/>
    </row>
    <row r="47" ht="11.5" customHeight="1">
      <c r="A47" s="8" t="n">
        <v>6</v>
      </c>
      <c r="B47" s="9" t="inlineStr">
        <is>
          <t>JESUS MARIN GARCIA</t>
        </is>
      </c>
      <c r="C47" s="9" t="inlineStr">
        <is>
          <t>MINA CUAJOMAC</t>
        </is>
      </c>
      <c r="D47" s="9" t="inlineStr">
        <is>
          <t>CHEVORLET</t>
        </is>
      </c>
      <c r="E47" s="8" t="inlineStr">
        <is>
          <t>PCU8771</t>
        </is>
      </c>
      <c r="F47" s="10" t="n">
        <v>2000</v>
      </c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0" t="n">
        <v>2000</v>
      </c>
      <c r="Z47" s="10" t="n">
        <v>0</v>
      </c>
      <c r="AA47" s="11" t="n"/>
    </row>
    <row r="48" ht="13.5" customHeight="1">
      <c r="A48" s="16" t="inlineStr">
        <is>
          <t>TOTALES TRITURADORA</t>
        </is>
      </c>
      <c r="B48" s="17" t="n"/>
      <c r="C48" s="17" t="n"/>
      <c r="D48" s="17" t="n"/>
      <c r="E48" s="17" t="n"/>
      <c r="F48" s="18">
        <f>SUM(F41:F47)</f>
        <v/>
      </c>
      <c r="G48" s="18">
        <f>SUM(G41:G47)</f>
        <v/>
      </c>
      <c r="H48" s="18">
        <f>SUM(H41:H47)</f>
        <v/>
      </c>
      <c r="I48" s="18">
        <f>SUM(I41:I47)</f>
        <v/>
      </c>
      <c r="J48" s="18">
        <f>SUM(J41:J47)</f>
        <v/>
      </c>
      <c r="K48" s="18">
        <f>SUM(K41:K47)</f>
        <v/>
      </c>
      <c r="L48" s="18">
        <f>SUM(L41:L47)</f>
        <v/>
      </c>
      <c r="M48" s="18">
        <f>SUM(M41:M47)</f>
        <v/>
      </c>
      <c r="N48" s="18">
        <f>SUM(N41:N47)</f>
        <v/>
      </c>
      <c r="O48" s="18">
        <f>SUM(O41:O47)</f>
        <v/>
      </c>
      <c r="P48" s="18">
        <f>SUM(P41:P47)</f>
        <v/>
      </c>
      <c r="Q48" s="18">
        <f>SUM(Q41:Q47)</f>
        <v/>
      </c>
      <c r="R48" s="18">
        <f>SUM(R41:R47)</f>
        <v/>
      </c>
      <c r="S48" s="18">
        <f>SUM(S41:S47)</f>
        <v/>
      </c>
      <c r="T48" s="18">
        <f>SUM(T41:T47)</f>
        <v/>
      </c>
      <c r="U48" s="18">
        <f>SUM(U41:U47)</f>
        <v/>
      </c>
      <c r="V48" s="18">
        <f>SUM(V41:V47)</f>
        <v/>
      </c>
      <c r="W48" s="18">
        <f>SUM(W41:W47)</f>
        <v/>
      </c>
      <c r="X48" s="18">
        <f>SUM(X41:X47)</f>
        <v/>
      </c>
      <c r="Y48" s="18">
        <f>SUM(Y41:Y47)</f>
        <v/>
      </c>
      <c r="Z48" s="18">
        <f>SUM(Z41:Z47)</f>
        <v/>
      </c>
      <c r="AA48" s="18">
        <f>SUM(AA41:AA47)</f>
        <v/>
      </c>
    </row>
  </sheetData>
  <mergeCells count="34">
    <mergeCell ref="E39:E40"/>
    <mergeCell ref="A48:E48"/>
    <mergeCell ref="P2:R2"/>
    <mergeCell ref="B2:B3"/>
    <mergeCell ref="A36:E36"/>
    <mergeCell ref="P39:R39"/>
    <mergeCell ref="D2:D3"/>
    <mergeCell ref="V39:X39"/>
    <mergeCell ref="F2:F3"/>
    <mergeCell ref="B39:B40"/>
    <mergeCell ref="AA39:AA40"/>
    <mergeCell ref="Z2:Z3"/>
    <mergeCell ref="A2:A3"/>
    <mergeCell ref="C2:C3"/>
    <mergeCell ref="E2:E3"/>
    <mergeCell ref="J2:L2"/>
    <mergeCell ref="Z39:Z40"/>
    <mergeCell ref="Y39"/>
    <mergeCell ref="A38:AA38"/>
    <mergeCell ref="J39:L39"/>
    <mergeCell ref="F39:F40"/>
    <mergeCell ref="AA2:AA3"/>
    <mergeCell ref="C39:C40"/>
    <mergeCell ref="Y2"/>
    <mergeCell ref="V2:X2"/>
    <mergeCell ref="D39:D40"/>
    <mergeCell ref="G2:I2"/>
    <mergeCell ref="A39:A40"/>
    <mergeCell ref="G39:I39"/>
    <mergeCell ref="M39:O39"/>
    <mergeCell ref="S39:U39"/>
    <mergeCell ref="A1:AA1"/>
    <mergeCell ref="M2:O2"/>
    <mergeCell ref="S2:U2"/>
  </mergeCells>
  <pageMargins left="0.2" right="0.2" top="0.25" bottom="0.25" header="0.5" footer="0.5"/>
  <pageSetup orientation="landscape" paperSize="5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51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8.5" customWidth="1" min="25" max="25"/>
    <col width="8.800000000000001" customWidth="1" min="26" max="26"/>
  </cols>
  <sheetData>
    <row r="1" ht="18" customHeight="1">
      <c r="A1" s="1" t="inlineStr">
        <is>
          <t>GASOLINA - J.D.J. EQUIPO Y CONSTRUCCIONES S.A. DE C.V.  (SEMANA 27)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29/JUN</t>
        </is>
      </c>
      <c r="H2" s="2" t="n"/>
      <c r="I2" s="2" t="n"/>
      <c r="J2" s="4" t="inlineStr">
        <is>
          <t>MAR 30/JUN</t>
        </is>
      </c>
      <c r="K2" s="2" t="n"/>
      <c r="L2" s="2" t="n"/>
      <c r="M2" s="4" t="inlineStr">
        <is>
          <t>MIÉ 01/JUL</t>
        </is>
      </c>
      <c r="N2" s="2" t="n"/>
      <c r="O2" s="2" t="n"/>
      <c r="P2" s="4" t="inlineStr">
        <is>
          <t>JUE 02/JUL</t>
        </is>
      </c>
      <c r="Q2" s="2" t="n"/>
      <c r="R2" s="2" t="n"/>
      <c r="S2" s="4" t="inlineStr">
        <is>
          <t>VIE 03/JUL</t>
        </is>
      </c>
      <c r="T2" s="2" t="n"/>
      <c r="U2" s="2" t="n"/>
      <c r="V2" s="4" t="inlineStr">
        <is>
          <t>SÁB 04/JUL</t>
        </is>
      </c>
      <c r="W2" s="2" t="n"/>
      <c r="X2" s="2" t="n"/>
      <c r="Y2" s="5" t="inlineStr">
        <is>
          <t>REMANENTE
(SALDO)</t>
        </is>
      </c>
      <c r="Z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SI VALE</t>
        </is>
      </c>
      <c r="J3" s="7" t="inlineStr">
        <is>
          <t>LEVET</t>
        </is>
      </c>
      <c r="K3" s="7" t="inlineStr">
        <is>
          <t>MOBILE</t>
        </is>
      </c>
      <c r="L3" s="7" t="inlineStr">
        <is>
          <t>SI VALE</t>
        </is>
      </c>
      <c r="M3" s="7" t="inlineStr">
        <is>
          <t>LEVET</t>
        </is>
      </c>
      <c r="N3" s="7" t="inlineStr">
        <is>
          <t>MOBILE</t>
        </is>
      </c>
      <c r="O3" s="7" t="inlineStr">
        <is>
          <t>SI VALE</t>
        </is>
      </c>
      <c r="P3" s="7" t="inlineStr">
        <is>
          <t>LEVET</t>
        </is>
      </c>
      <c r="Q3" s="7" t="inlineStr">
        <is>
          <t>MOBILE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SI VALE</t>
        </is>
      </c>
      <c r="V3" s="7" t="inlineStr">
        <is>
          <t>LEVET</t>
        </is>
      </c>
      <c r="W3" s="7" t="inlineStr">
        <is>
          <t>MOBILE</t>
        </is>
      </c>
      <c r="X3" s="7" t="inlineStr">
        <is>
          <t>SI VALE</t>
        </is>
      </c>
      <c r="Y3" s="2" t="n"/>
      <c r="Z3" s="6" t="n"/>
    </row>
    <row r="4" ht="11.5" customHeight="1">
      <c r="A4" s="8" t="n">
        <v>1</v>
      </c>
      <c r="B4" s="9" t="inlineStr">
        <is>
          <t>ING.ARMANDO  COLIN</t>
        </is>
      </c>
      <c r="C4" s="9" t="inlineStr">
        <is>
          <t>BACHEO TOLUCA</t>
        </is>
      </c>
      <c r="D4" s="9" t="inlineStr">
        <is>
          <t>CHEVROLET S10</t>
        </is>
      </c>
      <c r="E4" s="8" t="inlineStr">
        <is>
          <t>PAT8298</t>
        </is>
      </c>
      <c r="F4" s="10" t="n">
        <v>1200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0" t="n">
        <v>1200</v>
      </c>
      <c r="Z4" s="10" t="n">
        <v>0</v>
      </c>
    </row>
    <row r="5" ht="11.5" customHeight="1">
      <c r="A5" s="12" t="n">
        <v>2</v>
      </c>
      <c r="B5" s="13" t="inlineStr"/>
      <c r="C5" s="13" t="inlineStr"/>
      <c r="D5" s="13" t="inlineStr">
        <is>
          <t>EQUIPO MENOR</t>
        </is>
      </c>
      <c r="E5" s="12" t="inlineStr"/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4" t="n">
        <v>500</v>
      </c>
      <c r="Z5" s="14" t="n">
        <v>0</v>
      </c>
    </row>
    <row r="6" ht="11.5" customHeight="1">
      <c r="A6" s="8" t="n">
        <v>3</v>
      </c>
      <c r="B6" s="9" t="inlineStr">
        <is>
          <t>ING. ANTONIO IBAÑEZ</t>
        </is>
      </c>
      <c r="C6" s="9" t="inlineStr">
        <is>
          <t>MAQUINARIA</t>
        </is>
      </c>
      <c r="D6" s="9" t="inlineStr">
        <is>
          <t>RAM 1200</t>
        </is>
      </c>
      <c r="E6" s="8" t="inlineStr">
        <is>
          <t>LHB188D</t>
        </is>
      </c>
      <c r="F6" s="10" t="n">
        <v>2500</v>
      </c>
      <c r="G6" s="10" t="n">
        <v>1572.82</v>
      </c>
      <c r="H6" s="11" t="n"/>
      <c r="I6" s="11" t="n"/>
      <c r="J6" s="11" t="n"/>
      <c r="K6" s="11" t="n"/>
      <c r="L6" s="11" t="n"/>
      <c r="M6" s="10" t="n">
        <v>1345.15</v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9" t="n">
        <v>-417.97</v>
      </c>
      <c r="Z6" s="10" t="n">
        <v>2917.97</v>
      </c>
    </row>
    <row r="7" ht="11.5" customHeight="1">
      <c r="A7" s="12" t="n">
        <v>4</v>
      </c>
      <c r="B7" s="13" t="inlineStr"/>
      <c r="C7" s="13" t="inlineStr"/>
      <c r="D7" s="13" t="inlineStr">
        <is>
          <t>EQUIPO MENOR</t>
        </is>
      </c>
      <c r="E7" s="12" t="inlineStr"/>
      <c r="F7" s="14" t="n">
        <v>500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4" t="n">
        <v>500</v>
      </c>
      <c r="Z7" s="14" t="n">
        <v>0</v>
      </c>
    </row>
    <row r="8" ht="11.5" customHeight="1">
      <c r="A8" s="8" t="n">
        <v>5</v>
      </c>
      <c r="B8" s="9" t="inlineStr">
        <is>
          <t>ALBERTO HERNANDEZ DE JESUS</t>
        </is>
      </c>
      <c r="C8" s="9" t="inlineStr">
        <is>
          <t>MAQUINARIA</t>
        </is>
      </c>
      <c r="D8" s="9" t="inlineStr">
        <is>
          <t>DODGE RAM 700</t>
        </is>
      </c>
      <c r="E8" s="8" t="inlineStr">
        <is>
          <t>NXP9814</t>
        </is>
      </c>
      <c r="F8" s="10" t="n">
        <v>2500</v>
      </c>
      <c r="G8" s="10" t="n">
        <v>1167.5</v>
      </c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0" t="n">
        <v>1332.5</v>
      </c>
      <c r="Z8" s="10" t="n">
        <v>1167.5</v>
      </c>
    </row>
    <row r="9" ht="11.5" customHeight="1">
      <c r="A9" s="12" t="n">
        <v>6</v>
      </c>
      <c r="B9" s="13" t="inlineStr">
        <is>
          <t>JUAN CARLOS NAZAR CHAVEZ</t>
        </is>
      </c>
      <c r="C9" s="13" t="inlineStr">
        <is>
          <t>MAQUINARIA</t>
        </is>
      </c>
      <c r="D9" s="13" t="inlineStr">
        <is>
          <t>DODGE RAM 700</t>
        </is>
      </c>
      <c r="E9" s="12" t="inlineStr">
        <is>
          <t>PCW9238</t>
        </is>
      </c>
      <c r="F9" s="14" t="n">
        <v>1500</v>
      </c>
      <c r="G9" s="15" t="n"/>
      <c r="H9" s="15" t="n"/>
      <c r="I9" s="15" t="n"/>
      <c r="J9" s="15" t="n"/>
      <c r="K9" s="15" t="n"/>
      <c r="L9" s="15" t="n"/>
      <c r="M9" s="14" t="n">
        <v>759.5599999999999</v>
      </c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4" t="n">
        <v>740.4400000000001</v>
      </c>
      <c r="Z9" s="14" t="n">
        <v>759.5599999999999</v>
      </c>
    </row>
    <row r="10" ht="11.5" customHeight="1">
      <c r="A10" s="8" t="n">
        <v>7</v>
      </c>
      <c r="B10" s="9" t="inlineStr">
        <is>
          <t>EDGAR VELAZQUEZ ESQUIVEL</t>
        </is>
      </c>
      <c r="C10" s="9" t="inlineStr">
        <is>
          <t>MAQUINARIA</t>
        </is>
      </c>
      <c r="D10" s="9" t="inlineStr"/>
      <c r="E10" s="8" t="inlineStr"/>
      <c r="F10" s="10" t="n">
        <v>1500</v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0" t="n">
        <v>1500</v>
      </c>
      <c r="Z10" s="10" t="n">
        <v>0</v>
      </c>
    </row>
    <row r="11" ht="11.5" customHeight="1">
      <c r="A11" s="12" t="n">
        <v>8</v>
      </c>
      <c r="B11" s="13" t="inlineStr">
        <is>
          <t>ROBERTO CARLOS GARCÍA</t>
        </is>
      </c>
      <c r="C11" s="13" t="inlineStr">
        <is>
          <t>H. COLEGIO MILITAR</t>
        </is>
      </c>
      <c r="D11" s="13" t="inlineStr">
        <is>
          <t>CHANGAN ALSVIN</t>
        </is>
      </c>
      <c r="E11" s="12" t="inlineStr">
        <is>
          <t>LMH893A</t>
        </is>
      </c>
      <c r="F11" s="14" t="n">
        <v>700</v>
      </c>
      <c r="G11" s="15" t="n"/>
      <c r="H11" s="15" t="n"/>
      <c r="I11" s="15" t="n"/>
      <c r="J11" s="15" t="n"/>
      <c r="K11" s="15" t="n"/>
      <c r="L11" s="14" t="n">
        <v>700</v>
      </c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4" t="n">
        <v>0</v>
      </c>
      <c r="Z11" s="14" t="n">
        <v>700</v>
      </c>
    </row>
    <row r="12" ht="11.5" customHeight="1">
      <c r="A12" s="8" t="n">
        <v>9</v>
      </c>
      <c r="B12" s="9" t="inlineStr">
        <is>
          <t>OSCAR ESTRADA LINARES</t>
        </is>
      </c>
      <c r="C12" s="9" t="inlineStr">
        <is>
          <t>EXPLANADA DAMIAN CARMONA</t>
        </is>
      </c>
      <c r="D12" s="9" t="inlineStr">
        <is>
          <t>NISSAN NP-300</t>
        </is>
      </c>
      <c r="E12" s="8" t="inlineStr">
        <is>
          <t>MAH844C</t>
        </is>
      </c>
      <c r="F12" s="10" t="n">
        <v>1500</v>
      </c>
      <c r="G12" s="11" t="n"/>
      <c r="H12" s="11" t="n"/>
      <c r="I12" s="10" t="n">
        <v>1581.3</v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9" t="n">
        <v>-81.3</v>
      </c>
      <c r="Z12" s="10" t="n">
        <v>1581.3</v>
      </c>
    </row>
    <row r="13" ht="11.5" customHeight="1">
      <c r="A13" s="12" t="n">
        <v>10</v>
      </c>
      <c r="B13" s="13" t="inlineStr">
        <is>
          <t>DIEGO CARREOLA</t>
        </is>
      </c>
      <c r="C13" s="13" t="inlineStr">
        <is>
          <t>BACHEO TOLUCA Y C. VICENTE LOMBARDO</t>
        </is>
      </c>
      <c r="D13" s="13" t="inlineStr">
        <is>
          <t>MITSUBISHI L1200</t>
        </is>
      </c>
      <c r="E13" s="12" t="inlineStr">
        <is>
          <t>NYZ829C</t>
        </is>
      </c>
      <c r="F13" s="14" t="n">
        <v>1500</v>
      </c>
      <c r="G13" s="15" t="n"/>
      <c r="H13" s="15" t="n"/>
      <c r="I13" s="15" t="n"/>
      <c r="J13" s="15" t="n"/>
      <c r="K13" s="15" t="n"/>
      <c r="L13" s="15" t="n"/>
      <c r="M13" s="14" t="n">
        <v>1500</v>
      </c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4" t="n">
        <v>0</v>
      </c>
      <c r="Z13" s="14" t="n">
        <v>1500</v>
      </c>
    </row>
    <row r="14" ht="11.5" customHeight="1">
      <c r="A14" s="8" t="n">
        <v>11</v>
      </c>
      <c r="B14" s="9" t="inlineStr"/>
      <c r="C14" s="9" t="inlineStr">
        <is>
          <t>BACHEO TOLUCA</t>
        </is>
      </c>
      <c r="D14" s="9" t="inlineStr">
        <is>
          <t>EQUIPO MENOR</t>
        </is>
      </c>
      <c r="E14" s="8" t="inlineStr"/>
      <c r="F14" s="10" t="n">
        <v>500</v>
      </c>
      <c r="G14" s="10" t="n">
        <v>400</v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0" t="n">
        <v>500</v>
      </c>
      <c r="Q14" s="11" t="n"/>
      <c r="R14" s="11" t="n"/>
      <c r="S14" s="11" t="n"/>
      <c r="T14" s="11" t="n"/>
      <c r="U14" s="11" t="n"/>
      <c r="V14" s="11" t="n"/>
      <c r="W14" s="11" t="n"/>
      <c r="X14" s="11" t="n"/>
      <c r="Y14" s="19" t="n">
        <v>-400</v>
      </c>
      <c r="Z14" s="10" t="n">
        <v>900</v>
      </c>
    </row>
    <row r="15" ht="11.5" customHeight="1">
      <c r="A15" s="12" t="n">
        <v>12</v>
      </c>
      <c r="B15" s="13" t="inlineStr">
        <is>
          <t>TOMAS ARANDA PROSPERO</t>
        </is>
      </c>
      <c r="C15" s="13" t="inlineStr">
        <is>
          <t>BACHEO TOLUCA Y C. VICENTE LOMBARDO</t>
        </is>
      </c>
      <c r="D15" s="13" t="inlineStr">
        <is>
          <t>DODGE RAM 4000 (3/2)</t>
        </is>
      </c>
      <c r="E15" s="12" t="inlineStr">
        <is>
          <t>LF05470</t>
        </is>
      </c>
      <c r="F15" s="14" t="n">
        <v>1500</v>
      </c>
      <c r="G15" s="14" t="n">
        <v>1500</v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4" t="n">
        <v>2000</v>
      </c>
      <c r="Q15" s="15" t="n"/>
      <c r="R15" s="15" t="n"/>
      <c r="S15" s="15" t="n"/>
      <c r="T15" s="15" t="n"/>
      <c r="U15" s="15" t="n"/>
      <c r="V15" s="15" t="n"/>
      <c r="W15" s="15" t="n"/>
      <c r="X15" s="15" t="n"/>
      <c r="Y15" s="20" t="n">
        <v>-2000</v>
      </c>
      <c r="Z15" s="14" t="n">
        <v>3500</v>
      </c>
    </row>
    <row r="16" ht="11.5" customHeight="1">
      <c r="A16" s="8" t="n">
        <v>13</v>
      </c>
      <c r="B16" s="9" t="inlineStr">
        <is>
          <t>JAVIER PEREZ DÍAZ</t>
        </is>
      </c>
      <c r="C16" s="9" t="inlineStr">
        <is>
          <t>OBRA MÉXICO TOLUCA</t>
        </is>
      </c>
      <c r="D16" s="9" t="inlineStr">
        <is>
          <t>MITSUBISHI 1200</t>
        </is>
      </c>
      <c r="E16" s="8" t="inlineStr">
        <is>
          <t>MHL758A</t>
        </is>
      </c>
      <c r="F16" s="10" t="n">
        <v>2500</v>
      </c>
      <c r="G16" s="11" t="n"/>
      <c r="H16" s="10" t="n">
        <v>1001.17</v>
      </c>
      <c r="I16" s="8" t="inlineStr">
        <is>
          <t>A10278</t>
        </is>
      </c>
      <c r="J16" s="11" t="n"/>
      <c r="K16" s="11" t="n"/>
      <c r="L16" s="11" t="n"/>
      <c r="M16" s="11" t="n"/>
      <c r="N16" s="10" t="n">
        <v>947.87</v>
      </c>
      <c r="O16" s="8" t="inlineStr">
        <is>
          <t>A10329</t>
        </is>
      </c>
      <c r="P16" s="11" t="n"/>
      <c r="Q16" s="11" t="n"/>
      <c r="R16" s="11" t="n"/>
      <c r="S16" s="11" t="n"/>
      <c r="T16" s="11" t="n"/>
      <c r="U16" s="11" t="n"/>
      <c r="V16" s="11" t="n"/>
      <c r="W16" s="10" t="n">
        <v>551</v>
      </c>
      <c r="X16" s="8" t="inlineStr">
        <is>
          <t>A10356</t>
        </is>
      </c>
      <c r="Y16" s="8" t="e">
        <v>#VALUE!</v>
      </c>
      <c r="Z16" s="10" t="n">
        <v>2500.04</v>
      </c>
    </row>
    <row r="17" ht="11.5" customHeight="1">
      <c r="A17" s="12" t="inlineStr"/>
      <c r="B17" s="13" t="inlineStr"/>
      <c r="C17" s="13" t="inlineStr">
        <is>
          <t>OBRA MÉXICO TOLUCA</t>
        </is>
      </c>
      <c r="D17" s="13" t="inlineStr">
        <is>
          <t>EQUIPO MENOR</t>
        </is>
      </c>
      <c r="E17" s="12" t="inlineStr"/>
      <c r="F17" s="14" t="n">
        <v>300</v>
      </c>
      <c r="G17" s="15" t="n"/>
      <c r="H17" s="15" t="n"/>
      <c r="I17" s="15" t="n"/>
      <c r="J17" s="15" t="n"/>
      <c r="K17" s="15" t="n"/>
      <c r="L17" s="15" t="n"/>
      <c r="M17" s="15" t="n"/>
      <c r="N17" s="14" t="n">
        <v>300</v>
      </c>
      <c r="O17" s="12" t="inlineStr">
        <is>
          <t>A10322</t>
        </is>
      </c>
      <c r="P17" s="15" t="n"/>
      <c r="Q17" s="15" t="n"/>
      <c r="R17" s="15" t="n"/>
      <c r="S17" s="15" t="n"/>
      <c r="T17" s="14" t="n">
        <v>600</v>
      </c>
      <c r="U17" s="12" t="inlineStr">
        <is>
          <t>A10343</t>
        </is>
      </c>
      <c r="V17" s="15" t="n"/>
      <c r="W17" s="15" t="n"/>
      <c r="X17" s="15" t="n"/>
      <c r="Y17" s="12" t="e">
        <v>#VALUE!</v>
      </c>
      <c r="Z17" s="15" t="n"/>
    </row>
    <row r="18" ht="11.5" customHeight="1">
      <c r="A18" s="8" t="n">
        <v>14</v>
      </c>
      <c r="B18" s="9" t="inlineStr">
        <is>
          <t>ALEXIS SAMUEL RENDON DOMINGUEZ</t>
        </is>
      </c>
      <c r="C18" s="9" t="inlineStr">
        <is>
          <t>OBRA MÉXICO TOLUCA</t>
        </is>
      </c>
      <c r="D18" s="9" t="inlineStr">
        <is>
          <t>TOYOTA HIACE (URBAN)</t>
        </is>
      </c>
      <c r="E18" s="8" t="inlineStr">
        <is>
          <t>PBT1230</t>
        </is>
      </c>
      <c r="F18" s="10" t="n">
        <v>2500</v>
      </c>
      <c r="G18" s="11" t="n"/>
      <c r="H18" s="10" t="n">
        <v>920.03</v>
      </c>
      <c r="I18" s="8" t="inlineStr">
        <is>
          <t>A10267</t>
        </is>
      </c>
      <c r="J18" s="11" t="n"/>
      <c r="K18" s="11" t="n"/>
      <c r="L18" s="11" t="n"/>
      <c r="M18" s="11" t="n"/>
      <c r="N18" s="10" t="n">
        <v>1580</v>
      </c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8" t="e">
        <v>#REF!</v>
      </c>
      <c r="Z18" s="10" t="n">
        <v>2500.03</v>
      </c>
    </row>
    <row r="19" ht="11.5" customHeight="1">
      <c r="A19" s="12" t="n">
        <v>15</v>
      </c>
      <c r="B19" s="13" t="inlineStr">
        <is>
          <t>CRISTIAN REYES GAMORA</t>
        </is>
      </c>
      <c r="C19" s="13" t="inlineStr">
        <is>
          <t>OBRA MÉXICO TOLUCA</t>
        </is>
      </c>
      <c r="D19" s="13" t="inlineStr">
        <is>
          <t>DODGE RAM 4000 (3/2)</t>
        </is>
      </c>
      <c r="E19" s="12" t="inlineStr">
        <is>
          <t>LH49730</t>
        </is>
      </c>
      <c r="F19" s="14" t="n">
        <v>4000</v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4" t="n">
        <v>2300.26</v>
      </c>
      <c r="U19" s="12" t="inlineStr">
        <is>
          <t>A10337</t>
        </is>
      </c>
      <c r="V19" s="15" t="n"/>
      <c r="W19" s="15" t="n"/>
      <c r="X19" s="15" t="n"/>
      <c r="Y19" s="12" t="e">
        <v>#VALUE!</v>
      </c>
      <c r="Z19" s="14" t="n">
        <v>2300.26</v>
      </c>
    </row>
    <row r="20" ht="11.5" customHeight="1">
      <c r="A20" s="8" t="n">
        <v>16</v>
      </c>
      <c r="B20" s="9" t="inlineStr">
        <is>
          <t>APOLINAR REYES BOLAINA</t>
        </is>
      </c>
      <c r="C20" s="9" t="inlineStr">
        <is>
          <t>LERMA TENANGO</t>
        </is>
      </c>
      <c r="D20" s="9" t="inlineStr">
        <is>
          <t>MITSUBISHI 1200</t>
        </is>
      </c>
      <c r="E20" s="8" t="inlineStr">
        <is>
          <t>NYZ971C</t>
        </is>
      </c>
      <c r="F20" s="10" t="n">
        <v>2500</v>
      </c>
      <c r="G20" s="10" t="n">
        <v>1457.73</v>
      </c>
      <c r="H20" s="11" t="n"/>
      <c r="I20" s="11" t="n"/>
      <c r="J20" s="11" t="n"/>
      <c r="K20" s="11" t="n"/>
      <c r="L20" s="11" t="n"/>
      <c r="M20" s="11" t="n"/>
      <c r="N20" s="11" t="n"/>
      <c r="O20" s="11" t="n"/>
      <c r="P20" s="10" t="n">
        <v>1042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0" t="n">
        <v>0.27</v>
      </c>
      <c r="Z20" s="10" t="n">
        <v>2499.73</v>
      </c>
    </row>
    <row r="21" ht="11.5" customHeight="1">
      <c r="A21" s="12" t="n">
        <v>17</v>
      </c>
      <c r="B21" s="13" t="inlineStr"/>
      <c r="C21" s="13" t="inlineStr"/>
      <c r="D21" s="13" t="inlineStr">
        <is>
          <t>CORTADORA DE CONCRETO</t>
        </is>
      </c>
      <c r="E21" s="12" t="inlineStr"/>
      <c r="F21" s="14" t="n">
        <v>1000</v>
      </c>
      <c r="G21" s="14" t="n">
        <v>1000</v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4" t="n">
        <v>0</v>
      </c>
      <c r="Z21" s="14" t="n">
        <v>1000</v>
      </c>
    </row>
    <row r="22" ht="11.5" customHeight="1">
      <c r="A22" s="8" t="n">
        <v>18</v>
      </c>
      <c r="B22" s="9" t="inlineStr"/>
      <c r="C22" s="9" t="inlineStr"/>
      <c r="D22" s="9" t="inlineStr">
        <is>
          <t>MOTOR AUXILIAR PETROLIZADORA</t>
        </is>
      </c>
      <c r="E22" s="8" t="inlineStr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0" t="n">
        <v>0</v>
      </c>
      <c r="Z22" s="10" t="n">
        <v>0</v>
      </c>
    </row>
    <row r="23" ht="11.5" customHeight="1">
      <c r="A23" s="12" t="n">
        <v>19</v>
      </c>
      <c r="B23" s="13" t="inlineStr"/>
      <c r="C23" s="13" t="inlineStr"/>
      <c r="D23" s="13" t="inlineStr">
        <is>
          <t>MOTOR AUXILIAR PIPA DE AGUA</t>
        </is>
      </c>
      <c r="E23" s="12" t="inlineStr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4" t="n">
        <v>0</v>
      </c>
      <c r="Z23" s="14" t="n">
        <v>0</v>
      </c>
    </row>
    <row r="24" ht="11.5" customHeight="1">
      <c r="A24" s="8" t="n">
        <v>20</v>
      </c>
      <c r="B24" s="9" t="inlineStr">
        <is>
          <t>LEONCIO MARTINEZ PASCACIO</t>
        </is>
      </c>
      <c r="C24" s="9" t="inlineStr">
        <is>
          <t>LERMA TENANGO</t>
        </is>
      </c>
      <c r="D24" s="9" t="inlineStr">
        <is>
          <t>MITSUBISHI 1200</t>
        </is>
      </c>
      <c r="E24" s="8" t="inlineStr">
        <is>
          <t>NYZ790C</t>
        </is>
      </c>
      <c r="F24" s="10" t="n">
        <v>1500</v>
      </c>
      <c r="G24" s="11" t="n"/>
      <c r="H24" s="11" t="n"/>
      <c r="I24" s="11" t="n"/>
      <c r="J24" s="11" t="n"/>
      <c r="K24" s="11" t="n"/>
      <c r="L24" s="11" t="n"/>
      <c r="M24" s="10" t="n">
        <v>1500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0" t="n">
        <v>0</v>
      </c>
      <c r="Z24" s="10" t="n">
        <v>1500</v>
      </c>
    </row>
    <row r="25" ht="11.5" customHeight="1">
      <c r="A25" s="12" t="n">
        <v>21</v>
      </c>
      <c r="B25" s="13" t="inlineStr">
        <is>
          <t>CARMELO ALVAREZ ANICETO</t>
        </is>
      </c>
      <c r="C25" s="13" t="inlineStr">
        <is>
          <t>LERMA TENANGO</t>
        </is>
      </c>
      <c r="D25" s="13" t="inlineStr">
        <is>
          <t>DODGE RAM 4000 (3/2)</t>
        </is>
      </c>
      <c r="E25" s="12" t="inlineStr">
        <is>
          <t>LH49746</t>
        </is>
      </c>
      <c r="F25" s="14" t="n">
        <v>3000</v>
      </c>
      <c r="G25" s="14" t="n">
        <v>3000</v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4" t="n">
        <v>0</v>
      </c>
      <c r="Z25" s="14" t="n">
        <v>3000</v>
      </c>
    </row>
    <row r="26" ht="11.5" customHeight="1">
      <c r="A26" s="8" t="n">
        <v>22</v>
      </c>
      <c r="B26" s="9" t="inlineStr">
        <is>
          <t>DIEGO FERNANDEZ SANTIAGO</t>
        </is>
      </c>
      <c r="C26" s="9" t="inlineStr">
        <is>
          <t>LERMA TENANGO</t>
        </is>
      </c>
      <c r="D26" s="9" t="inlineStr">
        <is>
          <t>TOYOTA HIACE (URBAN)</t>
        </is>
      </c>
      <c r="E26" s="8" t="inlineStr">
        <is>
          <t>PBT1229</t>
        </is>
      </c>
      <c r="F26" s="10" t="n">
        <v>2500</v>
      </c>
      <c r="G26" s="10" t="n">
        <v>944.6900000000001</v>
      </c>
      <c r="H26" s="11" t="n"/>
      <c r="I26" s="11" t="n"/>
      <c r="J26" s="11" t="n"/>
      <c r="K26" s="11" t="n"/>
      <c r="L26" s="11" t="n"/>
      <c r="M26" s="11" t="n"/>
      <c r="N26" s="11" t="n"/>
      <c r="O26" s="11" t="n"/>
      <c r="P26" s="10" t="n">
        <v>1555.31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0" t="n">
        <v>0</v>
      </c>
      <c r="Z26" s="10" t="n">
        <v>2500</v>
      </c>
    </row>
    <row r="27" ht="11.5" customHeight="1">
      <c r="A27" s="12" t="n">
        <v>23</v>
      </c>
      <c r="B27" s="13" t="inlineStr">
        <is>
          <t>DAMIAN ANTONIO PUINI</t>
        </is>
      </c>
      <c r="C27" s="13" t="inlineStr">
        <is>
          <t>P. ASFALTO HUIXQUILUCAN</t>
        </is>
      </c>
      <c r="D27" s="13" t="inlineStr">
        <is>
          <t>FORD RANGER</t>
        </is>
      </c>
      <c r="E27" s="12" t="inlineStr">
        <is>
          <t>PCU7482</t>
        </is>
      </c>
      <c r="F27" s="14" t="n">
        <v>2500</v>
      </c>
      <c r="G27" s="15" t="n"/>
      <c r="H27" s="15" t="n"/>
      <c r="I27" s="12" t="inlineStr">
        <is>
          <t>A10255(1000)</t>
        </is>
      </c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4" t="n">
        <v>1000</v>
      </c>
      <c r="U27" s="12" t="inlineStr">
        <is>
          <t>A10336</t>
        </is>
      </c>
      <c r="V27" s="15" t="n"/>
      <c r="W27" s="15" t="n"/>
      <c r="X27" s="15" t="n"/>
      <c r="Y27" s="12" t="e">
        <v>#VALUE!</v>
      </c>
      <c r="Z27" s="14" t="n">
        <v>1000</v>
      </c>
    </row>
    <row r="28" ht="11.5" customHeight="1">
      <c r="A28" s="8" t="n">
        <v>24</v>
      </c>
      <c r="B28" s="9" t="inlineStr">
        <is>
          <t>LUIS VALDEZ</t>
        </is>
      </c>
      <c r="C28" s="9" t="inlineStr"/>
      <c r="D28" s="9" t="inlineStr">
        <is>
          <t>EQUIPO MENOR</t>
        </is>
      </c>
      <c r="E28" s="8" t="inlineStr"/>
      <c r="F28" s="10" t="n">
        <v>1000</v>
      </c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0" t="n">
        <v>1000</v>
      </c>
      <c r="Z28" s="10" t="n">
        <v>0</v>
      </c>
    </row>
    <row r="29" ht="11.5" customHeight="1">
      <c r="A29" s="12" t="n">
        <v>25</v>
      </c>
      <c r="B29" s="13" t="inlineStr">
        <is>
          <t>CLEMENTE SANABRIA</t>
        </is>
      </c>
      <c r="C29" s="13" t="inlineStr">
        <is>
          <t>TRANSPORTES FLOTILLA</t>
        </is>
      </c>
      <c r="D29" s="13" t="inlineStr">
        <is>
          <t>RAM 1200</t>
        </is>
      </c>
      <c r="E29" s="12" t="inlineStr">
        <is>
          <t>LHB184D</t>
        </is>
      </c>
      <c r="F29" s="14" t="n">
        <v>2500</v>
      </c>
      <c r="G29" s="14" t="n">
        <v>2157.8</v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4" t="n">
        <v>1000</v>
      </c>
      <c r="U29" s="12" t="inlineStr">
        <is>
          <t>A10345</t>
        </is>
      </c>
      <c r="V29" s="15" t="n"/>
      <c r="W29" s="15" t="n"/>
      <c r="X29" s="15" t="n"/>
      <c r="Y29" s="12" t="e">
        <v>#REF!</v>
      </c>
      <c r="Z29" s="14" t="n">
        <v>3157.8</v>
      </c>
    </row>
    <row r="30" ht="11.5" customHeight="1">
      <c r="A30" s="8" t="n">
        <v>26</v>
      </c>
      <c r="B30" s="9" t="inlineStr">
        <is>
          <t>BRYAN GABRIEL CHAVEZ ALVAREZ</t>
        </is>
      </c>
      <c r="C30" s="9" t="inlineStr">
        <is>
          <t>TRANSPORTES FLOTILLA</t>
        </is>
      </c>
      <c r="D30" s="9" t="inlineStr">
        <is>
          <t>CHEVROLET TORNADO</t>
        </is>
      </c>
      <c r="E30" s="8" t="inlineStr">
        <is>
          <t>NUZ948C</t>
        </is>
      </c>
      <c r="F30" s="10" t="n">
        <v>1000</v>
      </c>
      <c r="G30" s="10" t="n">
        <v>800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0" t="n">
        <v>200</v>
      </c>
      <c r="T30" s="11" t="n"/>
      <c r="U30" s="11" t="n"/>
      <c r="V30" s="11" t="n"/>
      <c r="W30" s="11" t="n"/>
      <c r="X30" s="11" t="n"/>
      <c r="Y30" s="10" t="n">
        <v>0</v>
      </c>
      <c r="Z30" s="10" t="n">
        <v>1000</v>
      </c>
    </row>
    <row r="31" ht="11.5" customHeight="1">
      <c r="A31" s="12" t="n">
        <v>27</v>
      </c>
      <c r="B31" s="13" t="inlineStr"/>
      <c r="C31" s="13" t="inlineStr"/>
      <c r="D31" s="13" t="inlineStr">
        <is>
          <t>MOTORES LOWBOY</t>
        </is>
      </c>
      <c r="E31" s="12" t="inlineStr"/>
      <c r="F31" s="14" t="n">
        <v>500</v>
      </c>
      <c r="G31" s="14" t="n">
        <v>500</v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4" t="n">
        <v>500</v>
      </c>
      <c r="T31" s="15" t="n"/>
      <c r="U31" s="15" t="n"/>
      <c r="V31" s="15" t="n"/>
      <c r="W31" s="15" t="n"/>
      <c r="X31" s="15" t="n"/>
      <c r="Y31" s="20" t="n">
        <v>-500</v>
      </c>
      <c r="Z31" s="14" t="n">
        <v>1000</v>
      </c>
    </row>
    <row r="32" ht="11.5" customHeight="1">
      <c r="A32" s="8" t="n">
        <v>28</v>
      </c>
      <c r="B32" s="9" t="inlineStr"/>
      <c r="C32" s="9" t="inlineStr"/>
      <c r="D32" s="9" t="inlineStr">
        <is>
          <t>MOTORES LOWBOY</t>
        </is>
      </c>
      <c r="E32" s="8" t="inlineStr"/>
      <c r="F32" s="10" t="n">
        <v>500</v>
      </c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0" t="n">
        <v>500</v>
      </c>
      <c r="Z32" s="10" t="n">
        <v>0</v>
      </c>
    </row>
    <row r="33" ht="11.5" customHeight="1">
      <c r="A33" s="12" t="n">
        <v>29</v>
      </c>
      <c r="B33" s="13" t="inlineStr">
        <is>
          <t>ROBERTO ORTEGA</t>
        </is>
      </c>
      <c r="C33" s="13" t="inlineStr"/>
      <c r="D33" s="13" t="inlineStr"/>
      <c r="E33" s="12" t="inlineStr">
        <is>
          <t>MNX601B</t>
        </is>
      </c>
      <c r="F33" s="14" t="n">
        <v>1000</v>
      </c>
      <c r="G33" s="14" t="n">
        <v>800</v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4" t="n">
        <v>800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20" t="n">
        <v>-600</v>
      </c>
      <c r="Z33" s="14" t="n">
        <v>1600</v>
      </c>
    </row>
    <row r="34" ht="11.5" customHeight="1">
      <c r="A34" s="8" t="n">
        <v>30</v>
      </c>
      <c r="B34" s="9" t="inlineStr"/>
      <c r="C34" s="9" t="inlineStr"/>
      <c r="D34" s="9" t="inlineStr">
        <is>
          <t>EQUIPO MENOR</t>
        </is>
      </c>
      <c r="E34" s="8" t="inlineStr"/>
      <c r="F34" s="10" t="n">
        <v>500</v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0" t="n">
        <v>500</v>
      </c>
      <c r="Z34" s="10" t="n">
        <v>0</v>
      </c>
    </row>
    <row r="35" ht="11.5" customHeight="1">
      <c r="A35" s="12" t="n">
        <v>31</v>
      </c>
      <c r="B35" s="13" t="inlineStr">
        <is>
          <t>JOSÉ CABELLO /JACK</t>
        </is>
      </c>
      <c r="C35" s="13" t="inlineStr">
        <is>
          <t>ESTIMACIONES /PLANTA PEGASO</t>
        </is>
      </c>
      <c r="D35" s="13" t="inlineStr"/>
      <c r="E35" s="12" t="inlineStr">
        <is>
          <t>LHB176D</t>
        </is>
      </c>
      <c r="F35" s="14" t="n">
        <v>1500</v>
      </c>
      <c r="G35" s="14" t="n">
        <v>747.24</v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4" t="n">
        <v>700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4" t="n">
        <v>52.76</v>
      </c>
      <c r="Z35" s="15" t="n"/>
    </row>
    <row r="36" ht="11.5" customHeight="1">
      <c r="A36" s="8" t="n">
        <v>32</v>
      </c>
      <c r="B36" s="9" t="inlineStr">
        <is>
          <t>VICTOR HUGO MARTINEZ VELAZQUEZ</t>
        </is>
      </c>
      <c r="C36" s="9" t="inlineStr">
        <is>
          <t>JALSICO</t>
        </is>
      </c>
      <c r="D36" s="9" t="inlineStr">
        <is>
          <t>RAM 1200</t>
        </is>
      </c>
      <c r="E36" s="8" t="inlineStr">
        <is>
          <t>LHB182D</t>
        </is>
      </c>
      <c r="F36" s="10" t="n">
        <v>1500</v>
      </c>
      <c r="G36" s="10" t="n">
        <v>950.35</v>
      </c>
      <c r="H36" s="11" t="n"/>
      <c r="I36" s="11" t="n"/>
      <c r="J36" s="11" t="n"/>
      <c r="K36" s="11" t="n"/>
      <c r="L36" s="10" t="n">
        <v>1100</v>
      </c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9" t="n">
        <v>-550.35</v>
      </c>
      <c r="Z36" s="11" t="n"/>
    </row>
    <row r="37" ht="11.5" customHeight="1">
      <c r="A37" s="12" t="inlineStr"/>
      <c r="B37" s="13" t="inlineStr">
        <is>
          <t>PAOLA JARAMILLO</t>
        </is>
      </c>
      <c r="C37" s="13" t="inlineStr">
        <is>
          <t>CORPORATIVO</t>
        </is>
      </c>
      <c r="D37" s="13" t="inlineStr">
        <is>
          <t>CHANGAN ALSVIN</t>
        </is>
      </c>
      <c r="E37" s="12" t="inlineStr"/>
      <c r="F37" s="14" t="n">
        <v>700</v>
      </c>
      <c r="G37" s="14" t="n">
        <v>700</v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4" t="n">
        <v>0</v>
      </c>
      <c r="Z37" s="15" t="n"/>
    </row>
    <row r="38" ht="11.5" customHeight="1">
      <c r="A38" s="8" t="n">
        <v>33</v>
      </c>
      <c r="B38" s="9" t="inlineStr">
        <is>
          <t>SAMUEL ORTEGA SILVA</t>
        </is>
      </c>
      <c r="C38" s="9" t="inlineStr"/>
      <c r="D38" s="9" t="inlineStr">
        <is>
          <t>MITSUBISHI L200</t>
        </is>
      </c>
      <c r="E38" s="8" t="inlineStr">
        <is>
          <t>NZT266B</t>
        </is>
      </c>
      <c r="F38" s="10" t="n">
        <v>3000</v>
      </c>
      <c r="G38" s="11" t="n"/>
      <c r="H38" s="10" t="n">
        <v>1200</v>
      </c>
      <c r="I38" s="8" t="inlineStr">
        <is>
          <t>A10268</t>
        </is>
      </c>
      <c r="J38" s="11" t="n"/>
      <c r="K38" s="11" t="n"/>
      <c r="L38" s="11" t="n"/>
      <c r="M38" s="11" t="n"/>
      <c r="N38" s="10" t="n">
        <v>1200</v>
      </c>
      <c r="O38" s="8" t="inlineStr">
        <is>
          <t>A10321</t>
        </is>
      </c>
      <c r="P38" s="11" t="n"/>
      <c r="Q38" s="10" t="n">
        <v>600</v>
      </c>
      <c r="R38" s="8" t="inlineStr">
        <is>
          <t>A10344</t>
        </is>
      </c>
      <c r="S38" s="11" t="n"/>
      <c r="T38" s="11" t="n"/>
      <c r="U38" s="11" t="n"/>
      <c r="V38" s="11" t="n"/>
      <c r="W38" s="11" t="n"/>
      <c r="X38" s="11" t="n"/>
      <c r="Y38" s="8" t="e">
        <v>#VALUE!</v>
      </c>
      <c r="Z38" s="10" t="n">
        <v>3000</v>
      </c>
    </row>
    <row r="39" ht="13.5" customHeight="1">
      <c r="A39" s="16" t="inlineStr">
        <is>
          <t>TOTALES J.D.J.</t>
        </is>
      </c>
      <c r="B39" s="17" t="n"/>
      <c r="C39" s="17" t="n"/>
      <c r="D39" s="17" t="n"/>
      <c r="E39" s="17" t="n"/>
      <c r="F39" s="18">
        <f>SUM(F4:F38)</f>
        <v/>
      </c>
      <c r="G39" s="18">
        <f>SUM(G4:G38)</f>
        <v/>
      </c>
      <c r="H39" s="18">
        <f>SUM(H4:H38)</f>
        <v/>
      </c>
      <c r="I39" s="18">
        <f>SUM(I4:I38)</f>
        <v/>
      </c>
      <c r="J39" s="18">
        <f>SUM(J4:J38)</f>
        <v/>
      </c>
      <c r="K39" s="18">
        <f>SUM(K4:K38)</f>
        <v/>
      </c>
      <c r="L39" s="18">
        <f>SUM(L4:L38)</f>
        <v/>
      </c>
      <c r="M39" s="18">
        <f>SUM(M4:M38)</f>
        <v/>
      </c>
      <c r="N39" s="18">
        <f>SUM(N4:N38)</f>
        <v/>
      </c>
      <c r="O39" s="18">
        <f>SUM(O4:O38)</f>
        <v/>
      </c>
      <c r="P39" s="18">
        <f>SUM(P4:P38)</f>
        <v/>
      </c>
      <c r="Q39" s="18">
        <f>SUM(Q4:Q38)</f>
        <v/>
      </c>
      <c r="R39" s="18">
        <f>SUM(R4:R38)</f>
        <v/>
      </c>
      <c r="S39" s="18">
        <f>SUM(S4:S38)</f>
        <v/>
      </c>
      <c r="T39" s="18">
        <f>SUM(T4:T38)</f>
        <v/>
      </c>
      <c r="U39" s="18">
        <f>SUM(U4:U38)</f>
        <v/>
      </c>
      <c r="V39" s="18">
        <f>SUM(V4:V38)</f>
        <v/>
      </c>
      <c r="W39" s="18">
        <f>SUM(W4:W38)</f>
        <v/>
      </c>
      <c r="X39" s="18">
        <f>SUM(X4:X38)</f>
        <v/>
      </c>
      <c r="Y39" s="18">
        <f>SUM(Y4:Y38)</f>
        <v/>
      </c>
      <c r="Z39" s="18">
        <f>SUM(Z4:Z38)</f>
        <v/>
      </c>
    </row>
    <row r="40" ht="6" customHeight="1"/>
    <row r="41" ht="17" customHeight="1">
      <c r="A41" s="1" t="inlineStr">
        <is>
          <t>GASOLINA - TRITURADORA ROCA DURA SAN MIGUEL  (SEMANA 27)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" customHeight="1">
      <c r="A42" s="3" t="inlineStr">
        <is>
          <t>NO.</t>
        </is>
      </c>
      <c r="B42" s="3" t="inlineStr">
        <is>
          <t>RESPONSABLE</t>
        </is>
      </c>
      <c r="C42" s="3" t="inlineStr">
        <is>
          <t>CENTRO DE TRABAJO</t>
        </is>
      </c>
      <c r="D42" s="3" t="inlineStr">
        <is>
          <t>UNIDAD / EQUIPO</t>
        </is>
      </c>
      <c r="E42" s="3" t="inlineStr">
        <is>
          <t>PLACAS</t>
        </is>
      </c>
      <c r="F42" s="3" t="inlineStr">
        <is>
          <t>IMPORTE AUTORIZADO</t>
        </is>
      </c>
      <c r="G42" s="4" t="inlineStr">
        <is>
          <t>LUN 29/JUN</t>
        </is>
      </c>
      <c r="H42" s="2" t="n"/>
      <c r="I42" s="2" t="n"/>
      <c r="J42" s="4" t="inlineStr">
        <is>
          <t>MAR 30/JUN</t>
        </is>
      </c>
      <c r="K42" s="2" t="n"/>
      <c r="L42" s="2" t="n"/>
      <c r="M42" s="4" t="inlineStr">
        <is>
          <t>MIÉ 01/JUL</t>
        </is>
      </c>
      <c r="N42" s="2" t="n"/>
      <c r="O42" s="2" t="n"/>
      <c r="P42" s="4" t="inlineStr">
        <is>
          <t>JUE 02/JUL</t>
        </is>
      </c>
      <c r="Q42" s="2" t="n"/>
      <c r="R42" s="2" t="n"/>
      <c r="S42" s="4" t="inlineStr">
        <is>
          <t>VIE 03/JUL</t>
        </is>
      </c>
      <c r="T42" s="2" t="n"/>
      <c r="U42" s="2" t="n"/>
      <c r="V42" s="4" t="inlineStr">
        <is>
          <t>SÁB 04/JUL</t>
        </is>
      </c>
      <c r="W42" s="2" t="n"/>
      <c r="X42" s="2" t="n"/>
      <c r="Y42" s="5" t="inlineStr">
        <is>
          <t>REMANENTE
(SALDO)</t>
        </is>
      </c>
      <c r="Z42" s="3" t="inlineStr">
        <is>
          <t>CONSUMO
SEMANAL</t>
        </is>
      </c>
    </row>
    <row r="43" ht="13" customHeight="1">
      <c r="A43" s="6" t="n"/>
      <c r="B43" s="6" t="n"/>
      <c r="C43" s="6" t="n"/>
      <c r="D43" s="6" t="n"/>
      <c r="E43" s="6" t="n"/>
      <c r="F43" s="6" t="n"/>
      <c r="G43" s="7" t="inlineStr">
        <is>
          <t>LEVET</t>
        </is>
      </c>
      <c r="H43" s="7" t="inlineStr">
        <is>
          <t>MOBILE</t>
        </is>
      </c>
      <c r="I43" s="7" t="inlineStr">
        <is>
          <t>SI VALE</t>
        </is>
      </c>
      <c r="J43" s="7" t="inlineStr">
        <is>
          <t>LEVET</t>
        </is>
      </c>
      <c r="K43" s="7" t="inlineStr">
        <is>
          <t>MOBILE</t>
        </is>
      </c>
      <c r="L43" s="7" t="inlineStr">
        <is>
          <t>SI VALE</t>
        </is>
      </c>
      <c r="M43" s="7" t="inlineStr">
        <is>
          <t>LEVET</t>
        </is>
      </c>
      <c r="N43" s="7" t="inlineStr">
        <is>
          <t>MOBILE</t>
        </is>
      </c>
      <c r="O43" s="7" t="inlineStr">
        <is>
          <t>SI VALE</t>
        </is>
      </c>
      <c r="P43" s="7" t="inlineStr">
        <is>
          <t>LEVET</t>
        </is>
      </c>
      <c r="Q43" s="7" t="inlineStr">
        <is>
          <t>MOBILE</t>
        </is>
      </c>
      <c r="R43" s="7" t="inlineStr">
        <is>
          <t>SI VALE</t>
        </is>
      </c>
      <c r="S43" s="7" t="inlineStr">
        <is>
          <t>LEVET</t>
        </is>
      </c>
      <c r="T43" s="7" t="inlineStr">
        <is>
          <t>MOBILE</t>
        </is>
      </c>
      <c r="U43" s="7" t="inlineStr">
        <is>
          <t>SI VALE</t>
        </is>
      </c>
      <c r="V43" s="7" t="inlineStr">
        <is>
          <t>LEVET</t>
        </is>
      </c>
      <c r="W43" s="7" t="inlineStr">
        <is>
          <t>MOBILE</t>
        </is>
      </c>
      <c r="X43" s="7" t="inlineStr">
        <is>
          <t>SI VALE</t>
        </is>
      </c>
      <c r="Y43" s="2" t="n"/>
      <c r="Z43" s="6" t="n"/>
    </row>
    <row r="44" ht="11.5" customHeight="1">
      <c r="A44" s="8" t="n">
        <v>1</v>
      </c>
      <c r="B44" s="9" t="inlineStr">
        <is>
          <t>CARLOS REYES TRUJANO</t>
        </is>
      </c>
      <c r="C44" s="9" t="inlineStr">
        <is>
          <t>MINA TABERNILLAS</t>
        </is>
      </c>
      <c r="D44" s="9" t="inlineStr">
        <is>
          <t>TOYOTA TACOMA</t>
        </is>
      </c>
      <c r="E44" s="8" t="inlineStr">
        <is>
          <t>33K849</t>
        </is>
      </c>
      <c r="F44" s="10" t="n">
        <v>2500</v>
      </c>
      <c r="G44" s="11" t="n"/>
      <c r="H44" s="11" t="n"/>
      <c r="I44" s="11" t="n"/>
      <c r="J44" s="11" t="n"/>
      <c r="K44" s="11" t="n"/>
      <c r="L44" s="11" t="n"/>
      <c r="M44" s="10" t="n">
        <v>500</v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0" t="n">
        <v>2000</v>
      </c>
      <c r="Z44" s="10" t="n">
        <v>500</v>
      </c>
    </row>
    <row r="45" ht="11.5" customHeight="1">
      <c r="A45" s="12" t="n">
        <v>2</v>
      </c>
      <c r="B45" s="13" t="inlineStr">
        <is>
          <t>LAZARO PINAL RIOS</t>
        </is>
      </c>
      <c r="C45" s="13" t="inlineStr">
        <is>
          <t>MINA TABERNILLAS</t>
        </is>
      </c>
      <c r="D45" s="13" t="inlineStr">
        <is>
          <t>MITSUBISHI L200</t>
        </is>
      </c>
      <c r="E45" s="12" t="inlineStr">
        <is>
          <t>MHL757A</t>
        </is>
      </c>
      <c r="F45" s="14" t="n">
        <v>1500</v>
      </c>
      <c r="G45" s="15" t="n"/>
      <c r="H45" s="15" t="n"/>
      <c r="I45" s="15" t="n"/>
      <c r="J45" s="14" t="n">
        <v>1700</v>
      </c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20" t="n">
        <v>-200</v>
      </c>
      <c r="Z45" s="14" t="n">
        <v>1700</v>
      </c>
    </row>
    <row r="46" ht="11.5" customHeight="1">
      <c r="A46" s="8" t="n">
        <v>3</v>
      </c>
      <c r="B46" s="9" t="inlineStr">
        <is>
          <t>ARMANDO COLIN MORENO</t>
        </is>
      </c>
      <c r="C46" s="9" t="inlineStr">
        <is>
          <t>MINA TABERNILLAS</t>
        </is>
      </c>
      <c r="D46" s="9" t="inlineStr">
        <is>
          <t>CHEVORLET</t>
        </is>
      </c>
      <c r="E46" s="8" t="inlineStr">
        <is>
          <t>PAT8298</t>
        </is>
      </c>
      <c r="F46" s="10" t="n">
        <v>2000</v>
      </c>
      <c r="G46" s="11" t="n"/>
      <c r="H46" s="11" t="n"/>
      <c r="I46" s="11" t="n"/>
      <c r="J46" s="11" t="n"/>
      <c r="K46" s="11" t="n"/>
      <c r="L46" s="11" t="n"/>
      <c r="M46" s="10" t="n">
        <v>1370.08</v>
      </c>
      <c r="N46" s="11" t="n"/>
      <c r="O46" s="11" t="n"/>
      <c r="P46" s="10" t="n">
        <v>600</v>
      </c>
      <c r="Q46" s="11" t="n"/>
      <c r="R46" s="11" t="n"/>
      <c r="S46" s="11" t="n"/>
      <c r="T46" s="11" t="n"/>
      <c r="U46" s="11" t="n"/>
      <c r="V46" s="11" t="n"/>
      <c r="W46" s="11" t="n"/>
      <c r="X46" s="11" t="n"/>
      <c r="Y46" s="10" t="n">
        <v>29.92</v>
      </c>
      <c r="Z46" s="10" t="n">
        <v>1970.08</v>
      </c>
    </row>
    <row r="47" ht="11.5" customHeight="1">
      <c r="A47" s="12" t="inlineStr"/>
      <c r="B47" s="13" t="inlineStr"/>
      <c r="C47" s="13" t="inlineStr"/>
      <c r="D47" s="13" t="inlineStr">
        <is>
          <t>EQUIPO MENOR</t>
        </is>
      </c>
      <c r="E47" s="12" t="inlineStr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4" t="n">
        <v>0</v>
      </c>
      <c r="Z47" s="14" t="n">
        <v>0</v>
      </c>
    </row>
    <row r="48" ht="11.5" customHeight="1">
      <c r="A48" s="8" t="n">
        <v>4</v>
      </c>
      <c r="B48" s="9" t="inlineStr">
        <is>
          <t>ABNER OSORIO BARTOLO</t>
        </is>
      </c>
      <c r="C48" s="9" t="inlineStr">
        <is>
          <t>MINA ZUMPAHUACAN</t>
        </is>
      </c>
      <c r="D48" s="9" t="inlineStr">
        <is>
          <t>MITSUBISHI L200</t>
        </is>
      </c>
      <c r="E48" s="8" t="inlineStr">
        <is>
          <t>NYZ828C</t>
        </is>
      </c>
      <c r="F48" s="10" t="n">
        <v>1500</v>
      </c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0" t="n">
        <v>1500</v>
      </c>
      <c r="Z48" s="10" t="n">
        <v>0</v>
      </c>
    </row>
    <row r="49" ht="11.5" customHeight="1">
      <c r="A49" s="12" t="n">
        <v>5</v>
      </c>
      <c r="B49" s="13" t="inlineStr">
        <is>
          <t>ISAAC GONZALEZ GONZALEZ</t>
        </is>
      </c>
      <c r="C49" s="13" t="inlineStr">
        <is>
          <t>MINA ZUMPAHUACAN</t>
        </is>
      </c>
      <c r="D49" s="13" t="inlineStr">
        <is>
          <t>MITSUBISHI L200</t>
        </is>
      </c>
      <c r="E49" s="12" t="inlineStr">
        <is>
          <t>NYZ839C</t>
        </is>
      </c>
      <c r="F49" s="14" t="n">
        <v>1500</v>
      </c>
      <c r="G49" s="15" t="n"/>
      <c r="H49" s="15" t="n"/>
      <c r="I49" s="15" t="n"/>
      <c r="J49" s="15" t="n"/>
      <c r="K49" s="15" t="n"/>
      <c r="L49" s="15" t="n"/>
      <c r="M49" s="14" t="n">
        <v>921.16</v>
      </c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2" t="e">
        <v>#REF!</v>
      </c>
      <c r="Z49" s="12" t="e">
        <v>#REF!</v>
      </c>
    </row>
    <row r="50" ht="11.5" customHeight="1">
      <c r="A50" s="8" t="n">
        <v>6</v>
      </c>
      <c r="B50" s="9" t="inlineStr">
        <is>
          <t>JESUS MARIN GARCIA</t>
        </is>
      </c>
      <c r="C50" s="9" t="inlineStr">
        <is>
          <t>MINA CUAJOMAC</t>
        </is>
      </c>
      <c r="D50" s="9" t="inlineStr">
        <is>
          <t>CHEVORLET</t>
        </is>
      </c>
      <c r="E50" s="8" t="inlineStr">
        <is>
          <t>PCU8771</t>
        </is>
      </c>
      <c r="F50" s="10" t="n">
        <v>2000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0" t="n">
        <v>2000</v>
      </c>
      <c r="Z50" s="10" t="n">
        <v>0</v>
      </c>
    </row>
    <row r="51" ht="13.5" customHeight="1">
      <c r="A51" s="16" t="inlineStr">
        <is>
          <t>TOTALES TRITURADORA</t>
        </is>
      </c>
      <c r="B51" s="17" t="n"/>
      <c r="C51" s="17" t="n"/>
      <c r="D51" s="17" t="n"/>
      <c r="E51" s="17" t="n"/>
      <c r="F51" s="18">
        <f>SUM(F44:F50)</f>
        <v/>
      </c>
      <c r="G51" s="18">
        <f>SUM(G44:G50)</f>
        <v/>
      </c>
      <c r="H51" s="18">
        <f>SUM(H44:H50)</f>
        <v/>
      </c>
      <c r="I51" s="18">
        <f>SUM(I44:I50)</f>
        <v/>
      </c>
      <c r="J51" s="18">
        <f>SUM(J44:J50)</f>
        <v/>
      </c>
      <c r="K51" s="18">
        <f>SUM(K44:K50)</f>
        <v/>
      </c>
      <c r="L51" s="18">
        <f>SUM(L44:L50)</f>
        <v/>
      </c>
      <c r="M51" s="18">
        <f>SUM(M44:M50)</f>
        <v/>
      </c>
      <c r="N51" s="18">
        <f>SUM(N44:N50)</f>
        <v/>
      </c>
      <c r="O51" s="18">
        <f>SUM(O44:O50)</f>
        <v/>
      </c>
      <c r="P51" s="18">
        <f>SUM(P44:P50)</f>
        <v/>
      </c>
      <c r="Q51" s="18">
        <f>SUM(Q44:Q50)</f>
        <v/>
      </c>
      <c r="R51" s="18">
        <f>SUM(R44:R50)</f>
        <v/>
      </c>
      <c r="S51" s="18">
        <f>SUM(S44:S50)</f>
        <v/>
      </c>
      <c r="T51" s="18">
        <f>SUM(T44:T50)</f>
        <v/>
      </c>
      <c r="U51" s="18">
        <f>SUM(U44:U50)</f>
        <v/>
      </c>
      <c r="V51" s="18">
        <f>SUM(V44:V50)</f>
        <v/>
      </c>
      <c r="W51" s="18">
        <f>SUM(W44:W50)</f>
        <v/>
      </c>
      <c r="X51" s="18">
        <f>SUM(X44:X50)</f>
        <v/>
      </c>
      <c r="Y51" s="18">
        <f>SUM(Y44:Y50)</f>
        <v/>
      </c>
      <c r="Z51" s="18">
        <f>SUM(Z44:Z50)</f>
        <v/>
      </c>
    </row>
  </sheetData>
  <mergeCells count="32">
    <mergeCell ref="A39:E39"/>
    <mergeCell ref="P2:R2"/>
    <mergeCell ref="C42:C43"/>
    <mergeCell ref="E42:E43"/>
    <mergeCell ref="A51:E51"/>
    <mergeCell ref="B2:B3"/>
    <mergeCell ref="D2:D3"/>
    <mergeCell ref="B42:B43"/>
    <mergeCell ref="F2:F3"/>
    <mergeCell ref="Y2:Y3"/>
    <mergeCell ref="A1:Z1"/>
    <mergeCell ref="M42:O42"/>
    <mergeCell ref="F42:F43"/>
    <mergeCell ref="Z2:Z3"/>
    <mergeCell ref="A2:A3"/>
    <mergeCell ref="C2:C3"/>
    <mergeCell ref="E2:E3"/>
    <mergeCell ref="A41:Z41"/>
    <mergeCell ref="Z42:Z43"/>
    <mergeCell ref="J2:L2"/>
    <mergeCell ref="J42:L42"/>
    <mergeCell ref="P42:R42"/>
    <mergeCell ref="A42:A43"/>
    <mergeCell ref="D42:D43"/>
    <mergeCell ref="V2:X2"/>
    <mergeCell ref="G2:I2"/>
    <mergeCell ref="V42:X42"/>
    <mergeCell ref="G42:I42"/>
    <mergeCell ref="Y42:Y43"/>
    <mergeCell ref="S42:U42"/>
    <mergeCell ref="M2:O2"/>
    <mergeCell ref="S2:U2"/>
  </mergeCells>
  <pageMargins left="0.2" right="0.2" top="0.25" bottom="0.25" header="0.5" footer="0.5"/>
  <pageSetup orientation="landscape" paperSize="5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4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8.5" customWidth="1" min="28" max="28"/>
    <col width="8.800000000000001" customWidth="1" min="29" max="29"/>
  </cols>
  <sheetData>
    <row r="1" ht="18" customHeight="1">
      <c r="A1" s="1" t="inlineStr">
        <is>
          <t>GASOLINA - J.D.J. EQUIPO Y CONSTRUCCIONES S.A. DE C.V.  (SEMANA 28)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06/JUL</t>
        </is>
      </c>
      <c r="H2" s="2" t="n"/>
      <c r="I2" s="2" t="n"/>
      <c r="J2" s="4" t="inlineStr">
        <is>
          <t>MAR 07/JUL</t>
        </is>
      </c>
      <c r="K2" s="2" t="n"/>
      <c r="L2" s="2" t="n"/>
      <c r="M2" s="4" t="inlineStr">
        <is>
          <t>MIÉ 08/JUL</t>
        </is>
      </c>
      <c r="N2" s="2" t="n"/>
      <c r="O2" s="2" t="n"/>
      <c r="P2" s="4" t="inlineStr">
        <is>
          <t>JUE 09/JUL</t>
        </is>
      </c>
      <c r="Q2" s="2" t="n"/>
      <c r="R2" s="2" t="n"/>
      <c r="S2" s="4" t="inlineStr">
        <is>
          <t>VIE 10/JUL</t>
        </is>
      </c>
      <c r="T2" s="2" t="n"/>
      <c r="U2" s="2" t="n"/>
      <c r="V2" s="4" t="inlineStr">
        <is>
          <t>SÁB 11/JUL</t>
        </is>
      </c>
      <c r="W2" s="2" t="n"/>
      <c r="X2" s="2" t="n"/>
      <c r="Y2" s="4" t="inlineStr">
        <is>
          <t>DOM 12/JUL</t>
        </is>
      </c>
      <c r="Z2" s="2" t="n"/>
      <c r="AA2" s="2" t="n"/>
      <c r="AB2" s="5" t="inlineStr">
        <is>
          <t>REMANENTE
(SALDO)</t>
        </is>
      </c>
      <c r="AC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SI VALE</t>
        </is>
      </c>
      <c r="J3" s="7" t="inlineStr">
        <is>
          <t>LEVET</t>
        </is>
      </c>
      <c r="K3" s="7" t="inlineStr">
        <is>
          <t>MOBILE</t>
        </is>
      </c>
      <c r="L3" s="7" t="inlineStr">
        <is>
          <t>SI VALE</t>
        </is>
      </c>
      <c r="M3" s="7" t="inlineStr">
        <is>
          <t>LEVET</t>
        </is>
      </c>
      <c r="N3" s="7" t="inlineStr">
        <is>
          <t>MOBILE</t>
        </is>
      </c>
      <c r="O3" s="7" t="inlineStr">
        <is>
          <t>SI VALE</t>
        </is>
      </c>
      <c r="P3" s="7" t="inlineStr">
        <is>
          <t>LEVET</t>
        </is>
      </c>
      <c r="Q3" s="7" t="inlineStr">
        <is>
          <t>MOBILE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SI VALE</t>
        </is>
      </c>
      <c r="V3" s="7" t="inlineStr">
        <is>
          <t>LEVET</t>
        </is>
      </c>
      <c r="W3" s="7" t="inlineStr">
        <is>
          <t>MOBILE</t>
        </is>
      </c>
      <c r="X3" s="7" t="inlineStr">
        <is>
          <t>SI VALE</t>
        </is>
      </c>
      <c r="Y3" s="7" t="inlineStr">
        <is>
          <t>LEVET</t>
        </is>
      </c>
      <c r="Z3" s="7" t="inlineStr">
        <is>
          <t>MOBILE</t>
        </is>
      </c>
      <c r="AA3" s="7" t="inlineStr">
        <is>
          <t>SI VALE</t>
        </is>
      </c>
      <c r="AB3" s="2" t="n"/>
      <c r="AC3" s="6" t="n"/>
    </row>
    <row r="4" ht="11.5" customHeight="1">
      <c r="A4" s="8" t="n">
        <v>1</v>
      </c>
      <c r="B4" s="9" t="inlineStr">
        <is>
          <t>ING.ARMANDO  COLIN</t>
        </is>
      </c>
      <c r="C4" s="9" t="inlineStr">
        <is>
          <t>BACHEO TOLUCA</t>
        </is>
      </c>
      <c r="D4" s="9" t="inlineStr">
        <is>
          <t>CHEVROLET S10</t>
        </is>
      </c>
      <c r="E4" s="8" t="inlineStr">
        <is>
          <t>PAT8298</t>
        </is>
      </c>
      <c r="F4" s="10" t="n">
        <v>1200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0" t="n">
        <v>1200</v>
      </c>
      <c r="AC4" s="10" t="n">
        <v>0</v>
      </c>
    </row>
    <row r="5" ht="11.5" customHeight="1">
      <c r="A5" s="12" t="n">
        <v>2</v>
      </c>
      <c r="B5" s="13" t="inlineStr"/>
      <c r="C5" s="13" t="inlineStr"/>
      <c r="D5" s="13" t="inlineStr">
        <is>
          <t>EQUIPO MENOR</t>
        </is>
      </c>
      <c r="E5" s="12" t="inlineStr"/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4" t="n">
        <v>500</v>
      </c>
      <c r="AC5" s="14" t="n">
        <v>0</v>
      </c>
    </row>
    <row r="6" ht="11.5" customHeight="1">
      <c r="A6" s="8" t="n">
        <v>3</v>
      </c>
      <c r="B6" s="9" t="inlineStr">
        <is>
          <t>ING. ANTONIO IBAÑEZ</t>
        </is>
      </c>
      <c r="C6" s="9" t="inlineStr">
        <is>
          <t>MAQUINARIA</t>
        </is>
      </c>
      <c r="D6" s="9" t="inlineStr">
        <is>
          <t>RAM 1200</t>
        </is>
      </c>
      <c r="E6" s="8" t="inlineStr">
        <is>
          <t>LHB188D</t>
        </is>
      </c>
      <c r="F6" s="10" t="n">
        <v>2500</v>
      </c>
      <c r="G6" s="10" t="n">
        <v>1500.51</v>
      </c>
      <c r="H6" s="11" t="n"/>
      <c r="I6" s="11" t="n"/>
      <c r="J6" s="11" t="n"/>
      <c r="K6" s="11" t="n"/>
      <c r="L6" s="11" t="n"/>
      <c r="M6" s="11" t="n"/>
      <c r="N6" s="11" t="n"/>
      <c r="O6" s="11" t="n"/>
      <c r="P6" s="10" t="n">
        <v>1000</v>
      </c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9" t="n">
        <v>-0.51</v>
      </c>
      <c r="AC6" s="10" t="n">
        <v>2500.51</v>
      </c>
    </row>
    <row r="7" ht="11.5" customHeight="1">
      <c r="A7" s="12" t="n">
        <v>4</v>
      </c>
      <c r="B7" s="13" t="inlineStr"/>
      <c r="C7" s="13" t="inlineStr"/>
      <c r="D7" s="13" t="inlineStr">
        <is>
          <t>EQUIPO MENOR</t>
        </is>
      </c>
      <c r="E7" s="12" t="inlineStr"/>
      <c r="F7" s="14" t="n">
        <v>500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4" t="n">
        <v>500</v>
      </c>
      <c r="AC7" s="14" t="n">
        <v>0</v>
      </c>
    </row>
    <row r="8" ht="11.5" customHeight="1">
      <c r="A8" s="8" t="n">
        <v>5</v>
      </c>
      <c r="B8" s="9" t="inlineStr">
        <is>
          <t>ALBERTO HERNANDEZ DE JESUS</t>
        </is>
      </c>
      <c r="C8" s="9" t="inlineStr">
        <is>
          <t>MAQUINARIA</t>
        </is>
      </c>
      <c r="D8" s="9" t="inlineStr">
        <is>
          <t>DODGE RAM 700</t>
        </is>
      </c>
      <c r="E8" s="8" t="inlineStr">
        <is>
          <t>NXP9814</t>
        </is>
      </c>
      <c r="F8" s="10" t="n">
        <v>1500</v>
      </c>
      <c r="G8" s="11" t="n"/>
      <c r="H8" s="11" t="n"/>
      <c r="I8" s="11" t="n"/>
      <c r="J8" s="10" t="n">
        <v>1500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0" t="n">
        <v>0</v>
      </c>
      <c r="AC8" s="10" t="n">
        <v>1500</v>
      </c>
    </row>
    <row r="9" ht="11.5" customHeight="1">
      <c r="A9" s="12" t="n">
        <v>6</v>
      </c>
      <c r="B9" s="13" t="inlineStr">
        <is>
          <t>JUAN CARLOS NAZAR CHAVEZ</t>
        </is>
      </c>
      <c r="C9" s="13" t="inlineStr">
        <is>
          <t>MAQUINARIA</t>
        </is>
      </c>
      <c r="D9" s="13" t="inlineStr">
        <is>
          <t>DODGE RAM 700</t>
        </is>
      </c>
      <c r="E9" s="12" t="inlineStr">
        <is>
          <t>PCW9238</t>
        </is>
      </c>
      <c r="F9" s="14" t="n">
        <v>1500</v>
      </c>
      <c r="G9" s="14" t="n">
        <v>1113.85</v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4" t="n">
        <v>386.15</v>
      </c>
      <c r="AC9" s="14" t="n">
        <v>1113.85</v>
      </c>
    </row>
    <row r="10" ht="11.5" customHeight="1">
      <c r="A10" s="8" t="n">
        <v>7</v>
      </c>
      <c r="B10" s="9" t="inlineStr">
        <is>
          <t>EDGAR VELAZQUEZ ESQUIVEL</t>
        </is>
      </c>
      <c r="C10" s="9" t="inlineStr">
        <is>
          <t>MAQUINARIA</t>
        </is>
      </c>
      <c r="D10" s="9" t="inlineStr"/>
      <c r="E10" s="8" t="inlineStr"/>
      <c r="F10" s="10" t="n">
        <v>1500</v>
      </c>
      <c r="G10" s="10" t="n">
        <v>1381.48</v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0" t="n">
        <v>118.52</v>
      </c>
      <c r="AC10" s="10" t="n">
        <v>1381.48</v>
      </c>
    </row>
    <row r="11" ht="11.5" customHeight="1">
      <c r="A11" s="12" t="n">
        <v>8</v>
      </c>
      <c r="B11" s="13" t="inlineStr">
        <is>
          <t>ROBERTO CARLOS GARCÍA</t>
        </is>
      </c>
      <c r="C11" s="13" t="inlineStr">
        <is>
          <t>H. COLEGIO MILITAR</t>
        </is>
      </c>
      <c r="D11" s="13" t="inlineStr">
        <is>
          <t>CHANGAN ALSVIN</t>
        </is>
      </c>
      <c r="E11" s="12" t="inlineStr">
        <is>
          <t>LMH893A</t>
        </is>
      </c>
      <c r="F11" s="14" t="n">
        <v>700</v>
      </c>
      <c r="G11" s="15" t="n"/>
      <c r="H11" s="15" t="n"/>
      <c r="I11" s="14" t="n">
        <v>440</v>
      </c>
      <c r="J11" s="15" t="n"/>
      <c r="K11" s="15" t="n"/>
      <c r="L11" s="15" t="n"/>
      <c r="M11" s="15" t="n"/>
      <c r="N11" s="15" t="n"/>
      <c r="O11" s="15" t="n"/>
      <c r="P11" s="15" t="n"/>
      <c r="Q11" s="15" t="n"/>
      <c r="R11" s="14" t="n">
        <v>800</v>
      </c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20" t="n">
        <v>-540</v>
      </c>
      <c r="AC11" s="14" t="n">
        <v>1240</v>
      </c>
    </row>
    <row r="12" ht="11.5" customHeight="1">
      <c r="A12" s="8" t="n">
        <v>9</v>
      </c>
      <c r="B12" s="9" t="inlineStr">
        <is>
          <t>OSCAR ESTRADA LINARES</t>
        </is>
      </c>
      <c r="C12" s="9" t="inlineStr">
        <is>
          <t>EXPLANADA DAMIAN CARMONA</t>
        </is>
      </c>
      <c r="D12" s="9" t="inlineStr">
        <is>
          <t>NISSAN NP-300</t>
        </is>
      </c>
      <c r="E12" s="8" t="inlineStr">
        <is>
          <t>MAH844C</t>
        </is>
      </c>
      <c r="F12" s="10" t="n">
        <v>1500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0" t="n">
        <v>1068.47</v>
      </c>
      <c r="V12" s="11" t="n"/>
      <c r="W12" s="11" t="n"/>
      <c r="X12" s="11" t="n"/>
      <c r="Y12" s="11" t="n"/>
      <c r="Z12" s="11" t="n"/>
      <c r="AA12" s="11" t="n"/>
      <c r="AB12" s="10" t="n">
        <v>431.53</v>
      </c>
      <c r="AC12" s="10" t="n">
        <v>1068.47</v>
      </c>
    </row>
    <row r="13" ht="11.5" customHeight="1">
      <c r="A13" s="12" t="n">
        <v>10</v>
      </c>
      <c r="B13" s="13" t="inlineStr">
        <is>
          <t>DIEGO CARREOLA</t>
        </is>
      </c>
      <c r="C13" s="13" t="inlineStr">
        <is>
          <t>BACHEO TOLUCA Y C. VICENTE LOMBARDO</t>
        </is>
      </c>
      <c r="D13" s="13" t="inlineStr">
        <is>
          <t>MITSUBISHI L1200</t>
        </is>
      </c>
      <c r="E13" s="12" t="inlineStr">
        <is>
          <t>NYZ829C</t>
        </is>
      </c>
      <c r="F13" s="14" t="n">
        <v>1500</v>
      </c>
      <c r="G13" s="15" t="n"/>
      <c r="H13" s="15" t="n"/>
      <c r="I13" s="15" t="n"/>
      <c r="J13" s="14" t="n">
        <v>1500</v>
      </c>
      <c r="K13" s="15" t="n"/>
      <c r="L13" s="15" t="n"/>
      <c r="M13" s="15" t="n"/>
      <c r="N13" s="15" t="n"/>
      <c r="O13" s="15" t="n"/>
      <c r="P13" s="14" t="n">
        <v>1000</v>
      </c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20" t="n">
        <v>-1000</v>
      </c>
      <c r="AC13" s="14" t="n">
        <v>2500</v>
      </c>
    </row>
    <row r="14" ht="11.5" customHeight="1">
      <c r="A14" s="8" t="n">
        <v>11</v>
      </c>
      <c r="B14" s="9" t="inlineStr"/>
      <c r="C14" s="9" t="inlineStr">
        <is>
          <t>BACHEO TOLUCA</t>
        </is>
      </c>
      <c r="D14" s="9" t="inlineStr">
        <is>
          <t>EQUIPO MENOR</t>
        </is>
      </c>
      <c r="E14" s="8" t="inlineStr"/>
      <c r="F14" s="10" t="n">
        <v>500</v>
      </c>
      <c r="G14" s="11" t="n"/>
      <c r="H14" s="11" t="n"/>
      <c r="I14" s="11" t="n"/>
      <c r="J14" s="10" t="n">
        <v>500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0" t="n">
        <v>500</v>
      </c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9" t="n">
        <v>-500</v>
      </c>
      <c r="AC14" s="10" t="n">
        <v>1000</v>
      </c>
    </row>
    <row r="15" ht="11.5" customHeight="1">
      <c r="A15" s="12" t="n">
        <v>12</v>
      </c>
      <c r="B15" s="13" t="inlineStr">
        <is>
          <t>TOMAS ARANDA PROSPERO</t>
        </is>
      </c>
      <c r="C15" s="13" t="inlineStr">
        <is>
          <t>BACHEO TOLUCA Y C. VICENTE LOMBARDO</t>
        </is>
      </c>
      <c r="D15" s="13" t="inlineStr">
        <is>
          <t>DODGE RAM 4000 (3/2)</t>
        </is>
      </c>
      <c r="E15" s="12" t="inlineStr">
        <is>
          <t>LF05470</t>
        </is>
      </c>
      <c r="F15" s="14" t="n">
        <v>1500</v>
      </c>
      <c r="G15" s="15" t="n"/>
      <c r="H15" s="15" t="n"/>
      <c r="I15" s="15" t="n"/>
      <c r="J15" s="14" t="n">
        <v>1500</v>
      </c>
      <c r="K15" s="15" t="n"/>
      <c r="L15" s="15" t="n"/>
      <c r="M15" s="15" t="n"/>
      <c r="N15" s="15" t="n"/>
      <c r="O15" s="15" t="n"/>
      <c r="P15" s="15" t="n"/>
      <c r="Q15" s="15" t="n"/>
      <c r="R15" s="15" t="n"/>
      <c r="S15" s="14" t="n">
        <v>2000</v>
      </c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20" t="n">
        <v>-2000</v>
      </c>
      <c r="AC15" s="14" t="n">
        <v>3500</v>
      </c>
    </row>
    <row r="16" ht="11.5" customHeight="1">
      <c r="A16" s="8" t="n">
        <v>13</v>
      </c>
      <c r="B16" s="9" t="inlineStr">
        <is>
          <t>JAVIER PEREZ DÍAZ</t>
        </is>
      </c>
      <c r="C16" s="9" t="inlineStr">
        <is>
          <t>OBRA MÉXICO TOLUCA</t>
        </is>
      </c>
      <c r="D16" s="9" t="inlineStr">
        <is>
          <t>MITSUBISHI 1200</t>
        </is>
      </c>
      <c r="E16" s="8" t="inlineStr">
        <is>
          <t>MHL758A</t>
        </is>
      </c>
      <c r="F16" s="10" t="n">
        <v>2500</v>
      </c>
      <c r="G16" s="10" t="n">
        <v>1501.58</v>
      </c>
      <c r="H16" s="11" t="n"/>
      <c r="I16" s="11" t="n"/>
      <c r="J16" s="11" t="n"/>
      <c r="K16" s="11" t="n"/>
      <c r="L16" s="11" t="n"/>
      <c r="M16" s="11" t="n"/>
      <c r="N16" s="11" t="n"/>
      <c r="O16" s="11" t="n"/>
      <c r="P16" s="10" t="n">
        <v>1308.94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9" t="n">
        <v>-310.52</v>
      </c>
      <c r="AC16" s="10" t="n">
        <v>2810.52</v>
      </c>
    </row>
    <row r="17" ht="11.5" customHeight="1">
      <c r="A17" s="12" t="inlineStr"/>
      <c r="B17" s="13" t="inlineStr"/>
      <c r="C17" s="13" t="inlineStr">
        <is>
          <t>OBRA MÉXICO TOLUCA</t>
        </is>
      </c>
      <c r="D17" s="13" t="inlineStr">
        <is>
          <t>EQUIPO MENOR</t>
        </is>
      </c>
      <c r="E17" s="12" t="inlineStr"/>
      <c r="F17" s="14" t="n">
        <v>300</v>
      </c>
      <c r="G17" s="15" t="n"/>
      <c r="H17" s="14" t="n">
        <v>400</v>
      </c>
      <c r="I17" s="12" t="inlineStr">
        <is>
          <t>A10372</t>
        </is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2" t="e">
        <v>#VALUE!</v>
      </c>
      <c r="AC17" s="15" t="n"/>
    </row>
    <row r="18" ht="11.5" customHeight="1">
      <c r="A18" s="8" t="n">
        <v>14</v>
      </c>
      <c r="B18" s="9" t="inlineStr">
        <is>
          <t>ALEXIS SAMUEL RENDON DOMINGUEZ</t>
        </is>
      </c>
      <c r="C18" s="9" t="inlineStr">
        <is>
          <t>OBRA MÉXICO TOLUCA</t>
        </is>
      </c>
      <c r="D18" s="9" t="inlineStr">
        <is>
          <t>TOYOTA HIACE (URBAN)</t>
        </is>
      </c>
      <c r="E18" s="8" t="inlineStr">
        <is>
          <t>PBT1230</t>
        </is>
      </c>
      <c r="F18" s="10" t="n">
        <v>2500</v>
      </c>
      <c r="G18" s="11" t="n"/>
      <c r="H18" s="10" t="n">
        <v>1712</v>
      </c>
      <c r="I18" s="11" t="n"/>
      <c r="J18" s="11" t="n"/>
      <c r="K18" s="11" t="n"/>
      <c r="L18" s="11" t="n"/>
      <c r="M18" s="11" t="n"/>
      <c r="N18" s="10" t="n">
        <v>788</v>
      </c>
      <c r="O18" s="8" t="inlineStr">
        <is>
          <t>A10399</t>
        </is>
      </c>
      <c r="P18" s="11" t="n"/>
      <c r="Q18" s="11" t="n"/>
      <c r="R18" s="11" t="n"/>
      <c r="S18" s="11" t="n"/>
      <c r="T18" s="10" t="n">
        <v>800</v>
      </c>
      <c r="U18" s="8" t="inlineStr">
        <is>
          <t>A10892</t>
        </is>
      </c>
      <c r="V18" s="11" t="n"/>
      <c r="W18" s="11" t="n"/>
      <c r="X18" s="11" t="n"/>
      <c r="Y18" s="11" t="n"/>
      <c r="Z18" s="11" t="n"/>
      <c r="AA18" s="11" t="n"/>
      <c r="AB18" s="8" t="e">
        <v>#VALUE!</v>
      </c>
      <c r="AC18" s="10" t="n">
        <v>3300</v>
      </c>
    </row>
    <row r="19" ht="11.5" customHeight="1">
      <c r="A19" s="12" t="n">
        <v>15</v>
      </c>
      <c r="B19" s="13" t="inlineStr">
        <is>
          <t>CRISTIAN REYES GAMORA</t>
        </is>
      </c>
      <c r="C19" s="13" t="inlineStr">
        <is>
          <t>OBRA MÉXICO TOLUCA</t>
        </is>
      </c>
      <c r="D19" s="13" t="inlineStr">
        <is>
          <t>DODGE RAM 4000 (3/2)</t>
        </is>
      </c>
      <c r="E19" s="12" t="inlineStr">
        <is>
          <t>LH49730</t>
        </is>
      </c>
      <c r="F19" s="14" t="n">
        <v>4000</v>
      </c>
      <c r="G19" s="15" t="n"/>
      <c r="H19" s="15" t="n"/>
      <c r="I19" s="15" t="n"/>
      <c r="J19" s="15" t="n"/>
      <c r="K19" s="15" t="n"/>
      <c r="L19" s="15" t="n"/>
      <c r="M19" s="15" t="n"/>
      <c r="N19" s="14" t="n">
        <v>2500.11</v>
      </c>
      <c r="O19" s="12" t="inlineStr">
        <is>
          <t>A10395</t>
        </is>
      </c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4" t="n">
        <v>2500.11</v>
      </c>
    </row>
    <row r="20" ht="11.5" customHeight="1">
      <c r="A20" s="8" t="n">
        <v>16</v>
      </c>
      <c r="B20" s="9" t="inlineStr">
        <is>
          <t>APOLINAR REYES BOLAINA</t>
        </is>
      </c>
      <c r="C20" s="9" t="inlineStr">
        <is>
          <t>LERMA TENANGO</t>
        </is>
      </c>
      <c r="D20" s="9" t="inlineStr">
        <is>
          <t>MITSUBISHI 1200</t>
        </is>
      </c>
      <c r="E20" s="8" t="inlineStr">
        <is>
          <t>NYZ971C</t>
        </is>
      </c>
      <c r="F20" s="10" t="n">
        <v>2500</v>
      </c>
      <c r="G20" s="10" t="n">
        <v>1299.56</v>
      </c>
      <c r="H20" s="11" t="n"/>
      <c r="I20" s="11" t="n"/>
      <c r="J20" s="11" t="n"/>
      <c r="K20" s="11" t="n"/>
      <c r="L20" s="11" t="n"/>
      <c r="M20" s="11" t="n"/>
      <c r="N20" s="11" t="n"/>
      <c r="O20" s="11" t="n"/>
      <c r="P20" s="10" t="n">
        <v>720.35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0" t="n">
        <v>480.09</v>
      </c>
      <c r="AC20" s="10" t="n">
        <v>2019.91</v>
      </c>
    </row>
    <row r="21" ht="11.5" customHeight="1">
      <c r="A21" s="12" t="n">
        <v>17</v>
      </c>
      <c r="B21" s="13" t="inlineStr"/>
      <c r="C21" s="13" t="inlineStr"/>
      <c r="D21" s="13" t="inlineStr">
        <is>
          <t>CORTADORA DE CONCRETO</t>
        </is>
      </c>
      <c r="E21" s="12" t="inlineStr"/>
      <c r="F21" s="14" t="n">
        <v>1000</v>
      </c>
      <c r="G21" s="14" t="n">
        <v>1000</v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4" t="n">
        <v>0</v>
      </c>
      <c r="AC21" s="14" t="n">
        <v>1000</v>
      </c>
    </row>
    <row r="22" ht="11.5" customHeight="1">
      <c r="A22" s="8" t="n">
        <v>18</v>
      </c>
      <c r="B22" s="9" t="inlineStr"/>
      <c r="C22" s="9" t="inlineStr"/>
      <c r="D22" s="9" t="inlineStr">
        <is>
          <t>MOTOR AUXILIAR PETROLIZADORA</t>
        </is>
      </c>
      <c r="E22" s="8" t="inlineStr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0" t="n">
        <v>0</v>
      </c>
      <c r="AC22" s="10" t="n">
        <v>0</v>
      </c>
    </row>
    <row r="23" ht="11.5" customHeight="1">
      <c r="A23" s="12" t="n">
        <v>19</v>
      </c>
      <c r="B23" s="13" t="inlineStr"/>
      <c r="C23" s="13" t="inlineStr"/>
      <c r="D23" s="13" t="inlineStr">
        <is>
          <t>MOTOR AUXILIAR PIPA DE AGUA</t>
        </is>
      </c>
      <c r="E23" s="12" t="inlineStr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4" t="n">
        <v>0</v>
      </c>
      <c r="AC23" s="14" t="n">
        <v>0</v>
      </c>
    </row>
    <row r="24" ht="11.5" customHeight="1">
      <c r="A24" s="8" t="n">
        <v>20</v>
      </c>
      <c r="B24" s="9" t="inlineStr">
        <is>
          <t>LEONCIO MARTINEZ PASCACIO</t>
        </is>
      </c>
      <c r="C24" s="9" t="inlineStr">
        <is>
          <t>LERMA TENANGO</t>
        </is>
      </c>
      <c r="D24" s="9" t="inlineStr">
        <is>
          <t>MITSUBISHI 1200</t>
        </is>
      </c>
      <c r="E24" s="8" t="inlineStr">
        <is>
          <t>NYZ790C</t>
        </is>
      </c>
      <c r="F24" s="10" t="n">
        <v>1500</v>
      </c>
      <c r="G24" s="11" t="n"/>
      <c r="H24" s="11" t="n"/>
      <c r="I24" s="11" t="n"/>
      <c r="J24" s="11" t="n"/>
      <c r="K24" s="11" t="n"/>
      <c r="L24" s="11" t="n"/>
      <c r="M24" s="10" t="n">
        <v>1167.53</v>
      </c>
      <c r="N24" s="11" t="n"/>
      <c r="O24" s="11" t="n"/>
      <c r="P24" s="10" t="n">
        <v>332.47</v>
      </c>
      <c r="Q24" s="11" t="n"/>
      <c r="R24" s="11" t="n"/>
      <c r="S24" s="11" t="n"/>
      <c r="T24" s="11" t="n"/>
      <c r="U24" s="11" t="n"/>
      <c r="V24" s="11" t="n"/>
      <c r="W24" s="10" t="n">
        <v>500</v>
      </c>
      <c r="X24" s="8" t="inlineStr">
        <is>
          <t>A10911</t>
        </is>
      </c>
      <c r="Y24" s="11" t="n"/>
      <c r="Z24" s="11" t="n"/>
      <c r="AA24" s="11" t="n"/>
      <c r="AB24" s="8" t="e">
        <v>#VALUE!</v>
      </c>
      <c r="AC24" s="10" t="n">
        <v>2000</v>
      </c>
    </row>
    <row r="25" ht="11.5" customHeight="1">
      <c r="A25" s="12" t="n">
        <v>21</v>
      </c>
      <c r="B25" s="13" t="inlineStr">
        <is>
          <t>CARMELO ALVAREZ ANICETO</t>
        </is>
      </c>
      <c r="C25" s="13" t="inlineStr">
        <is>
          <t>LERMA TENANGO</t>
        </is>
      </c>
      <c r="D25" s="13" t="inlineStr">
        <is>
          <t>DODGE RAM 4000 (3/2)</t>
        </is>
      </c>
      <c r="E25" s="12" t="inlineStr">
        <is>
          <t>LH49746</t>
        </is>
      </c>
      <c r="F25" s="14" t="n">
        <v>3000</v>
      </c>
      <c r="G25" s="15" t="n"/>
      <c r="H25" s="15" t="n"/>
      <c r="I25" s="15" t="n"/>
      <c r="J25" s="14" t="n">
        <v>3000</v>
      </c>
      <c r="K25" s="15" t="n"/>
      <c r="L25" s="15" t="n"/>
      <c r="M25" s="15" t="n"/>
      <c r="N25" s="15" t="n"/>
      <c r="O25" s="15" t="n"/>
      <c r="P25" s="14" t="n">
        <v>1000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20" t="n">
        <v>-1000</v>
      </c>
      <c r="AC25" s="14" t="n">
        <v>4000</v>
      </c>
    </row>
    <row r="26" ht="11.5" customHeight="1">
      <c r="A26" s="8" t="n">
        <v>22</v>
      </c>
      <c r="B26" s="9" t="inlineStr">
        <is>
          <t>DIEGO FERNANDEZ SANTIAGO</t>
        </is>
      </c>
      <c r="C26" s="9" t="inlineStr">
        <is>
          <t>LERMA TENANGO</t>
        </is>
      </c>
      <c r="D26" s="9" t="inlineStr">
        <is>
          <t>TOYOTA HIACE (URBAN)</t>
        </is>
      </c>
      <c r="E26" s="8" t="inlineStr">
        <is>
          <t>PBT1229</t>
        </is>
      </c>
      <c r="F26" s="10" t="n">
        <v>2500</v>
      </c>
      <c r="G26" s="10" t="n">
        <v>1254.83</v>
      </c>
      <c r="H26" s="11" t="n"/>
      <c r="I26" s="11" t="n"/>
      <c r="J26" s="11" t="n"/>
      <c r="K26" s="11" t="n"/>
      <c r="L26" s="11" t="n"/>
      <c r="M26" s="10" t="n">
        <v>1246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0" t="n">
        <v>800</v>
      </c>
      <c r="X26" s="8" t="inlineStr">
        <is>
          <t>A10910</t>
        </is>
      </c>
      <c r="Y26" s="11" t="n"/>
      <c r="Z26" s="11" t="n"/>
      <c r="AA26" s="11" t="n"/>
      <c r="AB26" s="8" t="e">
        <v>#VALUE!</v>
      </c>
      <c r="AC26" s="10" t="n">
        <v>3300.83</v>
      </c>
    </row>
    <row r="27" ht="11.5" customHeight="1">
      <c r="A27" s="12" t="n">
        <v>23</v>
      </c>
      <c r="B27" s="13" t="inlineStr">
        <is>
          <t>DAMIAN ANTONIO PUINI</t>
        </is>
      </c>
      <c r="C27" s="13" t="inlineStr">
        <is>
          <t>P. ASFALTO HUIXQUILUCAN</t>
        </is>
      </c>
      <c r="D27" s="13" t="inlineStr">
        <is>
          <t>FORD RANGER</t>
        </is>
      </c>
      <c r="E27" s="12" t="inlineStr">
        <is>
          <t>PCU7482</t>
        </is>
      </c>
      <c r="F27" s="14" t="n">
        <v>2500</v>
      </c>
      <c r="G27" s="15" t="n"/>
      <c r="H27" s="15" t="n"/>
      <c r="I27" s="15" t="n"/>
      <c r="J27" s="15" t="n"/>
      <c r="K27" s="15" t="n"/>
      <c r="L27" s="15" t="n"/>
      <c r="M27" s="15" t="n"/>
      <c r="N27" s="14" t="n">
        <v>1000</v>
      </c>
      <c r="O27" s="12" t="inlineStr">
        <is>
          <t>A10407</t>
        </is>
      </c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2" t="e">
        <v>#VALUE!</v>
      </c>
      <c r="AC27" s="14" t="n">
        <v>1000</v>
      </c>
    </row>
    <row r="28" ht="11.5" customHeight="1">
      <c r="A28" s="8" t="n">
        <v>24</v>
      </c>
      <c r="B28" s="9" t="inlineStr">
        <is>
          <t>LUIS VALDEZ</t>
        </is>
      </c>
      <c r="C28" s="9" t="inlineStr"/>
      <c r="D28" s="9" t="inlineStr">
        <is>
          <t>EQUIPO MENOR</t>
        </is>
      </c>
      <c r="E28" s="8" t="inlineStr"/>
      <c r="F28" s="10" t="n">
        <v>1000</v>
      </c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0" t="n">
        <v>1000</v>
      </c>
      <c r="AC28" s="10" t="n">
        <v>0</v>
      </c>
    </row>
    <row r="29" ht="11.5" customHeight="1">
      <c r="A29" s="12" t="n">
        <v>25</v>
      </c>
      <c r="B29" s="13" t="inlineStr">
        <is>
          <t>CLEMENTE SANABRIA</t>
        </is>
      </c>
      <c r="C29" s="13" t="inlineStr">
        <is>
          <t>TRANSPORTES FLOTILLA</t>
        </is>
      </c>
      <c r="D29" s="13" t="inlineStr">
        <is>
          <t>RAM 1200</t>
        </is>
      </c>
      <c r="E29" s="12" t="inlineStr">
        <is>
          <t>LHB184D</t>
        </is>
      </c>
      <c r="F29" s="14" t="n">
        <v>2500</v>
      </c>
      <c r="G29" s="14" t="n">
        <v>1664.06</v>
      </c>
      <c r="H29" s="15" t="n"/>
      <c r="I29" s="15" t="n"/>
      <c r="J29" s="15" t="n"/>
      <c r="K29" s="15" t="n"/>
      <c r="L29" s="15" t="n"/>
      <c r="M29" s="15" t="n"/>
      <c r="N29" s="15" t="n"/>
      <c r="O29" s="14" t="n">
        <v>2000</v>
      </c>
      <c r="P29" s="15" t="n"/>
      <c r="Q29" s="15" t="n"/>
      <c r="R29" s="15" t="n"/>
      <c r="S29" s="15" t="n"/>
      <c r="T29" s="15" t="n"/>
      <c r="U29" s="15" t="n"/>
      <c r="V29" s="15" t="n"/>
      <c r="W29" s="14" t="n">
        <v>1000</v>
      </c>
      <c r="X29" s="12" t="inlineStr">
        <is>
          <t>A10906</t>
        </is>
      </c>
      <c r="Y29" s="15" t="n"/>
      <c r="Z29" s="15" t="n"/>
      <c r="AA29" s="15" t="n"/>
      <c r="AB29" s="12" t="e">
        <v>#VALUE!</v>
      </c>
      <c r="AC29" s="14" t="n">
        <v>4664.06</v>
      </c>
    </row>
    <row r="30" ht="11.5" customHeight="1">
      <c r="A30" s="8" t="n">
        <v>26</v>
      </c>
      <c r="B30" s="9" t="inlineStr">
        <is>
          <t>BRYAN GABRIEL CHAVEZ ALVAREZ</t>
        </is>
      </c>
      <c r="C30" s="9" t="inlineStr">
        <is>
          <t>TRANSPORTES FLOTILLA</t>
        </is>
      </c>
      <c r="D30" s="9" t="inlineStr">
        <is>
          <t>CHEVROLET TORNADO</t>
        </is>
      </c>
      <c r="E30" s="8" t="inlineStr">
        <is>
          <t>NUZ948C</t>
        </is>
      </c>
      <c r="F30" s="10" t="n">
        <v>1000</v>
      </c>
      <c r="G30" s="10" t="n">
        <v>1000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0" t="n">
        <v>500</v>
      </c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9" t="n">
        <v>-500</v>
      </c>
      <c r="AC30" s="10" t="n">
        <v>1500</v>
      </c>
    </row>
    <row r="31" ht="11.5" customHeight="1">
      <c r="A31" s="12" t="n">
        <v>27</v>
      </c>
      <c r="B31" s="13" t="inlineStr"/>
      <c r="C31" s="13" t="inlineStr"/>
      <c r="D31" s="13" t="inlineStr">
        <is>
          <t>MOTORES LOWBOY</t>
        </is>
      </c>
      <c r="E31" s="12" t="inlineStr"/>
      <c r="F31" s="14" t="n">
        <v>500</v>
      </c>
      <c r="G31" s="14" t="n">
        <v>500</v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4" t="n">
        <v>228.9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20" t="n">
        <v>-228.9</v>
      </c>
      <c r="AC31" s="14" t="n">
        <v>728.9</v>
      </c>
    </row>
    <row r="32" ht="11.5" customHeight="1">
      <c r="A32" s="8" t="n">
        <v>28</v>
      </c>
      <c r="B32" s="9" t="inlineStr"/>
      <c r="C32" s="9" t="inlineStr"/>
      <c r="D32" s="9" t="inlineStr">
        <is>
          <t>MOTORES LOWBOY</t>
        </is>
      </c>
      <c r="E32" s="8" t="inlineStr"/>
      <c r="F32" s="10" t="n">
        <v>500</v>
      </c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0" t="n">
        <v>400</v>
      </c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0" t="n">
        <v>100</v>
      </c>
      <c r="AC32" s="10" t="n">
        <v>400</v>
      </c>
    </row>
    <row r="33" ht="11.5" customHeight="1">
      <c r="A33" s="12" t="n">
        <v>29</v>
      </c>
      <c r="B33" s="13" t="inlineStr">
        <is>
          <t>ROBERTO ORTEGA</t>
        </is>
      </c>
      <c r="C33" s="13" t="inlineStr"/>
      <c r="D33" s="13" t="inlineStr"/>
      <c r="E33" s="12" t="inlineStr">
        <is>
          <t>MNX601B</t>
        </is>
      </c>
      <c r="F33" s="14" t="n">
        <v>800</v>
      </c>
      <c r="G33" s="14" t="n">
        <v>800</v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4" t="n">
        <v>500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20" t="n">
        <v>-500</v>
      </c>
      <c r="AC33" s="14" t="n">
        <v>1300</v>
      </c>
    </row>
    <row r="34" ht="11.5" customHeight="1">
      <c r="A34" s="8" t="n">
        <v>30</v>
      </c>
      <c r="B34" s="9" t="inlineStr"/>
      <c r="C34" s="9" t="inlineStr"/>
      <c r="D34" s="9" t="inlineStr">
        <is>
          <t>EQUIPO MENOR</t>
        </is>
      </c>
      <c r="E34" s="8" t="inlineStr"/>
      <c r="F34" s="10" t="n">
        <v>500</v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0" t="n">
        <v>500</v>
      </c>
      <c r="AC34" s="10" t="n">
        <v>0</v>
      </c>
    </row>
    <row r="35" ht="11.5" customHeight="1">
      <c r="A35" s="12" t="n">
        <v>31</v>
      </c>
      <c r="B35" s="13" t="inlineStr">
        <is>
          <t>JOSÉ CABELLO /JACK</t>
        </is>
      </c>
      <c r="C35" s="13" t="inlineStr">
        <is>
          <t>ESTIMACIONES /PLANTA PEGASO</t>
        </is>
      </c>
      <c r="D35" s="13" t="inlineStr"/>
      <c r="E35" s="12" t="inlineStr">
        <is>
          <t>LHB176D</t>
        </is>
      </c>
      <c r="F35" s="14" t="n">
        <v>1500</v>
      </c>
      <c r="G35" s="14" t="n">
        <v>586.12</v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4" t="n">
        <v>737.52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4" t="n">
        <v>176.36</v>
      </c>
      <c r="AC35" s="14" t="n">
        <v>1323.64</v>
      </c>
    </row>
    <row r="36" ht="11.5" customHeight="1">
      <c r="A36" s="8" t="n">
        <v>32</v>
      </c>
      <c r="B36" s="9" t="inlineStr">
        <is>
          <t>VICTOR HUGO MARTINEZ VELAZQUEZ</t>
        </is>
      </c>
      <c r="C36" s="9" t="inlineStr">
        <is>
          <t>JALSICO</t>
        </is>
      </c>
      <c r="D36" s="9" t="inlineStr">
        <is>
          <t>RAM 1200</t>
        </is>
      </c>
      <c r="E36" s="8" t="inlineStr">
        <is>
          <t>LHB182D</t>
        </is>
      </c>
      <c r="F36" s="10" t="n">
        <v>1500</v>
      </c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0" t="n">
        <v>1500</v>
      </c>
      <c r="AC36" s="10" t="n">
        <v>0</v>
      </c>
    </row>
    <row r="37" ht="11.5" customHeight="1">
      <c r="A37" s="12" t="n">
        <v>33</v>
      </c>
      <c r="B37" s="13" t="inlineStr">
        <is>
          <t>PAOLA JARAMILLO</t>
        </is>
      </c>
      <c r="C37" s="13" t="inlineStr">
        <is>
          <t>CORPORATIVO</t>
        </is>
      </c>
      <c r="D37" s="13" t="inlineStr">
        <is>
          <t>CHANGAN ALSVIN</t>
        </is>
      </c>
      <c r="E37" s="12" t="inlineStr"/>
      <c r="F37" s="14" t="n">
        <v>700</v>
      </c>
      <c r="G37" s="14" t="n">
        <v>574.47</v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4" t="n">
        <v>800</v>
      </c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20" t="n">
        <v>-674.47</v>
      </c>
      <c r="AC37" s="14" t="n">
        <v>1374.47</v>
      </c>
    </row>
    <row r="38" ht="11.5" customHeight="1">
      <c r="A38" s="8" t="n">
        <v>34</v>
      </c>
      <c r="B38" s="9" t="inlineStr">
        <is>
          <t>SAMUEL ORTEGA SILVA</t>
        </is>
      </c>
      <c r="C38" s="9" t="inlineStr"/>
      <c r="D38" s="9" t="inlineStr">
        <is>
          <t>MITSUBISHI L200</t>
        </is>
      </c>
      <c r="E38" s="8" t="inlineStr">
        <is>
          <t>NZT266B</t>
        </is>
      </c>
      <c r="F38" s="10" t="n">
        <v>3000</v>
      </c>
      <c r="G38" s="11" t="n"/>
      <c r="H38" s="10" t="n">
        <v>1200</v>
      </c>
      <c r="I38" s="8" t="inlineStr">
        <is>
          <t>A10369</t>
        </is>
      </c>
      <c r="J38" s="11" t="n"/>
      <c r="K38" s="8" t="inlineStr">
        <is>
          <t>A10386</t>
        </is>
      </c>
      <c r="L38" s="11" t="n"/>
      <c r="M38" s="11" t="n"/>
      <c r="N38" s="10" t="n">
        <v>800</v>
      </c>
      <c r="O38" s="8" t="inlineStr">
        <is>
          <t>A10394</t>
        </is>
      </c>
      <c r="P38" s="11" t="n"/>
      <c r="Q38" s="10" t="n">
        <v>1000</v>
      </c>
      <c r="R38" s="8" t="inlineStr">
        <is>
          <t>A10889 (NO EN CORREO)</t>
        </is>
      </c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8" t="e">
        <v>#VALUE!</v>
      </c>
      <c r="AC38" s="10" t="n">
        <v>3000</v>
      </c>
    </row>
    <row r="39" ht="11.5" customHeight="1">
      <c r="A39" s="12" t="inlineStr"/>
      <c r="B39" s="13" t="inlineStr">
        <is>
          <t>CRISTOBAL SILVA</t>
        </is>
      </c>
      <c r="C39" s="13" t="inlineStr"/>
      <c r="D39" s="13" t="inlineStr">
        <is>
          <t>RAM 1200</t>
        </is>
      </c>
      <c r="E39" s="12" t="inlineStr">
        <is>
          <t>LKV206D</t>
        </is>
      </c>
      <c r="F39" s="14" t="n">
        <v>1500</v>
      </c>
      <c r="G39" s="15" t="n"/>
      <c r="H39" s="15" t="n"/>
      <c r="I39" s="15" t="n"/>
      <c r="J39" s="15" t="n"/>
      <c r="K39" s="14" t="n">
        <v>1000</v>
      </c>
      <c r="L39" s="14" t="n">
        <v>200</v>
      </c>
      <c r="M39" s="15" t="n"/>
      <c r="N39" s="15" t="n"/>
      <c r="O39" s="15" t="n"/>
      <c r="P39" s="14" t="n">
        <v>800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20" t="n">
        <v>-500</v>
      </c>
      <c r="AC39" s="14" t="n">
        <v>2000</v>
      </c>
    </row>
    <row r="40" ht="11.5" customHeight="1">
      <c r="A40" s="8" t="inlineStr"/>
      <c r="B40" s="9" t="inlineStr"/>
      <c r="C40" s="9" t="inlineStr"/>
      <c r="D40" s="9" t="inlineStr">
        <is>
          <t>RAM 1200</t>
        </is>
      </c>
      <c r="E40" s="8" t="inlineStr">
        <is>
          <t>LKC794D</t>
        </is>
      </c>
      <c r="F40" s="10" t="n">
        <v>1500</v>
      </c>
      <c r="G40" s="11" t="n"/>
      <c r="H40" s="11" t="n"/>
      <c r="I40" s="11" t="n"/>
      <c r="J40" s="11" t="n"/>
      <c r="K40" s="10" t="n">
        <v>1000</v>
      </c>
      <c r="L40" s="10" t="n">
        <v>200</v>
      </c>
      <c r="M40" s="11" t="n"/>
      <c r="N40" s="11" t="n"/>
      <c r="O40" s="11" t="n"/>
      <c r="P40" s="11" t="n"/>
      <c r="Q40" s="11" t="n"/>
      <c r="R40" s="11" t="n"/>
      <c r="S40" s="11" t="n"/>
      <c r="T40" s="10" t="n">
        <v>800</v>
      </c>
      <c r="U40" s="8" t="inlineStr">
        <is>
          <t>A10903</t>
        </is>
      </c>
      <c r="V40" s="11" t="n"/>
      <c r="W40" s="11" t="n"/>
      <c r="X40" s="11" t="n"/>
      <c r="Y40" s="11" t="n"/>
      <c r="Z40" s="11" t="n"/>
      <c r="AA40" s="11" t="n"/>
      <c r="AB40" s="8" t="e">
        <v>#REF!</v>
      </c>
      <c r="AC40" s="10" t="n">
        <v>2000</v>
      </c>
    </row>
    <row r="41" ht="11.5" customHeight="1">
      <c r="A41" s="12" t="inlineStr"/>
      <c r="B41" s="13" t="inlineStr"/>
      <c r="C41" s="13" t="inlineStr"/>
      <c r="D41" s="13" t="inlineStr">
        <is>
          <t>RAM 1200</t>
        </is>
      </c>
      <c r="E41" s="12" t="inlineStr">
        <is>
          <t>LKC789D</t>
        </is>
      </c>
      <c r="F41" s="14" t="n">
        <v>1500</v>
      </c>
      <c r="G41" s="15" t="n"/>
      <c r="H41" s="15" t="n"/>
      <c r="I41" s="15" t="n"/>
      <c r="J41" s="15" t="n"/>
      <c r="K41" s="14" t="n">
        <v>1000</v>
      </c>
      <c r="L41" s="14" t="n">
        <v>200</v>
      </c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4" t="n">
        <v>300</v>
      </c>
      <c r="AC41" s="14" t="n">
        <v>1200</v>
      </c>
    </row>
    <row r="42" ht="13.5" customHeight="1">
      <c r="A42" s="16" t="inlineStr">
        <is>
          <t>TOTALES J.D.J.</t>
        </is>
      </c>
      <c r="B42" s="17" t="n"/>
      <c r="C42" s="17" t="n"/>
      <c r="D42" s="17" t="n"/>
      <c r="E42" s="17" t="n"/>
      <c r="F42" s="18">
        <f>SUM(F4:F41)</f>
        <v/>
      </c>
      <c r="G42" s="18">
        <f>SUM(G4:G41)</f>
        <v/>
      </c>
      <c r="H42" s="18">
        <f>SUM(H4:H41)</f>
        <v/>
      </c>
      <c r="I42" s="18">
        <f>SUM(I4:I41)</f>
        <v/>
      </c>
      <c r="J42" s="18">
        <f>SUM(J4:J41)</f>
        <v/>
      </c>
      <c r="K42" s="18">
        <f>SUM(K4:K41)</f>
        <v/>
      </c>
      <c r="L42" s="18">
        <f>SUM(L4:L41)</f>
        <v/>
      </c>
      <c r="M42" s="18">
        <f>SUM(M4:M41)</f>
        <v/>
      </c>
      <c r="N42" s="18">
        <f>SUM(N4:N41)</f>
        <v/>
      </c>
      <c r="O42" s="18">
        <f>SUM(O4:O41)</f>
        <v/>
      </c>
      <c r="P42" s="18">
        <f>SUM(P4:P41)</f>
        <v/>
      </c>
      <c r="Q42" s="18">
        <f>SUM(Q4:Q41)</f>
        <v/>
      </c>
      <c r="R42" s="18">
        <f>SUM(R4:R41)</f>
        <v/>
      </c>
      <c r="S42" s="18">
        <f>SUM(S4:S41)</f>
        <v/>
      </c>
      <c r="T42" s="18">
        <f>SUM(T4:T41)</f>
        <v/>
      </c>
      <c r="U42" s="18">
        <f>SUM(U4:U41)</f>
        <v/>
      </c>
      <c r="V42" s="18">
        <f>SUM(V4:V41)</f>
        <v/>
      </c>
      <c r="W42" s="18">
        <f>SUM(W4:W41)</f>
        <v/>
      </c>
      <c r="X42" s="18">
        <f>SUM(X4:X41)</f>
        <v/>
      </c>
      <c r="Y42" s="18">
        <f>SUM(Y4:Y41)</f>
        <v/>
      </c>
      <c r="Z42" s="18">
        <f>SUM(Z4:Z41)</f>
        <v/>
      </c>
      <c r="AA42" s="18">
        <f>SUM(AA4:AA41)</f>
        <v/>
      </c>
      <c r="AB42" s="18">
        <f>SUM(AB4:AB41)</f>
        <v/>
      </c>
      <c r="AC42" s="18">
        <f>SUM(AC4:AC41)</f>
        <v/>
      </c>
    </row>
    <row r="43" ht="6" customHeight="1"/>
    <row r="44" ht="17" customHeight="1">
      <c r="A44" s="1" t="inlineStr">
        <is>
          <t>GASOLINA - TRITURADORA ROCA DURA SAN MIGUEL  (SEMANA 28)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14" customHeight="1">
      <c r="A45" s="3" t="inlineStr">
        <is>
          <t>NO.</t>
        </is>
      </c>
      <c r="B45" s="3" t="inlineStr">
        <is>
          <t>RESPONSABLE</t>
        </is>
      </c>
      <c r="C45" s="3" t="inlineStr">
        <is>
          <t>CENTRO DE TRABAJO</t>
        </is>
      </c>
      <c r="D45" s="3" t="inlineStr">
        <is>
          <t>UNIDAD / EQUIPO</t>
        </is>
      </c>
      <c r="E45" s="3" t="inlineStr">
        <is>
          <t>PLACAS</t>
        </is>
      </c>
      <c r="F45" s="3" t="inlineStr">
        <is>
          <t>IMPORTE AUTORIZADO</t>
        </is>
      </c>
      <c r="G45" s="4" t="inlineStr">
        <is>
          <t>LUN 06/JUL</t>
        </is>
      </c>
      <c r="H45" s="2" t="n"/>
      <c r="I45" s="2" t="n"/>
      <c r="J45" s="4" t="inlineStr">
        <is>
          <t>MAR 07/JUL</t>
        </is>
      </c>
      <c r="K45" s="2" t="n"/>
      <c r="L45" s="2" t="n"/>
      <c r="M45" s="4" t="inlineStr">
        <is>
          <t>MIÉ 08/JUL</t>
        </is>
      </c>
      <c r="N45" s="2" t="n"/>
      <c r="O45" s="2" t="n"/>
      <c r="P45" s="4" t="inlineStr">
        <is>
          <t>JUE 09/JUL</t>
        </is>
      </c>
      <c r="Q45" s="2" t="n"/>
      <c r="R45" s="2" t="n"/>
      <c r="S45" s="4" t="inlineStr">
        <is>
          <t>VIE 10/JUL</t>
        </is>
      </c>
      <c r="T45" s="2" t="n"/>
      <c r="U45" s="2" t="n"/>
      <c r="V45" s="4" t="inlineStr">
        <is>
          <t>SÁB 11/JUL</t>
        </is>
      </c>
      <c r="W45" s="2" t="n"/>
      <c r="X45" s="2" t="n"/>
      <c r="Y45" s="4" t="inlineStr">
        <is>
          <t>DOM 12/JUL</t>
        </is>
      </c>
      <c r="Z45" s="2" t="n"/>
      <c r="AA45" s="2" t="n"/>
      <c r="AB45" s="5" t="inlineStr">
        <is>
          <t>REMANENTE
(SALDO)</t>
        </is>
      </c>
      <c r="AC45" s="3" t="inlineStr">
        <is>
          <t>CONSUMO
SEMANAL</t>
        </is>
      </c>
    </row>
    <row r="46" ht="13" customHeight="1">
      <c r="A46" s="6" t="n"/>
      <c r="B46" s="6" t="n"/>
      <c r="C46" s="6" t="n"/>
      <c r="D46" s="6" t="n"/>
      <c r="E46" s="6" t="n"/>
      <c r="F46" s="6" t="n"/>
      <c r="G46" s="7" t="inlineStr">
        <is>
          <t>LEVET</t>
        </is>
      </c>
      <c r="H46" s="7" t="inlineStr">
        <is>
          <t>MOBILE</t>
        </is>
      </c>
      <c r="I46" s="7" t="inlineStr">
        <is>
          <t>SI VALE</t>
        </is>
      </c>
      <c r="J46" s="7" t="inlineStr">
        <is>
          <t>LEVET</t>
        </is>
      </c>
      <c r="K46" s="7" t="inlineStr">
        <is>
          <t>MOBILE</t>
        </is>
      </c>
      <c r="L46" s="7" t="inlineStr">
        <is>
          <t>SI VALE</t>
        </is>
      </c>
      <c r="M46" s="7" t="inlineStr">
        <is>
          <t>LEVET</t>
        </is>
      </c>
      <c r="N46" s="7" t="inlineStr">
        <is>
          <t>MOBILE</t>
        </is>
      </c>
      <c r="O46" s="7" t="inlineStr">
        <is>
          <t>SI VALE</t>
        </is>
      </c>
      <c r="P46" s="7" t="inlineStr">
        <is>
          <t>LEVET</t>
        </is>
      </c>
      <c r="Q46" s="7" t="inlineStr">
        <is>
          <t>MOBILE</t>
        </is>
      </c>
      <c r="R46" s="7" t="inlineStr">
        <is>
          <t>SI VALE</t>
        </is>
      </c>
      <c r="S46" s="7" t="inlineStr">
        <is>
          <t>LEVET</t>
        </is>
      </c>
      <c r="T46" s="7" t="inlineStr">
        <is>
          <t>MOBILE</t>
        </is>
      </c>
      <c r="U46" s="7" t="inlineStr">
        <is>
          <t>SI VALE</t>
        </is>
      </c>
      <c r="V46" s="7" t="inlineStr">
        <is>
          <t>LEVET</t>
        </is>
      </c>
      <c r="W46" s="7" t="inlineStr">
        <is>
          <t>MOBILE</t>
        </is>
      </c>
      <c r="X46" s="7" t="inlineStr">
        <is>
          <t>SI VALE</t>
        </is>
      </c>
      <c r="Y46" s="7" t="inlineStr">
        <is>
          <t>LEVET</t>
        </is>
      </c>
      <c r="Z46" s="7" t="inlineStr">
        <is>
          <t>MOBILE</t>
        </is>
      </c>
      <c r="AA46" s="7" t="inlineStr">
        <is>
          <t>SI VALE</t>
        </is>
      </c>
      <c r="AB46" s="2" t="n"/>
      <c r="AC46" s="6" t="n"/>
    </row>
    <row r="47" ht="11.5" customHeight="1">
      <c r="A47" s="8" t="n">
        <v>1</v>
      </c>
      <c r="B47" s="9" t="inlineStr">
        <is>
          <t>CARLOS REYES TRUJANO</t>
        </is>
      </c>
      <c r="C47" s="9" t="inlineStr">
        <is>
          <t>MINA TABERNILLAS</t>
        </is>
      </c>
      <c r="D47" s="9" t="inlineStr">
        <is>
          <t>TOYOTA TACOMA</t>
        </is>
      </c>
      <c r="E47" s="8" t="inlineStr">
        <is>
          <t>33K849</t>
        </is>
      </c>
      <c r="F47" s="10" t="n">
        <v>2500</v>
      </c>
      <c r="G47" s="10" t="n">
        <v>2250.33</v>
      </c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0" t="n">
        <v>500</v>
      </c>
      <c r="X47" s="8" t="inlineStr">
        <is>
          <t>A10905</t>
        </is>
      </c>
      <c r="Y47" s="11" t="n"/>
      <c r="Z47" s="11" t="n"/>
      <c r="AA47" s="11" t="n"/>
      <c r="AB47" s="19" t="n">
        <v>-250.33</v>
      </c>
      <c r="AC47" s="10" t="n">
        <v>2750.33</v>
      </c>
    </row>
    <row r="48" ht="11.5" customHeight="1">
      <c r="A48" s="12" t="n">
        <v>2</v>
      </c>
      <c r="B48" s="13" t="inlineStr">
        <is>
          <t>LAZARO PINAL RIOS</t>
        </is>
      </c>
      <c r="C48" s="13" t="inlineStr">
        <is>
          <t>MINA TABERNILLAS</t>
        </is>
      </c>
      <c r="D48" s="13" t="inlineStr">
        <is>
          <t>MITSUBISHI L200</t>
        </is>
      </c>
      <c r="E48" s="12" t="inlineStr">
        <is>
          <t>MHL757A</t>
        </is>
      </c>
      <c r="F48" s="14" t="n">
        <v>1500</v>
      </c>
      <c r="G48" s="15" t="n"/>
      <c r="H48" s="15" t="n"/>
      <c r="I48" s="15" t="n"/>
      <c r="J48" s="14" t="n">
        <v>1500</v>
      </c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4" t="n">
        <v>0</v>
      </c>
      <c r="AC48" s="14" t="n">
        <v>1500</v>
      </c>
    </row>
    <row r="49" ht="11.5" customHeight="1">
      <c r="A49" s="8" t="n">
        <v>3</v>
      </c>
      <c r="B49" s="9" t="inlineStr">
        <is>
          <t>ARMANDO COLIN MORENO</t>
        </is>
      </c>
      <c r="C49" s="9" t="inlineStr">
        <is>
          <t>MINA TABERNILLAS</t>
        </is>
      </c>
      <c r="D49" s="9" t="inlineStr">
        <is>
          <t>CHEVORLET</t>
        </is>
      </c>
      <c r="E49" s="8" t="inlineStr">
        <is>
          <t>PAT8298</t>
        </is>
      </c>
      <c r="F49" s="10" t="n">
        <v>2000</v>
      </c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0" t="n">
        <v>2000</v>
      </c>
      <c r="AC49" s="10" t="n">
        <v>0</v>
      </c>
    </row>
    <row r="50" ht="11.5" customHeight="1">
      <c r="A50" s="12" t="inlineStr"/>
      <c r="B50" s="13" t="inlineStr"/>
      <c r="C50" s="13" t="inlineStr"/>
      <c r="D50" s="13" t="inlineStr">
        <is>
          <t>EQUIPO MENOR</t>
        </is>
      </c>
      <c r="E50" s="12" t="inlineStr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4" t="n">
        <v>0</v>
      </c>
      <c r="AC50" s="14" t="n">
        <v>0</v>
      </c>
    </row>
    <row r="51" ht="11.5" customHeight="1">
      <c r="A51" s="8" t="n">
        <v>4</v>
      </c>
      <c r="B51" s="9" t="inlineStr">
        <is>
          <t>ABNER OSORIO BARTOLO</t>
        </is>
      </c>
      <c r="C51" s="9" t="inlineStr">
        <is>
          <t>MINA ZUMPAHUACAN</t>
        </is>
      </c>
      <c r="D51" s="9" t="inlineStr">
        <is>
          <t>MITSUBISHI L200</t>
        </is>
      </c>
      <c r="E51" s="8" t="inlineStr">
        <is>
          <t>NYZ828C</t>
        </is>
      </c>
      <c r="F51" s="10" t="n">
        <v>1500</v>
      </c>
      <c r="G51" s="10" t="n">
        <v>1500</v>
      </c>
      <c r="H51" s="11" t="n"/>
      <c r="I51" s="11" t="n"/>
      <c r="J51" s="11" t="n"/>
      <c r="K51" s="11" t="n"/>
      <c r="L51" s="11" t="n"/>
      <c r="M51" s="10" t="n">
        <v>461.03</v>
      </c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9" t="n">
        <v>-461.03</v>
      </c>
      <c r="AC51" s="10" t="n">
        <v>1961.03</v>
      </c>
    </row>
    <row r="52" ht="11.5" customHeight="1">
      <c r="A52" s="12" t="n">
        <v>5</v>
      </c>
      <c r="B52" s="13" t="inlineStr">
        <is>
          <t>ISAAC GONZALEZ GONZALEZ</t>
        </is>
      </c>
      <c r="C52" s="13" t="inlineStr">
        <is>
          <t>MINA ZUMPAHUACAN</t>
        </is>
      </c>
      <c r="D52" s="13" t="inlineStr">
        <is>
          <t>MITSUBISHI L200</t>
        </is>
      </c>
      <c r="E52" s="12" t="inlineStr">
        <is>
          <t>NYZ839C</t>
        </is>
      </c>
      <c r="F52" s="14" t="n">
        <v>1500</v>
      </c>
      <c r="G52" s="14" t="n">
        <v>1500</v>
      </c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2" t="e">
        <v>#REF!</v>
      </c>
      <c r="AC52" s="12" t="e">
        <v>#REF!</v>
      </c>
    </row>
    <row r="53" ht="11.5" customHeight="1">
      <c r="A53" s="8" t="n">
        <v>6</v>
      </c>
      <c r="B53" s="9" t="inlineStr">
        <is>
          <t>JESUS MARIN GARCIA</t>
        </is>
      </c>
      <c r="C53" s="9" t="inlineStr">
        <is>
          <t>MINA CUAJOMAC</t>
        </is>
      </c>
      <c r="D53" s="9" t="inlineStr">
        <is>
          <t>CHEVORLET</t>
        </is>
      </c>
      <c r="E53" s="8" t="inlineStr">
        <is>
          <t>PCU8771</t>
        </is>
      </c>
      <c r="F53" s="10" t="n">
        <v>2000</v>
      </c>
      <c r="G53" s="10" t="n">
        <v>1292</v>
      </c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0" t="n">
        <v>708</v>
      </c>
      <c r="AC53" s="10" t="n">
        <v>1292</v>
      </c>
    </row>
    <row r="54" ht="13.5" customHeight="1">
      <c r="A54" s="16" t="inlineStr">
        <is>
          <t>TOTALES TRITURADORA</t>
        </is>
      </c>
      <c r="B54" s="17" t="n"/>
      <c r="C54" s="17" t="n"/>
      <c r="D54" s="17" t="n"/>
      <c r="E54" s="17" t="n"/>
      <c r="F54" s="18">
        <f>SUM(F47:F53)</f>
        <v/>
      </c>
      <c r="G54" s="18">
        <f>SUM(G47:G53)</f>
        <v/>
      </c>
      <c r="H54" s="18">
        <f>SUM(H47:H53)</f>
        <v/>
      </c>
      <c r="I54" s="18">
        <f>SUM(I47:I53)</f>
        <v/>
      </c>
      <c r="J54" s="18">
        <f>SUM(J47:J53)</f>
        <v/>
      </c>
      <c r="K54" s="18">
        <f>SUM(K47:K53)</f>
        <v/>
      </c>
      <c r="L54" s="18">
        <f>SUM(L47:L53)</f>
        <v/>
      </c>
      <c r="M54" s="18">
        <f>SUM(M47:M53)</f>
        <v/>
      </c>
      <c r="N54" s="18">
        <f>SUM(N47:N53)</f>
        <v/>
      </c>
      <c r="O54" s="18">
        <f>SUM(O47:O53)</f>
        <v/>
      </c>
      <c r="P54" s="18">
        <f>SUM(P47:P53)</f>
        <v/>
      </c>
      <c r="Q54" s="18">
        <f>SUM(Q47:Q53)</f>
        <v/>
      </c>
      <c r="R54" s="18">
        <f>SUM(R47:R53)</f>
        <v/>
      </c>
      <c r="S54" s="18">
        <f>SUM(S47:S53)</f>
        <v/>
      </c>
      <c r="T54" s="18">
        <f>SUM(T47:T53)</f>
        <v/>
      </c>
      <c r="U54" s="18">
        <f>SUM(U47:U53)</f>
        <v/>
      </c>
      <c r="V54" s="18">
        <f>SUM(V47:V53)</f>
        <v/>
      </c>
      <c r="W54" s="18">
        <f>SUM(W47:W53)</f>
        <v/>
      </c>
      <c r="X54" s="18">
        <f>SUM(X47:X53)</f>
        <v/>
      </c>
      <c r="Y54" s="18">
        <f>SUM(Y47:Y53)</f>
        <v/>
      </c>
      <c r="Z54" s="18">
        <f>SUM(Z47:Z53)</f>
        <v/>
      </c>
      <c r="AA54" s="18">
        <f>SUM(AA47:AA53)</f>
        <v/>
      </c>
      <c r="AB54" s="18">
        <f>SUM(AB47:AB53)</f>
        <v/>
      </c>
      <c r="AC54" s="18">
        <f>SUM(AC47:AC53)</f>
        <v/>
      </c>
    </row>
  </sheetData>
  <mergeCells count="34">
    <mergeCell ref="A44:AC44"/>
    <mergeCell ref="Y2:AA2"/>
    <mergeCell ref="P2:R2"/>
    <mergeCell ref="J45:L45"/>
    <mergeCell ref="A45:A46"/>
    <mergeCell ref="C45:C46"/>
    <mergeCell ref="B2:B3"/>
    <mergeCell ref="D2:D3"/>
    <mergeCell ref="F2:F3"/>
    <mergeCell ref="D45:D46"/>
    <mergeCell ref="F45:F46"/>
    <mergeCell ref="A1:AC1"/>
    <mergeCell ref="A54:E54"/>
    <mergeCell ref="V45:X45"/>
    <mergeCell ref="G45:I45"/>
    <mergeCell ref="M45:O45"/>
    <mergeCell ref="Y45:AA45"/>
    <mergeCell ref="A2:A3"/>
    <mergeCell ref="AB2:AB3"/>
    <mergeCell ref="S45:U45"/>
    <mergeCell ref="C2:C3"/>
    <mergeCell ref="E2:E3"/>
    <mergeCell ref="J2:L2"/>
    <mergeCell ref="A42:E42"/>
    <mergeCell ref="E45:E46"/>
    <mergeCell ref="P45:R45"/>
    <mergeCell ref="AC2:AC3"/>
    <mergeCell ref="AC45:AC46"/>
    <mergeCell ref="V2:X2"/>
    <mergeCell ref="B45:B46"/>
    <mergeCell ref="G2:I2"/>
    <mergeCell ref="M2:O2"/>
    <mergeCell ref="S2:U2"/>
    <mergeCell ref="AB45:AB46"/>
  </mergeCells>
  <pageMargins left="0.2" right="0.2" top="0.25" bottom="0.25" header="0.5" footer="0.5"/>
  <pageSetup orientation="landscape" paperSize="5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54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8.5" customWidth="1" min="28" max="28"/>
    <col width="8.800000000000001" customWidth="1" min="29" max="29"/>
  </cols>
  <sheetData>
    <row r="1" ht="18" customHeight="1">
      <c r="A1" s="1" t="inlineStr">
        <is>
          <t>GASOLINA - J.D.J. EQUIPO Y CONSTRUCCIONES S.A. DE C.V.  (SEMANA 29)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13/JUL</t>
        </is>
      </c>
      <c r="H2" s="2" t="n"/>
      <c r="I2" s="2" t="n"/>
      <c r="J2" s="4" t="inlineStr">
        <is>
          <t>MAR 14/JUL</t>
        </is>
      </c>
      <c r="K2" s="2" t="n"/>
      <c r="L2" s="2" t="n"/>
      <c r="M2" s="4" t="inlineStr">
        <is>
          <t>MIÉ 15/JUL</t>
        </is>
      </c>
      <c r="N2" s="2" t="n"/>
      <c r="O2" s="2" t="n"/>
      <c r="P2" s="4" t="inlineStr">
        <is>
          <t>JUE 16/JUL</t>
        </is>
      </c>
      <c r="Q2" s="2" t="n"/>
      <c r="R2" s="2" t="n"/>
      <c r="S2" s="4" t="inlineStr">
        <is>
          <t>VIE 17/JUL</t>
        </is>
      </c>
      <c r="T2" s="2" t="n"/>
      <c r="U2" s="2" t="n"/>
      <c r="V2" s="4" t="inlineStr">
        <is>
          <t>SÁB 18/JUL</t>
        </is>
      </c>
      <c r="W2" s="2" t="n"/>
      <c r="X2" s="2" t="n"/>
      <c r="Y2" s="4" t="inlineStr">
        <is>
          <t>DOM 19/JUL</t>
        </is>
      </c>
      <c r="Z2" s="2" t="n"/>
      <c r="AA2" s="2" t="n"/>
      <c r="AB2" s="5" t="inlineStr">
        <is>
          <t>REMANENTE
(SALDO)</t>
        </is>
      </c>
      <c r="AC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SI VALE</t>
        </is>
      </c>
      <c r="J3" s="7" t="inlineStr">
        <is>
          <t>LEVET</t>
        </is>
      </c>
      <c r="K3" s="7" t="inlineStr">
        <is>
          <t>MOBILE</t>
        </is>
      </c>
      <c r="L3" s="7" t="inlineStr">
        <is>
          <t>SI VALE</t>
        </is>
      </c>
      <c r="M3" s="7" t="inlineStr">
        <is>
          <t>LEVET</t>
        </is>
      </c>
      <c r="N3" s="7" t="inlineStr">
        <is>
          <t>MOBILE</t>
        </is>
      </c>
      <c r="O3" s="7" t="inlineStr">
        <is>
          <t>SI VALE</t>
        </is>
      </c>
      <c r="P3" s="7" t="inlineStr">
        <is>
          <t>LEVET</t>
        </is>
      </c>
      <c r="Q3" s="7" t="inlineStr">
        <is>
          <t>MOBILE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SI VALE</t>
        </is>
      </c>
      <c r="V3" s="7" t="inlineStr">
        <is>
          <t>LEVET</t>
        </is>
      </c>
      <c r="W3" s="7" t="inlineStr">
        <is>
          <t>MOBILE</t>
        </is>
      </c>
      <c r="X3" s="7" t="inlineStr">
        <is>
          <t>SI VALE</t>
        </is>
      </c>
      <c r="Y3" s="7" t="inlineStr">
        <is>
          <t>LEVET</t>
        </is>
      </c>
      <c r="Z3" s="7" t="inlineStr">
        <is>
          <t>MOBILE</t>
        </is>
      </c>
      <c r="AA3" s="7" t="inlineStr">
        <is>
          <t>SI VALE</t>
        </is>
      </c>
      <c r="AB3" s="2" t="n"/>
      <c r="AC3" s="6" t="n"/>
    </row>
    <row r="4" ht="11.5" customHeight="1">
      <c r="A4" s="8" t="n">
        <v>1</v>
      </c>
      <c r="B4" s="9" t="inlineStr">
        <is>
          <t>ING.ARMANDO  COLIN</t>
        </is>
      </c>
      <c r="C4" s="9" t="inlineStr">
        <is>
          <t>BACHEO TOLUCA</t>
        </is>
      </c>
      <c r="D4" s="9" t="inlineStr">
        <is>
          <t>CHEVROLET S10</t>
        </is>
      </c>
      <c r="E4" s="8" t="inlineStr">
        <is>
          <t>PAT8298</t>
        </is>
      </c>
      <c r="F4" s="10" t="n">
        <v>1200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0" t="n">
        <v>1200</v>
      </c>
      <c r="AC4" s="10" t="n">
        <v>0</v>
      </c>
    </row>
    <row r="5" ht="11.5" customHeight="1">
      <c r="A5" s="12" t="n">
        <v>2</v>
      </c>
      <c r="B5" s="13" t="inlineStr"/>
      <c r="C5" s="13" t="inlineStr"/>
      <c r="D5" s="13" t="inlineStr">
        <is>
          <t>EQUIPO MENOR</t>
        </is>
      </c>
      <c r="E5" s="12" t="inlineStr"/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4" t="n">
        <v>500</v>
      </c>
      <c r="AC5" s="14" t="n">
        <v>0</v>
      </c>
    </row>
    <row r="6" ht="11.5" customHeight="1">
      <c r="A6" s="8" t="n">
        <v>3</v>
      </c>
      <c r="B6" s="9" t="inlineStr">
        <is>
          <t>ING. ANTONIO IBAÑEZ</t>
        </is>
      </c>
      <c r="C6" s="9" t="inlineStr">
        <is>
          <t>MAQUINARIA</t>
        </is>
      </c>
      <c r="D6" s="9" t="inlineStr">
        <is>
          <t>RAM 1200</t>
        </is>
      </c>
      <c r="E6" s="8" t="inlineStr">
        <is>
          <t>LHB188D</t>
        </is>
      </c>
      <c r="F6" s="10" t="n">
        <v>2500</v>
      </c>
      <c r="G6" s="11" t="n"/>
      <c r="H6" s="11" t="n"/>
      <c r="I6" s="11" t="n"/>
      <c r="J6" s="10" t="n">
        <v>2072.34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0" t="n">
        <v>427.66</v>
      </c>
      <c r="AC6" s="10" t="n">
        <v>2072.34</v>
      </c>
    </row>
    <row r="7" ht="11.5" customHeight="1">
      <c r="A7" s="12" t="n">
        <v>4</v>
      </c>
      <c r="B7" s="13" t="inlineStr"/>
      <c r="C7" s="13" t="inlineStr"/>
      <c r="D7" s="13" t="inlineStr">
        <is>
          <t>EQUIPO MENOR</t>
        </is>
      </c>
      <c r="E7" s="12" t="inlineStr"/>
      <c r="F7" s="14" t="n">
        <v>500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4" t="n">
        <v>500</v>
      </c>
      <c r="AC7" s="14" t="n">
        <v>0</v>
      </c>
    </row>
    <row r="8" ht="11.5" customHeight="1">
      <c r="A8" s="8" t="n">
        <v>5</v>
      </c>
      <c r="B8" s="9" t="inlineStr">
        <is>
          <t>ALBERTO HERNANDEZ DE JESUS</t>
        </is>
      </c>
      <c r="C8" s="9" t="inlineStr">
        <is>
          <t>MAQUINARIA</t>
        </is>
      </c>
      <c r="D8" s="9" t="inlineStr">
        <is>
          <t>DODGE RAM 700</t>
        </is>
      </c>
      <c r="E8" s="8" t="inlineStr">
        <is>
          <t>NXP9814</t>
        </is>
      </c>
      <c r="F8" s="10" t="n">
        <v>1500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0" t="n">
        <v>1500</v>
      </c>
      <c r="AC8" s="10" t="n">
        <v>0</v>
      </c>
    </row>
    <row r="9" ht="11.5" customHeight="1">
      <c r="A9" s="12" t="n">
        <v>6</v>
      </c>
      <c r="B9" s="13" t="inlineStr">
        <is>
          <t>JUAN CARLOS NAZAR CHAVEZ</t>
        </is>
      </c>
      <c r="C9" s="13" t="inlineStr">
        <is>
          <t>MAQUINARIA</t>
        </is>
      </c>
      <c r="D9" s="13" t="inlineStr">
        <is>
          <t>DODGE RAM 700</t>
        </is>
      </c>
      <c r="E9" s="12" t="inlineStr">
        <is>
          <t>PCW9238</t>
        </is>
      </c>
      <c r="F9" s="14" t="n">
        <v>1500</v>
      </c>
      <c r="G9" s="14" t="n">
        <v>1250.07</v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4" t="n">
        <v>249.93</v>
      </c>
      <c r="AC9" s="14" t="n">
        <v>1250.07</v>
      </c>
    </row>
    <row r="10" ht="11.5" customHeight="1">
      <c r="A10" s="8" t="n">
        <v>7</v>
      </c>
      <c r="B10" s="9" t="inlineStr">
        <is>
          <t>EDGAR VELAZQUEZ ESQUIVEL</t>
        </is>
      </c>
      <c r="C10" s="9" t="inlineStr">
        <is>
          <t>MAQUINARIA</t>
        </is>
      </c>
      <c r="D10" s="9" t="inlineStr"/>
      <c r="E10" s="8" t="inlineStr"/>
      <c r="F10" s="10" t="n">
        <v>1500</v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0" t="n">
        <v>1500</v>
      </c>
      <c r="AC10" s="10" t="n">
        <v>0</v>
      </c>
    </row>
    <row r="11" ht="11.5" customHeight="1">
      <c r="A11" s="12" t="n">
        <v>8</v>
      </c>
      <c r="B11" s="13" t="inlineStr">
        <is>
          <t>ROBERTO CARLOS GARCÍA</t>
        </is>
      </c>
      <c r="C11" s="13" t="inlineStr">
        <is>
          <t>H. COLEGIO MILITAR</t>
        </is>
      </c>
      <c r="D11" s="13" t="inlineStr">
        <is>
          <t>CHANGAN ALSVIN</t>
        </is>
      </c>
      <c r="E11" s="12" t="inlineStr">
        <is>
          <t>LMH893A</t>
        </is>
      </c>
      <c r="F11" s="14" t="n">
        <v>700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4" t="n">
        <v>700</v>
      </c>
      <c r="AC11" s="14" t="n">
        <v>0</v>
      </c>
    </row>
    <row r="12" ht="11.5" customHeight="1">
      <c r="A12" s="8" t="n">
        <v>9</v>
      </c>
      <c r="B12" s="9" t="inlineStr">
        <is>
          <t>OSCAR ESTRADA LINARES</t>
        </is>
      </c>
      <c r="C12" s="9" t="inlineStr">
        <is>
          <t>EXPLANADA DAMIAN CARMONA</t>
        </is>
      </c>
      <c r="D12" s="9" t="inlineStr">
        <is>
          <t>NISSAN NP-300</t>
        </is>
      </c>
      <c r="E12" s="8" t="inlineStr">
        <is>
          <t>MAH844C</t>
        </is>
      </c>
      <c r="F12" s="10" t="n">
        <v>1500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0" t="n">
        <v>1500</v>
      </c>
      <c r="AC12" s="10" t="n">
        <v>0</v>
      </c>
    </row>
    <row r="13" ht="11.5" customHeight="1">
      <c r="A13" s="12" t="n">
        <v>10</v>
      </c>
      <c r="B13" s="13" t="inlineStr">
        <is>
          <t>DIEGO CARREOLA</t>
        </is>
      </c>
      <c r="C13" s="13" t="inlineStr">
        <is>
          <t>BACHEO TOLUCA Y C. VICENTE LOMBARDO</t>
        </is>
      </c>
      <c r="D13" s="13" t="inlineStr">
        <is>
          <t>MITSUBISHI L1200</t>
        </is>
      </c>
      <c r="E13" s="12" t="inlineStr">
        <is>
          <t>NYZ829C</t>
        </is>
      </c>
      <c r="F13" s="14" t="n">
        <v>1500</v>
      </c>
      <c r="G13" s="14" t="n">
        <v>1500</v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4" t="n">
        <v>600</v>
      </c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20" t="n">
        <v>-600</v>
      </c>
      <c r="AC13" s="14" t="n">
        <v>2100</v>
      </c>
    </row>
    <row r="14" ht="11.5" customHeight="1">
      <c r="A14" s="8" t="n">
        <v>11</v>
      </c>
      <c r="B14" s="9" t="inlineStr"/>
      <c r="C14" s="9" t="inlineStr">
        <is>
          <t>BACHEO TOLUCA</t>
        </is>
      </c>
      <c r="D14" s="9" t="inlineStr">
        <is>
          <t>EQUIPO MENOR</t>
        </is>
      </c>
      <c r="E14" s="8" t="inlineStr"/>
      <c r="F14" s="10" t="n">
        <v>500</v>
      </c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0" t="n">
        <v>318.38</v>
      </c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0" t="n">
        <v>181.62</v>
      </c>
      <c r="AC14" s="10" t="n">
        <v>318.38</v>
      </c>
    </row>
    <row r="15" ht="11.5" customHeight="1">
      <c r="A15" s="12" t="n">
        <v>12</v>
      </c>
      <c r="B15" s="13" t="inlineStr">
        <is>
          <t>TOMAS ARANDA PROSPERO</t>
        </is>
      </c>
      <c r="C15" s="13" t="inlineStr">
        <is>
          <t>BACHEO TOLUCA Y C. VICENTE LOMBARDO</t>
        </is>
      </c>
      <c r="D15" s="13" t="inlineStr">
        <is>
          <t>DODGE RAM 4000 (3/2)</t>
        </is>
      </c>
      <c r="E15" s="12" t="inlineStr">
        <is>
          <t>LF05470</t>
        </is>
      </c>
      <c r="F15" s="14" t="n">
        <v>1500</v>
      </c>
      <c r="G15" s="15" t="n"/>
      <c r="H15" s="14" t="n">
        <v>1500</v>
      </c>
      <c r="I15" s="12" t="inlineStr">
        <is>
          <t>A10424</t>
        </is>
      </c>
      <c r="J15" s="15" t="n"/>
      <c r="K15" s="15" t="n"/>
      <c r="L15" s="15" t="n"/>
      <c r="M15" s="15" t="n"/>
      <c r="N15" s="14" t="n">
        <v>1500</v>
      </c>
      <c r="O15" s="12" t="inlineStr">
        <is>
          <t>A10515</t>
        </is>
      </c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2" t="e">
        <v>#VALUE!</v>
      </c>
      <c r="AC15" s="14" t="n">
        <v>3000</v>
      </c>
    </row>
    <row r="16" ht="11.5" customHeight="1">
      <c r="A16" s="8" t="n">
        <v>13</v>
      </c>
      <c r="B16" s="9" t="inlineStr">
        <is>
          <t>JAVIER PEREZ DÍAZ</t>
        </is>
      </c>
      <c r="C16" s="9" t="inlineStr">
        <is>
          <t>OBRA MÉXICO TOLUCA</t>
        </is>
      </c>
      <c r="D16" s="9" t="inlineStr">
        <is>
          <t>MITSUBISHI 1200</t>
        </is>
      </c>
      <c r="E16" s="8" t="inlineStr">
        <is>
          <t>MHL758A</t>
        </is>
      </c>
      <c r="F16" s="10" t="n">
        <v>2500</v>
      </c>
      <c r="G16" s="10" t="n">
        <v>1374.06</v>
      </c>
      <c r="H16" s="11" t="n"/>
      <c r="I16" s="11" t="n"/>
      <c r="J16" s="11" t="n"/>
      <c r="K16" s="11" t="n"/>
      <c r="L16" s="11" t="n"/>
      <c r="M16" s="11" t="n"/>
      <c r="N16" s="11" t="n"/>
      <c r="O16" s="11" t="n"/>
      <c r="P16" s="10" t="n">
        <v>1600.22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9" t="n">
        <v>-474.28</v>
      </c>
      <c r="AC16" s="10" t="n">
        <v>2974.28</v>
      </c>
    </row>
    <row r="17" ht="11.5" customHeight="1">
      <c r="A17" s="12" t="inlineStr"/>
      <c r="B17" s="13" t="inlineStr"/>
      <c r="C17" s="13" t="inlineStr">
        <is>
          <t>OBRA MÉXICO TOLUCA</t>
        </is>
      </c>
      <c r="D17" s="13" t="inlineStr">
        <is>
          <t>EQUIPO MENOR</t>
        </is>
      </c>
      <c r="E17" s="12" t="inlineStr"/>
      <c r="F17" s="14" t="n">
        <v>300</v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4" t="n">
        <v>300</v>
      </c>
      <c r="AC17" s="15" t="n"/>
    </row>
    <row r="18" ht="11.5" customHeight="1">
      <c r="A18" s="8" t="n">
        <v>14</v>
      </c>
      <c r="B18" s="9" t="inlineStr">
        <is>
          <t>ALEXIS SAMUEL RENDON DOMINGUEZ</t>
        </is>
      </c>
      <c r="C18" s="9" t="inlineStr">
        <is>
          <t>OBRA MÉXICO TOLUCA</t>
        </is>
      </c>
      <c r="D18" s="9" t="inlineStr">
        <is>
          <t>TOYOTA HIACE (URBAN)</t>
        </is>
      </c>
      <c r="E18" s="8" t="inlineStr">
        <is>
          <t>PBT1230</t>
        </is>
      </c>
      <c r="F18" s="10" t="n">
        <v>2500</v>
      </c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0" t="n">
        <v>2500</v>
      </c>
      <c r="AC18" s="10" t="n">
        <v>0</v>
      </c>
    </row>
    <row r="19" ht="11.5" customHeight="1">
      <c r="A19" s="12" t="n">
        <v>15</v>
      </c>
      <c r="B19" s="13" t="inlineStr">
        <is>
          <t>CRISTIAN REYES GAMORA</t>
        </is>
      </c>
      <c r="C19" s="13" t="inlineStr">
        <is>
          <t>OBRA MÉXICO TOLUCA</t>
        </is>
      </c>
      <c r="D19" s="13" t="inlineStr">
        <is>
          <t>DODGE RAM 4000 (3/2)</t>
        </is>
      </c>
      <c r="E19" s="12" t="inlineStr">
        <is>
          <t>LH49730</t>
        </is>
      </c>
      <c r="F19" s="14" t="n">
        <v>4000</v>
      </c>
      <c r="G19" s="14" t="n">
        <v>2920.37</v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4" t="n">
        <v>1500</v>
      </c>
      <c r="R19" s="12" t="inlineStr">
        <is>
          <t>A10450</t>
        </is>
      </c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4" t="n">
        <v>4420.37</v>
      </c>
    </row>
    <row r="20" ht="11.5" customHeight="1">
      <c r="A20" s="8" t="n">
        <v>16</v>
      </c>
      <c r="B20" s="9" t="inlineStr">
        <is>
          <t>APOLINAR REYES BOLAINA</t>
        </is>
      </c>
      <c r="C20" s="9" t="inlineStr">
        <is>
          <t>LERMA TENANGO</t>
        </is>
      </c>
      <c r="D20" s="9" t="inlineStr">
        <is>
          <t>MITSUBISHI 1200</t>
        </is>
      </c>
      <c r="E20" s="8" t="inlineStr">
        <is>
          <t>NYZ971C</t>
        </is>
      </c>
      <c r="F20" s="10" t="n">
        <v>2500</v>
      </c>
      <c r="G20" s="10" t="n">
        <v>1388.51</v>
      </c>
      <c r="H20" s="11" t="n"/>
      <c r="I20" s="11" t="n"/>
      <c r="J20" s="11" t="n"/>
      <c r="K20" s="11" t="n"/>
      <c r="L20" s="11" t="n"/>
      <c r="M20" s="11" t="n"/>
      <c r="N20" s="11" t="n"/>
      <c r="O20" s="11" t="n"/>
      <c r="P20" s="10" t="n">
        <v>1111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0" t="n">
        <v>0.49</v>
      </c>
      <c r="AC20" s="10" t="n">
        <v>2499.51</v>
      </c>
    </row>
    <row r="21" ht="11.5" customHeight="1">
      <c r="A21" s="12" t="n">
        <v>17</v>
      </c>
      <c r="B21" s="13" t="inlineStr"/>
      <c r="C21" s="13" t="inlineStr"/>
      <c r="D21" s="13" t="inlineStr">
        <is>
          <t>CORTADORA DE CONCRETO</t>
        </is>
      </c>
      <c r="E21" s="12" t="inlineStr"/>
      <c r="F21" s="14" t="n">
        <v>1000</v>
      </c>
      <c r="G21" s="14" t="n">
        <v>1000</v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4" t="n">
        <v>500</v>
      </c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20" t="n">
        <v>-500</v>
      </c>
      <c r="AC21" s="14" t="n">
        <v>1500</v>
      </c>
    </row>
    <row r="22" ht="11.5" customHeight="1">
      <c r="A22" s="8" t="n">
        <v>18</v>
      </c>
      <c r="B22" s="9" t="inlineStr"/>
      <c r="C22" s="9" t="inlineStr"/>
      <c r="D22" s="9" t="inlineStr">
        <is>
          <t>MOTOR AUXILIAR PETROLIZADORA</t>
        </is>
      </c>
      <c r="E22" s="8" t="inlineStr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0" t="n">
        <v>0</v>
      </c>
      <c r="AC22" s="10" t="n">
        <v>0</v>
      </c>
    </row>
    <row r="23" ht="11.5" customHeight="1">
      <c r="A23" s="12" t="n">
        <v>19</v>
      </c>
      <c r="B23" s="13" t="inlineStr"/>
      <c r="C23" s="13" t="inlineStr"/>
      <c r="D23" s="13" t="inlineStr">
        <is>
          <t>MOTOR AUXILIAR PIPA DE AGUA</t>
        </is>
      </c>
      <c r="E23" s="12" t="inlineStr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4" t="n">
        <v>0</v>
      </c>
      <c r="AC23" s="14" t="n">
        <v>0</v>
      </c>
    </row>
    <row r="24" ht="11.5" customHeight="1">
      <c r="A24" s="8" t="n">
        <v>20</v>
      </c>
      <c r="B24" s="9" t="inlineStr">
        <is>
          <t>LEONCIO MARTINEZ PASCACIO</t>
        </is>
      </c>
      <c r="C24" s="9" t="inlineStr">
        <is>
          <t>LERMA TENANGO</t>
        </is>
      </c>
      <c r="D24" s="9" t="inlineStr">
        <is>
          <t>MITSUBISHI 1200</t>
        </is>
      </c>
      <c r="E24" s="8" t="inlineStr">
        <is>
          <t>NYZ790C</t>
        </is>
      </c>
      <c r="F24" s="10" t="n">
        <v>1500</v>
      </c>
      <c r="G24" s="11" t="n"/>
      <c r="H24" s="11" t="n"/>
      <c r="I24" s="11" t="n"/>
      <c r="J24" s="10" t="n">
        <v>1500</v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0" t="n">
        <v>0</v>
      </c>
      <c r="AC24" s="10" t="n">
        <v>1500</v>
      </c>
    </row>
    <row r="25" ht="11.5" customHeight="1">
      <c r="A25" s="12" t="n">
        <v>21</v>
      </c>
      <c r="B25" s="13" t="inlineStr">
        <is>
          <t>CARMELO ALVAREZ ANICETO</t>
        </is>
      </c>
      <c r="C25" s="13" t="inlineStr">
        <is>
          <t>LERMA TENANGO</t>
        </is>
      </c>
      <c r="D25" s="13" t="inlineStr">
        <is>
          <t>DODGE RAM 4000 (3/2)</t>
        </is>
      </c>
      <c r="E25" s="12" t="inlineStr">
        <is>
          <t>LH49746</t>
        </is>
      </c>
      <c r="F25" s="14" t="n">
        <v>3000</v>
      </c>
      <c r="G25" s="15" t="n"/>
      <c r="H25" s="14" t="n">
        <v>3000</v>
      </c>
      <c r="I25" s="12" t="inlineStr">
        <is>
          <t>A10427</t>
        </is>
      </c>
      <c r="J25" s="15" t="n"/>
      <c r="K25" s="15" t="n"/>
      <c r="L25" s="15" t="n"/>
      <c r="M25" s="15" t="n"/>
      <c r="N25" s="15" t="n"/>
      <c r="O25" s="15" t="n"/>
      <c r="P25" s="14" t="n">
        <v>700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2" t="e">
        <v>#VALUE!</v>
      </c>
      <c r="AC25" s="14" t="n">
        <v>3700</v>
      </c>
    </row>
    <row r="26" ht="11.5" customHeight="1">
      <c r="A26" s="8" t="n">
        <v>22</v>
      </c>
      <c r="B26" s="9" t="inlineStr">
        <is>
          <t>DIEGO FERNANDEZ SANTIAGO</t>
        </is>
      </c>
      <c r="C26" s="9" t="inlineStr">
        <is>
          <t>LERMA TENANGO</t>
        </is>
      </c>
      <c r="D26" s="9" t="inlineStr">
        <is>
          <t>TOYOTA HIACE (URBAN)</t>
        </is>
      </c>
      <c r="E26" s="8" t="inlineStr">
        <is>
          <t>PBT1229</t>
        </is>
      </c>
      <c r="F26" s="10" t="n">
        <v>2500</v>
      </c>
      <c r="G26" s="10" t="n">
        <v>932.79</v>
      </c>
      <c r="H26" s="11" t="n"/>
      <c r="I26" s="11" t="n"/>
      <c r="J26" s="11" t="n"/>
      <c r="K26" s="11" t="n"/>
      <c r="L26" s="11" t="n"/>
      <c r="M26" s="11" t="n"/>
      <c r="N26" s="11" t="n"/>
      <c r="O26" s="11" t="n"/>
      <c r="P26" s="10" t="n">
        <v>1217.34</v>
      </c>
      <c r="Q26" s="11" t="n"/>
      <c r="R26" s="11" t="n"/>
      <c r="S26" s="10" t="n">
        <v>500</v>
      </c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8" t="e">
        <v>#REF!</v>
      </c>
      <c r="AC26" s="10" t="n">
        <v>2650.13</v>
      </c>
    </row>
    <row r="27" ht="11.5" customHeight="1">
      <c r="A27" s="12" t="n">
        <v>23</v>
      </c>
      <c r="B27" s="13" t="inlineStr">
        <is>
          <t>DAMIAN ANTONIO PUINI</t>
        </is>
      </c>
      <c r="C27" s="13" t="inlineStr">
        <is>
          <t>P. ASFALTO HUIXQUILUCAN</t>
        </is>
      </c>
      <c r="D27" s="13" t="inlineStr">
        <is>
          <t>FORD RANGER</t>
        </is>
      </c>
      <c r="E27" s="12" t="inlineStr">
        <is>
          <t>PCU7482</t>
        </is>
      </c>
      <c r="F27" s="14" t="n">
        <v>2500</v>
      </c>
      <c r="G27" s="15" t="n"/>
      <c r="H27" s="14" t="n">
        <v>1500</v>
      </c>
      <c r="I27" s="12" t="inlineStr">
        <is>
          <t>A23783097</t>
        </is>
      </c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4" t="n">
        <v>800</v>
      </c>
      <c r="U27" s="12" t="inlineStr">
        <is>
          <t>A10470</t>
        </is>
      </c>
      <c r="V27" s="15" t="n"/>
      <c r="W27" s="15" t="n"/>
      <c r="X27" s="15" t="n"/>
      <c r="Y27" s="15" t="n"/>
      <c r="Z27" s="15" t="n"/>
      <c r="AA27" s="15" t="n"/>
      <c r="AB27" s="12" t="e">
        <v>#VALUE!</v>
      </c>
      <c r="AC27" s="14" t="n">
        <v>2300</v>
      </c>
    </row>
    <row r="28" ht="11.5" customHeight="1">
      <c r="A28" s="8" t="n">
        <v>24</v>
      </c>
      <c r="B28" s="9" t="inlineStr">
        <is>
          <t>LUIS VALDEZ</t>
        </is>
      </c>
      <c r="C28" s="9" t="inlineStr"/>
      <c r="D28" s="9" t="inlineStr">
        <is>
          <t>EQUIPO MENOR</t>
        </is>
      </c>
      <c r="E28" s="8" t="inlineStr"/>
      <c r="F28" s="10" t="n">
        <v>1000</v>
      </c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0" t="n">
        <v>500</v>
      </c>
      <c r="U28" s="8" t="inlineStr">
        <is>
          <t>A10460</t>
        </is>
      </c>
      <c r="V28" s="11" t="n"/>
      <c r="W28" s="11" t="n"/>
      <c r="X28" s="11" t="n"/>
      <c r="Y28" s="11" t="n"/>
      <c r="Z28" s="11" t="n"/>
      <c r="AA28" s="11" t="n"/>
      <c r="AB28" s="8" t="e">
        <v>#VALUE!</v>
      </c>
      <c r="AC28" s="10" t="n">
        <v>500</v>
      </c>
    </row>
    <row r="29" ht="11.5" customHeight="1">
      <c r="A29" s="12" t="n">
        <v>25</v>
      </c>
      <c r="B29" s="13" t="inlineStr">
        <is>
          <t>CLEMENTE SANABRIA</t>
        </is>
      </c>
      <c r="C29" s="13" t="inlineStr">
        <is>
          <t>TRANSPORTES FLOTILLA</t>
        </is>
      </c>
      <c r="D29" s="13" t="inlineStr">
        <is>
          <t>RAM 1200</t>
        </is>
      </c>
      <c r="E29" s="12" t="inlineStr">
        <is>
          <t>LHB184D</t>
        </is>
      </c>
      <c r="F29" s="14" t="n">
        <v>2500</v>
      </c>
      <c r="G29" s="14" t="n">
        <v>1980.44</v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4" t="n">
        <v>1800.02</v>
      </c>
      <c r="R29" s="12" t="inlineStr">
        <is>
          <t>A10454</t>
        </is>
      </c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2" t="e">
        <v>#VALUE!</v>
      </c>
      <c r="AC29" s="14" t="n">
        <v>3780.46</v>
      </c>
    </row>
    <row r="30" ht="11.5" customHeight="1">
      <c r="A30" s="8" t="n">
        <v>26</v>
      </c>
      <c r="B30" s="9" t="inlineStr">
        <is>
          <t>BRYAN GABRIEL CHAVEZ ALVAREZ</t>
        </is>
      </c>
      <c r="C30" s="9" t="inlineStr">
        <is>
          <t>TRANSPORTES FLOTILLA</t>
        </is>
      </c>
      <c r="D30" s="9" t="inlineStr">
        <is>
          <t>CHEVROLET TORNADO</t>
        </is>
      </c>
      <c r="E30" s="8" t="inlineStr">
        <is>
          <t>NUZ948C</t>
        </is>
      </c>
      <c r="F30" s="10" t="n">
        <v>1000</v>
      </c>
      <c r="G30" s="10" t="n">
        <v>1000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0" t="n">
        <v>200</v>
      </c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9" t="n">
        <v>-200</v>
      </c>
      <c r="AC30" s="10" t="n">
        <v>1200</v>
      </c>
    </row>
    <row r="31" ht="11.5" customHeight="1">
      <c r="A31" s="12" t="n">
        <v>27</v>
      </c>
      <c r="B31" s="13" t="inlineStr"/>
      <c r="C31" s="13" t="inlineStr"/>
      <c r="D31" s="13" t="inlineStr">
        <is>
          <t>MOTORES LOWBOY</t>
        </is>
      </c>
      <c r="E31" s="12" t="inlineStr"/>
      <c r="F31" s="14" t="n">
        <v>500</v>
      </c>
      <c r="G31" s="14" t="n">
        <v>500</v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4" t="n">
        <v>0</v>
      </c>
      <c r="AC31" s="14" t="n">
        <v>500</v>
      </c>
    </row>
    <row r="32" ht="11.5" customHeight="1">
      <c r="A32" s="8" t="n">
        <v>28</v>
      </c>
      <c r="B32" s="9" t="inlineStr"/>
      <c r="C32" s="9" t="inlineStr"/>
      <c r="D32" s="9" t="inlineStr">
        <is>
          <t>MOTORES LOWBOY</t>
        </is>
      </c>
      <c r="E32" s="8" t="inlineStr"/>
      <c r="F32" s="10" t="n">
        <v>500</v>
      </c>
      <c r="G32" s="11" t="n"/>
      <c r="H32" s="11" t="n"/>
      <c r="I32" s="11" t="n"/>
      <c r="J32" s="11" t="n"/>
      <c r="K32" s="11" t="n"/>
      <c r="L32" s="11" t="n"/>
      <c r="M32" s="10" t="n">
        <v>228.9</v>
      </c>
      <c r="N32" s="11" t="n"/>
      <c r="O32" s="11" t="n"/>
      <c r="P32" s="10" t="n">
        <v>500</v>
      </c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9" t="n">
        <v>-228.9</v>
      </c>
      <c r="AC32" s="10" t="n">
        <v>728.9</v>
      </c>
    </row>
    <row r="33" ht="11.5" customHeight="1">
      <c r="A33" s="12" t="n">
        <v>29</v>
      </c>
      <c r="B33" s="13" t="inlineStr">
        <is>
          <t>ROBERTO ORTEGA</t>
        </is>
      </c>
      <c r="C33" s="13" t="inlineStr"/>
      <c r="D33" s="13" t="inlineStr"/>
      <c r="E33" s="12" t="inlineStr">
        <is>
          <t>MNX601B</t>
        </is>
      </c>
      <c r="F33" s="14" t="n">
        <v>800</v>
      </c>
      <c r="G33" s="14" t="n">
        <v>800</v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4" t="n">
        <v>500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20" t="n">
        <v>-500</v>
      </c>
      <c r="AC33" s="14" t="n">
        <v>1300</v>
      </c>
    </row>
    <row r="34" ht="11.5" customHeight="1">
      <c r="A34" s="8" t="n">
        <v>30</v>
      </c>
      <c r="B34" s="9" t="inlineStr"/>
      <c r="C34" s="9" t="inlineStr"/>
      <c r="D34" s="9" t="inlineStr">
        <is>
          <t>EQUIPO MENOR</t>
        </is>
      </c>
      <c r="E34" s="8" t="inlineStr"/>
      <c r="F34" s="10" t="n">
        <v>500</v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0" t="n">
        <v>500</v>
      </c>
      <c r="AC34" s="10" t="n">
        <v>0</v>
      </c>
    </row>
    <row r="35" ht="11.5" customHeight="1">
      <c r="A35" s="12" t="n">
        <v>31</v>
      </c>
      <c r="B35" s="13" t="inlineStr">
        <is>
          <t>JOSÉ CABELLO /JACK</t>
        </is>
      </c>
      <c r="C35" s="13" t="inlineStr">
        <is>
          <t>ESTIMACIONES /PLANTA PEGASO</t>
        </is>
      </c>
      <c r="D35" s="13" t="inlineStr"/>
      <c r="E35" s="12" t="inlineStr">
        <is>
          <t>LHB176D</t>
        </is>
      </c>
      <c r="F35" s="14" t="n">
        <v>1500</v>
      </c>
      <c r="G35" s="15" t="n"/>
      <c r="H35" s="15" t="n"/>
      <c r="I35" s="15" t="n"/>
      <c r="J35" s="15" t="n"/>
      <c r="K35" s="15" t="n"/>
      <c r="L35" s="15" t="n"/>
      <c r="M35" s="14" t="n">
        <v>806.41</v>
      </c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4" t="n">
        <v>693.59</v>
      </c>
      <c r="AC35" s="14" t="n">
        <v>806.41</v>
      </c>
    </row>
    <row r="36" ht="11.5" customHeight="1">
      <c r="A36" s="8" t="n">
        <v>32</v>
      </c>
      <c r="B36" s="9" t="inlineStr">
        <is>
          <t>VICTOR HUGO MARTINEZ VELAZQUEZ</t>
        </is>
      </c>
      <c r="C36" s="9" t="inlineStr">
        <is>
          <t>JALSICO</t>
        </is>
      </c>
      <c r="D36" s="9" t="inlineStr">
        <is>
          <t>RAM 1200</t>
        </is>
      </c>
      <c r="E36" s="8" t="inlineStr">
        <is>
          <t>LHB182D</t>
        </is>
      </c>
      <c r="F36" s="10" t="n">
        <v>1500</v>
      </c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0" t="n">
        <v>1500</v>
      </c>
      <c r="AC36" s="10" t="n">
        <v>0</v>
      </c>
    </row>
    <row r="37" ht="11.5" customHeight="1">
      <c r="A37" s="12" t="n">
        <v>33</v>
      </c>
      <c r="B37" s="13" t="inlineStr">
        <is>
          <t>PAOLA JARAMILLO</t>
        </is>
      </c>
      <c r="C37" s="13" t="inlineStr">
        <is>
          <t>CORPORATIVO</t>
        </is>
      </c>
      <c r="D37" s="13" t="inlineStr">
        <is>
          <t>CHANGAN ALSVIN</t>
        </is>
      </c>
      <c r="E37" s="12" t="inlineStr"/>
      <c r="F37" s="14" t="n">
        <v>700</v>
      </c>
      <c r="G37" s="14" t="n">
        <v>800</v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20" t="n">
        <v>-100</v>
      </c>
      <c r="AC37" s="14" t="n">
        <v>800</v>
      </c>
    </row>
    <row r="38" ht="11.5" customHeight="1">
      <c r="A38" s="8" t="n">
        <v>34</v>
      </c>
      <c r="B38" s="9" t="inlineStr">
        <is>
          <t>SAMUEL ORTEGA SILVA</t>
        </is>
      </c>
      <c r="C38" s="9" t="inlineStr"/>
      <c r="D38" s="9" t="inlineStr">
        <is>
          <t>MITSUBISHI L200</t>
        </is>
      </c>
      <c r="E38" s="8" t="inlineStr">
        <is>
          <t>NZT266B</t>
        </is>
      </c>
      <c r="F38" s="10" t="n">
        <v>3000</v>
      </c>
      <c r="G38" s="11" t="n"/>
      <c r="H38" s="10" t="n">
        <v>1200</v>
      </c>
      <c r="I38" s="8" t="inlineStr">
        <is>
          <t>A10434</t>
        </is>
      </c>
      <c r="J38" s="11" t="n"/>
      <c r="K38" s="11" t="n"/>
      <c r="L38" s="11" t="n"/>
      <c r="M38" s="11" t="n"/>
      <c r="N38" s="10" t="n">
        <v>1000</v>
      </c>
      <c r="O38" s="8" t="inlineStr">
        <is>
          <t>A10451</t>
        </is>
      </c>
      <c r="P38" s="11" t="n"/>
      <c r="Q38" s="10" t="n">
        <v>800</v>
      </c>
      <c r="R38" s="8" t="inlineStr">
        <is>
          <t>A23783099</t>
        </is>
      </c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8" t="e">
        <v>#VALUE!</v>
      </c>
      <c r="AC38" s="10" t="n">
        <v>3000</v>
      </c>
    </row>
    <row r="39" ht="11.5" customHeight="1">
      <c r="A39" s="12" t="n">
        <v>35</v>
      </c>
      <c r="B39" s="13" t="inlineStr">
        <is>
          <t>CRISTOBAL SILVA</t>
        </is>
      </c>
      <c r="C39" s="13" t="inlineStr"/>
      <c r="D39" s="13" t="inlineStr">
        <is>
          <t>RAM 1200</t>
        </is>
      </c>
      <c r="E39" s="12" t="inlineStr">
        <is>
          <t>LKV206D</t>
        </is>
      </c>
      <c r="F39" s="14" t="n">
        <v>1500</v>
      </c>
      <c r="G39" s="15" t="n"/>
      <c r="H39" s="15" t="n"/>
      <c r="I39" s="15" t="n"/>
      <c r="J39" s="14" t="n">
        <v>1500</v>
      </c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4" t="n">
        <v>0</v>
      </c>
      <c r="AC39" s="14" t="n">
        <v>1500</v>
      </c>
    </row>
    <row r="40" ht="11.5" customHeight="1">
      <c r="A40" s="8" t="inlineStr"/>
      <c r="B40" s="9" t="inlineStr"/>
      <c r="C40" s="9" t="inlineStr"/>
      <c r="D40" s="9" t="inlineStr">
        <is>
          <t>RAM 1200</t>
        </is>
      </c>
      <c r="E40" s="8" t="inlineStr">
        <is>
          <t>LKC794D</t>
        </is>
      </c>
      <c r="F40" s="10" t="n">
        <v>1500</v>
      </c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8" t="e">
        <v>#REF!</v>
      </c>
      <c r="AC40" s="10" t="n">
        <v>0</v>
      </c>
    </row>
    <row r="41" ht="11.5" customHeight="1">
      <c r="A41" s="12" t="inlineStr"/>
      <c r="B41" s="13" t="inlineStr"/>
      <c r="C41" s="13" t="inlineStr"/>
      <c r="D41" s="13" t="inlineStr">
        <is>
          <t>RAM 1200</t>
        </is>
      </c>
      <c r="E41" s="12" t="inlineStr">
        <is>
          <t>LKC789D</t>
        </is>
      </c>
      <c r="F41" s="14" t="n">
        <v>1500</v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4" t="n">
        <v>1500</v>
      </c>
      <c r="AC41" s="14" t="n">
        <v>0</v>
      </c>
    </row>
    <row r="42" ht="13.5" customHeight="1">
      <c r="A42" s="16" t="inlineStr">
        <is>
          <t>TOTALES J.D.J.</t>
        </is>
      </c>
      <c r="B42" s="17" t="n"/>
      <c r="C42" s="17" t="n"/>
      <c r="D42" s="17" t="n"/>
      <c r="E42" s="17" t="n"/>
      <c r="F42" s="18">
        <f>SUM(F4:F41)</f>
        <v/>
      </c>
      <c r="G42" s="18">
        <f>SUM(G4:G41)</f>
        <v/>
      </c>
      <c r="H42" s="18">
        <f>SUM(H4:H41)</f>
        <v/>
      </c>
      <c r="I42" s="18">
        <f>SUM(I4:I41)</f>
        <v/>
      </c>
      <c r="J42" s="18">
        <f>SUM(J4:J41)</f>
        <v/>
      </c>
      <c r="K42" s="18">
        <f>SUM(K4:K41)</f>
        <v/>
      </c>
      <c r="L42" s="18">
        <f>SUM(L4:L41)</f>
        <v/>
      </c>
      <c r="M42" s="18">
        <f>SUM(M4:M41)</f>
        <v/>
      </c>
      <c r="N42" s="18">
        <f>SUM(N4:N41)</f>
        <v/>
      </c>
      <c r="O42" s="18">
        <f>SUM(O4:O41)</f>
        <v/>
      </c>
      <c r="P42" s="18">
        <f>SUM(P4:P41)</f>
        <v/>
      </c>
      <c r="Q42" s="18">
        <f>SUM(Q4:Q41)</f>
        <v/>
      </c>
      <c r="R42" s="18">
        <f>SUM(R4:R41)</f>
        <v/>
      </c>
      <c r="S42" s="18">
        <f>SUM(S4:S41)</f>
        <v/>
      </c>
      <c r="T42" s="18">
        <f>SUM(T4:T41)</f>
        <v/>
      </c>
      <c r="U42" s="18">
        <f>SUM(U4:U41)</f>
        <v/>
      </c>
      <c r="V42" s="18">
        <f>SUM(V4:V41)</f>
        <v/>
      </c>
      <c r="W42" s="18">
        <f>SUM(W4:W41)</f>
        <v/>
      </c>
      <c r="X42" s="18">
        <f>SUM(X4:X41)</f>
        <v/>
      </c>
      <c r="Y42" s="18">
        <f>SUM(Y4:Y41)</f>
        <v/>
      </c>
      <c r="Z42" s="18">
        <f>SUM(Z4:Z41)</f>
        <v/>
      </c>
      <c r="AA42" s="18">
        <f>SUM(AA4:AA41)</f>
        <v/>
      </c>
      <c r="AB42" s="18">
        <f>SUM(AB4:AB41)</f>
        <v/>
      </c>
      <c r="AC42" s="18">
        <f>SUM(AC4:AC41)</f>
        <v/>
      </c>
    </row>
    <row r="43" ht="6" customHeight="1"/>
    <row r="44" ht="17" customHeight="1">
      <c r="A44" s="1" t="inlineStr">
        <is>
          <t>GASOLINA - TRITURADORA ROCA DURA SAN MIGUEL  (SEMANA 29)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14" customHeight="1">
      <c r="A45" s="3" t="inlineStr">
        <is>
          <t>NO.</t>
        </is>
      </c>
      <c r="B45" s="3" t="inlineStr">
        <is>
          <t>RESPONSABLE</t>
        </is>
      </c>
      <c r="C45" s="3" t="inlineStr">
        <is>
          <t>CENTRO DE TRABAJO</t>
        </is>
      </c>
      <c r="D45" s="3" t="inlineStr">
        <is>
          <t>UNIDAD / EQUIPO</t>
        </is>
      </c>
      <c r="E45" s="3" t="inlineStr">
        <is>
          <t>PLACAS</t>
        </is>
      </c>
      <c r="F45" s="3" t="inlineStr">
        <is>
          <t>IMPORTE AUTORIZADO</t>
        </is>
      </c>
      <c r="G45" s="4" t="inlineStr">
        <is>
          <t>LUN 13/JUL</t>
        </is>
      </c>
      <c r="H45" s="2" t="n"/>
      <c r="I45" s="2" t="n"/>
      <c r="J45" s="4" t="inlineStr">
        <is>
          <t>MAR 14/JUL</t>
        </is>
      </c>
      <c r="K45" s="2" t="n"/>
      <c r="L45" s="2" t="n"/>
      <c r="M45" s="4" t="inlineStr">
        <is>
          <t>MIÉ 15/JUL</t>
        </is>
      </c>
      <c r="N45" s="2" t="n"/>
      <c r="O45" s="2" t="n"/>
      <c r="P45" s="4" t="inlineStr">
        <is>
          <t>JUE 16/JUL</t>
        </is>
      </c>
      <c r="Q45" s="2" t="n"/>
      <c r="R45" s="2" t="n"/>
      <c r="S45" s="4" t="inlineStr">
        <is>
          <t>VIE 17/JUL</t>
        </is>
      </c>
      <c r="T45" s="2" t="n"/>
      <c r="U45" s="2" t="n"/>
      <c r="V45" s="4" t="inlineStr">
        <is>
          <t>SÁB 18/JUL</t>
        </is>
      </c>
      <c r="W45" s="2" t="n"/>
      <c r="X45" s="2" t="n"/>
      <c r="Y45" s="4" t="inlineStr">
        <is>
          <t>DOM 19/JUL</t>
        </is>
      </c>
      <c r="Z45" s="2" t="n"/>
      <c r="AA45" s="2" t="n"/>
      <c r="AB45" s="5" t="inlineStr">
        <is>
          <t>REMANENTE
(SALDO)</t>
        </is>
      </c>
      <c r="AC45" s="3" t="inlineStr">
        <is>
          <t>CONSUMO
SEMANAL</t>
        </is>
      </c>
    </row>
    <row r="46" ht="13" customHeight="1">
      <c r="A46" s="6" t="n"/>
      <c r="B46" s="6" t="n"/>
      <c r="C46" s="6" t="n"/>
      <c r="D46" s="6" t="n"/>
      <c r="E46" s="6" t="n"/>
      <c r="F46" s="6" t="n"/>
      <c r="G46" s="7" t="inlineStr">
        <is>
          <t>LEVET</t>
        </is>
      </c>
      <c r="H46" s="7" t="inlineStr">
        <is>
          <t>MOBILE</t>
        </is>
      </c>
      <c r="I46" s="7" t="inlineStr">
        <is>
          <t>SI VALE</t>
        </is>
      </c>
      <c r="J46" s="7" t="inlineStr">
        <is>
          <t>LEVET</t>
        </is>
      </c>
      <c r="K46" s="7" t="inlineStr">
        <is>
          <t>MOBILE</t>
        </is>
      </c>
      <c r="L46" s="7" t="inlineStr">
        <is>
          <t>SI VALE</t>
        </is>
      </c>
      <c r="M46" s="7" t="inlineStr">
        <is>
          <t>LEVET</t>
        </is>
      </c>
      <c r="N46" s="7" t="inlineStr">
        <is>
          <t>MOBILE</t>
        </is>
      </c>
      <c r="O46" s="7" t="inlineStr">
        <is>
          <t>SI VALE</t>
        </is>
      </c>
      <c r="P46" s="7" t="inlineStr">
        <is>
          <t>LEVET</t>
        </is>
      </c>
      <c r="Q46" s="7" t="inlineStr">
        <is>
          <t>MOBILE</t>
        </is>
      </c>
      <c r="R46" s="7" t="inlineStr">
        <is>
          <t>SI VALE</t>
        </is>
      </c>
      <c r="S46" s="7" t="inlineStr">
        <is>
          <t>LEVET</t>
        </is>
      </c>
      <c r="T46" s="7" t="inlineStr">
        <is>
          <t>MOBILE</t>
        </is>
      </c>
      <c r="U46" s="7" t="inlineStr">
        <is>
          <t>SI VALE</t>
        </is>
      </c>
      <c r="V46" s="7" t="inlineStr">
        <is>
          <t>LEVET</t>
        </is>
      </c>
      <c r="W46" s="7" t="inlineStr">
        <is>
          <t>MOBILE</t>
        </is>
      </c>
      <c r="X46" s="7" t="inlineStr">
        <is>
          <t>SI VALE</t>
        </is>
      </c>
      <c r="Y46" s="7" t="inlineStr">
        <is>
          <t>LEVET</t>
        </is>
      </c>
      <c r="Z46" s="7" t="inlineStr">
        <is>
          <t>MOBILE</t>
        </is>
      </c>
      <c r="AA46" s="7" t="inlineStr">
        <is>
          <t>SI VALE</t>
        </is>
      </c>
      <c r="AB46" s="2" t="n"/>
      <c r="AC46" s="6" t="n"/>
    </row>
    <row r="47" ht="11.5" customHeight="1">
      <c r="A47" s="8" t="n">
        <v>1</v>
      </c>
      <c r="B47" s="9" t="inlineStr">
        <is>
          <t>CARLOS REYES TRUJANO</t>
        </is>
      </c>
      <c r="C47" s="9" t="inlineStr">
        <is>
          <t>MINA TABERNILLAS</t>
        </is>
      </c>
      <c r="D47" s="9" t="inlineStr">
        <is>
          <t>TOYOTA TACOMA</t>
        </is>
      </c>
      <c r="E47" s="8" t="inlineStr">
        <is>
          <t>33K849</t>
        </is>
      </c>
      <c r="F47" s="10" t="n">
        <v>2500</v>
      </c>
      <c r="G47" s="10" t="n">
        <v>1919.56</v>
      </c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0" t="n">
        <v>580.4400000000001</v>
      </c>
      <c r="AC47" s="10" t="n">
        <v>1919.56</v>
      </c>
    </row>
    <row r="48" ht="11.5" customHeight="1">
      <c r="A48" s="12" t="n">
        <v>2</v>
      </c>
      <c r="B48" s="13" t="inlineStr">
        <is>
          <t>LAZARO PINAL RIOS</t>
        </is>
      </c>
      <c r="C48" s="13" t="inlineStr">
        <is>
          <t>MINA TABERNILLAS</t>
        </is>
      </c>
      <c r="D48" s="13" t="inlineStr">
        <is>
          <t>MITSUBISHI L200</t>
        </is>
      </c>
      <c r="E48" s="12" t="inlineStr">
        <is>
          <t>MHL757A</t>
        </is>
      </c>
      <c r="F48" s="14" t="n">
        <v>1500</v>
      </c>
      <c r="G48" s="15" t="n"/>
      <c r="H48" s="15" t="n"/>
      <c r="I48" s="15" t="n"/>
      <c r="J48" s="15" t="n"/>
      <c r="K48" s="15" t="n"/>
      <c r="L48" s="15" t="n"/>
      <c r="M48" s="14" t="n">
        <v>1500</v>
      </c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4" t="n">
        <v>0</v>
      </c>
      <c r="AC48" s="14" t="n">
        <v>1500</v>
      </c>
    </row>
    <row r="49" ht="11.5" customHeight="1">
      <c r="A49" s="8" t="n">
        <v>3</v>
      </c>
      <c r="B49" s="9" t="inlineStr">
        <is>
          <t>ARMANDO COLIN MORENO</t>
        </is>
      </c>
      <c r="C49" s="9" t="inlineStr">
        <is>
          <t>MINA TABERNILLAS</t>
        </is>
      </c>
      <c r="D49" s="9" t="inlineStr">
        <is>
          <t>CHEVORLET</t>
        </is>
      </c>
      <c r="E49" s="8" t="inlineStr">
        <is>
          <t>PAT8298</t>
        </is>
      </c>
      <c r="F49" s="10" t="n">
        <v>2000</v>
      </c>
      <c r="G49" s="11" t="n"/>
      <c r="H49" s="11" t="n"/>
      <c r="I49" s="11" t="n"/>
      <c r="J49" s="10" t="n">
        <v>1316.66</v>
      </c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0" t="n">
        <v>683.34</v>
      </c>
      <c r="AC49" s="10" t="n">
        <v>1316.66</v>
      </c>
    </row>
    <row r="50" ht="11.5" customHeight="1">
      <c r="A50" s="12" t="inlineStr"/>
      <c r="B50" s="13" t="inlineStr"/>
      <c r="C50" s="13" t="inlineStr"/>
      <c r="D50" s="13" t="inlineStr">
        <is>
          <t>EQUIPO MENOR</t>
        </is>
      </c>
      <c r="E50" s="12" t="inlineStr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4" t="n">
        <v>0</v>
      </c>
      <c r="AC50" s="14" t="n">
        <v>0</v>
      </c>
    </row>
    <row r="51" ht="11.5" customHeight="1">
      <c r="A51" s="8" t="n">
        <v>4</v>
      </c>
      <c r="B51" s="9" t="inlineStr">
        <is>
          <t>ABNER OSORIO BARTOLO</t>
        </is>
      </c>
      <c r="C51" s="9" t="inlineStr">
        <is>
          <t>MINA ZUMPAHUACAN</t>
        </is>
      </c>
      <c r="D51" s="9" t="inlineStr">
        <is>
          <t>MITSUBISHI L200</t>
        </is>
      </c>
      <c r="E51" s="8" t="inlineStr">
        <is>
          <t>NYZ828C</t>
        </is>
      </c>
      <c r="F51" s="10" t="n">
        <v>1500</v>
      </c>
      <c r="G51" s="10" t="n">
        <v>1500</v>
      </c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0" t="n">
        <v>0</v>
      </c>
      <c r="AC51" s="10" t="n">
        <v>1500</v>
      </c>
    </row>
    <row r="52" ht="11.5" customHeight="1">
      <c r="A52" s="12" t="n">
        <v>5</v>
      </c>
      <c r="B52" s="13" t="inlineStr">
        <is>
          <t>ISAAC GONZALEZ GONZALEZ</t>
        </is>
      </c>
      <c r="C52" s="13" t="inlineStr">
        <is>
          <t>MINA ZUMPAHUACAN</t>
        </is>
      </c>
      <c r="D52" s="13" t="inlineStr">
        <is>
          <t>MITSUBISHI L200</t>
        </is>
      </c>
      <c r="E52" s="12" t="inlineStr">
        <is>
          <t>NYZ839C</t>
        </is>
      </c>
      <c r="F52" s="14" t="n">
        <v>1500</v>
      </c>
      <c r="G52" s="14" t="n">
        <v>1500</v>
      </c>
      <c r="H52" s="15" t="n"/>
      <c r="I52" s="15" t="n"/>
      <c r="J52" s="14" t="n">
        <v>300</v>
      </c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2" t="e">
        <v>#REF!</v>
      </c>
      <c r="AC52" s="12" t="e">
        <v>#REF!</v>
      </c>
    </row>
    <row r="53" ht="11.5" customHeight="1">
      <c r="A53" s="8" t="n">
        <v>6</v>
      </c>
      <c r="B53" s="9" t="inlineStr">
        <is>
          <t>JESUS MARIN GARCIA</t>
        </is>
      </c>
      <c r="C53" s="9" t="inlineStr">
        <is>
          <t>MINA CUAJOMAC</t>
        </is>
      </c>
      <c r="D53" s="9" t="inlineStr">
        <is>
          <t>CHEVORLET</t>
        </is>
      </c>
      <c r="E53" s="8" t="inlineStr">
        <is>
          <t>PCU8771</t>
        </is>
      </c>
      <c r="F53" s="10" t="n">
        <v>2000</v>
      </c>
      <c r="G53" s="10" t="n">
        <v>1981.36</v>
      </c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0" t="n">
        <v>1400.23</v>
      </c>
      <c r="W53" s="11" t="n"/>
      <c r="X53" s="11" t="n"/>
      <c r="Y53" s="11" t="n"/>
      <c r="Z53" s="11" t="n"/>
      <c r="AA53" s="11" t="n"/>
      <c r="AB53" s="19" t="n">
        <v>-1381.59</v>
      </c>
      <c r="AC53" s="10" t="n">
        <v>3381.59</v>
      </c>
    </row>
    <row r="54" ht="13.5" customHeight="1">
      <c r="A54" s="16" t="inlineStr">
        <is>
          <t>TOTALES TRITURADORA</t>
        </is>
      </c>
      <c r="B54" s="17" t="n"/>
      <c r="C54" s="17" t="n"/>
      <c r="D54" s="17" t="n"/>
      <c r="E54" s="17" t="n"/>
      <c r="F54" s="18">
        <f>SUM(F47:F53)</f>
        <v/>
      </c>
      <c r="G54" s="18">
        <f>SUM(G47:G53)</f>
        <v/>
      </c>
      <c r="H54" s="18">
        <f>SUM(H47:H53)</f>
        <v/>
      </c>
      <c r="I54" s="18">
        <f>SUM(I47:I53)</f>
        <v/>
      </c>
      <c r="J54" s="18">
        <f>SUM(J47:J53)</f>
        <v/>
      </c>
      <c r="K54" s="18">
        <f>SUM(K47:K53)</f>
        <v/>
      </c>
      <c r="L54" s="18">
        <f>SUM(L47:L53)</f>
        <v/>
      </c>
      <c r="M54" s="18">
        <f>SUM(M47:M53)</f>
        <v/>
      </c>
      <c r="N54" s="18">
        <f>SUM(N47:N53)</f>
        <v/>
      </c>
      <c r="O54" s="18">
        <f>SUM(O47:O53)</f>
        <v/>
      </c>
      <c r="P54" s="18">
        <f>SUM(P47:P53)</f>
        <v/>
      </c>
      <c r="Q54" s="18">
        <f>SUM(Q47:Q53)</f>
        <v/>
      </c>
      <c r="R54" s="18">
        <f>SUM(R47:R53)</f>
        <v/>
      </c>
      <c r="S54" s="18">
        <f>SUM(S47:S53)</f>
        <v/>
      </c>
      <c r="T54" s="18">
        <f>SUM(T47:T53)</f>
        <v/>
      </c>
      <c r="U54" s="18">
        <f>SUM(U47:U53)</f>
        <v/>
      </c>
      <c r="V54" s="18">
        <f>SUM(V47:V53)</f>
        <v/>
      </c>
      <c r="W54" s="18">
        <f>SUM(W47:W53)</f>
        <v/>
      </c>
      <c r="X54" s="18">
        <f>SUM(X47:X53)</f>
        <v/>
      </c>
      <c r="Y54" s="18">
        <f>SUM(Y47:Y53)</f>
        <v/>
      </c>
      <c r="Z54" s="18">
        <f>SUM(Z47:Z53)</f>
        <v/>
      </c>
      <c r="AA54" s="18">
        <f>SUM(AA47:AA53)</f>
        <v/>
      </c>
      <c r="AB54" s="18">
        <f>SUM(AB47:AB53)</f>
        <v/>
      </c>
      <c r="AC54" s="18">
        <f>SUM(AC47:AC53)</f>
        <v/>
      </c>
    </row>
  </sheetData>
  <mergeCells count="34">
    <mergeCell ref="A44:AC44"/>
    <mergeCell ref="Y2:AA2"/>
    <mergeCell ref="P2:R2"/>
    <mergeCell ref="J45:L45"/>
    <mergeCell ref="A45:A46"/>
    <mergeCell ref="C45:C46"/>
    <mergeCell ref="B2:B3"/>
    <mergeCell ref="D2:D3"/>
    <mergeCell ref="F2:F3"/>
    <mergeCell ref="D45:D46"/>
    <mergeCell ref="F45:F46"/>
    <mergeCell ref="A1:AC1"/>
    <mergeCell ref="A54:E54"/>
    <mergeCell ref="V45:X45"/>
    <mergeCell ref="G45:I45"/>
    <mergeCell ref="M45:O45"/>
    <mergeCell ref="Y45:AA45"/>
    <mergeCell ref="A2:A3"/>
    <mergeCell ref="AB2:AB3"/>
    <mergeCell ref="S45:U45"/>
    <mergeCell ref="C2:C3"/>
    <mergeCell ref="E2:E3"/>
    <mergeCell ref="J2:L2"/>
    <mergeCell ref="A42:E42"/>
    <mergeCell ref="E45:E46"/>
    <mergeCell ref="P45:R45"/>
    <mergeCell ref="AC2:AC3"/>
    <mergeCell ref="AC45:AC46"/>
    <mergeCell ref="V2:X2"/>
    <mergeCell ref="B45:B46"/>
    <mergeCell ref="G2:I2"/>
    <mergeCell ref="M2:O2"/>
    <mergeCell ref="S2:U2"/>
    <mergeCell ref="AB45:AB46"/>
  </mergeCells>
  <pageMargins left="0.2" right="0.2" top="0.25" bottom="0.25" header="0.5" footer="0.5"/>
  <pageSetup orientation="landscape" paperSize="5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C57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8.5" customWidth="1" min="28" max="28"/>
    <col width="8.800000000000001" customWidth="1" min="29" max="29"/>
  </cols>
  <sheetData>
    <row r="1" ht="18" customHeight="1">
      <c r="A1" s="1" t="inlineStr">
        <is>
          <t>GASOLINA - J.D.J. EQUIPO Y CONSTRUCCIONES S.A. DE C.V.  (SEMANA 30)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20/JUL</t>
        </is>
      </c>
      <c r="H2" s="2" t="n"/>
      <c r="I2" s="2" t="n"/>
      <c r="J2" s="4" t="inlineStr">
        <is>
          <t>MAR 21/JUL</t>
        </is>
      </c>
      <c r="K2" s="2" t="n"/>
      <c r="L2" s="2" t="n"/>
      <c r="M2" s="4" t="inlineStr">
        <is>
          <t>MIÉ 22/JUL</t>
        </is>
      </c>
      <c r="N2" s="2" t="n"/>
      <c r="O2" s="2" t="n"/>
      <c r="P2" s="4" t="inlineStr">
        <is>
          <t>JUE 23/JUL</t>
        </is>
      </c>
      <c r="Q2" s="2" t="n"/>
      <c r="R2" s="2" t="n"/>
      <c r="S2" s="4" t="inlineStr">
        <is>
          <t>VIE 24/JUL</t>
        </is>
      </c>
      <c r="T2" s="2" t="n"/>
      <c r="U2" s="2" t="n"/>
      <c r="V2" s="4" t="inlineStr">
        <is>
          <t>SÁB 25/JUL</t>
        </is>
      </c>
      <c r="W2" s="2" t="n"/>
      <c r="X2" s="2" t="n"/>
      <c r="Y2" s="4" t="inlineStr">
        <is>
          <t>DOM 26/JUL</t>
        </is>
      </c>
      <c r="Z2" s="2" t="n"/>
      <c r="AA2" s="2" t="n"/>
      <c r="AB2" s="5" t="inlineStr">
        <is>
          <t>REMANENTE
(SALDO)</t>
        </is>
      </c>
      <c r="AC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SI VALE</t>
        </is>
      </c>
      <c r="J3" s="7" t="inlineStr">
        <is>
          <t>LEVET</t>
        </is>
      </c>
      <c r="K3" s="7" t="inlineStr">
        <is>
          <t>MOBILE</t>
        </is>
      </c>
      <c r="L3" s="7" t="inlineStr">
        <is>
          <t>SI VALE</t>
        </is>
      </c>
      <c r="M3" s="7" t="inlineStr">
        <is>
          <t>LEVET</t>
        </is>
      </c>
      <c r="N3" s="7" t="inlineStr">
        <is>
          <t>MOBILE</t>
        </is>
      </c>
      <c r="O3" s="7" t="inlineStr">
        <is>
          <t>SI VALE</t>
        </is>
      </c>
      <c r="P3" s="7" t="inlineStr">
        <is>
          <t>LEVET</t>
        </is>
      </c>
      <c r="Q3" s="7" t="inlineStr">
        <is>
          <t>MOBILE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SI VALE</t>
        </is>
      </c>
      <c r="V3" s="7" t="inlineStr">
        <is>
          <t>LEVET</t>
        </is>
      </c>
      <c r="W3" s="7" t="inlineStr">
        <is>
          <t>MOBILE</t>
        </is>
      </c>
      <c r="X3" s="7" t="inlineStr">
        <is>
          <t>SI VALE</t>
        </is>
      </c>
      <c r="Y3" s="7" t="inlineStr">
        <is>
          <t>LEVET</t>
        </is>
      </c>
      <c r="Z3" s="7" t="inlineStr">
        <is>
          <t>MOBILE</t>
        </is>
      </c>
      <c r="AA3" s="7" t="inlineStr">
        <is>
          <t>SI VALE</t>
        </is>
      </c>
      <c r="AB3" s="2" t="n"/>
      <c r="AC3" s="6" t="n"/>
    </row>
    <row r="4" ht="11.5" customHeight="1">
      <c r="A4" s="8" t="n">
        <v>1</v>
      </c>
      <c r="B4" s="9" t="inlineStr">
        <is>
          <t>ING.ARMANDO  COLIN</t>
        </is>
      </c>
      <c r="C4" s="9" t="inlineStr">
        <is>
          <t>BACHEO TOLUCA</t>
        </is>
      </c>
      <c r="D4" s="9" t="inlineStr">
        <is>
          <t>CHEVROLET S10</t>
        </is>
      </c>
      <c r="E4" s="8" t="inlineStr">
        <is>
          <t>PAT8298</t>
        </is>
      </c>
      <c r="F4" s="10" t="n">
        <v>1200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0" t="n">
        <v>1200</v>
      </c>
      <c r="AC4" s="10" t="n">
        <v>0</v>
      </c>
    </row>
    <row r="5" ht="11.5" customHeight="1">
      <c r="A5" s="12" t="n">
        <v>2</v>
      </c>
      <c r="B5" s="13" t="inlineStr"/>
      <c r="C5" s="13" t="inlineStr"/>
      <c r="D5" s="13" t="inlineStr">
        <is>
          <t>EQUIPO MENOR</t>
        </is>
      </c>
      <c r="E5" s="12" t="inlineStr"/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4" t="n">
        <v>500</v>
      </c>
      <c r="AC5" s="14" t="n">
        <v>0</v>
      </c>
    </row>
    <row r="6" ht="11.5" customHeight="1">
      <c r="A6" s="8" t="n">
        <v>3</v>
      </c>
      <c r="B6" s="9" t="inlineStr">
        <is>
          <t>ING. ANTONIO IBAÑEZ</t>
        </is>
      </c>
      <c r="C6" s="9" t="inlineStr">
        <is>
          <t>MAQUINARIA</t>
        </is>
      </c>
      <c r="D6" s="9" t="inlineStr">
        <is>
          <t>RAM 1200</t>
        </is>
      </c>
      <c r="E6" s="8" t="inlineStr">
        <is>
          <t>LHB188D</t>
        </is>
      </c>
      <c r="F6" s="10" t="n">
        <v>2500</v>
      </c>
      <c r="G6" s="11" t="n"/>
      <c r="H6" s="11" t="n"/>
      <c r="I6" s="11" t="n"/>
      <c r="J6" s="11" t="n"/>
      <c r="K6" s="11" t="n"/>
      <c r="L6" s="11" t="n"/>
      <c r="M6" s="10" t="n">
        <v>1984.99</v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0" t="n">
        <v>515.01</v>
      </c>
      <c r="AC6" s="10" t="n">
        <v>1984.99</v>
      </c>
    </row>
    <row r="7" ht="11.5" customHeight="1">
      <c r="A7" s="12" t="n">
        <v>4</v>
      </c>
      <c r="B7" s="13" t="inlineStr"/>
      <c r="C7" s="13" t="inlineStr"/>
      <c r="D7" s="13" t="inlineStr">
        <is>
          <t>EQUIPO MENOR</t>
        </is>
      </c>
      <c r="E7" s="12" t="inlineStr"/>
      <c r="F7" s="14" t="n">
        <v>500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4" t="n">
        <v>500</v>
      </c>
      <c r="AC7" s="14" t="n">
        <v>0</v>
      </c>
    </row>
    <row r="8" ht="11.5" customHeight="1">
      <c r="A8" s="8" t="n">
        <v>5</v>
      </c>
      <c r="B8" s="9" t="inlineStr">
        <is>
          <t>ALBERTO HERNANDEZ DE JESUS</t>
        </is>
      </c>
      <c r="C8" s="9" t="inlineStr">
        <is>
          <t>MAQUINARIA</t>
        </is>
      </c>
      <c r="D8" s="9" t="inlineStr">
        <is>
          <t>DODGE RAM 700</t>
        </is>
      </c>
      <c r="E8" s="8" t="inlineStr">
        <is>
          <t>NXP9814</t>
        </is>
      </c>
      <c r="F8" s="10" t="n">
        <v>1500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0" t="n">
        <v>1500</v>
      </c>
      <c r="AC8" s="10" t="n">
        <v>0</v>
      </c>
    </row>
    <row r="9" ht="11.5" customHeight="1">
      <c r="A9" s="12" t="n">
        <v>6</v>
      </c>
      <c r="B9" s="13" t="inlineStr">
        <is>
          <t>JUAN CARLOS NAZAR CHAVEZ</t>
        </is>
      </c>
      <c r="C9" s="13" t="inlineStr">
        <is>
          <t>MAQUINARIA</t>
        </is>
      </c>
      <c r="D9" s="13" t="inlineStr">
        <is>
          <t>DODGE RAM 700</t>
        </is>
      </c>
      <c r="E9" s="12" t="inlineStr">
        <is>
          <t>PCW9238</t>
        </is>
      </c>
      <c r="F9" s="14" t="n">
        <v>1500</v>
      </c>
      <c r="G9" s="15" t="n"/>
      <c r="H9" s="15" t="n"/>
      <c r="I9" s="15" t="n"/>
      <c r="J9" s="14" t="n">
        <v>1158.12</v>
      </c>
      <c r="K9" s="15" t="n"/>
      <c r="L9" s="15" t="n"/>
      <c r="M9" s="15" t="n"/>
      <c r="N9" s="15" t="n"/>
      <c r="O9" s="15" t="n"/>
      <c r="P9" s="14" t="n">
        <v>350</v>
      </c>
      <c r="Q9" s="15" t="n"/>
      <c r="R9" s="15" t="n"/>
      <c r="S9" s="14" t="n">
        <v>500</v>
      </c>
      <c r="T9" s="15" t="n"/>
      <c r="U9" s="15" t="n"/>
      <c r="V9" s="15" t="n"/>
      <c r="W9" s="15" t="n"/>
      <c r="X9" s="15" t="n"/>
      <c r="Y9" s="15" t="n"/>
      <c r="Z9" s="15" t="n"/>
      <c r="AA9" s="15" t="n"/>
      <c r="AB9" s="20" t="n">
        <v>-508.12</v>
      </c>
      <c r="AC9" s="14" t="n">
        <v>2008.12</v>
      </c>
    </row>
    <row r="10" ht="11.5" customHeight="1">
      <c r="A10" s="8" t="n">
        <v>7</v>
      </c>
      <c r="B10" s="9" t="inlineStr">
        <is>
          <t>EDGAR VELAZQUEZ ESQUIVEL</t>
        </is>
      </c>
      <c r="C10" s="9" t="inlineStr">
        <is>
          <t>MAQUINARIA</t>
        </is>
      </c>
      <c r="D10" s="9" t="inlineStr"/>
      <c r="E10" s="8" t="inlineStr">
        <is>
          <t>9391.0</t>
        </is>
      </c>
      <c r="F10" s="10" t="n">
        <v>1500</v>
      </c>
      <c r="G10" s="11" t="n"/>
      <c r="H10" s="11" t="n"/>
      <c r="I10" s="11" t="n"/>
      <c r="J10" s="10" t="n">
        <v>1500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0" t="n">
        <v>0</v>
      </c>
      <c r="AC10" s="10" t="n">
        <v>1500</v>
      </c>
    </row>
    <row r="11" ht="11.5" customHeight="1">
      <c r="A11" s="12" t="n">
        <v>8</v>
      </c>
      <c r="B11" s="13" t="inlineStr">
        <is>
          <t>ROBERTO CARLOS GARCÍA</t>
        </is>
      </c>
      <c r="C11" s="13" t="inlineStr">
        <is>
          <t>H. COLEGIO MILITAR</t>
        </is>
      </c>
      <c r="D11" s="13" t="inlineStr">
        <is>
          <t>CHANGAN ALSVIN</t>
        </is>
      </c>
      <c r="E11" s="12" t="inlineStr">
        <is>
          <t>LMH893A</t>
        </is>
      </c>
      <c r="F11" s="14" t="n">
        <v>700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4" t="n">
        <v>700</v>
      </c>
      <c r="AC11" s="14" t="n">
        <v>0</v>
      </c>
    </row>
    <row r="12" ht="11.5" customHeight="1">
      <c r="A12" s="8" t="n">
        <v>9</v>
      </c>
      <c r="B12" s="9" t="inlineStr">
        <is>
          <t>OSCAR ESTRADA LINARES</t>
        </is>
      </c>
      <c r="C12" s="9" t="inlineStr">
        <is>
          <t>EXPLANADA DAMIAN CARMONA</t>
        </is>
      </c>
      <c r="D12" s="9" t="inlineStr">
        <is>
          <t>NISSAN NP-300</t>
        </is>
      </c>
      <c r="E12" s="8" t="inlineStr">
        <is>
          <t>MAH844C</t>
        </is>
      </c>
      <c r="F12" s="10" t="n">
        <v>1500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0" t="n">
        <v>1500</v>
      </c>
      <c r="AC12" s="10" t="n">
        <v>0</v>
      </c>
    </row>
    <row r="13" ht="11.5" customHeight="1">
      <c r="A13" s="12" t="n">
        <v>10</v>
      </c>
      <c r="B13" s="13" t="inlineStr">
        <is>
          <t>DIEGO CARREOLA</t>
        </is>
      </c>
      <c r="C13" s="13" t="inlineStr">
        <is>
          <t>BACHEO TOLUCA Y C. VICENTE LOMBARDO</t>
        </is>
      </c>
      <c r="D13" s="13" t="inlineStr">
        <is>
          <t>MITSUBISHI L1200</t>
        </is>
      </c>
      <c r="E13" s="12" t="inlineStr">
        <is>
          <t>NYZ829C</t>
        </is>
      </c>
      <c r="F13" s="14" t="n">
        <v>1500</v>
      </c>
      <c r="G13" s="14" t="n">
        <v>1500</v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4" t="n">
        <v>922.74</v>
      </c>
      <c r="W13" s="15" t="n"/>
      <c r="X13" s="15" t="n"/>
      <c r="Y13" s="15" t="n"/>
      <c r="Z13" s="15" t="n"/>
      <c r="AA13" s="15" t="n"/>
      <c r="AB13" s="20" t="n">
        <v>-922.74</v>
      </c>
      <c r="AC13" s="14" t="n">
        <v>2422.74</v>
      </c>
    </row>
    <row r="14" ht="11.5" customHeight="1">
      <c r="A14" s="8" t="n">
        <v>11</v>
      </c>
      <c r="B14" s="9" t="inlineStr"/>
      <c r="C14" s="9" t="inlineStr">
        <is>
          <t>BACHEO TOLUCA</t>
        </is>
      </c>
      <c r="D14" s="9" t="inlineStr">
        <is>
          <t>EQUIPO MENOR</t>
        </is>
      </c>
      <c r="E14" s="8" t="inlineStr"/>
      <c r="F14" s="10" t="n">
        <v>500</v>
      </c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0" t="n">
        <v>500</v>
      </c>
      <c r="AC14" s="10" t="n">
        <v>0</v>
      </c>
    </row>
    <row r="15" ht="11.5" customHeight="1">
      <c r="A15" s="12" t="n">
        <v>12</v>
      </c>
      <c r="B15" s="13" t="inlineStr">
        <is>
          <t>TOMAS ARANDA PROSPERO</t>
        </is>
      </c>
      <c r="C15" s="13" t="inlineStr">
        <is>
          <t>BACHEO TOLUCA Y C. VICENTE LOMBARDO</t>
        </is>
      </c>
      <c r="D15" s="13" t="inlineStr">
        <is>
          <t>DODGE RAM 4000 (3/2)</t>
        </is>
      </c>
      <c r="E15" s="12" t="inlineStr">
        <is>
          <t>LF05470</t>
        </is>
      </c>
      <c r="F15" s="14" t="n">
        <v>1500</v>
      </c>
      <c r="G15" s="15" t="n"/>
      <c r="H15" s="14" t="n">
        <v>2000</v>
      </c>
      <c r="I15" s="12" t="inlineStr">
        <is>
          <t>A10486</t>
        </is>
      </c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4" t="n">
        <v>1500</v>
      </c>
      <c r="W15" s="15" t="n"/>
      <c r="X15" s="15" t="n"/>
      <c r="Y15" s="15" t="n"/>
      <c r="Z15" s="15" t="n"/>
      <c r="AA15" s="15" t="n"/>
      <c r="AB15" s="20" t="n">
        <v>-2000</v>
      </c>
      <c r="AC15" s="14" t="n">
        <v>3500</v>
      </c>
    </row>
    <row r="16" ht="11.5" customHeight="1">
      <c r="A16" s="8" t="n">
        <v>13</v>
      </c>
      <c r="B16" s="9" t="inlineStr">
        <is>
          <t>JAVIER PEREZ DÍAZ</t>
        </is>
      </c>
      <c r="C16" s="9" t="inlineStr">
        <is>
          <t>OBRA MÉXICO TOLUCA</t>
        </is>
      </c>
      <c r="D16" s="9" t="inlineStr">
        <is>
          <t>MITSUBISHI 1200</t>
        </is>
      </c>
      <c r="E16" s="8" t="inlineStr">
        <is>
          <t>MHL758A</t>
        </is>
      </c>
      <c r="F16" s="10" t="n">
        <v>2500</v>
      </c>
      <c r="G16" s="10" t="n">
        <v>1510.08</v>
      </c>
      <c r="H16" s="11" t="n"/>
      <c r="I16" s="11" t="n"/>
      <c r="J16" s="11" t="n"/>
      <c r="K16" s="11" t="n"/>
      <c r="L16" s="11" t="n"/>
      <c r="M16" s="10" t="n">
        <v>1084.02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9" t="n">
        <v>-94.09999999999999</v>
      </c>
      <c r="AC16" s="10" t="n">
        <v>2594.1</v>
      </c>
    </row>
    <row r="17" ht="11.5" customHeight="1">
      <c r="A17" s="12" t="inlineStr"/>
      <c r="B17" s="13" t="inlineStr"/>
      <c r="C17" s="13" t="inlineStr"/>
      <c r="D17" s="13" t="inlineStr"/>
      <c r="E17" s="12" t="inlineStr">
        <is>
          <t>MHL755A</t>
        </is>
      </c>
      <c r="F17" s="14" t="n">
        <v>1500</v>
      </c>
      <c r="G17" s="15" t="n"/>
      <c r="H17" s="15" t="n"/>
      <c r="I17" s="15" t="n"/>
      <c r="J17" s="15" t="n"/>
      <c r="K17" s="15" t="n"/>
      <c r="L17" s="15" t="n"/>
      <c r="M17" s="14" t="n">
        <v>860.27</v>
      </c>
      <c r="N17" s="15" t="n"/>
      <c r="O17" s="15" t="n"/>
      <c r="P17" s="15" t="n"/>
      <c r="Q17" s="15" t="n"/>
      <c r="R17" s="15" t="n"/>
      <c r="S17" s="15" t="n"/>
      <c r="T17" s="15" t="n"/>
      <c r="U17" s="15" t="n"/>
      <c r="V17" s="14" t="n">
        <v>500</v>
      </c>
      <c r="W17" s="15" t="n"/>
      <c r="X17" s="15" t="n"/>
      <c r="Y17" s="15" t="n"/>
      <c r="Z17" s="15" t="n"/>
      <c r="AA17" s="15" t="n"/>
      <c r="AB17" s="14" t="n">
        <v>139.73</v>
      </c>
      <c r="AC17" s="15" t="n"/>
    </row>
    <row r="18" ht="11.5" customHeight="1">
      <c r="A18" s="8" t="inlineStr"/>
      <c r="B18" s="9" t="inlineStr"/>
      <c r="C18" s="9" t="inlineStr">
        <is>
          <t>OBRA MÉXICO TOLUCA</t>
        </is>
      </c>
      <c r="D18" s="9" t="inlineStr">
        <is>
          <t>EQUIPO MENOR</t>
        </is>
      </c>
      <c r="E18" s="8" t="inlineStr"/>
      <c r="F18" s="10" t="n">
        <v>300</v>
      </c>
      <c r="G18" s="11" t="n"/>
      <c r="H18" s="11" t="n"/>
      <c r="I18" s="11" t="n"/>
      <c r="J18" s="11" t="n"/>
      <c r="K18" s="11" t="n"/>
      <c r="L18" s="11" t="n"/>
      <c r="M18" s="10" t="n">
        <v>300</v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0" t="n">
        <v>0</v>
      </c>
      <c r="AC18" s="11" t="n"/>
    </row>
    <row r="19" ht="11.5" customHeight="1">
      <c r="A19" s="12" t="n">
        <v>14</v>
      </c>
      <c r="B19" s="13" t="inlineStr">
        <is>
          <t>ALEXIS SAMUEL RENDON DOMINGUEZ</t>
        </is>
      </c>
      <c r="C19" s="13" t="inlineStr">
        <is>
          <t>OBRA MÉXICO TOLUCA</t>
        </is>
      </c>
      <c r="D19" s="13" t="inlineStr">
        <is>
          <t>TOYOTA HIACE (URBAN)</t>
        </is>
      </c>
      <c r="E19" s="12" t="inlineStr">
        <is>
          <t>PBT1230</t>
        </is>
      </c>
      <c r="F19" s="14" t="n">
        <v>2500</v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4" t="n">
        <v>2500</v>
      </c>
      <c r="AC19" s="14" t="n">
        <v>0</v>
      </c>
    </row>
    <row r="20" ht="11.5" customHeight="1">
      <c r="A20" s="8" t="n">
        <v>15</v>
      </c>
      <c r="B20" s="9" t="inlineStr">
        <is>
          <t>CRISTIAN REYES GAMORA</t>
        </is>
      </c>
      <c r="C20" s="9" t="inlineStr">
        <is>
          <t>OBRA MÉXICO TOLUCA</t>
        </is>
      </c>
      <c r="D20" s="9" t="inlineStr">
        <is>
          <t>DODGE RAM 4000 (3/2)</t>
        </is>
      </c>
      <c r="E20" s="8" t="inlineStr">
        <is>
          <t>LH49730</t>
        </is>
      </c>
      <c r="F20" s="10" t="n">
        <v>4000</v>
      </c>
      <c r="G20" s="11" t="n"/>
      <c r="H20" s="10" t="n">
        <v>2500</v>
      </c>
      <c r="I20" s="8" t="inlineStr">
        <is>
          <t>A10482</t>
        </is>
      </c>
      <c r="J20" s="11" t="n"/>
      <c r="K20" s="11" t="n"/>
      <c r="L20" s="11" t="n"/>
      <c r="M20" s="11" t="n"/>
      <c r="N20" s="11" t="n"/>
      <c r="O20" s="11" t="n"/>
      <c r="P20" s="11" t="n"/>
      <c r="Q20" s="10" t="n">
        <v>1500</v>
      </c>
      <c r="R20" s="8" t="inlineStr">
        <is>
          <t>A10567</t>
        </is>
      </c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0" t="n">
        <v>0</v>
      </c>
      <c r="AC20" s="10" t="n">
        <v>4000</v>
      </c>
    </row>
    <row r="21" ht="11.5" customHeight="1">
      <c r="A21" s="12" t="n">
        <v>16</v>
      </c>
      <c r="B21" s="13" t="inlineStr">
        <is>
          <t>APOLINAR REYES BOLAINA</t>
        </is>
      </c>
      <c r="C21" s="13" t="inlineStr">
        <is>
          <t>LERMA TENANGO</t>
        </is>
      </c>
      <c r="D21" s="13" t="inlineStr">
        <is>
          <t>MITSUBISHI 1200</t>
        </is>
      </c>
      <c r="E21" s="12" t="inlineStr">
        <is>
          <t>NYZ971C</t>
        </is>
      </c>
      <c r="F21" s="14" t="n">
        <v>2500</v>
      </c>
      <c r="G21" s="14" t="n">
        <v>1397.66</v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4" t="n">
        <v>1102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4" t="n">
        <v>0.34</v>
      </c>
      <c r="AC21" s="14" t="n">
        <v>2499.66</v>
      </c>
    </row>
    <row r="22" ht="11.5" customHeight="1">
      <c r="A22" s="8" t="n">
        <v>17</v>
      </c>
      <c r="B22" s="9" t="inlineStr"/>
      <c r="C22" s="9" t="inlineStr"/>
      <c r="D22" s="9" t="inlineStr">
        <is>
          <t>CORTADORA DE CONCRETO</t>
        </is>
      </c>
      <c r="E22" s="8" t="inlineStr"/>
      <c r="F22" s="10" t="n">
        <v>1000</v>
      </c>
      <c r="G22" s="10" t="n">
        <v>1000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0" t="n">
        <v>0</v>
      </c>
      <c r="AC22" s="10" t="n">
        <v>1000</v>
      </c>
    </row>
    <row r="23" ht="11.5" customHeight="1">
      <c r="A23" s="12" t="n">
        <v>18</v>
      </c>
      <c r="B23" s="13" t="inlineStr"/>
      <c r="C23" s="13" t="inlineStr"/>
      <c r="D23" s="13" t="inlineStr">
        <is>
          <t>MOTOR AUXILIAR PETROLIZADORA</t>
        </is>
      </c>
      <c r="E23" s="12" t="inlineStr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4" t="n">
        <v>0</v>
      </c>
      <c r="AC23" s="14" t="n">
        <v>0</v>
      </c>
    </row>
    <row r="24" ht="11.5" customHeight="1">
      <c r="A24" s="8" t="n">
        <v>19</v>
      </c>
      <c r="B24" s="9" t="inlineStr"/>
      <c r="C24" s="9" t="inlineStr"/>
      <c r="D24" s="9" t="inlineStr">
        <is>
          <t>MOTOR AUXILIAR PIPA DE AGUA</t>
        </is>
      </c>
      <c r="E24" s="8" t="inlineStr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0" t="n">
        <v>0</v>
      </c>
      <c r="AC24" s="10" t="n">
        <v>0</v>
      </c>
    </row>
    <row r="25" ht="11.5" customHeight="1">
      <c r="A25" s="12" t="n">
        <v>20</v>
      </c>
      <c r="B25" s="13" t="inlineStr">
        <is>
          <t>LEONCIO MARTINEZ PASCACIO</t>
        </is>
      </c>
      <c r="C25" s="13" t="inlineStr">
        <is>
          <t>LERMA TENANGO</t>
        </is>
      </c>
      <c r="D25" s="13" t="inlineStr">
        <is>
          <t>MITSUBISHI 1200</t>
        </is>
      </c>
      <c r="E25" s="12" t="inlineStr">
        <is>
          <t>NYZ790C</t>
        </is>
      </c>
      <c r="F25" s="14" t="n">
        <v>1500</v>
      </c>
      <c r="G25" s="14" t="n">
        <v>1487.74</v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4" t="n">
        <v>12.26</v>
      </c>
      <c r="AC25" s="14" t="n">
        <v>1487.74</v>
      </c>
    </row>
    <row r="26" ht="11.5" customHeight="1">
      <c r="A26" s="8" t="n">
        <v>21</v>
      </c>
      <c r="B26" s="9" t="inlineStr">
        <is>
          <t>CARMELO ALVAREZ ANICETO</t>
        </is>
      </c>
      <c r="C26" s="9" t="inlineStr">
        <is>
          <t>LERMA TENANGO</t>
        </is>
      </c>
      <c r="D26" s="9" t="inlineStr">
        <is>
          <t>DODGE RAM 4000 (3/2)</t>
        </is>
      </c>
      <c r="E26" s="8" t="inlineStr">
        <is>
          <t>LH49746</t>
        </is>
      </c>
      <c r="F26" s="10" t="n">
        <v>3000</v>
      </c>
      <c r="G26" s="10" t="n">
        <v>3000</v>
      </c>
      <c r="H26" s="11" t="n"/>
      <c r="I26" s="11" t="n"/>
      <c r="J26" s="11" t="n"/>
      <c r="K26" s="11" t="n"/>
      <c r="L26" s="11" t="n"/>
      <c r="M26" s="11" t="n"/>
      <c r="N26" s="11" t="n"/>
      <c r="O26" s="11" t="n"/>
      <c r="P26" s="10" t="n">
        <v>1000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9" t="n">
        <v>-1000</v>
      </c>
      <c r="AC26" s="10" t="n">
        <v>4000</v>
      </c>
    </row>
    <row r="27" ht="11.5" customHeight="1">
      <c r="A27" s="12" t="n">
        <v>22</v>
      </c>
      <c r="B27" s="13" t="inlineStr">
        <is>
          <t>DIEGO FERNANDEZ SANTIAGO</t>
        </is>
      </c>
      <c r="C27" s="13" t="inlineStr">
        <is>
          <t>LERMA TENANGO</t>
        </is>
      </c>
      <c r="D27" s="13" t="inlineStr">
        <is>
          <t>TOYOTA HIACE (URBAN)</t>
        </is>
      </c>
      <c r="E27" s="12" t="inlineStr">
        <is>
          <t>PBT1229</t>
        </is>
      </c>
      <c r="F27" s="14" t="n">
        <v>2500</v>
      </c>
      <c r="G27" s="14" t="n">
        <v>1262.22</v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4" t="n">
        <v>847.04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4" t="n">
        <v>390.74</v>
      </c>
      <c r="AC27" s="14" t="n">
        <v>2109.26</v>
      </c>
    </row>
    <row r="28" ht="11.5" customHeight="1">
      <c r="A28" s="8" t="n">
        <v>23</v>
      </c>
      <c r="B28" s="9" t="inlineStr">
        <is>
          <t>DAMIAN ANTONIO PUINI</t>
        </is>
      </c>
      <c r="C28" s="9" t="inlineStr">
        <is>
          <t>P. ASFALTO HUIXQUILUCAN</t>
        </is>
      </c>
      <c r="D28" s="9" t="inlineStr">
        <is>
          <t>FORD RANGER</t>
        </is>
      </c>
      <c r="E28" s="8" t="inlineStr">
        <is>
          <t>PCU7482</t>
        </is>
      </c>
      <c r="F28" s="10" t="n">
        <v>2500</v>
      </c>
      <c r="G28" s="11" t="n"/>
      <c r="H28" s="11" t="n"/>
      <c r="I28" s="11" t="n"/>
      <c r="J28" s="11" t="n"/>
      <c r="K28" s="11" t="n"/>
      <c r="L28" s="11" t="n"/>
      <c r="M28" s="11" t="n"/>
      <c r="N28" s="10" t="n">
        <v>1000</v>
      </c>
      <c r="O28" s="8" t="inlineStr">
        <is>
          <t>A10545</t>
        </is>
      </c>
      <c r="P28" s="11" t="n"/>
      <c r="Q28" s="11" t="n"/>
      <c r="R28" s="11" t="n"/>
      <c r="S28" s="11" t="n"/>
      <c r="T28" s="10" t="n">
        <v>500</v>
      </c>
      <c r="U28" s="8" t="inlineStr">
        <is>
          <t>A10580</t>
        </is>
      </c>
      <c r="V28" s="11" t="n"/>
      <c r="W28" s="11" t="n"/>
      <c r="X28" s="11" t="n"/>
      <c r="Y28" s="11" t="n"/>
      <c r="Z28" s="11" t="n"/>
      <c r="AA28" s="11" t="n"/>
      <c r="AB28" s="10" t="n">
        <v>1000</v>
      </c>
      <c r="AC28" s="10" t="n">
        <v>1500</v>
      </c>
    </row>
    <row r="29" ht="11.5" customHeight="1">
      <c r="A29" s="12" t="n">
        <v>24</v>
      </c>
      <c r="B29" s="13" t="inlineStr">
        <is>
          <t>LUIS VALDEZ</t>
        </is>
      </c>
      <c r="C29" s="13" t="inlineStr"/>
      <c r="D29" s="13" t="inlineStr">
        <is>
          <t>EQUIPO MENOR</t>
        </is>
      </c>
      <c r="E29" s="12" t="inlineStr"/>
      <c r="F29" s="14" t="n">
        <v>1000</v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4" t="n">
        <v>1000</v>
      </c>
      <c r="AC29" s="14" t="n">
        <v>0</v>
      </c>
    </row>
    <row r="30" ht="11.5" customHeight="1">
      <c r="A30" s="8" t="n">
        <v>25</v>
      </c>
      <c r="B30" s="9" t="inlineStr">
        <is>
          <t>CLEMENTE SANABRIA</t>
        </is>
      </c>
      <c r="C30" s="9" t="inlineStr">
        <is>
          <t>TRANSPORTES FLOTILLA</t>
        </is>
      </c>
      <c r="D30" s="9" t="inlineStr">
        <is>
          <t>RAM 1200</t>
        </is>
      </c>
      <c r="E30" s="8" t="inlineStr">
        <is>
          <t>LHB184D</t>
        </is>
      </c>
      <c r="F30" s="10" t="n">
        <v>2500</v>
      </c>
      <c r="G30" s="10" t="n">
        <v>2109.96</v>
      </c>
      <c r="H30" s="11" t="n"/>
      <c r="I30" s="11" t="n"/>
      <c r="J30" s="11" t="n"/>
      <c r="K30" s="11" t="n"/>
      <c r="L30" s="11" t="n"/>
      <c r="M30" s="10" t="n">
        <v>1924.49</v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9" t="n">
        <v>-1534.45</v>
      </c>
      <c r="AC30" s="10" t="n">
        <v>4034.45</v>
      </c>
    </row>
    <row r="31" ht="11.5" customHeight="1">
      <c r="A31" s="12" t="n">
        <v>26</v>
      </c>
      <c r="B31" s="13" t="inlineStr">
        <is>
          <t>BRYAN GABRIEL CHAVEZ ALVAREZ</t>
        </is>
      </c>
      <c r="C31" s="13" t="inlineStr">
        <is>
          <t>TRANSPORTES FLOTILLA</t>
        </is>
      </c>
      <c r="D31" s="13" t="inlineStr">
        <is>
          <t>CHEVROLET TORNADO</t>
        </is>
      </c>
      <c r="E31" s="12" t="inlineStr">
        <is>
          <t>NUZ948C</t>
        </is>
      </c>
      <c r="F31" s="14" t="n">
        <v>1000</v>
      </c>
      <c r="G31" s="14" t="n">
        <v>1000</v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4" t="n">
        <v>200</v>
      </c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20" t="n">
        <v>-200</v>
      </c>
      <c r="AC31" s="14" t="n">
        <v>1200</v>
      </c>
    </row>
    <row r="32" ht="11.5" customHeight="1">
      <c r="A32" s="8" t="n">
        <v>27</v>
      </c>
      <c r="B32" s="9" t="inlineStr"/>
      <c r="C32" s="9" t="inlineStr"/>
      <c r="D32" s="9" t="inlineStr">
        <is>
          <t>MOTORES LOWBOY</t>
        </is>
      </c>
      <c r="E32" s="8" t="inlineStr"/>
      <c r="F32" s="10" t="n">
        <v>500</v>
      </c>
      <c r="G32" s="10" t="n">
        <v>500</v>
      </c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0" t="n">
        <v>0</v>
      </c>
      <c r="AC32" s="10" t="n">
        <v>500</v>
      </c>
    </row>
    <row r="33" ht="11.5" customHeight="1">
      <c r="A33" s="12" t="n">
        <v>28</v>
      </c>
      <c r="B33" s="13" t="inlineStr"/>
      <c r="C33" s="13" t="inlineStr"/>
      <c r="D33" s="13" t="inlineStr">
        <is>
          <t>MOTORES LOWBOY</t>
        </is>
      </c>
      <c r="E33" s="12" t="inlineStr"/>
      <c r="F33" s="14" t="n">
        <v>500</v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4" t="n">
        <v>500</v>
      </c>
      <c r="AC33" s="14" t="n">
        <v>0</v>
      </c>
    </row>
    <row r="34" ht="11.5" customHeight="1">
      <c r="A34" s="8" t="n">
        <v>29</v>
      </c>
      <c r="B34" s="9" t="inlineStr">
        <is>
          <t>ROBERTO ORTEGA</t>
        </is>
      </c>
      <c r="C34" s="9" t="inlineStr"/>
      <c r="D34" s="9" t="inlineStr"/>
      <c r="E34" s="8" t="inlineStr">
        <is>
          <t>MNX601B</t>
        </is>
      </c>
      <c r="F34" s="10" t="n">
        <v>800</v>
      </c>
      <c r="G34" s="10" t="n">
        <v>800</v>
      </c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0" t="n">
        <v>0</v>
      </c>
      <c r="AC34" s="10" t="n">
        <v>800</v>
      </c>
    </row>
    <row r="35" ht="11.5" customHeight="1">
      <c r="A35" s="12" t="n">
        <v>30</v>
      </c>
      <c r="B35" s="13" t="inlineStr"/>
      <c r="C35" s="13" t="inlineStr"/>
      <c r="D35" s="13" t="inlineStr">
        <is>
          <t>EQUIPO MENOR</t>
        </is>
      </c>
      <c r="E35" s="12" t="inlineStr"/>
      <c r="F35" s="14" t="n">
        <v>500</v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4" t="n">
        <v>500</v>
      </c>
      <c r="AC35" s="14" t="n">
        <v>0</v>
      </c>
    </row>
    <row r="36" ht="11.5" customHeight="1">
      <c r="A36" s="8" t="n">
        <v>31</v>
      </c>
      <c r="B36" s="9" t="inlineStr">
        <is>
          <t>JOSÉ CABELLO /JACK</t>
        </is>
      </c>
      <c r="C36" s="9" t="inlineStr">
        <is>
          <t>ESTIMACIONES /PLANTA PEGASO</t>
        </is>
      </c>
      <c r="D36" s="9" t="inlineStr"/>
      <c r="E36" s="8" t="inlineStr">
        <is>
          <t>LHB176D</t>
        </is>
      </c>
      <c r="F36" s="10" t="n">
        <v>1500</v>
      </c>
      <c r="G36" s="11" t="n"/>
      <c r="H36" s="11" t="n"/>
      <c r="I36" s="11" t="n"/>
      <c r="J36" s="10" t="n">
        <v>850.8200000000001</v>
      </c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0" t="n">
        <v>650</v>
      </c>
      <c r="W36" s="11" t="n"/>
      <c r="X36" s="11" t="n"/>
      <c r="Y36" s="11" t="n"/>
      <c r="Z36" s="11" t="n"/>
      <c r="AA36" s="11" t="n"/>
      <c r="AB36" s="19" t="n">
        <v>-0.82</v>
      </c>
      <c r="AC36" s="10" t="n">
        <v>1500.82</v>
      </c>
    </row>
    <row r="37" ht="11.5" customHeight="1">
      <c r="A37" s="12" t="n">
        <v>32</v>
      </c>
      <c r="B37" s="13" t="inlineStr">
        <is>
          <t>VICTOR HUGO MARTINEZ VELAZQUEZ</t>
        </is>
      </c>
      <c r="C37" s="13" t="inlineStr">
        <is>
          <t>JALSICO</t>
        </is>
      </c>
      <c r="D37" s="13" t="inlineStr">
        <is>
          <t>RAM 1200</t>
        </is>
      </c>
      <c r="E37" s="12" t="inlineStr">
        <is>
          <t>LHB182D</t>
        </is>
      </c>
      <c r="F37" s="14" t="n">
        <v>1500</v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4" t="n">
        <v>1500</v>
      </c>
      <c r="AC37" s="14" t="n">
        <v>0</v>
      </c>
    </row>
    <row r="38" ht="11.5" customHeight="1">
      <c r="A38" s="8" t="n">
        <v>33</v>
      </c>
      <c r="B38" s="9" t="inlineStr">
        <is>
          <t>PAOLA JARAMILLO</t>
        </is>
      </c>
      <c r="C38" s="9" t="inlineStr">
        <is>
          <t>CORPORATIVO</t>
        </is>
      </c>
      <c r="D38" s="9" t="inlineStr">
        <is>
          <t>CHANGAN ALSVIN</t>
        </is>
      </c>
      <c r="E38" s="8" t="inlineStr"/>
      <c r="F38" s="10" t="n">
        <v>700</v>
      </c>
      <c r="G38" s="11" t="n"/>
      <c r="H38" s="11" t="n"/>
      <c r="I38" s="11" t="n"/>
      <c r="J38" s="11" t="n"/>
      <c r="K38" s="11" t="n"/>
      <c r="L38" s="11" t="n"/>
      <c r="M38" s="10" t="n">
        <v>700</v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0" t="n">
        <v>0</v>
      </c>
      <c r="AC38" s="10" t="n">
        <v>700</v>
      </c>
    </row>
    <row r="39" ht="11.5" customHeight="1">
      <c r="A39" s="12" t="n">
        <v>34</v>
      </c>
      <c r="B39" s="13" t="inlineStr">
        <is>
          <t>SAMUEL ORTEGA SILVA</t>
        </is>
      </c>
      <c r="C39" s="13" t="inlineStr"/>
      <c r="D39" s="13" t="inlineStr">
        <is>
          <t>MITSUBISHI L200</t>
        </is>
      </c>
      <c r="E39" s="12" t="inlineStr">
        <is>
          <t>NZT266B</t>
        </is>
      </c>
      <c r="F39" s="14" t="n">
        <v>3000</v>
      </c>
      <c r="G39" s="15" t="n"/>
      <c r="H39" s="14" t="n">
        <v>1200</v>
      </c>
      <c r="I39" s="12" t="inlineStr">
        <is>
          <t>A10518</t>
        </is>
      </c>
      <c r="J39" s="15" t="n"/>
      <c r="K39" s="15" t="n"/>
      <c r="L39" s="15" t="n"/>
      <c r="M39" s="15" t="n"/>
      <c r="N39" s="14" t="n">
        <v>800</v>
      </c>
      <c r="O39" s="12" t="inlineStr">
        <is>
          <t>A10552</t>
        </is>
      </c>
      <c r="P39" s="15" t="n"/>
      <c r="Q39" s="14" t="n">
        <v>1000</v>
      </c>
      <c r="R39" s="12" t="inlineStr">
        <is>
          <t>A10571</t>
        </is>
      </c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4" t="n">
        <v>0</v>
      </c>
      <c r="AC39" s="14" t="n">
        <v>3000</v>
      </c>
    </row>
    <row r="40" ht="11.5" customHeight="1">
      <c r="A40" s="8" t="inlineStr"/>
      <c r="B40" s="9" t="inlineStr">
        <is>
          <t>CRISTOBAL SILVA</t>
        </is>
      </c>
      <c r="C40" s="9" t="inlineStr"/>
      <c r="D40" s="9" t="inlineStr">
        <is>
          <t>RAM 1200</t>
        </is>
      </c>
      <c r="E40" s="8" t="inlineStr">
        <is>
          <t>LKV206D</t>
        </is>
      </c>
      <c r="F40" s="10" t="n">
        <v>1500</v>
      </c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0" t="n">
        <v>1500</v>
      </c>
      <c r="AC40" s="10" t="n">
        <v>0</v>
      </c>
    </row>
    <row r="41" ht="11.5" customHeight="1">
      <c r="A41" s="12" t="inlineStr"/>
      <c r="B41" s="13" t="inlineStr"/>
      <c r="C41" s="13" t="inlineStr"/>
      <c r="D41" s="13" t="inlineStr">
        <is>
          <t>RAM 1200</t>
        </is>
      </c>
      <c r="E41" s="12" t="inlineStr">
        <is>
          <t>LKC794D</t>
        </is>
      </c>
      <c r="F41" s="14" t="n">
        <v>1500</v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4" t="n">
        <v>1500</v>
      </c>
      <c r="U41" s="12" t="inlineStr">
        <is>
          <t>A10585</t>
        </is>
      </c>
      <c r="V41" s="15" t="n"/>
      <c r="W41" s="15" t="n"/>
      <c r="X41" s="15" t="n"/>
      <c r="Y41" s="15" t="n"/>
      <c r="Z41" s="15" t="n"/>
      <c r="AA41" s="15" t="n"/>
      <c r="AB41" s="14" t="n">
        <v>0</v>
      </c>
      <c r="AC41" s="14" t="n">
        <v>1500</v>
      </c>
    </row>
    <row r="42" ht="11.5" customHeight="1">
      <c r="A42" s="8" t="inlineStr"/>
      <c r="B42" s="9" t="inlineStr"/>
      <c r="C42" s="9" t="inlineStr"/>
      <c r="D42" s="9" t="inlineStr">
        <is>
          <t>RAM 1200</t>
        </is>
      </c>
      <c r="E42" s="8" t="inlineStr">
        <is>
          <t>LKC789D</t>
        </is>
      </c>
      <c r="F42" s="10" t="n">
        <v>1500</v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0" t="n">
        <v>1500</v>
      </c>
      <c r="AC42" s="10" t="n">
        <v>0</v>
      </c>
    </row>
    <row r="43" ht="11.5" customHeight="1">
      <c r="A43" s="12" t="inlineStr"/>
      <c r="B43" s="13" t="inlineStr">
        <is>
          <t>HENRY</t>
        </is>
      </c>
      <c r="C43" s="13" t="inlineStr"/>
      <c r="D43" s="13" t="inlineStr"/>
      <c r="E43" s="12" t="inlineStr">
        <is>
          <t>NXP4918</t>
        </is>
      </c>
      <c r="F43" s="14" t="n">
        <v>800</v>
      </c>
      <c r="G43" s="15" t="n"/>
      <c r="H43" s="15" t="n"/>
      <c r="I43" s="15" t="n"/>
      <c r="J43" s="15" t="n"/>
      <c r="K43" s="15" t="n"/>
      <c r="L43" s="15" t="n"/>
      <c r="M43" s="14" t="n">
        <v>800</v>
      </c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4" t="n">
        <v>0</v>
      </c>
      <c r="AC43" s="14" t="n">
        <v>800</v>
      </c>
    </row>
    <row r="44" ht="13.5" customHeight="1">
      <c r="A44" s="16" t="inlineStr">
        <is>
          <t>TOTALES J.D.J.</t>
        </is>
      </c>
      <c r="B44" s="17" t="n"/>
      <c r="C44" s="17" t="n"/>
      <c r="D44" s="17" t="n"/>
      <c r="E44" s="17" t="n"/>
      <c r="F44" s="18">
        <f>SUM(F4:F43)</f>
        <v/>
      </c>
      <c r="G44" s="18">
        <f>SUM(G4:G43)</f>
        <v/>
      </c>
      <c r="H44" s="18">
        <f>SUM(H4:H43)</f>
        <v/>
      </c>
      <c r="I44" s="18">
        <f>SUM(I4:I43)</f>
        <v/>
      </c>
      <c r="J44" s="18">
        <f>SUM(J4:J43)</f>
        <v/>
      </c>
      <c r="K44" s="18">
        <f>SUM(K4:K43)</f>
        <v/>
      </c>
      <c r="L44" s="18">
        <f>SUM(L4:L43)</f>
        <v/>
      </c>
      <c r="M44" s="18">
        <f>SUM(M4:M43)</f>
        <v/>
      </c>
      <c r="N44" s="18">
        <f>SUM(N4:N43)</f>
        <v/>
      </c>
      <c r="O44" s="18">
        <f>SUM(O4:O43)</f>
        <v/>
      </c>
      <c r="P44" s="18">
        <f>SUM(P4:P43)</f>
        <v/>
      </c>
      <c r="Q44" s="18">
        <f>SUM(Q4:Q43)</f>
        <v/>
      </c>
      <c r="R44" s="18">
        <f>SUM(R4:R43)</f>
        <v/>
      </c>
      <c r="S44" s="18">
        <f>SUM(S4:S43)</f>
        <v/>
      </c>
      <c r="T44" s="18">
        <f>SUM(T4:T43)</f>
        <v/>
      </c>
      <c r="U44" s="18">
        <f>SUM(U4:U43)</f>
        <v/>
      </c>
      <c r="V44" s="18">
        <f>SUM(V4:V43)</f>
        <v/>
      </c>
      <c r="W44" s="18">
        <f>SUM(W4:W43)</f>
        <v/>
      </c>
      <c r="X44" s="18">
        <f>SUM(X4:X43)</f>
        <v/>
      </c>
      <c r="Y44" s="18">
        <f>SUM(Y4:Y43)</f>
        <v/>
      </c>
      <c r="Z44" s="18">
        <f>SUM(Z4:Z43)</f>
        <v/>
      </c>
      <c r="AA44" s="18">
        <f>SUM(AA4:AA43)</f>
        <v/>
      </c>
      <c r="AB44" s="18">
        <f>SUM(AB4:AB43)</f>
        <v/>
      </c>
      <c r="AC44" s="18">
        <f>SUM(AC4:AC43)</f>
        <v/>
      </c>
    </row>
    <row r="45" ht="6" customHeight="1"/>
    <row r="46" ht="17" customHeight="1">
      <c r="A46" s="1" t="inlineStr">
        <is>
          <t>GASOLINA - TRITURADORA ROCA DURA SAN MIGUEL  (SEMANA 30)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14" customHeight="1">
      <c r="A47" s="3" t="inlineStr">
        <is>
          <t>NO.</t>
        </is>
      </c>
      <c r="B47" s="3" t="inlineStr">
        <is>
          <t>RESPONSABLE</t>
        </is>
      </c>
      <c r="C47" s="3" t="inlineStr">
        <is>
          <t>CENTRO DE TRABAJO</t>
        </is>
      </c>
      <c r="D47" s="3" t="inlineStr">
        <is>
          <t>UNIDAD / EQUIPO</t>
        </is>
      </c>
      <c r="E47" s="3" t="inlineStr">
        <is>
          <t>PLACAS</t>
        </is>
      </c>
      <c r="F47" s="3" t="inlineStr">
        <is>
          <t>IMPORTE AUTORIZADO</t>
        </is>
      </c>
      <c r="G47" s="4" t="inlineStr">
        <is>
          <t>LUN 20/JUL</t>
        </is>
      </c>
      <c r="H47" s="2" t="n"/>
      <c r="I47" s="2" t="n"/>
      <c r="J47" s="4" t="inlineStr">
        <is>
          <t>MAR 21/JUL</t>
        </is>
      </c>
      <c r="K47" s="2" t="n"/>
      <c r="L47" s="2" t="n"/>
      <c r="M47" s="4" t="inlineStr">
        <is>
          <t>MIÉ 22/JUL</t>
        </is>
      </c>
      <c r="N47" s="2" t="n"/>
      <c r="O47" s="2" t="n"/>
      <c r="P47" s="4" t="inlineStr">
        <is>
          <t>JUE 23/JUL</t>
        </is>
      </c>
      <c r="Q47" s="2" t="n"/>
      <c r="R47" s="2" t="n"/>
      <c r="S47" s="4" t="inlineStr">
        <is>
          <t>VIE 24/JUL</t>
        </is>
      </c>
      <c r="T47" s="2" t="n"/>
      <c r="U47" s="2" t="n"/>
      <c r="V47" s="4" t="inlineStr">
        <is>
          <t>SÁB 25/JUL</t>
        </is>
      </c>
      <c r="W47" s="2" t="n"/>
      <c r="X47" s="2" t="n"/>
      <c r="Y47" s="4" t="inlineStr">
        <is>
          <t>DOM 26/JUL</t>
        </is>
      </c>
      <c r="Z47" s="2" t="n"/>
      <c r="AA47" s="2" t="n"/>
      <c r="AB47" s="5" t="inlineStr">
        <is>
          <t>REMANENTE
(SALDO)</t>
        </is>
      </c>
      <c r="AC47" s="3" t="inlineStr">
        <is>
          <t>CONSUMO
SEMANAL</t>
        </is>
      </c>
    </row>
    <row r="48" ht="13" customHeight="1">
      <c r="A48" s="6" t="n"/>
      <c r="B48" s="6" t="n"/>
      <c r="C48" s="6" t="n"/>
      <c r="D48" s="6" t="n"/>
      <c r="E48" s="6" t="n"/>
      <c r="F48" s="6" t="n"/>
      <c r="G48" s="7" t="inlineStr">
        <is>
          <t>LEVET</t>
        </is>
      </c>
      <c r="H48" s="7" t="inlineStr">
        <is>
          <t>MOBILE</t>
        </is>
      </c>
      <c r="I48" s="7" t="inlineStr">
        <is>
          <t>SI VALE</t>
        </is>
      </c>
      <c r="J48" s="7" t="inlineStr">
        <is>
          <t>LEVET</t>
        </is>
      </c>
      <c r="K48" s="7" t="inlineStr">
        <is>
          <t>MOBILE</t>
        </is>
      </c>
      <c r="L48" s="7" t="inlineStr">
        <is>
          <t>SI VALE</t>
        </is>
      </c>
      <c r="M48" s="7" t="inlineStr">
        <is>
          <t>LEVET</t>
        </is>
      </c>
      <c r="N48" s="7" t="inlineStr">
        <is>
          <t>MOBILE</t>
        </is>
      </c>
      <c r="O48" s="7" t="inlineStr">
        <is>
          <t>SI VALE</t>
        </is>
      </c>
      <c r="P48" s="7" t="inlineStr">
        <is>
          <t>LEVET</t>
        </is>
      </c>
      <c r="Q48" s="7" t="inlineStr">
        <is>
          <t>MOBILE</t>
        </is>
      </c>
      <c r="R48" s="7" t="inlineStr">
        <is>
          <t>SI VALE</t>
        </is>
      </c>
      <c r="S48" s="7" t="inlineStr">
        <is>
          <t>LEVET</t>
        </is>
      </c>
      <c r="T48" s="7" t="inlineStr">
        <is>
          <t>MOBILE</t>
        </is>
      </c>
      <c r="U48" s="7" t="inlineStr">
        <is>
          <t>SI VALE</t>
        </is>
      </c>
      <c r="V48" s="7" t="inlineStr">
        <is>
          <t>LEVET</t>
        </is>
      </c>
      <c r="W48" s="7" t="inlineStr">
        <is>
          <t>MOBILE</t>
        </is>
      </c>
      <c r="X48" s="7" t="inlineStr">
        <is>
          <t>SI VALE</t>
        </is>
      </c>
      <c r="Y48" s="7" t="inlineStr">
        <is>
          <t>LEVET</t>
        </is>
      </c>
      <c r="Z48" s="7" t="inlineStr">
        <is>
          <t>MOBILE</t>
        </is>
      </c>
      <c r="AA48" s="7" t="inlineStr">
        <is>
          <t>SI VALE</t>
        </is>
      </c>
      <c r="AB48" s="2" t="n"/>
      <c r="AC48" s="6" t="n"/>
    </row>
    <row r="49" ht="11.5" customHeight="1">
      <c r="A49" s="8" t="n">
        <v>1</v>
      </c>
      <c r="B49" s="9" t="inlineStr">
        <is>
          <t>CARLOS REYES TRUJANO</t>
        </is>
      </c>
      <c r="C49" s="9" t="inlineStr">
        <is>
          <t>MINA TABERNILLAS</t>
        </is>
      </c>
      <c r="D49" s="9" t="inlineStr">
        <is>
          <t>TOYOTA TACOMA</t>
        </is>
      </c>
      <c r="E49" s="8" t="inlineStr">
        <is>
          <t>33K849</t>
        </is>
      </c>
      <c r="F49" s="10" t="n">
        <v>2500</v>
      </c>
      <c r="G49" s="10" t="n">
        <v>2149.96</v>
      </c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0" t="n">
        <v>386.67</v>
      </c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9" t="n">
        <v>-36.63</v>
      </c>
      <c r="AC49" s="10" t="n">
        <v>2536.63</v>
      </c>
    </row>
    <row r="50" ht="11.5" customHeight="1">
      <c r="A50" s="12" t="n">
        <v>2</v>
      </c>
      <c r="B50" s="13" t="inlineStr">
        <is>
          <t>LAZARO PINAL RIOS</t>
        </is>
      </c>
      <c r="C50" s="13" t="inlineStr">
        <is>
          <t>MINA TABERNILLAS</t>
        </is>
      </c>
      <c r="D50" s="13" t="inlineStr">
        <is>
          <t>MITSUBISHI L200</t>
        </is>
      </c>
      <c r="E50" s="12" t="inlineStr">
        <is>
          <t>MHL757A</t>
        </is>
      </c>
      <c r="F50" s="14" t="n">
        <v>1500</v>
      </c>
      <c r="G50" s="15" t="n"/>
      <c r="H50" s="15" t="n"/>
      <c r="I50" s="15" t="n"/>
      <c r="J50" s="15" t="n"/>
      <c r="K50" s="15" t="n"/>
      <c r="L50" s="15" t="n"/>
      <c r="M50" s="14" t="n">
        <v>1500</v>
      </c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4" t="n">
        <v>0</v>
      </c>
      <c r="AC50" s="14" t="n">
        <v>1500</v>
      </c>
    </row>
    <row r="51" ht="11.5" customHeight="1">
      <c r="A51" s="8" t="n">
        <v>3</v>
      </c>
      <c r="B51" s="9" t="inlineStr">
        <is>
          <t>ARMANDO COLIN MORENO</t>
        </is>
      </c>
      <c r="C51" s="9" t="inlineStr">
        <is>
          <t>MINA TABERNILLAS</t>
        </is>
      </c>
      <c r="D51" s="9" t="inlineStr">
        <is>
          <t>CHEVORLET</t>
        </is>
      </c>
      <c r="E51" s="8" t="inlineStr">
        <is>
          <t>PAT8298</t>
        </is>
      </c>
      <c r="F51" s="10" t="n">
        <v>2000</v>
      </c>
      <c r="G51" s="11" t="n"/>
      <c r="H51" s="11" t="n"/>
      <c r="I51" s="11" t="n"/>
      <c r="J51" s="10" t="n">
        <v>1121.34</v>
      </c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0" t="n">
        <v>878.66</v>
      </c>
      <c r="AC51" s="10" t="n">
        <v>1121.34</v>
      </c>
    </row>
    <row r="52" ht="11.5" customHeight="1">
      <c r="A52" s="12" t="inlineStr"/>
      <c r="B52" s="13" t="inlineStr">
        <is>
          <t>ARMANDO COLIN MORENO</t>
        </is>
      </c>
      <c r="C52" s="13" t="inlineStr">
        <is>
          <t>MINA TABERNILLAS</t>
        </is>
      </c>
      <c r="D52" s="13" t="inlineStr">
        <is>
          <t>EQUIPO MENOR</t>
        </is>
      </c>
      <c r="E52" s="12" t="inlineStr"/>
      <c r="F52" s="14" t="n">
        <v>300</v>
      </c>
      <c r="G52" s="15" t="n"/>
      <c r="H52" s="15" t="n"/>
      <c r="I52" s="15" t="n"/>
      <c r="J52" s="14" t="n">
        <v>228.9</v>
      </c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4" t="n">
        <v>71.09999999999999</v>
      </c>
      <c r="AC52" s="14" t="n">
        <v>228.9</v>
      </c>
    </row>
    <row r="53" ht="11.5" customHeight="1">
      <c r="A53" s="8" t="n">
        <v>4</v>
      </c>
      <c r="B53" s="9" t="inlineStr">
        <is>
          <t>ABNER OSORIO BARTOLO</t>
        </is>
      </c>
      <c r="C53" s="9" t="inlineStr">
        <is>
          <t>MINA ZUMPAHUACAN</t>
        </is>
      </c>
      <c r="D53" s="9" t="inlineStr">
        <is>
          <t>MITSUBISHI L200</t>
        </is>
      </c>
      <c r="E53" s="8" t="inlineStr">
        <is>
          <t>NYZ828C</t>
        </is>
      </c>
      <c r="F53" s="10" t="n">
        <v>1500</v>
      </c>
      <c r="G53" s="10" t="n">
        <v>1500</v>
      </c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0" t="n">
        <v>0</v>
      </c>
      <c r="AC53" s="10" t="n">
        <v>1500</v>
      </c>
    </row>
    <row r="54" ht="11.5" customHeight="1">
      <c r="A54" s="12" t="n">
        <v>5</v>
      </c>
      <c r="B54" s="13" t="inlineStr">
        <is>
          <t>ISAAC GONZALEZ GONZALEZ</t>
        </is>
      </c>
      <c r="C54" s="13" t="inlineStr">
        <is>
          <t>MINA ZUMPAHUACAN</t>
        </is>
      </c>
      <c r="D54" s="13" t="inlineStr">
        <is>
          <t>MITSUBISHI L200</t>
        </is>
      </c>
      <c r="E54" s="12" t="inlineStr">
        <is>
          <t>NYZ839C</t>
        </is>
      </c>
      <c r="F54" s="14" t="n">
        <v>1500</v>
      </c>
      <c r="G54" s="14" t="n">
        <v>1500.28</v>
      </c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20" t="n">
        <v>-0.28</v>
      </c>
      <c r="AC54" s="14" t="n">
        <v>1500.28</v>
      </c>
    </row>
    <row r="55" ht="11.5" customHeight="1">
      <c r="A55" s="8" t="n">
        <v>6</v>
      </c>
      <c r="B55" s="9" t="inlineStr">
        <is>
          <t>JESUS MARIN GARCIA</t>
        </is>
      </c>
      <c r="C55" s="9" t="inlineStr">
        <is>
          <t>MINA CUAJOMAC</t>
        </is>
      </c>
      <c r="D55" s="9" t="inlineStr">
        <is>
          <t>CHEVORLET</t>
        </is>
      </c>
      <c r="E55" s="8" t="inlineStr">
        <is>
          <t>PCU8771</t>
        </is>
      </c>
      <c r="F55" s="10" t="n">
        <v>2000</v>
      </c>
      <c r="G55" s="11" t="n"/>
      <c r="H55" s="11" t="n"/>
      <c r="I55" s="11" t="n"/>
      <c r="J55" s="10" t="n">
        <v>1300.06</v>
      </c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0" t="n">
        <v>699.9400000000001</v>
      </c>
      <c r="AC55" s="10" t="n">
        <v>1300.06</v>
      </c>
    </row>
    <row r="56" ht="11.5" customHeight="1">
      <c r="A56" s="12" t="inlineStr"/>
      <c r="B56" s="13" t="inlineStr">
        <is>
          <t>MINA TABERNILLAS</t>
        </is>
      </c>
      <c r="C56" s="13" t="inlineStr"/>
      <c r="D56" s="13" t="inlineStr">
        <is>
          <t>EQUIPO MENOR</t>
        </is>
      </c>
      <c r="E56" s="12" t="inlineStr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4" t="n">
        <v>0</v>
      </c>
      <c r="AC56" s="14" t="n">
        <v>0</v>
      </c>
    </row>
    <row r="57" ht="13.5" customHeight="1">
      <c r="A57" s="16" t="inlineStr">
        <is>
          <t>TOTALES TRITURADORA</t>
        </is>
      </c>
      <c r="B57" s="17" t="n"/>
      <c r="C57" s="17" t="n"/>
      <c r="D57" s="17" t="n"/>
      <c r="E57" s="17" t="n"/>
      <c r="F57" s="18">
        <f>SUM(F49:F56)</f>
        <v/>
      </c>
      <c r="G57" s="18">
        <f>SUM(G49:G56)</f>
        <v/>
      </c>
      <c r="H57" s="18">
        <f>SUM(H49:H56)</f>
        <v/>
      </c>
      <c r="I57" s="18">
        <f>SUM(I49:I56)</f>
        <v/>
      </c>
      <c r="J57" s="18">
        <f>SUM(J49:J56)</f>
        <v/>
      </c>
      <c r="K57" s="18">
        <f>SUM(K49:K56)</f>
        <v/>
      </c>
      <c r="L57" s="18">
        <f>SUM(L49:L56)</f>
        <v/>
      </c>
      <c r="M57" s="18">
        <f>SUM(M49:M56)</f>
        <v/>
      </c>
      <c r="N57" s="18">
        <f>SUM(N49:N56)</f>
        <v/>
      </c>
      <c r="O57" s="18">
        <f>SUM(O49:O56)</f>
        <v/>
      </c>
      <c r="P57" s="18">
        <f>SUM(P49:P56)</f>
        <v/>
      </c>
      <c r="Q57" s="18">
        <f>SUM(Q49:Q56)</f>
        <v/>
      </c>
      <c r="R57" s="18">
        <f>SUM(R49:R56)</f>
        <v/>
      </c>
      <c r="S57" s="18">
        <f>SUM(S49:S56)</f>
        <v/>
      </c>
      <c r="T57" s="18">
        <f>SUM(T49:T56)</f>
        <v/>
      </c>
      <c r="U57" s="18">
        <f>SUM(U49:U56)</f>
        <v/>
      </c>
      <c r="V57" s="18">
        <f>SUM(V49:V56)</f>
        <v/>
      </c>
      <c r="W57" s="18">
        <f>SUM(W49:W56)</f>
        <v/>
      </c>
      <c r="X57" s="18">
        <f>SUM(X49:X56)</f>
        <v/>
      </c>
      <c r="Y57" s="18">
        <f>SUM(Y49:Y56)</f>
        <v/>
      </c>
      <c r="Z57" s="18">
        <f>SUM(Z49:Z56)</f>
        <v/>
      </c>
      <c r="AA57" s="18">
        <f>SUM(AA49:AA56)</f>
        <v/>
      </c>
      <c r="AB57" s="18">
        <f>SUM(AB49:AB56)</f>
        <v/>
      </c>
      <c r="AC57" s="18">
        <f>SUM(AC49:AC56)</f>
        <v/>
      </c>
    </row>
  </sheetData>
  <mergeCells count="34">
    <mergeCell ref="Y2:AA2"/>
    <mergeCell ref="B47:B48"/>
    <mergeCell ref="P2:R2"/>
    <mergeCell ref="AC47:AC48"/>
    <mergeCell ref="B2:B3"/>
    <mergeCell ref="D2:D3"/>
    <mergeCell ref="F2:F3"/>
    <mergeCell ref="A1:AC1"/>
    <mergeCell ref="C47:C48"/>
    <mergeCell ref="AB47:AB48"/>
    <mergeCell ref="D47:D48"/>
    <mergeCell ref="J47:L47"/>
    <mergeCell ref="A2:A3"/>
    <mergeCell ref="AB2:AB3"/>
    <mergeCell ref="F47:F48"/>
    <mergeCell ref="C2:C3"/>
    <mergeCell ref="P47:R47"/>
    <mergeCell ref="E2:E3"/>
    <mergeCell ref="G47:I47"/>
    <mergeCell ref="M47:O47"/>
    <mergeCell ref="J2:L2"/>
    <mergeCell ref="A46:AC46"/>
    <mergeCell ref="A57:E57"/>
    <mergeCell ref="V47:X47"/>
    <mergeCell ref="A47:A48"/>
    <mergeCell ref="AC2:AC3"/>
    <mergeCell ref="S47:U47"/>
    <mergeCell ref="Y47:AA47"/>
    <mergeCell ref="V2:X2"/>
    <mergeCell ref="G2:I2"/>
    <mergeCell ref="E47:E48"/>
    <mergeCell ref="A44:E44"/>
    <mergeCell ref="M2:O2"/>
    <mergeCell ref="S2:U2"/>
  </mergeCells>
  <pageMargins left="0.2" right="0.2" top="0.25" bottom="0.25" header="0.5" footer="0.5"/>
  <pageSetup orientation="landscape" paperSize="5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H57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6.4" customWidth="1" min="30" max="30"/>
    <col width="6.4" customWidth="1" min="31" max="31"/>
    <col width="6.4" customWidth="1" min="32" max="32"/>
    <col width="8.5" customWidth="1" min="33" max="33"/>
    <col width="8.800000000000001" customWidth="1" min="34" max="34"/>
  </cols>
  <sheetData>
    <row r="1" ht="18" customHeight="1">
      <c r="A1" s="1" t="inlineStr">
        <is>
          <t>GASOLINA - J.D.J. EQUIPO Y CONSTRUCCIONES S.A. DE C.V.  (SEMANA 31)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27/JUL</t>
        </is>
      </c>
      <c r="H2" s="2" t="n"/>
      <c r="I2" s="2" t="n"/>
      <c r="J2" s="2" t="n"/>
      <c r="K2" s="4" t="inlineStr">
        <is>
          <t>MAR 28/JUL</t>
        </is>
      </c>
      <c r="L2" s="2" t="n"/>
      <c r="M2" s="2" t="n"/>
      <c r="N2" s="2" t="n"/>
      <c r="O2" s="4" t="inlineStr">
        <is>
          <t>MIÉ 29/JUL</t>
        </is>
      </c>
      <c r="P2" s="2" t="n"/>
      <c r="Q2" s="2" t="n"/>
      <c r="R2" s="2" t="n"/>
      <c r="S2" s="4" t="inlineStr">
        <is>
          <t>JUE 30/JUL</t>
        </is>
      </c>
      <c r="T2" s="2" t="n"/>
      <c r="U2" s="2" t="n"/>
      <c r="V2" s="2" t="n"/>
      <c r="W2" s="4" t="inlineStr">
        <is>
          <t>VIE 31/JUL</t>
        </is>
      </c>
      <c r="X2" s="2" t="n"/>
      <c r="Y2" s="2" t="n"/>
      <c r="Z2" s="2" t="n"/>
      <c r="AA2" s="4" t="inlineStr">
        <is>
          <t>SÁB 01/AGO</t>
        </is>
      </c>
      <c r="AB2" s="2" t="n"/>
      <c r="AC2" s="2" t="n"/>
      <c r="AD2" s="4" t="inlineStr">
        <is>
          <t>DOM 02/AGO</t>
        </is>
      </c>
      <c r="AE2" s="2" t="n"/>
      <c r="AF2" s="2" t="n"/>
      <c r="AG2" s="5" t="inlineStr">
        <is>
          <t>REMANENTE
(SALDO)</t>
        </is>
      </c>
      <c r="AH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TICKET</t>
        </is>
      </c>
      <c r="J3" s="7" t="inlineStr">
        <is>
          <t>SI VALE</t>
        </is>
      </c>
      <c r="K3" s="7" t="inlineStr">
        <is>
          <t>LEVET</t>
        </is>
      </c>
      <c r="L3" s="7" t="inlineStr">
        <is>
          <t>MOBILE</t>
        </is>
      </c>
      <c r="M3" s="7" t="inlineStr">
        <is>
          <t>TICKET</t>
        </is>
      </c>
      <c r="N3" s="7" t="inlineStr">
        <is>
          <t>SI VALE</t>
        </is>
      </c>
      <c r="O3" s="7" t="inlineStr">
        <is>
          <t>LEVET</t>
        </is>
      </c>
      <c r="P3" s="7" t="inlineStr">
        <is>
          <t>MOBILE</t>
        </is>
      </c>
      <c r="Q3" s="7" t="inlineStr">
        <is>
          <t>TICKET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TICKET</t>
        </is>
      </c>
      <c r="V3" s="7" t="inlineStr">
        <is>
          <t>SI VALE</t>
        </is>
      </c>
      <c r="W3" s="7" t="inlineStr">
        <is>
          <t>LEVET</t>
        </is>
      </c>
      <c r="X3" s="7" t="inlineStr">
        <is>
          <t>MOBILE</t>
        </is>
      </c>
      <c r="Y3" s="7" t="inlineStr">
        <is>
          <t>TICKET</t>
        </is>
      </c>
      <c r="Z3" s="7" t="inlineStr">
        <is>
          <t>SI VALE</t>
        </is>
      </c>
      <c r="AA3" s="7" t="inlineStr">
        <is>
          <t>LEVET</t>
        </is>
      </c>
      <c r="AB3" s="7" t="inlineStr">
        <is>
          <t>MOBILE</t>
        </is>
      </c>
      <c r="AC3" s="7" t="inlineStr">
        <is>
          <t>SI VALE</t>
        </is>
      </c>
      <c r="AD3" s="7" t="inlineStr">
        <is>
          <t>LEVET</t>
        </is>
      </c>
      <c r="AE3" s="7" t="inlineStr">
        <is>
          <t>MOBILE</t>
        </is>
      </c>
      <c r="AF3" s="7" t="inlineStr">
        <is>
          <t>SI VALE</t>
        </is>
      </c>
      <c r="AG3" s="2" t="n"/>
      <c r="AH3" s="6" t="n"/>
    </row>
    <row r="4" ht="11.5" customHeight="1">
      <c r="A4" s="8" t="n">
        <v>1</v>
      </c>
      <c r="B4" s="9" t="inlineStr">
        <is>
          <t>ING.ARMANDO  COLIN</t>
        </is>
      </c>
      <c r="C4" s="9" t="inlineStr">
        <is>
          <t>BACHEO TOLUCA</t>
        </is>
      </c>
      <c r="D4" s="9" t="inlineStr">
        <is>
          <t>CHEVROLET S10</t>
        </is>
      </c>
      <c r="E4" s="8" t="inlineStr">
        <is>
          <t>PAT8298</t>
        </is>
      </c>
      <c r="F4" s="10" t="n">
        <v>1200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0" t="n">
        <v>1200</v>
      </c>
      <c r="AH4" s="10" t="n">
        <v>0</v>
      </c>
    </row>
    <row r="5" ht="11.5" customHeight="1">
      <c r="A5" s="12" t="n">
        <v>2</v>
      </c>
      <c r="B5" s="13" t="inlineStr"/>
      <c r="C5" s="13" t="inlineStr"/>
      <c r="D5" s="13" t="inlineStr">
        <is>
          <t>EQUIPO MENOR</t>
        </is>
      </c>
      <c r="E5" s="12" t="inlineStr"/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4" t="n">
        <v>500</v>
      </c>
      <c r="AH5" s="14" t="n">
        <v>0</v>
      </c>
    </row>
    <row r="6" ht="11.5" customHeight="1">
      <c r="A6" s="8" t="n">
        <v>3</v>
      </c>
      <c r="B6" s="9" t="inlineStr">
        <is>
          <t>ING. ANTONIO IBAÑEZ</t>
        </is>
      </c>
      <c r="C6" s="9" t="inlineStr">
        <is>
          <t>MAQUINARIA</t>
        </is>
      </c>
      <c r="D6" s="9" t="inlineStr">
        <is>
          <t>RAM 1200</t>
        </is>
      </c>
      <c r="E6" s="8" t="inlineStr">
        <is>
          <t>LHB188D</t>
        </is>
      </c>
      <c r="F6" s="10" t="n">
        <v>2500</v>
      </c>
      <c r="G6" s="11" t="n"/>
      <c r="H6" s="10" t="n">
        <v>1904.88</v>
      </c>
      <c r="I6" s="8" t="inlineStr">
        <is>
          <t>A10620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0" t="n">
        <v>595.12</v>
      </c>
      <c r="AH6" s="10" t="n">
        <v>1904.88</v>
      </c>
    </row>
    <row r="7" ht="11.5" customHeight="1">
      <c r="A7" s="12" t="n">
        <v>4</v>
      </c>
      <c r="B7" s="13" t="inlineStr"/>
      <c r="C7" s="13" t="inlineStr"/>
      <c r="D7" s="13" t="inlineStr">
        <is>
          <t>EQUIPO MENOR</t>
        </is>
      </c>
      <c r="E7" s="12" t="inlineStr"/>
      <c r="F7" s="14" t="n">
        <v>500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4" t="n">
        <v>500</v>
      </c>
      <c r="AH7" s="14" t="n">
        <v>0</v>
      </c>
    </row>
    <row r="8" ht="11.5" customHeight="1">
      <c r="A8" s="8" t="n">
        <v>5</v>
      </c>
      <c r="B8" s="9" t="inlineStr">
        <is>
          <t>ALBERTO HERNANDEZ DE JESUS</t>
        </is>
      </c>
      <c r="C8" s="9" t="inlineStr">
        <is>
          <t>MAQUINARIA</t>
        </is>
      </c>
      <c r="D8" s="9" t="inlineStr">
        <is>
          <t>DODGE RAM 700</t>
        </is>
      </c>
      <c r="E8" s="8" t="inlineStr">
        <is>
          <t>NXP9814</t>
        </is>
      </c>
      <c r="F8" s="10" t="n">
        <v>1500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0" t="n">
        <v>1500</v>
      </c>
      <c r="AH8" s="10" t="n">
        <v>0</v>
      </c>
    </row>
    <row r="9" ht="11.5" customHeight="1">
      <c r="A9" s="12" t="n">
        <v>6</v>
      </c>
      <c r="B9" s="13" t="inlineStr">
        <is>
          <t>JUAN CARLOS NAZAR CHAVEZ</t>
        </is>
      </c>
      <c r="C9" s="13" t="inlineStr">
        <is>
          <t>MAQUINARIA</t>
        </is>
      </c>
      <c r="D9" s="13" t="inlineStr">
        <is>
          <t>DODGE RAM 700</t>
        </is>
      </c>
      <c r="E9" s="12" t="inlineStr">
        <is>
          <t>PCW9238</t>
        </is>
      </c>
      <c r="F9" s="14" t="n">
        <v>1500</v>
      </c>
      <c r="G9" s="15" t="n"/>
      <c r="H9" s="15" t="n"/>
      <c r="I9" s="15" t="n"/>
      <c r="J9" s="15" t="n"/>
      <c r="K9" s="14" t="n">
        <v>1167.65</v>
      </c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4" t="n">
        <v>332.35</v>
      </c>
      <c r="AH9" s="14" t="n">
        <v>1167.65</v>
      </c>
    </row>
    <row r="10" ht="11.5" customHeight="1">
      <c r="A10" s="8" t="n">
        <v>7</v>
      </c>
      <c r="B10" s="9" t="inlineStr">
        <is>
          <t>EDGAR VELAZQUEZ ESQUIVEL</t>
        </is>
      </c>
      <c r="C10" s="9" t="inlineStr">
        <is>
          <t>MAQUINARIA</t>
        </is>
      </c>
      <c r="D10" s="9" t="inlineStr"/>
      <c r="E10" s="8" t="inlineStr">
        <is>
          <t>PCW9391</t>
        </is>
      </c>
      <c r="F10" s="10" t="n">
        <v>1500</v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0" t="n">
        <v>1500</v>
      </c>
      <c r="AH10" s="10" t="n">
        <v>0</v>
      </c>
    </row>
    <row r="11" ht="11.5" customHeight="1">
      <c r="A11" s="12" t="n">
        <v>8</v>
      </c>
      <c r="B11" s="13" t="inlineStr">
        <is>
          <t>ROBERTO CARLOS GARCÍA</t>
        </is>
      </c>
      <c r="C11" s="13" t="inlineStr">
        <is>
          <t>H. COLEGIO MILITAR</t>
        </is>
      </c>
      <c r="D11" s="13" t="inlineStr">
        <is>
          <t>CHANGAN ALSVIN</t>
        </is>
      </c>
      <c r="E11" s="12" t="inlineStr">
        <is>
          <t>LMH893A</t>
        </is>
      </c>
      <c r="F11" s="14" t="n">
        <v>700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4" t="n">
        <v>700</v>
      </c>
      <c r="AH11" s="14" t="n">
        <v>0</v>
      </c>
    </row>
    <row r="12" ht="11.5" customHeight="1">
      <c r="A12" s="8" t="n">
        <v>9</v>
      </c>
      <c r="B12" s="9" t="inlineStr">
        <is>
          <t>OSCAR ESTRADA LINARES</t>
        </is>
      </c>
      <c r="C12" s="9" t="inlineStr">
        <is>
          <t>EXPLANADA DAMIAN CARMONA</t>
        </is>
      </c>
      <c r="D12" s="9" t="inlineStr">
        <is>
          <t>NISSAN NP-300</t>
        </is>
      </c>
      <c r="E12" s="8" t="inlineStr">
        <is>
          <t>MAH844C</t>
        </is>
      </c>
      <c r="F12" s="10" t="n">
        <v>1500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0" t="n">
        <v>1500</v>
      </c>
      <c r="AH12" s="10" t="n">
        <v>0</v>
      </c>
    </row>
    <row r="13" ht="11.5" customHeight="1">
      <c r="A13" s="12" t="n">
        <v>10</v>
      </c>
      <c r="B13" s="13" t="inlineStr">
        <is>
          <t>DIEGO CARREOLA</t>
        </is>
      </c>
      <c r="C13" s="13" t="inlineStr">
        <is>
          <t>BACHEO TOLUCA Y C. VICENTE LOMBARDO</t>
        </is>
      </c>
      <c r="D13" s="13" t="inlineStr">
        <is>
          <t>MITSUBISHI L1200</t>
        </is>
      </c>
      <c r="E13" s="12" t="inlineStr">
        <is>
          <t>NYZ829C</t>
        </is>
      </c>
      <c r="F13" s="14" t="n">
        <v>1500</v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4" t="n">
        <v>1488.35</v>
      </c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4" t="n">
        <v>11.65</v>
      </c>
      <c r="AH13" s="14" t="n">
        <v>1488.35</v>
      </c>
    </row>
    <row r="14" ht="11.5" customHeight="1">
      <c r="A14" s="8" t="n">
        <v>11</v>
      </c>
      <c r="B14" s="9" t="inlineStr"/>
      <c r="C14" s="9" t="inlineStr">
        <is>
          <t>BACHEO TOLUCA</t>
        </is>
      </c>
      <c r="D14" s="9" t="inlineStr">
        <is>
          <t>EQUIPO MENOR</t>
        </is>
      </c>
      <c r="E14" s="8" t="inlineStr"/>
      <c r="F14" s="10" t="n">
        <v>500</v>
      </c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0" t="n">
        <v>500</v>
      </c>
      <c r="AH14" s="10" t="n">
        <v>0</v>
      </c>
    </row>
    <row r="15" ht="11.5" customHeight="1">
      <c r="A15" s="12" t="n">
        <v>12</v>
      </c>
      <c r="B15" s="13" t="inlineStr">
        <is>
          <t>TOMAS ARANDA PROSPERO</t>
        </is>
      </c>
      <c r="C15" s="13" t="inlineStr">
        <is>
          <t>BACHEO TOLUCA Y C. VICENTE LOMBARDO</t>
        </is>
      </c>
      <c r="D15" s="13" t="inlineStr">
        <is>
          <t>DODGE RAM 4000 (3/2)</t>
        </is>
      </c>
      <c r="E15" s="12" t="inlineStr">
        <is>
          <t>LF05470</t>
        </is>
      </c>
      <c r="F15" s="14" t="n">
        <v>1500</v>
      </c>
      <c r="G15" s="15" t="n"/>
      <c r="H15" s="15" t="n"/>
      <c r="I15" s="15" t="n"/>
      <c r="J15" s="15" t="n"/>
      <c r="K15" s="14" t="n">
        <v>1500</v>
      </c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4" t="n">
        <v>1500</v>
      </c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20" t="n">
        <v>-1500</v>
      </c>
      <c r="AH15" s="14" t="n">
        <v>3000</v>
      </c>
    </row>
    <row r="16" ht="11.5" customHeight="1">
      <c r="A16" s="8" t="n">
        <v>13</v>
      </c>
      <c r="B16" s="9" t="inlineStr">
        <is>
          <t>JAVIER PEREZ DÍAZ</t>
        </is>
      </c>
      <c r="C16" s="9" t="inlineStr">
        <is>
          <t>OBRA MÉXICO TOLUCA</t>
        </is>
      </c>
      <c r="D16" s="9" t="inlineStr">
        <is>
          <t>MITSUBISHI 1200</t>
        </is>
      </c>
      <c r="E16" s="8" t="inlineStr">
        <is>
          <t>MHL758A</t>
        </is>
      </c>
      <c r="F16" s="10" t="n">
        <v>1500</v>
      </c>
      <c r="G16" s="10" t="n">
        <v>1500.35</v>
      </c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0" t="n">
        <v>1000</v>
      </c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9" t="n">
        <v>-1000.35</v>
      </c>
      <c r="AH16" s="10" t="n">
        <v>2500.35</v>
      </c>
    </row>
    <row r="17" ht="11.5" customHeight="1">
      <c r="A17" s="12" t="inlineStr"/>
      <c r="B17" s="13" t="inlineStr">
        <is>
          <t>JAVIER PEREZ DÍAZ</t>
        </is>
      </c>
      <c r="C17" s="13" t="inlineStr">
        <is>
          <t>OBRA MÉXICO TOLUCA</t>
        </is>
      </c>
      <c r="D17" s="13" t="inlineStr"/>
      <c r="E17" s="12" t="inlineStr">
        <is>
          <t>MHL755A</t>
        </is>
      </c>
      <c r="F17" s="14" t="n">
        <v>2500</v>
      </c>
      <c r="G17" s="14" t="n">
        <v>1500</v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4" t="n">
        <v>1203.21</v>
      </c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20" t="n">
        <v>-203.21</v>
      </c>
      <c r="AH17" s="14" t="n">
        <v>2703.21</v>
      </c>
    </row>
    <row r="18" ht="11.5" customHeight="1">
      <c r="A18" s="8" t="inlineStr"/>
      <c r="B18" s="9" t="inlineStr">
        <is>
          <t>JAVIER PEREZ DÍAZ</t>
        </is>
      </c>
      <c r="C18" s="9" t="inlineStr">
        <is>
          <t>OBRA MÉXICO TOLUCA</t>
        </is>
      </c>
      <c r="D18" s="9" t="inlineStr">
        <is>
          <t>EQUIPO MENOR</t>
        </is>
      </c>
      <c r="E18" s="8" t="inlineStr"/>
      <c r="F18" s="10" t="n">
        <v>300</v>
      </c>
      <c r="G18" s="11" t="n"/>
      <c r="H18" s="11" t="n"/>
      <c r="I18" s="11" t="n"/>
      <c r="J18" s="11" t="n"/>
      <c r="K18" s="11" t="n"/>
      <c r="L18" s="11" t="n"/>
      <c r="M18" s="11" t="n"/>
      <c r="N18" s="11" t="n"/>
      <c r="O18" s="10" t="n">
        <v>300</v>
      </c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0" t="n">
        <v>0</v>
      </c>
      <c r="AH18" s="10" t="n">
        <v>300</v>
      </c>
    </row>
    <row r="19" ht="11.5" customHeight="1">
      <c r="A19" s="12" t="n">
        <v>14</v>
      </c>
      <c r="B19" s="13" t="inlineStr">
        <is>
          <t>ALEXIS SAMUEL RENDON DOMINGUEZ</t>
        </is>
      </c>
      <c r="C19" s="13" t="inlineStr">
        <is>
          <t>OBRA MÉXICO TOLUCA</t>
        </is>
      </c>
      <c r="D19" s="13" t="inlineStr">
        <is>
          <t>TOYOTA HIACE (URBAN)</t>
        </is>
      </c>
      <c r="E19" s="12" t="inlineStr">
        <is>
          <t>PBT1230</t>
        </is>
      </c>
      <c r="F19" s="14" t="n">
        <v>2500</v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4" t="n">
        <v>2500</v>
      </c>
      <c r="AH19" s="14" t="n">
        <v>0</v>
      </c>
    </row>
    <row r="20" ht="11.5" customHeight="1">
      <c r="A20" s="8" t="n">
        <v>15</v>
      </c>
      <c r="B20" s="9" t="inlineStr">
        <is>
          <t>CRISTIAN REYES GAMORA</t>
        </is>
      </c>
      <c r="C20" s="9" t="inlineStr">
        <is>
          <t>OBRA MÉXICO TOLUCA</t>
        </is>
      </c>
      <c r="D20" s="9" t="inlineStr">
        <is>
          <t>DODGE RAM 4000 (3/2)</t>
        </is>
      </c>
      <c r="E20" s="8" t="inlineStr">
        <is>
          <t>LH49730</t>
        </is>
      </c>
      <c r="F20" s="10" t="n">
        <v>4000</v>
      </c>
      <c r="G20" s="11" t="n"/>
      <c r="H20" s="10" t="n">
        <v>3511.75</v>
      </c>
      <c r="I20" s="8" t="inlineStr">
        <is>
          <t>A10607</t>
        </is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0" t="n">
        <v>1488.06</v>
      </c>
      <c r="U20" s="8" t="inlineStr">
        <is>
          <t>A10741</t>
        </is>
      </c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9" t="n">
        <v>-999.8099999999999</v>
      </c>
      <c r="AH20" s="10" t="n">
        <v>4999.81</v>
      </c>
    </row>
    <row r="21" ht="11.5" customHeight="1">
      <c r="A21" s="12" t="n">
        <v>16</v>
      </c>
      <c r="B21" s="13" t="inlineStr">
        <is>
          <t>APOLINAR REYES BOLAINA</t>
        </is>
      </c>
      <c r="C21" s="13" t="inlineStr">
        <is>
          <t>LERMA TENANGO</t>
        </is>
      </c>
      <c r="D21" s="13" t="inlineStr">
        <is>
          <t>MITSUBISHI 1200</t>
        </is>
      </c>
      <c r="E21" s="12" t="inlineStr">
        <is>
          <t>NYZ971C</t>
        </is>
      </c>
      <c r="F21" s="14" t="n">
        <v>2500</v>
      </c>
      <c r="G21" s="15" t="n"/>
      <c r="H21" s="15" t="n"/>
      <c r="I21" s="15" t="n"/>
      <c r="J21" s="15" t="n"/>
      <c r="K21" s="14" t="n">
        <v>1502.5</v>
      </c>
      <c r="L21" s="15" t="n"/>
      <c r="M21" s="15" t="n"/>
      <c r="N21" s="15" t="n"/>
      <c r="O21" s="15" t="n"/>
      <c r="P21" s="15" t="n"/>
      <c r="Q21" s="15" t="n"/>
      <c r="R21" s="15" t="n"/>
      <c r="S21" s="14" t="n">
        <v>807.51</v>
      </c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4" t="n">
        <v>189.99</v>
      </c>
      <c r="AH21" s="14" t="n">
        <v>2310.01</v>
      </c>
    </row>
    <row r="22" ht="11.5" customHeight="1">
      <c r="A22" s="8" t="n">
        <v>17</v>
      </c>
      <c r="B22" s="9" t="inlineStr"/>
      <c r="C22" s="9" t="inlineStr"/>
      <c r="D22" s="9" t="inlineStr">
        <is>
          <t>CORTADORA DE CONCRETO</t>
        </is>
      </c>
      <c r="E22" s="8" t="inlineStr"/>
      <c r="F22" s="10" t="n">
        <v>1000</v>
      </c>
      <c r="G22" s="10" t="n">
        <v>1000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0" t="n">
        <v>0</v>
      </c>
      <c r="AH22" s="10" t="n">
        <v>1000</v>
      </c>
    </row>
    <row r="23" ht="11.5" customHeight="1">
      <c r="A23" s="12" t="n">
        <v>18</v>
      </c>
      <c r="B23" s="13" t="inlineStr"/>
      <c r="C23" s="13" t="inlineStr"/>
      <c r="D23" s="13" t="inlineStr">
        <is>
          <t>MOTOR AUXILIAR PETROLIZADORA</t>
        </is>
      </c>
      <c r="E23" s="12" t="inlineStr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4" t="n">
        <v>0</v>
      </c>
      <c r="AH23" s="14" t="n">
        <v>0</v>
      </c>
    </row>
    <row r="24" ht="11.5" customHeight="1">
      <c r="A24" s="8" t="n">
        <v>19</v>
      </c>
      <c r="B24" s="9" t="inlineStr"/>
      <c r="C24" s="9" t="inlineStr"/>
      <c r="D24" s="9" t="inlineStr">
        <is>
          <t>MOTOR AUXILIAR PIPA DE AGUA</t>
        </is>
      </c>
      <c r="E24" s="8" t="inlineStr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0" t="n">
        <v>0</v>
      </c>
      <c r="AH24" s="10" t="n">
        <v>0</v>
      </c>
    </row>
    <row r="25" ht="11.5" customHeight="1">
      <c r="A25" s="12" t="n">
        <v>20</v>
      </c>
      <c r="B25" s="13" t="inlineStr">
        <is>
          <t>LEONCIO MARTINEZ PASCACIO</t>
        </is>
      </c>
      <c r="C25" s="13" t="inlineStr">
        <is>
          <t>LERMA TENANGO</t>
        </is>
      </c>
      <c r="D25" s="13" t="inlineStr">
        <is>
          <t>MITSUBISHI 1200</t>
        </is>
      </c>
      <c r="E25" s="12" t="inlineStr">
        <is>
          <t>NYZ790C</t>
        </is>
      </c>
      <c r="F25" s="14" t="n">
        <v>1500</v>
      </c>
      <c r="G25" s="15" t="n"/>
      <c r="H25" s="15" t="n"/>
      <c r="I25" s="15" t="n"/>
      <c r="J25" s="15" t="n"/>
      <c r="K25" s="14" t="n">
        <v>1460.68</v>
      </c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4" t="n">
        <v>39.32</v>
      </c>
      <c r="AH25" s="14" t="n">
        <v>1460.68</v>
      </c>
    </row>
    <row r="26" ht="11.5" customHeight="1">
      <c r="A26" s="8" t="n">
        <v>21</v>
      </c>
      <c r="B26" s="9" t="inlineStr">
        <is>
          <t>CARMELO ALVAREZ ANICETO</t>
        </is>
      </c>
      <c r="C26" s="9" t="inlineStr">
        <is>
          <t>LERMA TENANGO</t>
        </is>
      </c>
      <c r="D26" s="9" t="inlineStr">
        <is>
          <t>DODGE RAM 4000 (3/2)</t>
        </is>
      </c>
      <c r="E26" s="8" t="inlineStr">
        <is>
          <t>LH49746</t>
        </is>
      </c>
      <c r="F26" s="10" t="n">
        <v>3000</v>
      </c>
      <c r="G26" s="11" t="n"/>
      <c r="H26" s="11" t="n"/>
      <c r="I26" s="11" t="n"/>
      <c r="J26" s="11" t="n"/>
      <c r="K26" s="10" t="n">
        <v>3000</v>
      </c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0" t="n">
        <v>500</v>
      </c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9" t="n">
        <v>-500</v>
      </c>
      <c r="AH26" s="10" t="n">
        <v>3500</v>
      </c>
    </row>
    <row r="27" ht="11.5" customHeight="1">
      <c r="A27" s="12" t="n">
        <v>22</v>
      </c>
      <c r="B27" s="13" t="inlineStr">
        <is>
          <t>DIEGO FERNANDEZ SANTIAGO</t>
        </is>
      </c>
      <c r="C27" s="13" t="inlineStr">
        <is>
          <t>LERMA TENANGO</t>
        </is>
      </c>
      <c r="D27" s="13" t="inlineStr">
        <is>
          <t>TOYOTA HIACE (URBAN)</t>
        </is>
      </c>
      <c r="E27" s="12" t="inlineStr">
        <is>
          <t>PBT1229</t>
        </is>
      </c>
      <c r="F27" s="14" t="n">
        <v>2500</v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4" t="n">
        <v>1185.27</v>
      </c>
      <c r="P27" s="15" t="n"/>
      <c r="Q27" s="15" t="n"/>
      <c r="R27" s="15" t="n"/>
      <c r="S27" s="14" t="n">
        <v>614.4400000000001</v>
      </c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4" t="n">
        <v>700.29</v>
      </c>
      <c r="AH27" s="14" t="n">
        <v>1799.71</v>
      </c>
    </row>
    <row r="28" ht="11.5" customHeight="1">
      <c r="A28" s="8" t="n">
        <v>23</v>
      </c>
      <c r="B28" s="9" t="inlineStr">
        <is>
          <t>DAMIAN ANTONIO PUINI</t>
        </is>
      </c>
      <c r="C28" s="9" t="inlineStr">
        <is>
          <t>P. ASFALTO HUIXQUILUCAN</t>
        </is>
      </c>
      <c r="D28" s="9" t="inlineStr">
        <is>
          <t>FORD RANGER</t>
        </is>
      </c>
      <c r="E28" s="8" t="inlineStr">
        <is>
          <t>PCU7482</t>
        </is>
      </c>
      <c r="F28" s="10" t="n">
        <v>2500</v>
      </c>
      <c r="G28" s="11" t="n"/>
      <c r="H28" s="10" t="n">
        <v>1000</v>
      </c>
      <c r="I28" s="8" t="inlineStr">
        <is>
          <t>A10606</t>
        </is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0" t="n">
        <v>1500</v>
      </c>
      <c r="U28" s="8" t="inlineStr">
        <is>
          <t>A10710</t>
        </is>
      </c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0" t="n">
        <v>0</v>
      </c>
      <c r="AH28" s="10" t="n">
        <v>2500</v>
      </c>
    </row>
    <row r="29" ht="11.5" customHeight="1">
      <c r="A29" s="12" t="n">
        <v>24</v>
      </c>
      <c r="B29" s="13" t="inlineStr">
        <is>
          <t>LUIS VALDEZ</t>
        </is>
      </c>
      <c r="C29" s="13" t="inlineStr"/>
      <c r="D29" s="13" t="inlineStr">
        <is>
          <t>EQUIPO MENOR</t>
        </is>
      </c>
      <c r="E29" s="12" t="inlineStr"/>
      <c r="F29" s="14" t="n">
        <v>1000</v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4" t="n">
        <v>836.5</v>
      </c>
      <c r="U29" s="12" t="inlineStr">
        <is>
          <t>A10635,A10746</t>
        </is>
      </c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4" t="n">
        <v>163.5</v>
      </c>
      <c r="AH29" s="14" t="n">
        <v>836.5</v>
      </c>
    </row>
    <row r="30" ht="11.5" customHeight="1">
      <c r="A30" s="8" t="n">
        <v>25</v>
      </c>
      <c r="B30" s="9" t="inlineStr">
        <is>
          <t>CLEMENTE SANABRIA</t>
        </is>
      </c>
      <c r="C30" s="9" t="inlineStr">
        <is>
          <t>TRANSPORTES FLOTILLA</t>
        </is>
      </c>
      <c r="D30" s="9" t="inlineStr">
        <is>
          <t>RAM 1200</t>
        </is>
      </c>
      <c r="E30" s="8" t="inlineStr">
        <is>
          <t>LHB184D</t>
        </is>
      </c>
      <c r="F30" s="10" t="n">
        <v>2500</v>
      </c>
      <c r="G30" s="10" t="n">
        <v>2075.38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0" t="n">
        <v>1500</v>
      </c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9" t="n">
        <v>-1075.38</v>
      </c>
      <c r="AH30" s="10" t="n">
        <v>3575.38</v>
      </c>
    </row>
    <row r="31" ht="11.5" customHeight="1">
      <c r="A31" s="12" t="n">
        <v>26</v>
      </c>
      <c r="B31" s="13" t="inlineStr">
        <is>
          <t>BRYAN GABRIEL CHAVEZ ALVAREZ</t>
        </is>
      </c>
      <c r="C31" s="13" t="inlineStr">
        <is>
          <t>TRANSPORTES FLOTILLA</t>
        </is>
      </c>
      <c r="D31" s="13" t="inlineStr">
        <is>
          <t>CHEVROLET TORNADO</t>
        </is>
      </c>
      <c r="E31" s="12" t="inlineStr">
        <is>
          <t>NUZ948C</t>
        </is>
      </c>
      <c r="F31" s="14" t="n">
        <v>1000</v>
      </c>
      <c r="G31" s="14" t="n">
        <v>1000</v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4" t="n">
        <v>500</v>
      </c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20" t="n">
        <v>-500</v>
      </c>
      <c r="AH31" s="14" t="n">
        <v>1500</v>
      </c>
    </row>
    <row r="32" ht="11.5" customHeight="1">
      <c r="A32" s="8" t="n">
        <v>27</v>
      </c>
      <c r="B32" s="9" t="inlineStr"/>
      <c r="C32" s="9" t="inlineStr"/>
      <c r="D32" s="9" t="inlineStr">
        <is>
          <t>MOTORES LOWBOY</t>
        </is>
      </c>
      <c r="E32" s="8" t="inlineStr"/>
      <c r="F32" s="10" t="n">
        <v>500</v>
      </c>
      <c r="G32" s="10" t="n">
        <v>500</v>
      </c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0" t="n">
        <v>0</v>
      </c>
      <c r="AH32" s="10" t="n">
        <v>500</v>
      </c>
    </row>
    <row r="33" ht="11.5" customHeight="1">
      <c r="A33" s="12" t="n">
        <v>28</v>
      </c>
      <c r="B33" s="13" t="inlineStr"/>
      <c r="C33" s="13" t="inlineStr"/>
      <c r="D33" s="13" t="inlineStr">
        <is>
          <t>MOTORES LOWBOY</t>
        </is>
      </c>
      <c r="E33" s="12" t="inlineStr"/>
      <c r="F33" s="14" t="n">
        <v>500</v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4" t="n">
        <v>500</v>
      </c>
      <c r="AH33" s="14" t="n">
        <v>0</v>
      </c>
    </row>
    <row r="34" ht="11.5" customHeight="1">
      <c r="A34" s="8" t="n">
        <v>29</v>
      </c>
      <c r="B34" s="9" t="inlineStr">
        <is>
          <t>ROBERTO ORTEGA</t>
        </is>
      </c>
      <c r="C34" s="9" t="inlineStr"/>
      <c r="D34" s="9" t="inlineStr"/>
      <c r="E34" s="8" t="inlineStr">
        <is>
          <t>MNX601B</t>
        </is>
      </c>
      <c r="F34" s="10" t="n">
        <v>800</v>
      </c>
      <c r="G34" s="10" t="n">
        <v>800</v>
      </c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0" t="n">
        <v>0</v>
      </c>
      <c r="AH34" s="10" t="n">
        <v>800</v>
      </c>
    </row>
    <row r="35" ht="11.5" customHeight="1">
      <c r="A35" s="12" t="n">
        <v>30</v>
      </c>
      <c r="B35" s="13" t="inlineStr"/>
      <c r="C35" s="13" t="inlineStr"/>
      <c r="D35" s="13" t="inlineStr">
        <is>
          <t>EQUIPO MENOR</t>
        </is>
      </c>
      <c r="E35" s="12" t="inlineStr"/>
      <c r="F35" s="14" t="n">
        <v>500</v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4" t="n">
        <v>500</v>
      </c>
      <c r="AB35" s="15" t="n"/>
      <c r="AC35" s="15" t="n"/>
      <c r="AD35" s="15" t="n"/>
      <c r="AE35" s="15" t="n"/>
      <c r="AF35" s="15" t="n"/>
      <c r="AG35" s="14" t="n">
        <v>0</v>
      </c>
      <c r="AH35" s="14" t="n">
        <v>500</v>
      </c>
    </row>
    <row r="36" ht="11.5" customHeight="1">
      <c r="A36" s="8" t="n">
        <v>31</v>
      </c>
      <c r="B36" s="9" t="inlineStr">
        <is>
          <t>JOSÉ CABELLO /JACK</t>
        </is>
      </c>
      <c r="C36" s="9" t="inlineStr">
        <is>
          <t>ESTIMACIONES /PLANTA PEGASO</t>
        </is>
      </c>
      <c r="D36" s="9" t="inlineStr"/>
      <c r="E36" s="8" t="inlineStr">
        <is>
          <t>LHB176D</t>
        </is>
      </c>
      <c r="F36" s="10" t="n">
        <v>1500</v>
      </c>
      <c r="G36" s="11" t="n"/>
      <c r="H36" s="11" t="n"/>
      <c r="I36" s="11" t="n"/>
      <c r="J36" s="11" t="n"/>
      <c r="K36" s="10" t="n">
        <v>675.0700000000001</v>
      </c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0" t="n">
        <v>824.9299999999999</v>
      </c>
      <c r="AH36" s="10" t="n">
        <v>675.0700000000001</v>
      </c>
    </row>
    <row r="37" ht="11.5" customHeight="1">
      <c r="A37" s="12" t="n">
        <v>32</v>
      </c>
      <c r="B37" s="13" t="inlineStr">
        <is>
          <t>VICTOR HUGO MARTINEZ VELAZQUEZ</t>
        </is>
      </c>
      <c r="C37" s="13" t="inlineStr">
        <is>
          <t>JALSICO</t>
        </is>
      </c>
      <c r="D37" s="13" t="inlineStr">
        <is>
          <t>RAM 1200</t>
        </is>
      </c>
      <c r="E37" s="12" t="inlineStr">
        <is>
          <t>LHB182D</t>
        </is>
      </c>
      <c r="F37" s="14" t="n">
        <v>1500</v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4" t="n">
        <v>1500</v>
      </c>
      <c r="AH37" s="14" t="n">
        <v>0</v>
      </c>
    </row>
    <row r="38" ht="11.5" customHeight="1">
      <c r="A38" s="8" t="n">
        <v>33</v>
      </c>
      <c r="B38" s="9" t="inlineStr">
        <is>
          <t>PAOLA JARAMILLO</t>
        </is>
      </c>
      <c r="C38" s="9" t="inlineStr">
        <is>
          <t>CORPORATIVO</t>
        </is>
      </c>
      <c r="D38" s="9" t="inlineStr">
        <is>
          <t>CHANGAN ALSVIN</t>
        </is>
      </c>
      <c r="E38" s="8" t="inlineStr"/>
      <c r="F38" s="10" t="n">
        <v>700</v>
      </c>
      <c r="G38" s="10" t="n">
        <v>700</v>
      </c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0" t="n">
        <v>0</v>
      </c>
      <c r="AH38" s="10" t="n">
        <v>700</v>
      </c>
    </row>
    <row r="39" ht="11.5" customHeight="1">
      <c r="A39" s="12" t="n">
        <v>34</v>
      </c>
      <c r="B39" s="13" t="inlineStr">
        <is>
          <t>SAMUEL ORTEGA SILVA</t>
        </is>
      </c>
      <c r="C39" s="13" t="inlineStr"/>
      <c r="D39" s="13" t="inlineStr">
        <is>
          <t>MITSUBISHI L200</t>
        </is>
      </c>
      <c r="E39" s="12" t="inlineStr">
        <is>
          <t>NZT266B</t>
        </is>
      </c>
      <c r="F39" s="14" t="n">
        <v>3000</v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4" t="n">
        <v>1000</v>
      </c>
      <c r="Q39" s="12" t="inlineStr">
        <is>
          <t>a10678</t>
        </is>
      </c>
      <c r="R39" s="15" t="n"/>
      <c r="S39" s="15" t="n"/>
      <c r="T39" s="14" t="n">
        <v>1000</v>
      </c>
      <c r="U39" s="12" t="inlineStr">
        <is>
          <t>A10621</t>
        </is>
      </c>
      <c r="V39" s="15" t="n"/>
      <c r="W39" s="15" t="n"/>
      <c r="X39" s="14" t="n">
        <v>1000</v>
      </c>
      <c r="Y39" s="12" t="inlineStr">
        <is>
          <t>a237803</t>
        </is>
      </c>
      <c r="Z39" s="15" t="n"/>
      <c r="AA39" s="15" t="n"/>
      <c r="AB39" s="15" t="n"/>
      <c r="AC39" s="15" t="n"/>
      <c r="AD39" s="15" t="n"/>
      <c r="AE39" s="15" t="n"/>
      <c r="AF39" s="15" t="n"/>
      <c r="AG39" s="14" t="n">
        <v>0</v>
      </c>
      <c r="AH39" s="14" t="n">
        <v>3000</v>
      </c>
    </row>
    <row r="40" ht="11.5" customHeight="1">
      <c r="A40" s="8" t="inlineStr"/>
      <c r="B40" s="9" t="inlineStr">
        <is>
          <t>CRISTOBAL SILVA</t>
        </is>
      </c>
      <c r="C40" s="9" t="inlineStr"/>
      <c r="D40" s="9" t="inlineStr">
        <is>
          <t>RAM 1200</t>
        </is>
      </c>
      <c r="E40" s="8" t="inlineStr">
        <is>
          <t>LKV206D</t>
        </is>
      </c>
      <c r="F40" s="10" t="n">
        <v>1500</v>
      </c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0" t="n">
        <v>1500</v>
      </c>
      <c r="AH40" s="10" t="n">
        <v>0</v>
      </c>
    </row>
    <row r="41" ht="11.5" customHeight="1">
      <c r="A41" s="12" t="inlineStr"/>
      <c r="B41" s="13" t="inlineStr"/>
      <c r="C41" s="13" t="inlineStr"/>
      <c r="D41" s="13" t="inlineStr">
        <is>
          <t>RAM 1200</t>
        </is>
      </c>
      <c r="E41" s="12" t="inlineStr">
        <is>
          <t>LKC794D</t>
        </is>
      </c>
      <c r="F41" s="14" t="n">
        <v>1500</v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4" t="n">
        <v>1500</v>
      </c>
      <c r="AH41" s="14" t="n">
        <v>0</v>
      </c>
    </row>
    <row r="42" ht="11.5" customHeight="1">
      <c r="A42" s="8" t="inlineStr"/>
      <c r="B42" s="9" t="inlineStr"/>
      <c r="C42" s="9" t="inlineStr"/>
      <c r="D42" s="9" t="inlineStr">
        <is>
          <t>RAM 1200</t>
        </is>
      </c>
      <c r="E42" s="8" t="inlineStr">
        <is>
          <t>LKC789D</t>
        </is>
      </c>
      <c r="F42" s="10" t="n">
        <v>1500</v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0" t="n">
        <v>1500</v>
      </c>
      <c r="AH42" s="10" t="n">
        <v>0</v>
      </c>
    </row>
    <row r="43" ht="11.5" customHeight="1">
      <c r="A43" s="12" t="inlineStr"/>
      <c r="B43" s="13" t="inlineStr">
        <is>
          <t>HENRY</t>
        </is>
      </c>
      <c r="C43" s="13" t="inlineStr"/>
      <c r="D43" s="13" t="inlineStr"/>
      <c r="E43" s="12" t="inlineStr">
        <is>
          <t>NXP4918</t>
        </is>
      </c>
      <c r="F43" s="14" t="n">
        <v>800</v>
      </c>
      <c r="G43" s="14" t="n">
        <v>800</v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4" t="n">
        <v>0</v>
      </c>
      <c r="AH43" s="14" t="n">
        <v>800</v>
      </c>
    </row>
    <row r="44" ht="13.5" customHeight="1">
      <c r="A44" s="16" t="inlineStr">
        <is>
          <t>TOTALES J.D.J.</t>
        </is>
      </c>
      <c r="B44" s="17" t="n"/>
      <c r="C44" s="17" t="n"/>
      <c r="D44" s="17" t="n"/>
      <c r="E44" s="17" t="n"/>
      <c r="F44" s="18">
        <f>SUM(F4:F43)</f>
        <v/>
      </c>
      <c r="G44" s="18">
        <f>SUM(G4:G43)</f>
        <v/>
      </c>
      <c r="H44" s="18">
        <f>SUM(H4:H43)</f>
        <v/>
      </c>
      <c r="I44" s="18">
        <f>SUM(I4:I43)</f>
        <v/>
      </c>
      <c r="J44" s="18">
        <f>SUM(J4:J43)</f>
        <v/>
      </c>
      <c r="K44" s="18">
        <f>SUM(K4:K43)</f>
        <v/>
      </c>
      <c r="L44" s="18">
        <f>SUM(L4:L43)</f>
        <v/>
      </c>
      <c r="M44" s="18">
        <f>SUM(M4:M43)</f>
        <v/>
      </c>
      <c r="N44" s="18">
        <f>SUM(N4:N43)</f>
        <v/>
      </c>
      <c r="O44" s="18">
        <f>SUM(O4:O43)</f>
        <v/>
      </c>
      <c r="P44" s="18">
        <f>SUM(P4:P43)</f>
        <v/>
      </c>
      <c r="Q44" s="18">
        <f>SUM(Q4:Q43)</f>
        <v/>
      </c>
      <c r="R44" s="18">
        <f>SUM(R4:R43)</f>
        <v/>
      </c>
      <c r="S44" s="18">
        <f>SUM(S4:S43)</f>
        <v/>
      </c>
      <c r="T44" s="18">
        <f>SUM(T4:T43)</f>
        <v/>
      </c>
      <c r="U44" s="18">
        <f>SUM(U4:U43)</f>
        <v/>
      </c>
      <c r="V44" s="18">
        <f>SUM(V4:V43)</f>
        <v/>
      </c>
      <c r="W44" s="18">
        <f>SUM(W4:W43)</f>
        <v/>
      </c>
      <c r="X44" s="18">
        <f>SUM(X4:X43)</f>
        <v/>
      </c>
      <c r="Y44" s="18">
        <f>SUM(Y4:Y43)</f>
        <v/>
      </c>
      <c r="Z44" s="18">
        <f>SUM(Z4:Z43)</f>
        <v/>
      </c>
      <c r="AA44" s="18">
        <f>SUM(AA4:AA43)</f>
        <v/>
      </c>
      <c r="AB44" s="18">
        <f>SUM(AB4:AB43)</f>
        <v/>
      </c>
      <c r="AC44" s="18">
        <f>SUM(AC4:AC43)</f>
        <v/>
      </c>
      <c r="AD44" s="18">
        <f>SUM(AD4:AD43)</f>
        <v/>
      </c>
      <c r="AE44" s="18">
        <f>SUM(AE4:AE43)</f>
        <v/>
      </c>
      <c r="AF44" s="18">
        <f>SUM(AF4:AF43)</f>
        <v/>
      </c>
      <c r="AG44" s="18">
        <f>SUM(AG4:AG43)</f>
        <v/>
      </c>
      <c r="AH44" s="18">
        <f>SUM(AH4:AH43)</f>
        <v/>
      </c>
    </row>
    <row r="45" ht="6" customHeight="1"/>
    <row r="46" ht="17" customHeight="1">
      <c r="A46" s="1" t="inlineStr">
        <is>
          <t>GASOLINA - TRITURADORA ROCA DURA SAN MIGUEL  (SEMANA 31)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 ht="14" customHeight="1">
      <c r="A47" s="3" t="inlineStr">
        <is>
          <t>NO.</t>
        </is>
      </c>
      <c r="B47" s="3" t="inlineStr">
        <is>
          <t>RESPONSABLE</t>
        </is>
      </c>
      <c r="C47" s="3" t="inlineStr">
        <is>
          <t>CENTRO DE TRABAJO</t>
        </is>
      </c>
      <c r="D47" s="3" t="inlineStr">
        <is>
          <t>UNIDAD / EQUIPO</t>
        </is>
      </c>
      <c r="E47" s="3" t="inlineStr">
        <is>
          <t>PLACAS</t>
        </is>
      </c>
      <c r="F47" s="3" t="inlineStr">
        <is>
          <t>IMPORTE AUTORIZADO</t>
        </is>
      </c>
      <c r="G47" s="4" t="inlineStr">
        <is>
          <t>LUN 27/JUL</t>
        </is>
      </c>
      <c r="H47" s="2" t="n"/>
      <c r="I47" s="2" t="n"/>
      <c r="J47" s="2" t="n"/>
      <c r="K47" s="4" t="inlineStr">
        <is>
          <t>MAR 28/JUL</t>
        </is>
      </c>
      <c r="L47" s="2" t="n"/>
      <c r="M47" s="2" t="n"/>
      <c r="N47" s="2" t="n"/>
      <c r="O47" s="4" t="inlineStr">
        <is>
          <t>MIÉ 29/JUL</t>
        </is>
      </c>
      <c r="P47" s="2" t="n"/>
      <c r="Q47" s="2" t="n"/>
      <c r="R47" s="2" t="n"/>
      <c r="S47" s="4" t="inlineStr">
        <is>
          <t>JUE 30/JUL</t>
        </is>
      </c>
      <c r="T47" s="2" t="n"/>
      <c r="U47" s="2" t="n"/>
      <c r="V47" s="2" t="n"/>
      <c r="W47" s="4" t="inlineStr">
        <is>
          <t>VIE 31/JUL</t>
        </is>
      </c>
      <c r="X47" s="2" t="n"/>
      <c r="Y47" s="2" t="n"/>
      <c r="Z47" s="2" t="n"/>
      <c r="AA47" s="4" t="inlineStr">
        <is>
          <t>SÁB 01/AGO</t>
        </is>
      </c>
      <c r="AB47" s="2" t="n"/>
      <c r="AC47" s="2" t="n"/>
      <c r="AD47" s="4" t="inlineStr">
        <is>
          <t>DOM 02/AGO</t>
        </is>
      </c>
      <c r="AE47" s="2" t="n"/>
      <c r="AF47" s="2" t="n"/>
      <c r="AG47" s="5" t="inlineStr">
        <is>
          <t>REMANENTE
(SALDO)</t>
        </is>
      </c>
      <c r="AH47" s="3" t="inlineStr">
        <is>
          <t>CONSUMO
SEMANAL</t>
        </is>
      </c>
    </row>
    <row r="48" ht="13" customHeight="1">
      <c r="A48" s="6" t="n"/>
      <c r="B48" s="6" t="n"/>
      <c r="C48" s="6" t="n"/>
      <c r="D48" s="6" t="n"/>
      <c r="E48" s="6" t="n"/>
      <c r="F48" s="6" t="n"/>
      <c r="G48" s="7" t="inlineStr">
        <is>
          <t>LEVET</t>
        </is>
      </c>
      <c r="H48" s="7" t="inlineStr">
        <is>
          <t>MOBILE</t>
        </is>
      </c>
      <c r="I48" s="7" t="inlineStr">
        <is>
          <t>TICKET</t>
        </is>
      </c>
      <c r="J48" s="7" t="inlineStr">
        <is>
          <t>SI VALE</t>
        </is>
      </c>
      <c r="K48" s="7" t="inlineStr">
        <is>
          <t>LEVET</t>
        </is>
      </c>
      <c r="L48" s="7" t="inlineStr">
        <is>
          <t>MOBILE</t>
        </is>
      </c>
      <c r="M48" s="7" t="inlineStr">
        <is>
          <t>TICKET</t>
        </is>
      </c>
      <c r="N48" s="7" t="inlineStr">
        <is>
          <t>SI VALE</t>
        </is>
      </c>
      <c r="O48" s="7" t="inlineStr">
        <is>
          <t>LEVET</t>
        </is>
      </c>
      <c r="P48" s="7" t="inlineStr">
        <is>
          <t>MOBILE</t>
        </is>
      </c>
      <c r="Q48" s="7" t="inlineStr">
        <is>
          <t>TICKET</t>
        </is>
      </c>
      <c r="R48" s="7" t="inlineStr">
        <is>
          <t>SI VALE</t>
        </is>
      </c>
      <c r="S48" s="7" t="inlineStr">
        <is>
          <t>LEVET</t>
        </is>
      </c>
      <c r="T48" s="7" t="inlineStr">
        <is>
          <t>MOBILE</t>
        </is>
      </c>
      <c r="U48" s="7" t="inlineStr">
        <is>
          <t>TICKET</t>
        </is>
      </c>
      <c r="V48" s="7" t="inlineStr">
        <is>
          <t>SI VALE</t>
        </is>
      </c>
      <c r="W48" s="7" t="inlineStr">
        <is>
          <t>LEVET</t>
        </is>
      </c>
      <c r="X48" s="7" t="inlineStr">
        <is>
          <t>MOBILE</t>
        </is>
      </c>
      <c r="Y48" s="7" t="inlineStr">
        <is>
          <t>TICKET</t>
        </is>
      </c>
      <c r="Z48" s="7" t="inlineStr">
        <is>
          <t>SI VALE</t>
        </is>
      </c>
      <c r="AA48" s="7" t="inlineStr">
        <is>
          <t>LEVET</t>
        </is>
      </c>
      <c r="AB48" s="7" t="inlineStr">
        <is>
          <t>MOBILE</t>
        </is>
      </c>
      <c r="AC48" s="7" t="inlineStr">
        <is>
          <t>SI VALE</t>
        </is>
      </c>
      <c r="AD48" s="7" t="inlineStr">
        <is>
          <t>LEVET</t>
        </is>
      </c>
      <c r="AE48" s="7" t="inlineStr">
        <is>
          <t>MOBILE</t>
        </is>
      </c>
      <c r="AF48" s="7" t="inlineStr">
        <is>
          <t>SI VALE</t>
        </is>
      </c>
      <c r="AG48" s="2" t="n"/>
      <c r="AH48" s="6" t="n"/>
    </row>
    <row r="49" ht="11.5" customHeight="1">
      <c r="A49" s="8" t="n">
        <v>1</v>
      </c>
      <c r="B49" s="9" t="inlineStr">
        <is>
          <t>CARLOS REYES TRUJANO</t>
        </is>
      </c>
      <c r="C49" s="9" t="inlineStr">
        <is>
          <t>MINA TABERNILLAS</t>
        </is>
      </c>
      <c r="D49" s="9" t="inlineStr">
        <is>
          <t>TOYOTA TACOMA</t>
        </is>
      </c>
      <c r="E49" s="8" t="inlineStr">
        <is>
          <t>33K849</t>
        </is>
      </c>
      <c r="F49" s="10" t="n">
        <v>2500</v>
      </c>
      <c r="G49" s="10" t="n">
        <v>1299.98</v>
      </c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0" t="n">
        <v>1000</v>
      </c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0" t="n">
        <v>200.02</v>
      </c>
      <c r="AH49" s="10" t="n">
        <v>2299.98</v>
      </c>
    </row>
    <row r="50" ht="11.5" customHeight="1">
      <c r="A50" s="12" t="n">
        <v>2</v>
      </c>
      <c r="B50" s="13" t="inlineStr">
        <is>
          <t>LAZARO PINAL RIOS</t>
        </is>
      </c>
      <c r="C50" s="13" t="inlineStr">
        <is>
          <t>MINA TABERNILLAS</t>
        </is>
      </c>
      <c r="D50" s="13" t="inlineStr">
        <is>
          <t>MITSUBISHI L200</t>
        </is>
      </c>
      <c r="E50" s="12" t="inlineStr">
        <is>
          <t>MHL757A</t>
        </is>
      </c>
      <c r="F50" s="14" t="n">
        <v>1500</v>
      </c>
      <c r="G50" s="15" t="n"/>
      <c r="H50" s="15" t="n"/>
      <c r="I50" s="15" t="n"/>
      <c r="J50" s="15" t="n"/>
      <c r="K50" s="14" t="n">
        <v>1500</v>
      </c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4" t="n">
        <v>0</v>
      </c>
      <c r="AH50" s="14" t="n">
        <v>1500</v>
      </c>
    </row>
    <row r="51" ht="11.5" customHeight="1">
      <c r="A51" s="8" t="n">
        <v>3</v>
      </c>
      <c r="B51" s="9" t="inlineStr">
        <is>
          <t>ARMANDO COLIN MORENO</t>
        </is>
      </c>
      <c r="C51" s="9" t="inlineStr">
        <is>
          <t>MINA TABERNILLAS</t>
        </is>
      </c>
      <c r="D51" s="9" t="inlineStr">
        <is>
          <t>CHEVORLET</t>
        </is>
      </c>
      <c r="E51" s="8" t="inlineStr">
        <is>
          <t>PAT8298</t>
        </is>
      </c>
      <c r="F51" s="10" t="n">
        <v>2000</v>
      </c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0" t="n">
        <v>1000.22</v>
      </c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0" t="n">
        <v>999.78</v>
      </c>
      <c r="AH51" s="10" t="n">
        <v>1000.22</v>
      </c>
    </row>
    <row r="52" ht="11.5" customHeight="1">
      <c r="A52" s="12" t="inlineStr"/>
      <c r="B52" s="13" t="inlineStr">
        <is>
          <t>ARMANDO COLIN MORENO</t>
        </is>
      </c>
      <c r="C52" s="13" t="inlineStr">
        <is>
          <t>MINA TABERNILLAS</t>
        </is>
      </c>
      <c r="D52" s="13" t="inlineStr">
        <is>
          <t>EQUIPO MENOR</t>
        </is>
      </c>
      <c r="E52" s="12" t="inlineStr"/>
      <c r="F52" s="14" t="n">
        <v>300</v>
      </c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4" t="n">
        <v>228.9</v>
      </c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4" t="n">
        <v>71.09999999999999</v>
      </c>
      <c r="AH52" s="14" t="n">
        <v>228.9</v>
      </c>
    </row>
    <row r="53" ht="11.5" customHeight="1">
      <c r="A53" s="8" t="n">
        <v>4</v>
      </c>
      <c r="B53" s="9" t="inlineStr">
        <is>
          <t>ABNER OSORIO BARTOLO</t>
        </is>
      </c>
      <c r="C53" s="9" t="inlineStr">
        <is>
          <t>MINA ZUMPAHUACAN</t>
        </is>
      </c>
      <c r="D53" s="9" t="inlineStr">
        <is>
          <t>MITSUBISHI L200</t>
        </is>
      </c>
      <c r="E53" s="8" t="inlineStr">
        <is>
          <t>NYZ828C</t>
        </is>
      </c>
      <c r="F53" s="10" t="n">
        <v>1500</v>
      </c>
      <c r="G53" s="10" t="n">
        <v>1478.63</v>
      </c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0" t="n">
        <v>21.37</v>
      </c>
      <c r="AH53" s="10" t="n">
        <v>1478.63</v>
      </c>
    </row>
    <row r="54" ht="11.5" customHeight="1">
      <c r="A54" s="12" t="n">
        <v>5</v>
      </c>
      <c r="B54" s="13" t="inlineStr">
        <is>
          <t>ISAAC GONZALEZ GONZALEZ</t>
        </is>
      </c>
      <c r="C54" s="13" t="inlineStr">
        <is>
          <t>MINA ZUMPAHUACAN</t>
        </is>
      </c>
      <c r="D54" s="13" t="inlineStr">
        <is>
          <t>MITSUBISHI L200</t>
        </is>
      </c>
      <c r="E54" s="12" t="inlineStr">
        <is>
          <t>NYZ839C</t>
        </is>
      </c>
      <c r="F54" s="14" t="n">
        <v>1500</v>
      </c>
      <c r="G54" s="14" t="n">
        <v>1500</v>
      </c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4" t="n">
        <v>0</v>
      </c>
      <c r="AH54" s="14" t="n">
        <v>1500</v>
      </c>
    </row>
    <row r="55" ht="11.5" customHeight="1">
      <c r="A55" s="8" t="n">
        <v>6</v>
      </c>
      <c r="B55" s="9" t="inlineStr">
        <is>
          <t>JESUS MARIN GARCIA</t>
        </is>
      </c>
      <c r="C55" s="9" t="inlineStr">
        <is>
          <t>MINA CUAJOMAC</t>
        </is>
      </c>
      <c r="D55" s="9" t="inlineStr">
        <is>
          <t>CHEVORLET</t>
        </is>
      </c>
      <c r="E55" s="8" t="inlineStr">
        <is>
          <t>PCU8771</t>
        </is>
      </c>
      <c r="F55" s="10" t="n">
        <v>2000</v>
      </c>
      <c r="G55" s="10" t="n">
        <v>2000</v>
      </c>
      <c r="H55" s="11" t="n"/>
      <c r="I55" s="11" t="n"/>
      <c r="J55" s="11" t="n"/>
      <c r="K55" s="11" t="n"/>
      <c r="L55" s="11" t="n"/>
      <c r="M55" s="11" t="n"/>
      <c r="N55" s="11" t="n"/>
      <c r="O55" s="10" t="n">
        <v>1223.36</v>
      </c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9" t="n">
        <v>-1223.36</v>
      </c>
      <c r="AH55" s="10" t="n">
        <v>3223.36</v>
      </c>
    </row>
    <row r="56" ht="11.5" customHeight="1">
      <c r="A56" s="12" t="n">
        <v>7</v>
      </c>
      <c r="B56" s="13" t="inlineStr">
        <is>
          <t>MINA ZUPAHUACAN</t>
        </is>
      </c>
      <c r="C56" s="13" t="inlineStr">
        <is>
          <t>MINA ZUMPAHUACAN</t>
        </is>
      </c>
      <c r="D56" s="13" t="inlineStr">
        <is>
          <t>EQUIPO MENOR</t>
        </is>
      </c>
      <c r="E56" s="12" t="inlineStr"/>
      <c r="F56" s="14" t="n">
        <v>500</v>
      </c>
      <c r="G56" s="14" t="n">
        <v>457.8</v>
      </c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4" t="n">
        <v>42.2</v>
      </c>
      <c r="AH56" s="14" t="n">
        <v>457.8</v>
      </c>
    </row>
    <row r="57" ht="13.5" customHeight="1">
      <c r="A57" s="16" t="inlineStr">
        <is>
          <t>TOTALES TRITURADORA</t>
        </is>
      </c>
      <c r="B57" s="17" t="n"/>
      <c r="C57" s="17" t="n"/>
      <c r="D57" s="17" t="n"/>
      <c r="E57" s="17" t="n"/>
      <c r="F57" s="18">
        <f>SUM(F49:F56)</f>
        <v/>
      </c>
      <c r="G57" s="18">
        <f>SUM(G49:G56)</f>
        <v/>
      </c>
      <c r="H57" s="18">
        <f>SUM(H49:H56)</f>
        <v/>
      </c>
      <c r="I57" s="18">
        <f>SUM(I49:I56)</f>
        <v/>
      </c>
      <c r="J57" s="18">
        <f>SUM(J49:J56)</f>
        <v/>
      </c>
      <c r="K57" s="18">
        <f>SUM(K49:K56)</f>
        <v/>
      </c>
      <c r="L57" s="18">
        <f>SUM(L49:L56)</f>
        <v/>
      </c>
      <c r="M57" s="18">
        <f>SUM(M49:M56)</f>
        <v/>
      </c>
      <c r="N57" s="18">
        <f>SUM(N49:N56)</f>
        <v/>
      </c>
      <c r="O57" s="18">
        <f>SUM(O49:O56)</f>
        <v/>
      </c>
      <c r="P57" s="18">
        <f>SUM(P49:P56)</f>
        <v/>
      </c>
      <c r="Q57" s="18">
        <f>SUM(Q49:Q56)</f>
        <v/>
      </c>
      <c r="R57" s="18">
        <f>SUM(R49:R56)</f>
        <v/>
      </c>
      <c r="S57" s="18">
        <f>SUM(S49:S56)</f>
        <v/>
      </c>
      <c r="T57" s="18">
        <f>SUM(T49:T56)</f>
        <v/>
      </c>
      <c r="U57" s="18">
        <f>SUM(U49:U56)</f>
        <v/>
      </c>
      <c r="V57" s="18">
        <f>SUM(V49:V56)</f>
        <v/>
      </c>
      <c r="W57" s="18">
        <f>SUM(W49:W56)</f>
        <v/>
      </c>
      <c r="X57" s="18">
        <f>SUM(X49:X56)</f>
        <v/>
      </c>
      <c r="Y57" s="18">
        <f>SUM(Y49:Y56)</f>
        <v/>
      </c>
      <c r="Z57" s="18">
        <f>SUM(Z49:Z56)</f>
        <v/>
      </c>
      <c r="AA57" s="18">
        <f>SUM(AA49:AA56)</f>
        <v/>
      </c>
      <c r="AB57" s="18">
        <f>SUM(AB49:AB56)</f>
        <v/>
      </c>
      <c r="AC57" s="18">
        <f>SUM(AC49:AC56)</f>
        <v/>
      </c>
      <c r="AD57" s="18">
        <f>SUM(AD49:AD56)</f>
        <v/>
      </c>
      <c r="AE57" s="18">
        <f>SUM(AE49:AE56)</f>
        <v/>
      </c>
      <c r="AF57" s="18">
        <f>SUM(AF49:AF56)</f>
        <v/>
      </c>
      <c r="AG57" s="18">
        <f>SUM(AG49:AG56)</f>
        <v/>
      </c>
      <c r="AH57" s="18">
        <f>SUM(AH49:AH56)</f>
        <v/>
      </c>
    </row>
  </sheetData>
  <mergeCells count="34">
    <mergeCell ref="O47:R47"/>
    <mergeCell ref="B47:B48"/>
    <mergeCell ref="W2:Z2"/>
    <mergeCell ref="G47:J47"/>
    <mergeCell ref="O2:R2"/>
    <mergeCell ref="B2:B3"/>
    <mergeCell ref="D2:D3"/>
    <mergeCell ref="AG2:AG3"/>
    <mergeCell ref="F2:F3"/>
    <mergeCell ref="AD2:AF2"/>
    <mergeCell ref="C47:C48"/>
    <mergeCell ref="S47:V47"/>
    <mergeCell ref="D47:D48"/>
    <mergeCell ref="G2:J2"/>
    <mergeCell ref="A2:A3"/>
    <mergeCell ref="F47:F48"/>
    <mergeCell ref="C2:C3"/>
    <mergeCell ref="E2:E3"/>
    <mergeCell ref="AH2:AH3"/>
    <mergeCell ref="AA2:AC2"/>
    <mergeCell ref="AG47:AG48"/>
    <mergeCell ref="AA47:AC47"/>
    <mergeCell ref="A57:E57"/>
    <mergeCell ref="S2:V2"/>
    <mergeCell ref="A47:A48"/>
    <mergeCell ref="AD47:AF47"/>
    <mergeCell ref="A1:AH1"/>
    <mergeCell ref="K47:N47"/>
    <mergeCell ref="W47:Z47"/>
    <mergeCell ref="E47:E48"/>
    <mergeCell ref="AH47:AH48"/>
    <mergeCell ref="A46:AH46"/>
    <mergeCell ref="K2:N2"/>
    <mergeCell ref="A44:E44"/>
  </mergeCells>
  <pageMargins left="0.2" right="0.2" top="0.25" bottom="0.25" header="0.5" footer="0.5"/>
  <pageSetup orientation="landscape" paperSize="5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H57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6.4" customWidth="1" min="30" max="30"/>
    <col width="6.4" customWidth="1" min="31" max="31"/>
    <col width="6.4" customWidth="1" min="32" max="32"/>
    <col width="8.5" customWidth="1" min="33" max="33"/>
    <col width="8.800000000000001" customWidth="1" min="34" max="34"/>
  </cols>
  <sheetData>
    <row r="1" ht="18" customHeight="1">
      <c r="A1" s="1" t="inlineStr">
        <is>
          <t>GASOLINA - J.D.J. EQUIPO Y CONSTRUCCIONES S.A. DE C.V.  (SEMANA 32)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03/AGO</t>
        </is>
      </c>
      <c r="H2" s="2" t="n"/>
      <c r="I2" s="2" t="n"/>
      <c r="J2" s="2" t="n"/>
      <c r="K2" s="4" t="inlineStr">
        <is>
          <t>MAR 04/AGO</t>
        </is>
      </c>
      <c r="L2" s="2" t="n"/>
      <c r="M2" s="2" t="n"/>
      <c r="N2" s="2" t="n"/>
      <c r="O2" s="4" t="inlineStr">
        <is>
          <t>MIÉ 05/AGO</t>
        </is>
      </c>
      <c r="P2" s="2" t="n"/>
      <c r="Q2" s="2" t="n"/>
      <c r="R2" s="2" t="n"/>
      <c r="S2" s="4" t="inlineStr">
        <is>
          <t>JUE 06/AGO</t>
        </is>
      </c>
      <c r="T2" s="2" t="n"/>
      <c r="U2" s="2" t="n"/>
      <c r="V2" s="2" t="n"/>
      <c r="W2" s="4" t="inlineStr">
        <is>
          <t>VIE 07/AGO</t>
        </is>
      </c>
      <c r="X2" s="2" t="n"/>
      <c r="Y2" s="2" t="n"/>
      <c r="Z2" s="2" t="n"/>
      <c r="AA2" s="4" t="inlineStr">
        <is>
          <t>SÁB 08/AGO</t>
        </is>
      </c>
      <c r="AB2" s="2" t="n"/>
      <c r="AC2" s="2" t="n"/>
      <c r="AD2" s="4" t="inlineStr">
        <is>
          <t>DOM 02/AGO</t>
        </is>
      </c>
      <c r="AE2" s="2" t="n"/>
      <c r="AF2" s="2" t="n"/>
      <c r="AG2" s="5" t="inlineStr">
        <is>
          <t>REMANENTE
(SALDO)</t>
        </is>
      </c>
      <c r="AH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TICKET</t>
        </is>
      </c>
      <c r="J3" s="7" t="inlineStr">
        <is>
          <t>SI VALE</t>
        </is>
      </c>
      <c r="K3" s="7" t="inlineStr">
        <is>
          <t>LEVET</t>
        </is>
      </c>
      <c r="L3" s="7" t="inlineStr">
        <is>
          <t>MOBILE</t>
        </is>
      </c>
      <c r="M3" s="7" t="inlineStr">
        <is>
          <t>TICKET</t>
        </is>
      </c>
      <c r="N3" s="7" t="inlineStr">
        <is>
          <t>SI VALE</t>
        </is>
      </c>
      <c r="O3" s="7" t="inlineStr">
        <is>
          <t>LEVET</t>
        </is>
      </c>
      <c r="P3" s="7" t="inlineStr">
        <is>
          <t>MOBILE</t>
        </is>
      </c>
      <c r="Q3" s="7" t="inlineStr">
        <is>
          <t>TICKET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TICKET</t>
        </is>
      </c>
      <c r="V3" s="7" t="inlineStr">
        <is>
          <t>SI VALE</t>
        </is>
      </c>
      <c r="W3" s="7" t="inlineStr">
        <is>
          <t>LEVET</t>
        </is>
      </c>
      <c r="X3" s="7" t="inlineStr">
        <is>
          <t>MOBILE</t>
        </is>
      </c>
      <c r="Y3" s="7" t="inlineStr">
        <is>
          <t>TICKET</t>
        </is>
      </c>
      <c r="Z3" s="7" t="inlineStr">
        <is>
          <t>SI VALE</t>
        </is>
      </c>
      <c r="AA3" s="7" t="inlineStr">
        <is>
          <t>LEVET</t>
        </is>
      </c>
      <c r="AB3" s="7" t="inlineStr">
        <is>
          <t>MOBILE</t>
        </is>
      </c>
      <c r="AC3" s="7" t="inlineStr">
        <is>
          <t>SI VALE</t>
        </is>
      </c>
      <c r="AD3" s="7" t="inlineStr">
        <is>
          <t>LEVET</t>
        </is>
      </c>
      <c r="AE3" s="7" t="inlineStr">
        <is>
          <t>MOBILE</t>
        </is>
      </c>
      <c r="AF3" s="7" t="inlineStr">
        <is>
          <t>SI VALE</t>
        </is>
      </c>
      <c r="AG3" s="2" t="n"/>
      <c r="AH3" s="6" t="n"/>
    </row>
    <row r="4" ht="11.5" customHeight="1">
      <c r="A4" s="8" t="n">
        <v>1</v>
      </c>
      <c r="B4" s="9" t="inlineStr">
        <is>
          <t>ING.ARMANDO  COLIN</t>
        </is>
      </c>
      <c r="C4" s="9" t="inlineStr">
        <is>
          <t>BACHEO TOLUCA</t>
        </is>
      </c>
      <c r="D4" s="9" t="inlineStr">
        <is>
          <t>CHEVROLET S10</t>
        </is>
      </c>
      <c r="E4" s="8" t="inlineStr">
        <is>
          <t>PAT8298</t>
        </is>
      </c>
      <c r="F4" s="10" t="n">
        <v>1200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0" t="n">
        <v>1200</v>
      </c>
      <c r="AH4" s="10" t="n">
        <v>0</v>
      </c>
    </row>
    <row r="5" ht="11.5" customHeight="1">
      <c r="A5" s="12" t="n">
        <v>2</v>
      </c>
      <c r="B5" s="13" t="inlineStr">
        <is>
          <t>ING.ARMANDO  COLIN</t>
        </is>
      </c>
      <c r="C5" s="13" t="inlineStr">
        <is>
          <t>BACHEO TOLUCA</t>
        </is>
      </c>
      <c r="D5" s="13" t="inlineStr">
        <is>
          <t>EQUIPO MENOR</t>
        </is>
      </c>
      <c r="E5" s="12" t="inlineStr"/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4" t="n">
        <v>500</v>
      </c>
      <c r="AH5" s="14" t="n">
        <v>0</v>
      </c>
    </row>
    <row r="6" ht="11.5" customHeight="1">
      <c r="A6" s="8" t="n">
        <v>3</v>
      </c>
      <c r="B6" s="9" t="inlineStr">
        <is>
          <t>ING. ANTONIO IBAÑEZ</t>
        </is>
      </c>
      <c r="C6" s="9" t="inlineStr">
        <is>
          <t>MAQUINARIA</t>
        </is>
      </c>
      <c r="D6" s="9" t="inlineStr">
        <is>
          <t>RAM 1200</t>
        </is>
      </c>
      <c r="E6" s="8" t="inlineStr">
        <is>
          <t>LHB188D</t>
        </is>
      </c>
      <c r="F6" s="10" t="n">
        <v>2500</v>
      </c>
      <c r="G6" s="11" t="n"/>
      <c r="H6" s="11" t="n"/>
      <c r="I6" s="11" t="n"/>
      <c r="J6" s="11" t="n"/>
      <c r="K6" s="10" t="n">
        <v>1504.72</v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0" t="n">
        <v>995.28</v>
      </c>
      <c r="AH6" s="10" t="n">
        <v>1504.72</v>
      </c>
    </row>
    <row r="7" ht="11.5" customHeight="1">
      <c r="A7" s="12" t="n">
        <v>4</v>
      </c>
      <c r="B7" s="13" t="inlineStr">
        <is>
          <t>ING. ANTONIO IBAÑEZ</t>
        </is>
      </c>
      <c r="C7" s="13" t="inlineStr">
        <is>
          <t>MAQUINARIA</t>
        </is>
      </c>
      <c r="D7" s="13" t="inlineStr">
        <is>
          <t>EQUIPO MENOR</t>
        </is>
      </c>
      <c r="E7" s="12" t="inlineStr"/>
      <c r="F7" s="14" t="n">
        <v>500</v>
      </c>
      <c r="G7" s="15" t="n"/>
      <c r="H7" s="15" t="n"/>
      <c r="I7" s="15" t="n"/>
      <c r="J7" s="15" t="n"/>
      <c r="K7" s="14" t="n">
        <v>686.7</v>
      </c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20" t="n">
        <v>-186.7</v>
      </c>
      <c r="AH7" s="14" t="n">
        <v>686.7</v>
      </c>
    </row>
    <row r="8" ht="11.5" customHeight="1">
      <c r="A8" s="8" t="n">
        <v>5</v>
      </c>
      <c r="B8" s="9" t="inlineStr">
        <is>
          <t>ALBERTO HERNANDEZ DE JESUS</t>
        </is>
      </c>
      <c r="C8" s="9" t="inlineStr">
        <is>
          <t>MAQUINARIA</t>
        </is>
      </c>
      <c r="D8" s="9" t="inlineStr">
        <is>
          <t>DODGE RAM 700</t>
        </is>
      </c>
      <c r="E8" s="8" t="inlineStr">
        <is>
          <t>NXP9814</t>
        </is>
      </c>
      <c r="F8" s="10" t="n">
        <v>1500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0" t="n">
        <v>1500</v>
      </c>
      <c r="AH8" s="10" t="n">
        <v>0</v>
      </c>
    </row>
    <row r="9" ht="11.5" customHeight="1">
      <c r="A9" s="12" t="n">
        <v>6</v>
      </c>
      <c r="B9" s="13" t="inlineStr">
        <is>
          <t>JUAN CARLOS NAZAR CHAVEZ</t>
        </is>
      </c>
      <c r="C9" s="13" t="inlineStr">
        <is>
          <t>MAQUINARIA</t>
        </is>
      </c>
      <c r="D9" s="13" t="inlineStr">
        <is>
          <t>DODGE RAM 700</t>
        </is>
      </c>
      <c r="E9" s="12" t="inlineStr">
        <is>
          <t>PCW9238</t>
        </is>
      </c>
      <c r="F9" s="14" t="n">
        <v>1500</v>
      </c>
      <c r="G9" s="14" t="n">
        <v>1087.94</v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4" t="n">
        <v>412</v>
      </c>
      <c r="X9" s="15" t="n"/>
      <c r="Y9" s="15" t="n"/>
      <c r="Z9" s="15" t="n"/>
      <c r="AA9" s="14" t="n">
        <v>1000</v>
      </c>
      <c r="AB9" s="15" t="n"/>
      <c r="AC9" s="15" t="n"/>
      <c r="AD9" s="15" t="n"/>
      <c r="AE9" s="15" t="n"/>
      <c r="AF9" s="15" t="n"/>
      <c r="AG9" s="20" t="n">
        <v>-999.9400000000001</v>
      </c>
      <c r="AH9" s="14" t="n">
        <v>2499.94</v>
      </c>
    </row>
    <row r="10" ht="11.5" customHeight="1">
      <c r="A10" s="8" t="n">
        <v>7</v>
      </c>
      <c r="B10" s="9" t="inlineStr">
        <is>
          <t>EDGAR VELAZQUEZ ESQUIVEL</t>
        </is>
      </c>
      <c r="C10" s="9" t="inlineStr">
        <is>
          <t>MAQUINARIA</t>
        </is>
      </c>
      <c r="D10" s="9" t="inlineStr"/>
      <c r="E10" s="8" t="inlineStr">
        <is>
          <t>PCW9391</t>
        </is>
      </c>
      <c r="F10" s="10" t="n">
        <v>1500</v>
      </c>
      <c r="G10" s="11" t="n"/>
      <c r="H10" s="11" t="n"/>
      <c r="I10" s="11" t="n"/>
      <c r="J10" s="11" t="n"/>
      <c r="K10" s="10" t="n">
        <v>1500</v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0" t="n">
        <v>0</v>
      </c>
      <c r="AH10" s="10" t="n">
        <v>1500</v>
      </c>
    </row>
    <row r="11" ht="11.5" customHeight="1">
      <c r="A11" s="12" t="n">
        <v>8</v>
      </c>
      <c r="B11" s="13" t="inlineStr">
        <is>
          <t>ROBERTO CARLOS GARCÍA</t>
        </is>
      </c>
      <c r="C11" s="13" t="inlineStr">
        <is>
          <t>H. COLEGIO MILITAR</t>
        </is>
      </c>
      <c r="D11" s="13" t="inlineStr">
        <is>
          <t>CHANGAN ALSVIN</t>
        </is>
      </c>
      <c r="E11" s="12" t="inlineStr">
        <is>
          <t>LMH893A</t>
        </is>
      </c>
      <c r="F11" s="14" t="n">
        <v>700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4" t="n">
        <v>700</v>
      </c>
      <c r="AH11" s="14" t="n">
        <v>0</v>
      </c>
    </row>
    <row r="12" ht="11.5" customHeight="1">
      <c r="A12" s="8" t="n">
        <v>9</v>
      </c>
      <c r="B12" s="9" t="inlineStr">
        <is>
          <t>OSCAR ESTRADA LINARES</t>
        </is>
      </c>
      <c r="C12" s="9" t="inlineStr">
        <is>
          <t>EXPLANADA DAMIAN CARMONA</t>
        </is>
      </c>
      <c r="D12" s="9" t="inlineStr">
        <is>
          <t>NISSAN NP-300</t>
        </is>
      </c>
      <c r="E12" s="8" t="inlineStr">
        <is>
          <t>MAH844C</t>
        </is>
      </c>
      <c r="F12" s="10" t="n">
        <v>1500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0" t="n">
        <v>1500</v>
      </c>
      <c r="AH12" s="10" t="n">
        <v>0</v>
      </c>
    </row>
    <row r="13" ht="11.5" customHeight="1">
      <c r="A13" s="12" t="n">
        <v>10</v>
      </c>
      <c r="B13" s="13" t="inlineStr">
        <is>
          <t>DIEGO CARREOLA</t>
        </is>
      </c>
      <c r="C13" s="13" t="inlineStr">
        <is>
          <t>BACHEO TOLUCA Y C. VICENTE LOMBARDO</t>
        </is>
      </c>
      <c r="D13" s="13" t="inlineStr">
        <is>
          <t>MITSUBISHI L1200</t>
        </is>
      </c>
      <c r="E13" s="12" t="inlineStr">
        <is>
          <t>NYZ829C</t>
        </is>
      </c>
      <c r="F13" s="14" t="n">
        <v>1500</v>
      </c>
      <c r="G13" s="14" t="n">
        <v>1500</v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4" t="n">
        <v>657.33</v>
      </c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20" t="n">
        <v>-657.33</v>
      </c>
      <c r="AH13" s="14" t="n">
        <v>2157.33</v>
      </c>
    </row>
    <row r="14" ht="11.5" customHeight="1">
      <c r="A14" s="8" t="n">
        <v>11</v>
      </c>
      <c r="B14" s="9" t="inlineStr"/>
      <c r="C14" s="9" t="inlineStr">
        <is>
          <t>BACHEO TOLUCA</t>
        </is>
      </c>
      <c r="D14" s="9" t="inlineStr">
        <is>
          <t>EQUIPO MENOR</t>
        </is>
      </c>
      <c r="E14" s="8" t="inlineStr"/>
      <c r="F14" s="10" t="n">
        <v>500</v>
      </c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0" t="n">
        <v>500</v>
      </c>
      <c r="AH14" s="10" t="n">
        <v>0</v>
      </c>
    </row>
    <row r="15" ht="11.5" customHeight="1">
      <c r="A15" s="12" t="n">
        <v>12</v>
      </c>
      <c r="B15" s="13" t="inlineStr">
        <is>
          <t>TOMAS ARANDA PROSPERO</t>
        </is>
      </c>
      <c r="C15" s="13" t="inlineStr">
        <is>
          <t>BACHEO TOLUCA Y C. VICENTE LOMBARDO</t>
        </is>
      </c>
      <c r="D15" s="13" t="inlineStr">
        <is>
          <t>DODGE RAM 4000 (3/2)</t>
        </is>
      </c>
      <c r="E15" s="12" t="inlineStr">
        <is>
          <t>LF05470</t>
        </is>
      </c>
      <c r="F15" s="14" t="n">
        <v>1500</v>
      </c>
      <c r="G15" s="14" t="n">
        <v>1500</v>
      </c>
      <c r="H15" s="15" t="n"/>
      <c r="I15" s="15" t="n"/>
      <c r="J15" s="15" t="n"/>
      <c r="K15" s="15" t="n"/>
      <c r="L15" s="15" t="n"/>
      <c r="M15" s="15" t="n"/>
      <c r="N15" s="15" t="n"/>
      <c r="O15" s="14" t="n">
        <v>1500</v>
      </c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20" t="n">
        <v>-1500</v>
      </c>
      <c r="AH15" s="14" t="n">
        <v>3000</v>
      </c>
    </row>
    <row r="16" ht="11.5" customHeight="1">
      <c r="A16" s="8" t="n">
        <v>13</v>
      </c>
      <c r="B16" s="9" t="inlineStr">
        <is>
          <t>JAVIER PEREZ DÍAZ</t>
        </is>
      </c>
      <c r="C16" s="9" t="inlineStr">
        <is>
          <t>OBRA MÉXICO TOLUCA</t>
        </is>
      </c>
      <c r="D16" s="9" t="inlineStr">
        <is>
          <t>MITSUBISHI 1200</t>
        </is>
      </c>
      <c r="E16" s="8" t="inlineStr">
        <is>
          <t>MHL758A</t>
        </is>
      </c>
      <c r="F16" s="10" t="n">
        <v>1500</v>
      </c>
      <c r="G16" s="10" t="n">
        <v>1375.55</v>
      </c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0" t="n">
        <v>1124</v>
      </c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9" t="n">
        <v>-999.55</v>
      </c>
      <c r="AH16" s="10" t="n">
        <v>2499.55</v>
      </c>
    </row>
    <row r="17" ht="11.5" customHeight="1">
      <c r="A17" s="12" t="inlineStr"/>
      <c r="B17" s="13" t="inlineStr">
        <is>
          <t>JAVIER PEREZ DÍAZ</t>
        </is>
      </c>
      <c r="C17" s="13" t="inlineStr">
        <is>
          <t>OBRA MÉXICO TOLUCA</t>
        </is>
      </c>
      <c r="D17" s="13" t="inlineStr"/>
      <c r="E17" s="12" t="inlineStr">
        <is>
          <t>MHL755A</t>
        </is>
      </c>
      <c r="F17" s="14" t="n">
        <v>2500</v>
      </c>
      <c r="G17" s="14" t="n">
        <v>1500</v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4" t="n">
        <v>1060.47</v>
      </c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20" t="n">
        <v>-60.47</v>
      </c>
      <c r="AH17" s="14" t="n">
        <v>2560.47</v>
      </c>
    </row>
    <row r="18" ht="11.5" customHeight="1">
      <c r="A18" s="8" t="inlineStr"/>
      <c r="B18" s="9" t="inlineStr">
        <is>
          <t>JAVIER PEREZ DÍAZ</t>
        </is>
      </c>
      <c r="C18" s="9" t="inlineStr">
        <is>
          <t>OBRA MÉXICO TOLUCA</t>
        </is>
      </c>
      <c r="D18" s="9" t="inlineStr">
        <is>
          <t>EQUIPO MENOR</t>
        </is>
      </c>
      <c r="E18" s="8" t="inlineStr"/>
      <c r="F18" s="10" t="n">
        <v>300</v>
      </c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0" t="n">
        <v>300</v>
      </c>
      <c r="Q18" s="8" t="inlineStr">
        <is>
          <t>A10772</t>
        </is>
      </c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0" t="n">
        <v>0</v>
      </c>
      <c r="AH18" s="10" t="n">
        <v>300</v>
      </c>
    </row>
    <row r="19" ht="11.5" customHeight="1">
      <c r="A19" s="12" t="n">
        <v>14</v>
      </c>
      <c r="B19" s="13" t="inlineStr">
        <is>
          <t>ALEXIS SAMUEL RENDON DOMINGUEZ</t>
        </is>
      </c>
      <c r="C19" s="13" t="inlineStr">
        <is>
          <t>OBRA MÉXICO TOLUCA</t>
        </is>
      </c>
      <c r="D19" s="13" t="inlineStr">
        <is>
          <t>TOYOTA HIACE (URBAN)</t>
        </is>
      </c>
      <c r="E19" s="12" t="inlineStr">
        <is>
          <t>PBT1230</t>
        </is>
      </c>
      <c r="F19" s="14" t="n">
        <v>2500</v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4" t="n">
        <v>2500</v>
      </c>
      <c r="AH19" s="14" t="n">
        <v>0</v>
      </c>
    </row>
    <row r="20" ht="11.5" customHeight="1">
      <c r="A20" s="8" t="n">
        <v>15</v>
      </c>
      <c r="B20" s="9" t="inlineStr">
        <is>
          <t>CRISTIAN REYES GAMORA</t>
        </is>
      </c>
      <c r="C20" s="9" t="inlineStr">
        <is>
          <t>OBRA MÉXICO TOLUCA</t>
        </is>
      </c>
      <c r="D20" s="9" t="inlineStr">
        <is>
          <t>DODGE RAM 4000 (3/2)</t>
        </is>
      </c>
      <c r="E20" s="8" t="inlineStr">
        <is>
          <t>LH49730</t>
        </is>
      </c>
      <c r="F20" s="10" t="n">
        <v>4000</v>
      </c>
      <c r="G20" s="11" t="n"/>
      <c r="H20" s="10" t="n">
        <v>3300.04</v>
      </c>
      <c r="I20" s="8" t="inlineStr">
        <is>
          <t>A10681</t>
        </is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0" t="n">
        <v>1500</v>
      </c>
      <c r="U20" s="8" t="inlineStr">
        <is>
          <t>A10786</t>
        </is>
      </c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9" t="n">
        <v>-800.04</v>
      </c>
      <c r="AH20" s="10" t="n">
        <v>4800.04</v>
      </c>
    </row>
    <row r="21" ht="11.5" customHeight="1">
      <c r="A21" s="12" t="n">
        <v>16</v>
      </c>
      <c r="B21" s="13" t="inlineStr">
        <is>
          <t>APOLINAR REYES BOLAINA</t>
        </is>
      </c>
      <c r="C21" s="13" t="inlineStr">
        <is>
          <t>LERMA TENANGO</t>
        </is>
      </c>
      <c r="D21" s="13" t="inlineStr">
        <is>
          <t>MITSUBISHI 1200</t>
        </is>
      </c>
      <c r="E21" s="12" t="inlineStr">
        <is>
          <t>NYZ971C</t>
        </is>
      </c>
      <c r="F21" s="14" t="n">
        <v>2500</v>
      </c>
      <c r="G21" s="14" t="n">
        <v>947.26</v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4" t="n">
        <v>1552.74</v>
      </c>
      <c r="AH21" s="14" t="n">
        <v>947.26</v>
      </c>
    </row>
    <row r="22" ht="11.5" customHeight="1">
      <c r="A22" s="8" t="n">
        <v>17</v>
      </c>
      <c r="B22" s="9" t="inlineStr"/>
      <c r="C22" s="9" t="inlineStr"/>
      <c r="D22" s="9" t="inlineStr">
        <is>
          <t>CORTADORA DE CONCRETO</t>
        </is>
      </c>
      <c r="E22" s="8" t="inlineStr"/>
      <c r="F22" s="10" t="n">
        <v>1000</v>
      </c>
      <c r="G22" s="10" t="n">
        <v>1000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0" t="n">
        <v>0</v>
      </c>
      <c r="AH22" s="10" t="n">
        <v>1000</v>
      </c>
    </row>
    <row r="23" ht="11.5" customHeight="1">
      <c r="A23" s="12" t="n">
        <v>18</v>
      </c>
      <c r="B23" s="13" t="inlineStr"/>
      <c r="C23" s="13" t="inlineStr"/>
      <c r="D23" s="13" t="inlineStr">
        <is>
          <t>MOTOR AUXILIAR PETROLIZADORA</t>
        </is>
      </c>
      <c r="E23" s="12" t="inlineStr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4" t="n">
        <v>0</v>
      </c>
      <c r="AH23" s="14" t="n">
        <v>0</v>
      </c>
    </row>
    <row r="24" ht="11.5" customHeight="1">
      <c r="A24" s="8" t="n">
        <v>19</v>
      </c>
      <c r="B24" s="9" t="inlineStr"/>
      <c r="C24" s="9" t="inlineStr"/>
      <c r="D24" s="9" t="inlineStr">
        <is>
          <t>MOTOR AUXILIAR PIPA DE AGUA</t>
        </is>
      </c>
      <c r="E24" s="8" t="inlineStr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0" t="n">
        <v>0</v>
      </c>
      <c r="AH24" s="10" t="n">
        <v>0</v>
      </c>
    </row>
    <row r="25" ht="11.5" customHeight="1">
      <c r="A25" s="12" t="n">
        <v>20</v>
      </c>
      <c r="B25" s="13" t="inlineStr">
        <is>
          <t>LEONCIO MARTINEZ PASCACIO</t>
        </is>
      </c>
      <c r="C25" s="13" t="inlineStr">
        <is>
          <t>LERMA TENANGO</t>
        </is>
      </c>
      <c r="D25" s="13" t="inlineStr">
        <is>
          <t>MITSUBISHI 1200</t>
        </is>
      </c>
      <c r="E25" s="12" t="inlineStr">
        <is>
          <t>NYZ790C</t>
        </is>
      </c>
      <c r="F25" s="14" t="n">
        <v>1500</v>
      </c>
      <c r="G25" s="14" t="n">
        <v>1373.08</v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4" t="n">
        <v>126.92</v>
      </c>
      <c r="AH25" s="14" t="n">
        <v>1373.08</v>
      </c>
    </row>
    <row r="26" ht="11.5" customHeight="1">
      <c r="A26" s="8" t="n">
        <v>21</v>
      </c>
      <c r="B26" s="9" t="inlineStr">
        <is>
          <t>CARMELO ALVAREZ ANICETO</t>
        </is>
      </c>
      <c r="C26" s="9" t="inlineStr">
        <is>
          <t>LERMA TENANGO</t>
        </is>
      </c>
      <c r="D26" s="9" t="inlineStr">
        <is>
          <t>DODGE RAM 4000 (3/2)</t>
        </is>
      </c>
      <c r="E26" s="8" t="inlineStr">
        <is>
          <t>LH49746</t>
        </is>
      </c>
      <c r="F26" s="10" t="n">
        <v>3000</v>
      </c>
      <c r="G26" s="10" t="n">
        <v>3000</v>
      </c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0" t="n">
        <v>1000</v>
      </c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9" t="n">
        <v>-1000</v>
      </c>
      <c r="AH26" s="10" t="n">
        <v>4000</v>
      </c>
    </row>
    <row r="27" ht="11.5" customHeight="1">
      <c r="A27" s="12" t="n">
        <v>22</v>
      </c>
      <c r="B27" s="13" t="inlineStr">
        <is>
          <t>DIEGO FERNANDEZ SANTIAGO</t>
        </is>
      </c>
      <c r="C27" s="13" t="inlineStr">
        <is>
          <t>LERMA TENANGO</t>
        </is>
      </c>
      <c r="D27" s="13" t="inlineStr">
        <is>
          <t>TOYOTA HIACE (URBAN)</t>
        </is>
      </c>
      <c r="E27" s="12" t="inlineStr">
        <is>
          <t>PBT1229</t>
        </is>
      </c>
      <c r="F27" s="14" t="n">
        <v>2500</v>
      </c>
      <c r="G27" s="14" t="n">
        <v>948.52</v>
      </c>
      <c r="H27" s="15" t="n"/>
      <c r="I27" s="15" t="n"/>
      <c r="J27" s="15" t="n"/>
      <c r="K27" s="15" t="n"/>
      <c r="L27" s="15" t="n"/>
      <c r="M27" s="15" t="n"/>
      <c r="N27" s="15" t="n"/>
      <c r="O27" s="14" t="n">
        <v>1304.94</v>
      </c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4" t="n">
        <v>246.54</v>
      </c>
      <c r="AH27" s="14" t="n">
        <v>2253.46</v>
      </c>
    </row>
    <row r="28" ht="11.5" customHeight="1">
      <c r="A28" s="8" t="n">
        <v>23</v>
      </c>
      <c r="B28" s="9" t="inlineStr">
        <is>
          <t>DAMIAN ANTONIO PUINI</t>
        </is>
      </c>
      <c r="C28" s="9" t="inlineStr">
        <is>
          <t>P. ASFALTO HUIXQUILUCAN</t>
        </is>
      </c>
      <c r="D28" s="9" t="inlineStr">
        <is>
          <t>FORD RANGER</t>
        </is>
      </c>
      <c r="E28" s="8" t="inlineStr">
        <is>
          <t>PCU7482</t>
        </is>
      </c>
      <c r="F28" s="10" t="n">
        <v>2500</v>
      </c>
      <c r="G28" s="11" t="n"/>
      <c r="H28" s="11" t="n"/>
      <c r="I28" s="11" t="n"/>
      <c r="J28" s="11" t="n"/>
      <c r="K28" s="11" t="n"/>
      <c r="L28" s="10" t="n">
        <v>1000</v>
      </c>
      <c r="M28" s="8" t="inlineStr">
        <is>
          <t>a10695</t>
        </is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0" t="n">
        <v>1000</v>
      </c>
      <c r="Y28" s="8" t="inlineStr">
        <is>
          <t>A10810</t>
        </is>
      </c>
      <c r="Z28" s="11" t="n"/>
      <c r="AA28" s="11" t="n"/>
      <c r="AB28" s="11" t="n"/>
      <c r="AC28" s="11" t="n"/>
      <c r="AD28" s="11" t="n"/>
      <c r="AE28" s="11" t="n"/>
      <c r="AF28" s="11" t="n"/>
      <c r="AG28" s="10" t="n">
        <v>500</v>
      </c>
      <c r="AH28" s="10" t="n">
        <v>2000</v>
      </c>
    </row>
    <row r="29" ht="11.5" customHeight="1">
      <c r="A29" s="12" t="n">
        <v>24</v>
      </c>
      <c r="B29" s="13" t="inlineStr">
        <is>
          <t>LUIS VALDEZ</t>
        </is>
      </c>
      <c r="C29" s="13" t="inlineStr"/>
      <c r="D29" s="13" t="inlineStr">
        <is>
          <t>EQUIPO MENOR</t>
        </is>
      </c>
      <c r="E29" s="12" t="inlineStr"/>
      <c r="F29" s="14" t="n">
        <v>1000</v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4" t="n">
        <v>478</v>
      </c>
      <c r="Y29" s="12" t="inlineStr">
        <is>
          <t>A10816</t>
        </is>
      </c>
      <c r="Z29" s="15" t="n"/>
      <c r="AA29" s="15" t="n"/>
      <c r="AB29" s="15" t="n"/>
      <c r="AC29" s="15" t="n"/>
      <c r="AD29" s="15" t="n"/>
      <c r="AE29" s="15" t="n"/>
      <c r="AF29" s="15" t="n"/>
      <c r="AG29" s="14" t="n">
        <v>522</v>
      </c>
      <c r="AH29" s="14" t="n">
        <v>478</v>
      </c>
    </row>
    <row r="30" ht="11.5" customHeight="1">
      <c r="A30" s="8" t="n">
        <v>25</v>
      </c>
      <c r="B30" s="9" t="inlineStr">
        <is>
          <t>CLEMENTE SANABRIA</t>
        </is>
      </c>
      <c r="C30" s="9" t="inlineStr">
        <is>
          <t>TRANSPORTES FLOTILLA</t>
        </is>
      </c>
      <c r="D30" s="9" t="inlineStr">
        <is>
          <t>RAM 1200</t>
        </is>
      </c>
      <c r="E30" s="8" t="inlineStr">
        <is>
          <t>LHB184D</t>
        </is>
      </c>
      <c r="F30" s="10" t="n">
        <v>2500</v>
      </c>
      <c r="G30" s="10" t="n">
        <v>2231.31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0" t="n">
        <v>2000</v>
      </c>
      <c r="U30" s="8" t="inlineStr">
        <is>
          <t>A10782</t>
        </is>
      </c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9" t="n">
        <v>-1731.31</v>
      </c>
      <c r="AH30" s="10" t="n">
        <v>4231.31</v>
      </c>
    </row>
    <row r="31" ht="11.5" customHeight="1">
      <c r="A31" s="12" t="n">
        <v>26</v>
      </c>
      <c r="B31" s="13" t="inlineStr">
        <is>
          <t>BRYAN GABRIEL CHAVEZ ALVAREZ</t>
        </is>
      </c>
      <c r="C31" s="13" t="inlineStr">
        <is>
          <t>TRANSPORTES FLOTILLA</t>
        </is>
      </c>
      <c r="D31" s="13" t="inlineStr">
        <is>
          <t>CHEVROLET TORNADO</t>
        </is>
      </c>
      <c r="E31" s="12" t="inlineStr">
        <is>
          <t>NUZ948C</t>
        </is>
      </c>
      <c r="F31" s="14" t="n">
        <v>1000</v>
      </c>
      <c r="G31" s="15" t="n"/>
      <c r="H31" s="15" t="n"/>
      <c r="I31" s="15" t="n"/>
      <c r="J31" s="15" t="n"/>
      <c r="K31" s="14" t="n">
        <v>1000</v>
      </c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4" t="n">
        <v>0</v>
      </c>
      <c r="AH31" s="14" t="n">
        <v>1000</v>
      </c>
    </row>
    <row r="32" ht="11.5" customHeight="1">
      <c r="A32" s="8" t="n">
        <v>27</v>
      </c>
      <c r="B32" s="9" t="inlineStr"/>
      <c r="C32" s="9" t="inlineStr"/>
      <c r="D32" s="9" t="inlineStr">
        <is>
          <t>MOTORES LOWBOY</t>
        </is>
      </c>
      <c r="E32" s="8" t="inlineStr"/>
      <c r="F32" s="10" t="n">
        <v>500</v>
      </c>
      <c r="G32" s="11" t="n"/>
      <c r="H32" s="11" t="n"/>
      <c r="I32" s="11" t="n"/>
      <c r="J32" s="11" t="n"/>
      <c r="K32" s="10" t="n">
        <v>500</v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0" t="n">
        <v>0</v>
      </c>
      <c r="AH32" s="10" t="n">
        <v>500</v>
      </c>
    </row>
    <row r="33" ht="11.5" customHeight="1">
      <c r="A33" s="12" t="n">
        <v>28</v>
      </c>
      <c r="B33" s="13" t="inlineStr"/>
      <c r="C33" s="13" t="inlineStr"/>
      <c r="D33" s="13" t="inlineStr">
        <is>
          <t>MOTORES LOWBOY</t>
        </is>
      </c>
      <c r="E33" s="12" t="inlineStr"/>
      <c r="F33" s="14" t="n">
        <v>500</v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4" t="n">
        <v>500</v>
      </c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4" t="n">
        <v>0</v>
      </c>
      <c r="AH33" s="14" t="n">
        <v>500</v>
      </c>
    </row>
    <row r="34" ht="11.5" customHeight="1">
      <c r="A34" s="8" t="n">
        <v>29</v>
      </c>
      <c r="B34" s="9" t="inlineStr">
        <is>
          <t>ROBERTO ORTEGA</t>
        </is>
      </c>
      <c r="C34" s="9" t="inlineStr"/>
      <c r="D34" s="9" t="inlineStr"/>
      <c r="E34" s="8" t="inlineStr">
        <is>
          <t>MNX601B</t>
        </is>
      </c>
      <c r="F34" s="10" t="n">
        <v>800</v>
      </c>
      <c r="G34" s="10" t="n">
        <v>800</v>
      </c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0" t="n">
        <v>0</v>
      </c>
      <c r="AH34" s="10" t="n">
        <v>800</v>
      </c>
    </row>
    <row r="35" ht="11.5" customHeight="1">
      <c r="A35" s="12" t="n">
        <v>30</v>
      </c>
      <c r="B35" s="13" t="inlineStr"/>
      <c r="C35" s="13" t="inlineStr"/>
      <c r="D35" s="13" t="inlineStr">
        <is>
          <t>EQUIPO MENOR</t>
        </is>
      </c>
      <c r="E35" s="12" t="inlineStr"/>
      <c r="F35" s="14" t="n">
        <v>500</v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4" t="n">
        <v>457.8</v>
      </c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4" t="n">
        <v>42.2</v>
      </c>
      <c r="AH35" s="14" t="n">
        <v>457.8</v>
      </c>
    </row>
    <row r="36" ht="11.5" customHeight="1">
      <c r="A36" s="8" t="n">
        <v>31</v>
      </c>
      <c r="B36" s="9" t="inlineStr">
        <is>
          <t>JOSÉ CABELLO /JACK</t>
        </is>
      </c>
      <c r="C36" s="9" t="inlineStr">
        <is>
          <t>ESTIMACIONES /PLANTA PEGASO</t>
        </is>
      </c>
      <c r="D36" s="9" t="inlineStr"/>
      <c r="E36" s="8" t="inlineStr">
        <is>
          <t>LHB176D</t>
        </is>
      </c>
      <c r="F36" s="10" t="n">
        <v>1500</v>
      </c>
      <c r="G36" s="10" t="n">
        <v>985.0700000000001</v>
      </c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0" t="n">
        <v>806.76</v>
      </c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9" t="n">
        <v>-291.83</v>
      </c>
      <c r="AH36" s="10" t="n">
        <v>1791.83</v>
      </c>
    </row>
    <row r="37" ht="11.5" customHeight="1">
      <c r="A37" s="12" t="n">
        <v>32</v>
      </c>
      <c r="B37" s="13" t="inlineStr">
        <is>
          <t>VICTOR HUGO MARTINEZ VELAZQUEZ</t>
        </is>
      </c>
      <c r="C37" s="13" t="inlineStr">
        <is>
          <t>JALSICO</t>
        </is>
      </c>
      <c r="D37" s="13" t="inlineStr">
        <is>
          <t>RAM 1200</t>
        </is>
      </c>
      <c r="E37" s="12" t="inlineStr">
        <is>
          <t>LHB182D</t>
        </is>
      </c>
      <c r="F37" s="14" t="n">
        <v>1500</v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4" t="n">
        <v>1500</v>
      </c>
      <c r="AH37" s="14" t="n">
        <v>0</v>
      </c>
    </row>
    <row r="38" ht="11.5" customHeight="1">
      <c r="A38" s="8" t="n">
        <v>33</v>
      </c>
      <c r="B38" s="9" t="inlineStr">
        <is>
          <t>PAOLA JARAMILLO</t>
        </is>
      </c>
      <c r="C38" s="9" t="inlineStr">
        <is>
          <t>CORPORATIVO</t>
        </is>
      </c>
      <c r="D38" s="9" t="inlineStr">
        <is>
          <t>CHANGAN ALSVIN</t>
        </is>
      </c>
      <c r="E38" s="8" t="inlineStr">
        <is>
          <t>LYY085A</t>
        </is>
      </c>
      <c r="F38" s="10" t="n">
        <v>700</v>
      </c>
      <c r="G38" s="10" t="n">
        <v>700</v>
      </c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0" t="n">
        <v>0</v>
      </c>
      <c r="AH38" s="10" t="n">
        <v>700</v>
      </c>
    </row>
    <row r="39" ht="11.5" customHeight="1">
      <c r="A39" s="12" t="n">
        <v>34</v>
      </c>
      <c r="B39" s="13" t="inlineStr">
        <is>
          <t>SAMUEL ORTEGA SILVA</t>
        </is>
      </c>
      <c r="C39" s="13" t="inlineStr"/>
      <c r="D39" s="13" t="inlineStr">
        <is>
          <t>MITSUBISHI L200</t>
        </is>
      </c>
      <c r="E39" s="12" t="inlineStr">
        <is>
          <t>NZT266B</t>
        </is>
      </c>
      <c r="F39" s="14" t="n">
        <v>3000</v>
      </c>
      <c r="G39" s="15" t="n"/>
      <c r="H39" s="14" t="n">
        <v>1000</v>
      </c>
      <c r="I39" s="12" t="inlineStr">
        <is>
          <t>A10690</t>
        </is>
      </c>
      <c r="J39" s="15" t="n"/>
      <c r="K39" s="15" t="n"/>
      <c r="L39" s="15" t="n"/>
      <c r="M39" s="15" t="n"/>
      <c r="N39" s="15" t="n"/>
      <c r="O39" s="15" t="n"/>
      <c r="P39" s="14" t="n">
        <v>1000</v>
      </c>
      <c r="Q39" s="12" t="inlineStr">
        <is>
          <t>A10775</t>
        </is>
      </c>
      <c r="R39" s="15" t="n"/>
      <c r="S39" s="14" t="n">
        <v>1000</v>
      </c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4" t="n">
        <v>0</v>
      </c>
      <c r="AH39" s="14" t="n">
        <v>3000</v>
      </c>
    </row>
    <row r="40" ht="11.5" customHeight="1">
      <c r="A40" s="8" t="inlineStr"/>
      <c r="B40" s="9" t="inlineStr">
        <is>
          <t>CRISTOBAL SILVA</t>
        </is>
      </c>
      <c r="C40" s="9" t="inlineStr"/>
      <c r="D40" s="9" t="inlineStr">
        <is>
          <t>RAM 1200</t>
        </is>
      </c>
      <c r="E40" s="8" t="inlineStr">
        <is>
          <t>LKV206D</t>
        </is>
      </c>
      <c r="F40" s="10" t="n">
        <v>1500</v>
      </c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0" t="n">
        <v>1500</v>
      </c>
      <c r="AH40" s="10" t="n">
        <v>0</v>
      </c>
    </row>
    <row r="41" ht="11.5" customHeight="1">
      <c r="A41" s="12" t="inlineStr"/>
      <c r="B41" s="13" t="inlineStr">
        <is>
          <t>CRISTOBAL SILVA</t>
        </is>
      </c>
      <c r="C41" s="13" t="inlineStr"/>
      <c r="D41" s="13" t="inlineStr">
        <is>
          <t>RAM 1200</t>
        </is>
      </c>
      <c r="E41" s="12" t="inlineStr">
        <is>
          <t>LKC794D</t>
        </is>
      </c>
      <c r="F41" s="14" t="n">
        <v>1500</v>
      </c>
      <c r="G41" s="14" t="n">
        <v>1782.14</v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20" t="n">
        <v>-282.14</v>
      </c>
      <c r="AH41" s="14" t="n">
        <v>1782.14</v>
      </c>
    </row>
    <row r="42" ht="11.5" customHeight="1">
      <c r="A42" s="8" t="inlineStr"/>
      <c r="B42" s="9" t="inlineStr"/>
      <c r="C42" s="9" t="inlineStr"/>
      <c r="D42" s="9" t="inlineStr">
        <is>
          <t>RAM 1200</t>
        </is>
      </c>
      <c r="E42" s="8" t="inlineStr">
        <is>
          <t>LKC789D</t>
        </is>
      </c>
      <c r="F42" s="10" t="n">
        <v>1500</v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0" t="n">
        <v>1500</v>
      </c>
      <c r="AH42" s="10" t="n">
        <v>0</v>
      </c>
    </row>
    <row r="43" ht="11.5" customHeight="1">
      <c r="A43" s="12" t="inlineStr"/>
      <c r="B43" s="13" t="inlineStr">
        <is>
          <t>HENRY</t>
        </is>
      </c>
      <c r="C43" s="13" t="inlineStr"/>
      <c r="D43" s="13" t="inlineStr"/>
      <c r="E43" s="12" t="inlineStr">
        <is>
          <t>NXP4918</t>
        </is>
      </c>
      <c r="F43" s="14" t="n">
        <v>800</v>
      </c>
      <c r="G43" s="14" t="n">
        <v>800</v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4" t="n">
        <v>0</v>
      </c>
      <c r="AH43" s="14" t="n">
        <v>800</v>
      </c>
    </row>
    <row r="44" ht="13.5" customHeight="1">
      <c r="A44" s="16" t="inlineStr">
        <is>
          <t>TOTALES J.D.J.</t>
        </is>
      </c>
      <c r="B44" s="17" t="n"/>
      <c r="C44" s="17" t="n"/>
      <c r="D44" s="17" t="n"/>
      <c r="E44" s="17" t="n"/>
      <c r="F44" s="18">
        <f>SUM(F4:F43)</f>
        <v/>
      </c>
      <c r="G44" s="18">
        <f>SUM(G4:G43)</f>
        <v/>
      </c>
      <c r="H44" s="18">
        <f>SUM(H4:H43)</f>
        <v/>
      </c>
      <c r="I44" s="18">
        <f>SUM(I4:I43)</f>
        <v/>
      </c>
      <c r="J44" s="18">
        <f>SUM(J4:J43)</f>
        <v/>
      </c>
      <c r="K44" s="18">
        <f>SUM(K4:K43)</f>
        <v/>
      </c>
      <c r="L44" s="18">
        <f>SUM(L4:L43)</f>
        <v/>
      </c>
      <c r="M44" s="18">
        <f>SUM(M4:M43)</f>
        <v/>
      </c>
      <c r="N44" s="18">
        <f>SUM(N4:N43)</f>
        <v/>
      </c>
      <c r="O44" s="18">
        <f>SUM(O4:O43)</f>
        <v/>
      </c>
      <c r="P44" s="18">
        <f>SUM(P4:P43)</f>
        <v/>
      </c>
      <c r="Q44" s="18">
        <f>SUM(Q4:Q43)</f>
        <v/>
      </c>
      <c r="R44" s="18">
        <f>SUM(R4:R43)</f>
        <v/>
      </c>
      <c r="S44" s="18">
        <f>SUM(S4:S43)</f>
        <v/>
      </c>
      <c r="T44" s="18">
        <f>SUM(T4:T43)</f>
        <v/>
      </c>
      <c r="U44" s="18">
        <f>SUM(U4:U43)</f>
        <v/>
      </c>
      <c r="V44" s="18">
        <f>SUM(V4:V43)</f>
        <v/>
      </c>
      <c r="W44" s="18">
        <f>SUM(W4:W43)</f>
        <v/>
      </c>
      <c r="X44" s="18">
        <f>SUM(X4:X43)</f>
        <v/>
      </c>
      <c r="Y44" s="18">
        <f>SUM(Y4:Y43)</f>
        <v/>
      </c>
      <c r="Z44" s="18">
        <f>SUM(Z4:Z43)</f>
        <v/>
      </c>
      <c r="AA44" s="18">
        <f>SUM(AA4:AA43)</f>
        <v/>
      </c>
      <c r="AB44" s="18">
        <f>SUM(AB4:AB43)</f>
        <v/>
      </c>
      <c r="AC44" s="18">
        <f>SUM(AC4:AC43)</f>
        <v/>
      </c>
      <c r="AD44" s="18">
        <f>SUM(AD4:AD43)</f>
        <v/>
      </c>
      <c r="AE44" s="18">
        <f>SUM(AE4:AE43)</f>
        <v/>
      </c>
      <c r="AF44" s="18">
        <f>SUM(AF4:AF43)</f>
        <v/>
      </c>
      <c r="AG44" s="18">
        <f>SUM(AG4:AG43)</f>
        <v/>
      </c>
      <c r="AH44" s="18">
        <f>SUM(AH4:AH43)</f>
        <v/>
      </c>
    </row>
    <row r="45" ht="6" customHeight="1"/>
    <row r="46" ht="17" customHeight="1">
      <c r="A46" s="1" t="inlineStr">
        <is>
          <t>GASOLINA - TRITURADORA ROCA DURA SAN MIGUEL  (SEMANA 32)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 ht="14" customHeight="1">
      <c r="A47" s="3" t="inlineStr">
        <is>
          <t>NO.</t>
        </is>
      </c>
      <c r="B47" s="3" t="inlineStr">
        <is>
          <t>RESPONSABLE</t>
        </is>
      </c>
      <c r="C47" s="3" t="inlineStr">
        <is>
          <t>CENTRO DE TRABAJO</t>
        </is>
      </c>
      <c r="D47" s="3" t="inlineStr">
        <is>
          <t>UNIDAD / EQUIPO</t>
        </is>
      </c>
      <c r="E47" s="3" t="inlineStr">
        <is>
          <t>PLACAS</t>
        </is>
      </c>
      <c r="F47" s="3" t="inlineStr">
        <is>
          <t>IMPORTE AUTORIZADO</t>
        </is>
      </c>
      <c r="G47" s="4" t="inlineStr">
        <is>
          <t>LUN 03/AGO</t>
        </is>
      </c>
      <c r="H47" s="2" t="n"/>
      <c r="I47" s="2" t="n"/>
      <c r="J47" s="2" t="n"/>
      <c r="K47" s="4" t="inlineStr">
        <is>
          <t>MAR 04/AGO</t>
        </is>
      </c>
      <c r="L47" s="2" t="n"/>
      <c r="M47" s="2" t="n"/>
      <c r="N47" s="2" t="n"/>
      <c r="O47" s="4" t="inlineStr">
        <is>
          <t>MIÉ 05/AGO</t>
        </is>
      </c>
      <c r="P47" s="2" t="n"/>
      <c r="Q47" s="2" t="n"/>
      <c r="R47" s="2" t="n"/>
      <c r="S47" s="4" t="inlineStr">
        <is>
          <t>JUE 06/AGO</t>
        </is>
      </c>
      <c r="T47" s="2" t="n"/>
      <c r="U47" s="2" t="n"/>
      <c r="V47" s="2" t="n"/>
      <c r="W47" s="4" t="inlineStr">
        <is>
          <t>VIE 07/AGO</t>
        </is>
      </c>
      <c r="X47" s="2" t="n"/>
      <c r="Y47" s="2" t="n"/>
      <c r="Z47" s="2" t="n"/>
      <c r="AA47" s="4" t="inlineStr">
        <is>
          <t>SÁB 08/AGO</t>
        </is>
      </c>
      <c r="AB47" s="2" t="n"/>
      <c r="AC47" s="2" t="n"/>
      <c r="AD47" s="4" t="inlineStr">
        <is>
          <t>DOM 02/AGO</t>
        </is>
      </c>
      <c r="AE47" s="2" t="n"/>
      <c r="AF47" s="2" t="n"/>
      <c r="AG47" s="5" t="inlineStr">
        <is>
          <t>REMANENTE
(SALDO)</t>
        </is>
      </c>
      <c r="AH47" s="3" t="inlineStr">
        <is>
          <t>CONSUMO
SEMANAL</t>
        </is>
      </c>
    </row>
    <row r="48" ht="13" customHeight="1">
      <c r="A48" s="6" t="n"/>
      <c r="B48" s="6" t="n"/>
      <c r="C48" s="6" t="n"/>
      <c r="D48" s="6" t="n"/>
      <c r="E48" s="6" t="n"/>
      <c r="F48" s="6" t="n"/>
      <c r="G48" s="7" t="inlineStr">
        <is>
          <t>LEVET</t>
        </is>
      </c>
      <c r="H48" s="7" t="inlineStr">
        <is>
          <t>MOBILE</t>
        </is>
      </c>
      <c r="I48" s="7" t="inlineStr">
        <is>
          <t>TICKET</t>
        </is>
      </c>
      <c r="J48" s="7" t="inlineStr">
        <is>
          <t>SI VALE</t>
        </is>
      </c>
      <c r="K48" s="7" t="inlineStr">
        <is>
          <t>LEVET</t>
        </is>
      </c>
      <c r="L48" s="7" t="inlineStr">
        <is>
          <t>MOBILE</t>
        </is>
      </c>
      <c r="M48" s="7" t="inlineStr">
        <is>
          <t>TICKET</t>
        </is>
      </c>
      <c r="N48" s="7" t="inlineStr">
        <is>
          <t>SI VALE</t>
        </is>
      </c>
      <c r="O48" s="7" t="inlineStr">
        <is>
          <t>LEVET</t>
        </is>
      </c>
      <c r="P48" s="7" t="inlineStr">
        <is>
          <t>MOBILE</t>
        </is>
      </c>
      <c r="Q48" s="7" t="inlineStr">
        <is>
          <t>TICKET</t>
        </is>
      </c>
      <c r="R48" s="7" t="inlineStr">
        <is>
          <t>SI VALE</t>
        </is>
      </c>
      <c r="S48" s="7" t="inlineStr">
        <is>
          <t>LEVET</t>
        </is>
      </c>
      <c r="T48" s="7" t="inlineStr">
        <is>
          <t>MOBILE</t>
        </is>
      </c>
      <c r="U48" s="7" t="inlineStr">
        <is>
          <t>TICKET</t>
        </is>
      </c>
      <c r="V48" s="7" t="inlineStr">
        <is>
          <t>SI VALE</t>
        </is>
      </c>
      <c r="W48" s="7" t="inlineStr">
        <is>
          <t>LEVET</t>
        </is>
      </c>
      <c r="X48" s="7" t="inlineStr">
        <is>
          <t>MOBILE</t>
        </is>
      </c>
      <c r="Y48" s="7" t="inlineStr">
        <is>
          <t>TICKET</t>
        </is>
      </c>
      <c r="Z48" s="7" t="inlineStr">
        <is>
          <t>SI VALE</t>
        </is>
      </c>
      <c r="AA48" s="7" t="inlineStr">
        <is>
          <t>LEVET</t>
        </is>
      </c>
      <c r="AB48" s="7" t="inlineStr">
        <is>
          <t>MOBILE</t>
        </is>
      </c>
      <c r="AC48" s="7" t="inlineStr">
        <is>
          <t>SI VALE</t>
        </is>
      </c>
      <c r="AD48" s="7" t="inlineStr">
        <is>
          <t>LEVET</t>
        </is>
      </c>
      <c r="AE48" s="7" t="inlineStr">
        <is>
          <t>MOBILE</t>
        </is>
      </c>
      <c r="AF48" s="7" t="inlineStr">
        <is>
          <t>SI VALE</t>
        </is>
      </c>
      <c r="AG48" s="2" t="n"/>
      <c r="AH48" s="6" t="n"/>
    </row>
    <row r="49" ht="11.5" customHeight="1">
      <c r="A49" s="8" t="n">
        <v>1</v>
      </c>
      <c r="B49" s="9" t="inlineStr">
        <is>
          <t>CARLOS REYES TRUJANO</t>
        </is>
      </c>
      <c r="C49" s="9" t="inlineStr">
        <is>
          <t>MINA TABERNILLAS</t>
        </is>
      </c>
      <c r="D49" s="9" t="inlineStr">
        <is>
          <t>TOYOTA TACOMA</t>
        </is>
      </c>
      <c r="E49" s="8" t="inlineStr">
        <is>
          <t>33K849</t>
        </is>
      </c>
      <c r="F49" s="10" t="n">
        <v>2500</v>
      </c>
      <c r="G49" s="10" t="n">
        <v>1600.38</v>
      </c>
      <c r="H49" s="11" t="n"/>
      <c r="I49" s="11" t="n"/>
      <c r="J49" s="11" t="n"/>
      <c r="K49" s="11" t="n"/>
      <c r="L49" s="11" t="n"/>
      <c r="M49" s="11" t="n"/>
      <c r="N49" s="11" t="n"/>
      <c r="O49" s="10" t="n">
        <v>1050.2</v>
      </c>
      <c r="P49" s="11" t="n"/>
      <c r="Q49" s="11" t="n"/>
      <c r="R49" s="11" t="n"/>
      <c r="S49" s="11" t="n"/>
      <c r="T49" s="11" t="n"/>
      <c r="U49" s="11" t="n"/>
      <c r="V49" s="11" t="n"/>
      <c r="W49" s="10" t="n">
        <v>950</v>
      </c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9" t="n">
        <v>-1100.58</v>
      </c>
      <c r="AH49" s="10" t="n">
        <v>3600.58</v>
      </c>
    </row>
    <row r="50" ht="11.5" customHeight="1">
      <c r="A50" s="12" t="n">
        <v>2</v>
      </c>
      <c r="B50" s="13" t="inlineStr">
        <is>
          <t>LAZARO PINAL RIOS</t>
        </is>
      </c>
      <c r="C50" s="13" t="inlineStr">
        <is>
          <t>MINA TABERNILLAS</t>
        </is>
      </c>
      <c r="D50" s="13" t="inlineStr">
        <is>
          <t>MITSUBISHI L200</t>
        </is>
      </c>
      <c r="E50" s="12" t="inlineStr">
        <is>
          <t>MHL757A</t>
        </is>
      </c>
      <c r="F50" s="14" t="n">
        <v>1500</v>
      </c>
      <c r="G50" s="15" t="n"/>
      <c r="H50" s="15" t="n"/>
      <c r="I50" s="15" t="n"/>
      <c r="J50" s="15" t="n"/>
      <c r="K50" s="14" t="n">
        <v>1500</v>
      </c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4" t="n">
        <v>0</v>
      </c>
      <c r="AH50" s="14" t="n">
        <v>1500</v>
      </c>
    </row>
    <row r="51" ht="11.5" customHeight="1">
      <c r="A51" s="8" t="n">
        <v>3</v>
      </c>
      <c r="B51" s="9" t="inlineStr">
        <is>
          <t>ARMANDO COLIN MORENO</t>
        </is>
      </c>
      <c r="C51" s="9" t="inlineStr">
        <is>
          <t>MINA TABERNILLAS</t>
        </is>
      </c>
      <c r="D51" s="9" t="inlineStr">
        <is>
          <t>CHEVORLET</t>
        </is>
      </c>
      <c r="E51" s="8" t="inlineStr">
        <is>
          <t>PAT8298</t>
        </is>
      </c>
      <c r="F51" s="10" t="n">
        <v>2000</v>
      </c>
      <c r="G51" s="11" t="n"/>
      <c r="H51" s="11" t="n"/>
      <c r="I51" s="11" t="n"/>
      <c r="J51" s="11" t="n"/>
      <c r="K51" s="11" t="n"/>
      <c r="L51" s="11" t="n"/>
      <c r="M51" s="11" t="n"/>
      <c r="N51" s="11" t="n"/>
      <c r="O51" s="10" t="n">
        <v>457.8</v>
      </c>
      <c r="P51" s="11" t="n"/>
      <c r="Q51" s="11" t="n"/>
      <c r="R51" s="11" t="n"/>
      <c r="S51" s="11" t="n"/>
      <c r="T51" s="10" t="n">
        <v>1000</v>
      </c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0" t="n">
        <v>542.2</v>
      </c>
      <c r="AH51" s="10" t="n">
        <v>1457.8</v>
      </c>
    </row>
    <row r="52" ht="11.5" customHeight="1">
      <c r="A52" s="12" t="inlineStr"/>
      <c r="B52" s="13" t="inlineStr">
        <is>
          <t>ARMANDO COLIN MORENO</t>
        </is>
      </c>
      <c r="C52" s="13" t="inlineStr">
        <is>
          <t>MINA TABERNILLAS</t>
        </is>
      </c>
      <c r="D52" s="13" t="inlineStr">
        <is>
          <t>EQUIPO MENOR</t>
        </is>
      </c>
      <c r="E52" s="12" t="inlineStr"/>
      <c r="F52" s="14" t="n">
        <v>300</v>
      </c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4" t="n">
        <v>228.9</v>
      </c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4" t="n">
        <v>71.09999999999999</v>
      </c>
      <c r="AH52" s="14" t="n">
        <v>228.9</v>
      </c>
    </row>
    <row r="53" ht="11.5" customHeight="1">
      <c r="A53" s="8" t="n">
        <v>4</v>
      </c>
      <c r="B53" s="9" t="inlineStr">
        <is>
          <t>ABNER OSORIO BARTOLO</t>
        </is>
      </c>
      <c r="C53" s="9" t="inlineStr">
        <is>
          <t>MINA ZUMPAHUACAN</t>
        </is>
      </c>
      <c r="D53" s="9" t="inlineStr">
        <is>
          <t>MITSUBISHI L200</t>
        </is>
      </c>
      <c r="E53" s="8" t="inlineStr">
        <is>
          <t>NYZ828C</t>
        </is>
      </c>
      <c r="F53" s="10" t="n">
        <v>1500</v>
      </c>
      <c r="G53" s="10" t="n">
        <v>1451.82</v>
      </c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0" t="n">
        <v>48.18</v>
      </c>
      <c r="AH53" s="10" t="n">
        <v>1451.82</v>
      </c>
    </row>
    <row r="54" ht="11.5" customHeight="1">
      <c r="A54" s="12" t="n">
        <v>5</v>
      </c>
      <c r="B54" s="13" t="inlineStr">
        <is>
          <t>ISAAC GONZALEZ GONZALEZ</t>
        </is>
      </c>
      <c r="C54" s="13" t="inlineStr">
        <is>
          <t>MINA ZUMPAHUACAN</t>
        </is>
      </c>
      <c r="D54" s="13" t="inlineStr">
        <is>
          <t>MITSUBISHI L200</t>
        </is>
      </c>
      <c r="E54" s="12" t="inlineStr">
        <is>
          <t>NYZ839C</t>
        </is>
      </c>
      <c r="F54" s="14" t="n">
        <v>1500</v>
      </c>
      <c r="G54" s="14" t="n">
        <v>1500</v>
      </c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4" t="n">
        <v>0</v>
      </c>
      <c r="AH54" s="14" t="n">
        <v>1500</v>
      </c>
    </row>
    <row r="55" ht="11.5" customHeight="1">
      <c r="A55" s="8" t="n">
        <v>6</v>
      </c>
      <c r="B55" s="9" t="inlineStr">
        <is>
          <t>JESUS MARIN GARCIA</t>
        </is>
      </c>
      <c r="C55" s="9" t="inlineStr">
        <is>
          <t>MINA CUAJOMAC</t>
        </is>
      </c>
      <c r="D55" s="9" t="inlineStr">
        <is>
          <t>CHEVORLET</t>
        </is>
      </c>
      <c r="E55" s="8" t="inlineStr">
        <is>
          <t>PCU8771</t>
        </is>
      </c>
      <c r="F55" s="10" t="n">
        <v>2000</v>
      </c>
      <c r="G55" s="10" t="n">
        <v>2000</v>
      </c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0" t="n">
        <v>0</v>
      </c>
      <c r="AH55" s="10" t="n">
        <v>2000</v>
      </c>
    </row>
    <row r="56" ht="11.5" customHeight="1">
      <c r="A56" s="12" t="n">
        <v>7</v>
      </c>
      <c r="B56" s="13" t="inlineStr">
        <is>
          <t>MINA ZUPAHUACAN</t>
        </is>
      </c>
      <c r="C56" s="13" t="inlineStr">
        <is>
          <t>MINA ZUMPAHUACAN</t>
        </is>
      </c>
      <c r="D56" s="13" t="inlineStr">
        <is>
          <t>EQUIPO MENOR</t>
        </is>
      </c>
      <c r="E56" s="12" t="inlineStr"/>
      <c r="F56" s="14" t="n">
        <v>500</v>
      </c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4" t="n">
        <v>500</v>
      </c>
      <c r="AH56" s="14" t="n">
        <v>0</v>
      </c>
    </row>
    <row r="57" ht="13.5" customHeight="1">
      <c r="A57" s="16" t="inlineStr">
        <is>
          <t>TOTALES TRITURADORA</t>
        </is>
      </c>
      <c r="B57" s="17" t="n"/>
      <c r="C57" s="17" t="n"/>
      <c r="D57" s="17" t="n"/>
      <c r="E57" s="17" t="n"/>
      <c r="F57" s="18">
        <f>SUM(F49:F56)</f>
        <v/>
      </c>
      <c r="G57" s="18">
        <f>SUM(G49:G56)</f>
        <v/>
      </c>
      <c r="H57" s="18">
        <f>SUM(H49:H56)</f>
        <v/>
      </c>
      <c r="I57" s="18">
        <f>SUM(I49:I56)</f>
        <v/>
      </c>
      <c r="J57" s="18">
        <f>SUM(J49:J56)</f>
        <v/>
      </c>
      <c r="K57" s="18">
        <f>SUM(K49:K56)</f>
        <v/>
      </c>
      <c r="L57" s="18">
        <f>SUM(L49:L56)</f>
        <v/>
      </c>
      <c r="M57" s="18">
        <f>SUM(M49:M56)</f>
        <v/>
      </c>
      <c r="N57" s="18">
        <f>SUM(N49:N56)</f>
        <v/>
      </c>
      <c r="O57" s="18">
        <f>SUM(O49:O56)</f>
        <v/>
      </c>
      <c r="P57" s="18">
        <f>SUM(P49:P56)</f>
        <v/>
      </c>
      <c r="Q57" s="18">
        <f>SUM(Q49:Q56)</f>
        <v/>
      </c>
      <c r="R57" s="18">
        <f>SUM(R49:R56)</f>
        <v/>
      </c>
      <c r="S57" s="18">
        <f>SUM(S49:S56)</f>
        <v/>
      </c>
      <c r="T57" s="18">
        <f>SUM(T49:T56)</f>
        <v/>
      </c>
      <c r="U57" s="18">
        <f>SUM(U49:U56)</f>
        <v/>
      </c>
      <c r="V57" s="18">
        <f>SUM(V49:V56)</f>
        <v/>
      </c>
      <c r="W57" s="18">
        <f>SUM(W49:W56)</f>
        <v/>
      </c>
      <c r="X57" s="18">
        <f>SUM(X49:X56)</f>
        <v/>
      </c>
      <c r="Y57" s="18">
        <f>SUM(Y49:Y56)</f>
        <v/>
      </c>
      <c r="Z57" s="18">
        <f>SUM(Z49:Z56)</f>
        <v/>
      </c>
      <c r="AA57" s="18">
        <f>SUM(AA49:AA56)</f>
        <v/>
      </c>
      <c r="AB57" s="18">
        <f>SUM(AB49:AB56)</f>
        <v/>
      </c>
      <c r="AC57" s="18">
        <f>SUM(AC49:AC56)</f>
        <v/>
      </c>
      <c r="AD57" s="18">
        <f>SUM(AD49:AD56)</f>
        <v/>
      </c>
      <c r="AE57" s="18">
        <f>SUM(AE49:AE56)</f>
        <v/>
      </c>
      <c r="AF57" s="18">
        <f>SUM(AF49:AF56)</f>
        <v/>
      </c>
      <c r="AG57" s="18">
        <f>SUM(AG49:AG56)</f>
        <v/>
      </c>
      <c r="AH57" s="18">
        <f>SUM(AH49:AH56)</f>
        <v/>
      </c>
    </row>
  </sheetData>
  <mergeCells count="34">
    <mergeCell ref="O47:R47"/>
    <mergeCell ref="B47:B48"/>
    <mergeCell ref="W2:Z2"/>
    <mergeCell ref="G47:J47"/>
    <mergeCell ref="O2:R2"/>
    <mergeCell ref="B2:B3"/>
    <mergeCell ref="D2:D3"/>
    <mergeCell ref="AG2:AG3"/>
    <mergeCell ref="F2:F3"/>
    <mergeCell ref="AD2:AF2"/>
    <mergeCell ref="C47:C48"/>
    <mergeCell ref="S47:V47"/>
    <mergeCell ref="D47:D48"/>
    <mergeCell ref="G2:J2"/>
    <mergeCell ref="A2:A3"/>
    <mergeCell ref="F47:F48"/>
    <mergeCell ref="C2:C3"/>
    <mergeCell ref="E2:E3"/>
    <mergeCell ref="AH2:AH3"/>
    <mergeCell ref="AA2:AC2"/>
    <mergeCell ref="AG47:AG48"/>
    <mergeCell ref="AA47:AC47"/>
    <mergeCell ref="A57:E57"/>
    <mergeCell ref="S2:V2"/>
    <mergeCell ref="A47:A48"/>
    <mergeCell ref="AD47:AF47"/>
    <mergeCell ref="A1:AH1"/>
    <mergeCell ref="K47:N47"/>
    <mergeCell ref="W47:Z47"/>
    <mergeCell ref="E47:E48"/>
    <mergeCell ref="AH47:AH48"/>
    <mergeCell ref="A46:AH46"/>
    <mergeCell ref="K2:N2"/>
    <mergeCell ref="A44:E44"/>
  </mergeCells>
  <pageMargins left="0.2" right="0.2" top="0.25" bottom="0.25" header="0.5" footer="0.5"/>
  <pageSetup orientation="landscape" paperSize="5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F58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6.4" customWidth="1" min="30" max="30"/>
    <col width="8.5" customWidth="1" min="31" max="31"/>
    <col width="8.800000000000001" customWidth="1" min="32" max="32"/>
  </cols>
  <sheetData>
    <row r="1" ht="18" customHeight="1">
      <c r="A1" s="1" t="inlineStr">
        <is>
          <t>GASOLINA - J.D.J. EQUIPO Y CONSTRUCCIONES S.A. DE C.V.  (SEMANA 33)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10/AGO</t>
        </is>
      </c>
      <c r="H2" s="2" t="n"/>
      <c r="I2" s="2" t="n"/>
      <c r="J2" s="2" t="n"/>
      <c r="K2" s="4" t="inlineStr">
        <is>
          <t>MAR 11/AGO</t>
        </is>
      </c>
      <c r="L2" s="2" t="n"/>
      <c r="M2" s="2" t="n"/>
      <c r="N2" s="2" t="n"/>
      <c r="O2" s="4" t="inlineStr">
        <is>
          <t>MIÉ 12/AGO</t>
        </is>
      </c>
      <c r="P2" s="2" t="n"/>
      <c r="Q2" s="2" t="n"/>
      <c r="R2" s="2" t="n"/>
      <c r="S2" s="4" t="inlineStr">
        <is>
          <t>JUE 13/AGO</t>
        </is>
      </c>
      <c r="T2" s="2" t="n"/>
      <c r="U2" s="2" t="n"/>
      <c r="V2" s="2" t="n"/>
      <c r="W2" s="4" t="inlineStr">
        <is>
          <t>VIE 14/AGO</t>
        </is>
      </c>
      <c r="X2" s="2" t="n"/>
      <c r="Y2" s="2" t="n"/>
      <c r="Z2" s="2" t="n"/>
      <c r="AA2" s="4" t="inlineStr">
        <is>
          <t>SÁB 15/AGO</t>
        </is>
      </c>
      <c r="AB2" s="2" t="n"/>
      <c r="AC2" s="2" t="n"/>
      <c r="AD2" s="2" t="n"/>
      <c r="AE2" s="5" t="inlineStr">
        <is>
          <t>REMANENTE
(SALDO)</t>
        </is>
      </c>
      <c r="AF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TICKET</t>
        </is>
      </c>
      <c r="J3" s="7" t="inlineStr">
        <is>
          <t>SI VALE</t>
        </is>
      </c>
      <c r="K3" s="7" t="inlineStr">
        <is>
          <t>LEVET</t>
        </is>
      </c>
      <c r="L3" s="7" t="inlineStr">
        <is>
          <t>MOBILE</t>
        </is>
      </c>
      <c r="M3" s="7" t="inlineStr">
        <is>
          <t>TICKET</t>
        </is>
      </c>
      <c r="N3" s="7" t="inlineStr">
        <is>
          <t>SI VALE</t>
        </is>
      </c>
      <c r="O3" s="7" t="inlineStr">
        <is>
          <t>LEVET</t>
        </is>
      </c>
      <c r="P3" s="7" t="inlineStr">
        <is>
          <t>MOBILE</t>
        </is>
      </c>
      <c r="Q3" s="7" t="inlineStr">
        <is>
          <t>TICKET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TICKET</t>
        </is>
      </c>
      <c r="V3" s="7" t="inlineStr">
        <is>
          <t>SI VALE</t>
        </is>
      </c>
      <c r="W3" s="7" t="inlineStr">
        <is>
          <t>LEVET</t>
        </is>
      </c>
      <c r="X3" s="7" t="inlineStr">
        <is>
          <t>MOBILE</t>
        </is>
      </c>
      <c r="Y3" s="7" t="inlineStr">
        <is>
          <t>TICKET</t>
        </is>
      </c>
      <c r="Z3" s="7" t="inlineStr">
        <is>
          <t>SI VALE</t>
        </is>
      </c>
      <c r="AA3" s="7" t="inlineStr">
        <is>
          <t>LEVET</t>
        </is>
      </c>
      <c r="AB3" s="7" t="inlineStr">
        <is>
          <t>MOBILE</t>
        </is>
      </c>
      <c r="AC3" s="7" t="inlineStr">
        <is>
          <t>TICKET</t>
        </is>
      </c>
      <c r="AD3" s="7" t="inlineStr">
        <is>
          <t>SI VALE</t>
        </is>
      </c>
      <c r="AE3" s="2" t="n"/>
      <c r="AF3" s="6" t="n"/>
    </row>
    <row r="4" ht="11.5" customHeight="1">
      <c r="A4" s="8" t="n">
        <v>1</v>
      </c>
      <c r="B4" s="9" t="inlineStr">
        <is>
          <t>ING.ARMANDO  COLIN</t>
        </is>
      </c>
      <c r="C4" s="9" t="inlineStr">
        <is>
          <t>BACHEO TOLUCA</t>
        </is>
      </c>
      <c r="D4" s="9" t="inlineStr">
        <is>
          <t>CHEVROLET S10</t>
        </is>
      </c>
      <c r="E4" s="8" t="inlineStr">
        <is>
          <t>PAT8298</t>
        </is>
      </c>
      <c r="F4" s="10" t="n">
        <v>1200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0" t="n">
        <v>1200</v>
      </c>
      <c r="AF4" s="10" t="n">
        <v>0</v>
      </c>
    </row>
    <row r="5" ht="11.5" customHeight="1">
      <c r="A5" s="12" t="n">
        <v>2</v>
      </c>
      <c r="B5" s="13" t="inlineStr">
        <is>
          <t>ING.ARMANDO  COLIN</t>
        </is>
      </c>
      <c r="C5" s="13" t="inlineStr">
        <is>
          <t>BACHEO TOLUCA</t>
        </is>
      </c>
      <c r="D5" s="13" t="inlineStr">
        <is>
          <t>EQUIPO MENOR</t>
        </is>
      </c>
      <c r="E5" s="12" t="inlineStr"/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4" t="n">
        <v>500</v>
      </c>
      <c r="AF5" s="14" t="n">
        <v>0</v>
      </c>
    </row>
    <row r="6" ht="11.5" customHeight="1">
      <c r="A6" s="8" t="n">
        <v>3</v>
      </c>
      <c r="B6" s="9" t="inlineStr">
        <is>
          <t>ING. ANTONIO IBAÑEZ</t>
        </is>
      </c>
      <c r="C6" s="9" t="inlineStr">
        <is>
          <t>MAQUINARIA</t>
        </is>
      </c>
      <c r="D6" s="9" t="inlineStr">
        <is>
          <t>RAM 1200</t>
        </is>
      </c>
      <c r="E6" s="8" t="inlineStr">
        <is>
          <t>LHB188D</t>
        </is>
      </c>
      <c r="F6" s="10" t="n">
        <v>2500</v>
      </c>
      <c r="G6" s="10" t="n">
        <v>1430.28</v>
      </c>
      <c r="H6" s="11" t="n"/>
      <c r="I6" s="11" t="n"/>
      <c r="J6" s="11" t="n"/>
      <c r="K6" s="11" t="n"/>
      <c r="L6" s="11" t="n"/>
      <c r="M6" s="11" t="n"/>
      <c r="N6" s="11" t="n"/>
      <c r="O6" s="10" t="n">
        <v>1069.72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0" t="n">
        <v>0</v>
      </c>
      <c r="AF6" s="10" t="n">
        <v>2500</v>
      </c>
    </row>
    <row r="7" ht="11.5" customHeight="1">
      <c r="A7" s="12" t="n">
        <v>4</v>
      </c>
      <c r="B7" s="13" t="inlineStr">
        <is>
          <t>ING. ANTONIO IBAÑEZ</t>
        </is>
      </c>
      <c r="C7" s="13" t="inlineStr">
        <is>
          <t>MAQUINARIA</t>
        </is>
      </c>
      <c r="D7" s="13" t="inlineStr">
        <is>
          <t>EQUIPO MENOR</t>
        </is>
      </c>
      <c r="E7" s="12" t="inlineStr"/>
      <c r="F7" s="14" t="n">
        <v>500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4" t="n">
        <v>500</v>
      </c>
      <c r="AF7" s="14" t="n">
        <v>0</v>
      </c>
    </row>
    <row r="8" ht="11.5" customHeight="1">
      <c r="A8" s="8" t="n">
        <v>5</v>
      </c>
      <c r="B8" s="9" t="inlineStr">
        <is>
          <t>ALBERTO HERNANDEZ DE JESUS</t>
        </is>
      </c>
      <c r="C8" s="9" t="inlineStr">
        <is>
          <t>MAQUINARIA</t>
        </is>
      </c>
      <c r="D8" s="9" t="inlineStr">
        <is>
          <t>DODGE RAM 700</t>
        </is>
      </c>
      <c r="E8" s="8" t="inlineStr">
        <is>
          <t>NXP9814</t>
        </is>
      </c>
      <c r="F8" s="10" t="n">
        <v>1500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0" t="n">
        <v>1500</v>
      </c>
      <c r="AF8" s="10" t="n">
        <v>0</v>
      </c>
    </row>
    <row r="9" ht="11.5" customHeight="1">
      <c r="A9" s="12" t="n">
        <v>6</v>
      </c>
      <c r="B9" s="13" t="inlineStr">
        <is>
          <t>JUAN CARLOS NAZAR CHAVEZ</t>
        </is>
      </c>
      <c r="C9" s="13" t="inlineStr">
        <is>
          <t>MAQUINARIA</t>
        </is>
      </c>
      <c r="D9" s="13" t="inlineStr">
        <is>
          <t>DODGE RAM 700</t>
        </is>
      </c>
      <c r="E9" s="12" t="inlineStr">
        <is>
          <t>PCW9238</t>
        </is>
      </c>
      <c r="F9" s="14" t="n">
        <v>1500</v>
      </c>
      <c r="G9" s="14" t="n">
        <v>893.08</v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4" t="n">
        <v>1144.5</v>
      </c>
      <c r="X9" s="15" t="n"/>
      <c r="Y9" s="15" t="n"/>
      <c r="Z9" s="15" t="n"/>
      <c r="AA9" s="15" t="n"/>
      <c r="AB9" s="15" t="n"/>
      <c r="AC9" s="15" t="n"/>
      <c r="AD9" s="15" t="n"/>
      <c r="AE9" s="20" t="n">
        <v>-537.58</v>
      </c>
      <c r="AF9" s="14" t="n">
        <v>2037.58</v>
      </c>
    </row>
    <row r="10" ht="11.5" customHeight="1">
      <c r="A10" s="8" t="n">
        <v>7</v>
      </c>
      <c r="B10" s="9" t="inlineStr">
        <is>
          <t>EDGAR VELAZQUEZ ESQUIVEL</t>
        </is>
      </c>
      <c r="C10" s="9" t="inlineStr">
        <is>
          <t>MAQUINARIA</t>
        </is>
      </c>
      <c r="D10" s="9" t="inlineStr"/>
      <c r="E10" s="8" t="inlineStr">
        <is>
          <t>PCW9391</t>
        </is>
      </c>
      <c r="F10" s="10" t="n">
        <v>1500</v>
      </c>
      <c r="G10" s="11" t="n"/>
      <c r="H10" s="11" t="n"/>
      <c r="I10" s="11" t="n"/>
      <c r="J10" s="11" t="n"/>
      <c r="K10" s="10" t="n">
        <v>1400.48</v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0" t="n">
        <v>99.52</v>
      </c>
      <c r="AF10" s="10" t="n">
        <v>1400.48</v>
      </c>
    </row>
    <row r="11" ht="11.5" customHeight="1">
      <c r="A11" s="12" t="n">
        <v>8</v>
      </c>
      <c r="B11" s="13" t="inlineStr">
        <is>
          <t>ROBERTO CARLOS GARCÍA</t>
        </is>
      </c>
      <c r="C11" s="13" t="inlineStr">
        <is>
          <t>H. COLEGIO MILITAR</t>
        </is>
      </c>
      <c r="D11" s="13" t="inlineStr">
        <is>
          <t>CHANGAN ALSVIN</t>
        </is>
      </c>
      <c r="E11" s="12" t="inlineStr">
        <is>
          <t>LMH893A</t>
        </is>
      </c>
      <c r="F11" s="14" t="n">
        <v>700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4" t="n">
        <v>700</v>
      </c>
      <c r="AF11" s="14" t="n">
        <v>0</v>
      </c>
    </row>
    <row r="12" ht="11.5" customHeight="1">
      <c r="A12" s="8" t="n">
        <v>9</v>
      </c>
      <c r="B12" s="9" t="inlineStr">
        <is>
          <t>OSCAR ESTRADA LINARES</t>
        </is>
      </c>
      <c r="C12" s="9" t="inlineStr">
        <is>
          <t>EXPLANADA DAMIAN CARMONA</t>
        </is>
      </c>
      <c r="D12" s="9" t="inlineStr">
        <is>
          <t>NISSAN NP-300</t>
        </is>
      </c>
      <c r="E12" s="8" t="inlineStr">
        <is>
          <t>MAH844C</t>
        </is>
      </c>
      <c r="F12" s="10" t="n">
        <v>1500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0" t="n">
        <v>1500</v>
      </c>
      <c r="AF12" s="10" t="n">
        <v>0</v>
      </c>
    </row>
    <row r="13" ht="11.5" customHeight="1">
      <c r="A13" s="12" t="n">
        <v>10</v>
      </c>
      <c r="B13" s="13" t="inlineStr">
        <is>
          <t>DIEGO CARREOLA</t>
        </is>
      </c>
      <c r="C13" s="13" t="inlineStr">
        <is>
          <t>BACHEO TOLUCA Y C. VICENTE LOMBARDO</t>
        </is>
      </c>
      <c r="D13" s="13" t="inlineStr">
        <is>
          <t>MITSUBISHI L1200</t>
        </is>
      </c>
      <c r="E13" s="12" t="inlineStr">
        <is>
          <t>NYZ829C</t>
        </is>
      </c>
      <c r="F13" s="14" t="n">
        <v>1500</v>
      </c>
      <c r="G13" s="15" t="n"/>
      <c r="H13" s="15" t="n"/>
      <c r="I13" s="15" t="n"/>
      <c r="J13" s="15" t="n"/>
      <c r="K13" s="14" t="n">
        <v>1484.53</v>
      </c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4" t="n">
        <v>500</v>
      </c>
      <c r="AB13" s="15" t="n"/>
      <c r="AC13" s="15" t="n"/>
      <c r="AD13" s="15" t="n"/>
      <c r="AE13" s="20" t="n">
        <v>-484.53</v>
      </c>
      <c r="AF13" s="14" t="n">
        <v>1984.53</v>
      </c>
    </row>
    <row r="14" ht="11.5" customHeight="1">
      <c r="A14" s="8" t="n">
        <v>11</v>
      </c>
      <c r="B14" s="9" t="inlineStr"/>
      <c r="C14" s="9" t="inlineStr">
        <is>
          <t>BACHEO TOLUCA</t>
        </is>
      </c>
      <c r="D14" s="9" t="inlineStr">
        <is>
          <t>EQUIPO MENOR</t>
        </is>
      </c>
      <c r="E14" s="8" t="inlineStr"/>
      <c r="F14" s="10" t="n">
        <v>500</v>
      </c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0" t="n">
        <v>500</v>
      </c>
      <c r="AF14" s="10" t="n">
        <v>0</v>
      </c>
    </row>
    <row r="15" ht="11.5" customHeight="1">
      <c r="A15" s="12" t="n">
        <v>12</v>
      </c>
      <c r="B15" s="13" t="inlineStr">
        <is>
          <t>TOMAS ARANDA PROSPERO</t>
        </is>
      </c>
      <c r="C15" s="13" t="inlineStr">
        <is>
          <t>BACHEO TOLUCA Y C. VICENTE LOMBARDO</t>
        </is>
      </c>
      <c r="D15" s="13" t="inlineStr">
        <is>
          <t>DODGE RAM 4000 (3/2)</t>
        </is>
      </c>
      <c r="E15" s="12" t="inlineStr">
        <is>
          <t>LF05470</t>
        </is>
      </c>
      <c r="F15" s="14" t="n">
        <v>1500</v>
      </c>
      <c r="G15" s="14" t="n">
        <v>1500</v>
      </c>
      <c r="H15" s="15" t="n"/>
      <c r="I15" s="15" t="n"/>
      <c r="J15" s="15" t="n"/>
      <c r="K15" s="15" t="n"/>
      <c r="L15" s="14" t="n">
        <v>1500</v>
      </c>
      <c r="M15" s="12" t="inlineStr">
        <is>
          <t>a10850</t>
        </is>
      </c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20" t="n">
        <v>-1500</v>
      </c>
      <c r="AF15" s="14" t="n">
        <v>3000</v>
      </c>
    </row>
    <row r="16" ht="11.5" customHeight="1">
      <c r="A16" s="8" t="n">
        <v>13</v>
      </c>
      <c r="B16" s="9" t="inlineStr">
        <is>
          <t>JAVIER PEREZ DÍAZ</t>
        </is>
      </c>
      <c r="C16" s="9" t="inlineStr">
        <is>
          <t>OBRA MÉXICO TOLUCA</t>
        </is>
      </c>
      <c r="D16" s="9" t="inlineStr">
        <is>
          <t>MITSUBISHI 1200</t>
        </is>
      </c>
      <c r="E16" s="8" t="inlineStr">
        <is>
          <t>MHL758A</t>
        </is>
      </c>
      <c r="F16" s="10" t="n">
        <v>1500</v>
      </c>
      <c r="G16" s="10" t="n">
        <v>1369.44</v>
      </c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0" t="n">
        <v>900.02</v>
      </c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9" t="n">
        <v>-769.46</v>
      </c>
      <c r="AF16" s="10" t="n">
        <v>2269.46</v>
      </c>
    </row>
    <row r="17" ht="11.5" customHeight="1">
      <c r="A17" s="12" t="inlineStr"/>
      <c r="B17" s="13" t="inlineStr">
        <is>
          <t>JAVIER PEREZ DÍAZ</t>
        </is>
      </c>
      <c r="C17" s="13" t="inlineStr">
        <is>
          <t>OBRA MÉXICO TOLUCA</t>
        </is>
      </c>
      <c r="D17" s="13" t="inlineStr"/>
      <c r="E17" s="12" t="inlineStr">
        <is>
          <t>MHL755A</t>
        </is>
      </c>
      <c r="F17" s="14" t="n">
        <v>2500</v>
      </c>
      <c r="G17" s="15" t="n"/>
      <c r="H17" s="15" t="n"/>
      <c r="I17" s="15" t="n"/>
      <c r="J17" s="15" t="n"/>
      <c r="K17" s="14" t="n">
        <v>1500</v>
      </c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4" t="n">
        <v>1000</v>
      </c>
      <c r="AF17" s="14" t="n">
        <v>1500</v>
      </c>
    </row>
    <row r="18" ht="11.5" customHeight="1">
      <c r="A18" s="8" t="inlineStr"/>
      <c r="B18" s="9" t="inlineStr">
        <is>
          <t>JAVIER PEREZ DÍAZ</t>
        </is>
      </c>
      <c r="C18" s="9" t="inlineStr">
        <is>
          <t>OBRA MÉXICO TOLUCA</t>
        </is>
      </c>
      <c r="D18" s="9" t="inlineStr">
        <is>
          <t>EQUIPO MENOR</t>
        </is>
      </c>
      <c r="E18" s="8" t="inlineStr"/>
      <c r="F18" s="10" t="n">
        <v>300</v>
      </c>
      <c r="G18" s="10" t="n">
        <v>500</v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9" t="n">
        <v>-200</v>
      </c>
      <c r="AF18" s="10" t="n">
        <v>500</v>
      </c>
    </row>
    <row r="19" ht="11.5" customHeight="1">
      <c r="A19" s="12" t="n">
        <v>14</v>
      </c>
      <c r="B19" s="13" t="inlineStr">
        <is>
          <t>ALEXIS SAMUEL RENDON DOMINGUEZ</t>
        </is>
      </c>
      <c r="C19" s="13" t="inlineStr">
        <is>
          <t>OBRA MÉXICO TOLUCA</t>
        </is>
      </c>
      <c r="D19" s="13" t="inlineStr">
        <is>
          <t>TOYOTA HIACE (URBAN)</t>
        </is>
      </c>
      <c r="E19" s="12" t="inlineStr">
        <is>
          <t>PBT1230</t>
        </is>
      </c>
      <c r="F19" s="14" t="n">
        <v>2500</v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4" t="n">
        <v>2500</v>
      </c>
      <c r="AF19" s="14" t="n">
        <v>0</v>
      </c>
    </row>
    <row r="20" ht="11.5" customHeight="1">
      <c r="A20" s="8" t="n">
        <v>15</v>
      </c>
      <c r="B20" s="9" t="inlineStr">
        <is>
          <t>CRISTIAN REYES GAMORA</t>
        </is>
      </c>
      <c r="C20" s="9" t="inlineStr">
        <is>
          <t>OBRA MÉXICO TOLUCA</t>
        </is>
      </c>
      <c r="D20" s="9" t="inlineStr">
        <is>
          <t>DODGE RAM 4000 (3/2)</t>
        </is>
      </c>
      <c r="E20" s="8" t="inlineStr">
        <is>
          <t>LH49730</t>
        </is>
      </c>
      <c r="F20" s="10" t="n">
        <v>4000</v>
      </c>
      <c r="G20" s="11" t="n"/>
      <c r="H20" s="10" t="n">
        <v>2669.44</v>
      </c>
      <c r="I20" s="8" t="inlineStr">
        <is>
          <t>A10829</t>
        </is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0" t="n">
        <v>1330</v>
      </c>
      <c r="U20" s="8" t="inlineStr">
        <is>
          <t>a10882</t>
        </is>
      </c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0" t="n">
        <v>0.5600000000000001</v>
      </c>
      <c r="AF20" s="10" t="n">
        <v>3999.44</v>
      </c>
    </row>
    <row r="21" ht="11.5" customHeight="1">
      <c r="A21" s="12" t="n">
        <v>16</v>
      </c>
      <c r="B21" s="13" t="inlineStr">
        <is>
          <t>APOLINAR REYES BOLAINA</t>
        </is>
      </c>
      <c r="C21" s="13" t="inlineStr">
        <is>
          <t>LERMA TENANGO</t>
        </is>
      </c>
      <c r="D21" s="13" t="inlineStr">
        <is>
          <t>MITSUBISHI 1200</t>
        </is>
      </c>
      <c r="E21" s="12" t="inlineStr">
        <is>
          <t>NYZ971C</t>
        </is>
      </c>
      <c r="F21" s="14" t="n">
        <v>2500</v>
      </c>
      <c r="G21" s="14" t="n">
        <v>1376.65</v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4" t="n">
        <v>1123.35</v>
      </c>
      <c r="AF21" s="14" t="n">
        <v>1376.65</v>
      </c>
    </row>
    <row r="22" ht="11.5" customHeight="1">
      <c r="A22" s="8" t="n">
        <v>17</v>
      </c>
      <c r="B22" s="9" t="inlineStr"/>
      <c r="C22" s="9" t="inlineStr"/>
      <c r="D22" s="9" t="inlineStr">
        <is>
          <t>CORTADORA DE CONCRETO</t>
        </is>
      </c>
      <c r="E22" s="8" t="inlineStr"/>
      <c r="F22" s="10" t="n">
        <v>1000</v>
      </c>
      <c r="G22" s="10" t="n">
        <v>1000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0" t="n">
        <v>0</v>
      </c>
      <c r="AF22" s="10" t="n">
        <v>1000</v>
      </c>
    </row>
    <row r="23" ht="11.5" customHeight="1">
      <c r="A23" s="12" t="n">
        <v>18</v>
      </c>
      <c r="B23" s="13" t="inlineStr"/>
      <c r="C23" s="13" t="inlineStr"/>
      <c r="D23" s="13" t="inlineStr">
        <is>
          <t>MOTOR AUXILIAR PETROLIZADORA</t>
        </is>
      </c>
      <c r="E23" s="12" t="inlineStr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4" t="n">
        <v>0</v>
      </c>
      <c r="AF23" s="14" t="n">
        <v>0</v>
      </c>
    </row>
    <row r="24" ht="11.5" customHeight="1">
      <c r="A24" s="8" t="n">
        <v>19</v>
      </c>
      <c r="B24" s="9" t="inlineStr"/>
      <c r="C24" s="9" t="inlineStr"/>
      <c r="D24" s="9" t="inlineStr">
        <is>
          <t>MOTOR AUXILIAR PIPA DE AGUA</t>
        </is>
      </c>
      <c r="E24" s="8" t="inlineStr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0" t="n">
        <v>0</v>
      </c>
      <c r="AF24" s="10" t="n">
        <v>0</v>
      </c>
    </row>
    <row r="25" ht="11.5" customHeight="1">
      <c r="A25" s="12" t="n">
        <v>20</v>
      </c>
      <c r="B25" s="13" t="inlineStr">
        <is>
          <t>LEONCIO MARTINEZ PASCACIO</t>
        </is>
      </c>
      <c r="C25" s="13" t="inlineStr">
        <is>
          <t>LERMA TENANGO</t>
        </is>
      </c>
      <c r="D25" s="13" t="inlineStr">
        <is>
          <t>MITSUBISHI 1200</t>
        </is>
      </c>
      <c r="E25" s="12" t="inlineStr">
        <is>
          <t>NYZ790C</t>
        </is>
      </c>
      <c r="F25" s="14" t="n">
        <v>1500</v>
      </c>
      <c r="G25" s="14" t="n">
        <v>1079.63</v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4" t="n">
        <v>420</v>
      </c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4" t="n">
        <v>0.37</v>
      </c>
      <c r="AF25" s="14" t="n">
        <v>1499.63</v>
      </c>
    </row>
    <row r="26" ht="11.5" customHeight="1">
      <c r="A26" s="8" t="n">
        <v>21</v>
      </c>
      <c r="B26" s="9" t="inlineStr">
        <is>
          <t>CARMELO ALVAREZ ANICETO</t>
        </is>
      </c>
      <c r="C26" s="9" t="inlineStr">
        <is>
          <t>LERMA TENANGO</t>
        </is>
      </c>
      <c r="D26" s="9" t="inlineStr">
        <is>
          <t>DODGE RAM 4000 (3/2)</t>
        </is>
      </c>
      <c r="E26" s="8" t="inlineStr">
        <is>
          <t>LH49746</t>
        </is>
      </c>
      <c r="F26" s="10" t="n">
        <v>3000</v>
      </c>
      <c r="G26" s="10" t="n">
        <v>3000</v>
      </c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0" t="n">
        <v>1000</v>
      </c>
      <c r="T26" s="11" t="n"/>
      <c r="U26" s="11" t="n"/>
      <c r="V26" s="11" t="n"/>
      <c r="W26" s="10" t="n">
        <v>500</v>
      </c>
      <c r="X26" s="11" t="n"/>
      <c r="Y26" s="11" t="n"/>
      <c r="Z26" s="11" t="n"/>
      <c r="AA26" s="11" t="n"/>
      <c r="AB26" s="11" t="n"/>
      <c r="AC26" s="11" t="n"/>
      <c r="AD26" s="11" t="n"/>
      <c r="AE26" s="19" t="n">
        <v>-1500</v>
      </c>
      <c r="AF26" s="10" t="n">
        <v>4500</v>
      </c>
    </row>
    <row r="27" ht="11.5" customHeight="1">
      <c r="A27" s="12" t="n">
        <v>22</v>
      </c>
      <c r="B27" s="13" t="inlineStr">
        <is>
          <t>DIEGO FERNANDEZ SANTIAGO</t>
        </is>
      </c>
      <c r="C27" s="13" t="inlineStr">
        <is>
          <t>LERMA TENANGO</t>
        </is>
      </c>
      <c r="D27" s="13" t="inlineStr">
        <is>
          <t>TOYOTA HIACE (URBAN)</t>
        </is>
      </c>
      <c r="E27" s="12" t="inlineStr">
        <is>
          <t>PBT1229</t>
        </is>
      </c>
      <c r="F27" s="14" t="n">
        <v>2500</v>
      </c>
      <c r="G27" s="14" t="n">
        <v>1214.43</v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4" t="n">
        <v>1285.57</v>
      </c>
      <c r="AF27" s="14" t="n">
        <v>1214.43</v>
      </c>
    </row>
    <row r="28" ht="11.5" customHeight="1">
      <c r="A28" s="8" t="n">
        <v>23</v>
      </c>
      <c r="B28" s="9" t="inlineStr">
        <is>
          <t>DAMIAN ANTONIO PUINI</t>
        </is>
      </c>
      <c r="C28" s="9" t="inlineStr">
        <is>
          <t>P. ASFALTO HUIXQUILUCAN</t>
        </is>
      </c>
      <c r="D28" s="9" t="inlineStr">
        <is>
          <t>FORD RANGER</t>
        </is>
      </c>
      <c r="E28" s="8" t="inlineStr"/>
      <c r="F28" s="10" t="n">
        <v>2500</v>
      </c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0" t="n">
        <v>500</v>
      </c>
      <c r="Y28" s="8" t="inlineStr">
        <is>
          <t>a10928</t>
        </is>
      </c>
      <c r="Z28" s="11" t="n"/>
      <c r="AA28" s="11" t="n"/>
      <c r="AB28" s="10" t="n">
        <v>500</v>
      </c>
      <c r="AC28" s="8" t="inlineStr">
        <is>
          <t>a10943</t>
        </is>
      </c>
      <c r="AD28" s="11" t="n"/>
      <c r="AE28" s="10" t="n">
        <v>1500</v>
      </c>
      <c r="AF28" s="10" t="n">
        <v>1000</v>
      </c>
    </row>
    <row r="29" ht="11.5" customHeight="1">
      <c r="A29" s="12" t="n">
        <v>24</v>
      </c>
      <c r="B29" s="13" t="inlineStr">
        <is>
          <t>LUIS VALDEZ</t>
        </is>
      </c>
      <c r="C29" s="13" t="inlineStr"/>
      <c r="D29" s="13" t="inlineStr">
        <is>
          <t>EQUIPO MENOR</t>
        </is>
      </c>
      <c r="E29" s="12" t="inlineStr"/>
      <c r="F29" s="14" t="n">
        <v>1000</v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4" t="n">
        <v>300</v>
      </c>
      <c r="Q29" s="12" t="inlineStr">
        <is>
          <t>A10853</t>
        </is>
      </c>
      <c r="R29" s="15" t="n"/>
      <c r="S29" s="15" t="n"/>
      <c r="T29" s="15" t="n"/>
      <c r="U29" s="15" t="n"/>
      <c r="V29" s="15" t="n"/>
      <c r="W29" s="15" t="n"/>
      <c r="X29" s="14" t="n">
        <v>300</v>
      </c>
      <c r="Y29" s="12" t="inlineStr">
        <is>
          <t>a10929</t>
        </is>
      </c>
      <c r="Z29" s="15" t="n"/>
      <c r="AA29" s="15" t="n"/>
      <c r="AB29" s="15" t="n"/>
      <c r="AC29" s="15" t="n"/>
      <c r="AD29" s="15" t="n"/>
      <c r="AE29" s="14" t="n">
        <v>400</v>
      </c>
      <c r="AF29" s="14" t="n">
        <v>600</v>
      </c>
    </row>
    <row r="30" ht="11.5" customHeight="1">
      <c r="A30" s="8" t="n">
        <v>25</v>
      </c>
      <c r="B30" s="9" t="inlineStr">
        <is>
          <t>CLEMENTE SANABRIA</t>
        </is>
      </c>
      <c r="C30" s="9" t="inlineStr">
        <is>
          <t>TRANSPORTES FLOTILLA</t>
        </is>
      </c>
      <c r="D30" s="9" t="inlineStr">
        <is>
          <t>RAM 1200</t>
        </is>
      </c>
      <c r="E30" s="8" t="inlineStr">
        <is>
          <t>LHB184D</t>
        </is>
      </c>
      <c r="F30" s="10" t="n">
        <v>2500</v>
      </c>
      <c r="G30" s="10" t="n">
        <v>2000.05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0" t="n">
        <v>2000</v>
      </c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9" t="n">
        <v>-1500.05</v>
      </c>
      <c r="AF30" s="10" t="n">
        <v>4000.05</v>
      </c>
    </row>
    <row r="31" ht="11.5" customHeight="1">
      <c r="A31" s="12" t="n">
        <v>26</v>
      </c>
      <c r="B31" s="13" t="inlineStr">
        <is>
          <t>BRYAN GABRIEL CHAVEZ ALVAREZ</t>
        </is>
      </c>
      <c r="C31" s="13" t="inlineStr">
        <is>
          <t>TRANSPORTES FLOTILLA</t>
        </is>
      </c>
      <c r="D31" s="13" t="inlineStr">
        <is>
          <t>CHEVROLET TORNADO</t>
        </is>
      </c>
      <c r="E31" s="12" t="inlineStr">
        <is>
          <t>NUZ948C</t>
        </is>
      </c>
      <c r="F31" s="14" t="n">
        <v>1000</v>
      </c>
      <c r="G31" s="15" t="n"/>
      <c r="H31" s="15" t="n"/>
      <c r="I31" s="15" t="n"/>
      <c r="J31" s="15" t="n"/>
      <c r="K31" s="14" t="n">
        <v>1000</v>
      </c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4" t="n">
        <v>300</v>
      </c>
      <c r="X31" s="15" t="n"/>
      <c r="Y31" s="15" t="n"/>
      <c r="Z31" s="15" t="n"/>
      <c r="AA31" s="15" t="n"/>
      <c r="AB31" s="15" t="n"/>
      <c r="AC31" s="15" t="n"/>
      <c r="AD31" s="15" t="n"/>
      <c r="AE31" s="20" t="n">
        <v>-300</v>
      </c>
      <c r="AF31" s="14" t="n">
        <v>1300</v>
      </c>
    </row>
    <row r="32" ht="11.5" customHeight="1">
      <c r="A32" s="8" t="n">
        <v>27</v>
      </c>
      <c r="B32" s="9" t="inlineStr"/>
      <c r="C32" s="9" t="inlineStr"/>
      <c r="D32" s="9" t="inlineStr">
        <is>
          <t>MOTORES LOWBOY</t>
        </is>
      </c>
      <c r="E32" s="8" t="inlineStr"/>
      <c r="F32" s="10" t="n">
        <v>500</v>
      </c>
      <c r="G32" s="10" t="n">
        <v>500</v>
      </c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0" t="n">
        <v>0</v>
      </c>
      <c r="AF32" s="10" t="n">
        <v>500</v>
      </c>
    </row>
    <row r="33" ht="11.5" customHeight="1">
      <c r="A33" s="12" t="n">
        <v>28</v>
      </c>
      <c r="B33" s="13" t="inlineStr"/>
      <c r="C33" s="13" t="inlineStr"/>
      <c r="D33" s="13" t="inlineStr">
        <is>
          <t>MOTORES LOWBOY</t>
        </is>
      </c>
      <c r="E33" s="12" t="inlineStr"/>
      <c r="F33" s="14" t="n">
        <v>500</v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4" t="n">
        <v>500</v>
      </c>
      <c r="X33" s="15" t="n"/>
      <c r="Y33" s="15" t="n"/>
      <c r="Z33" s="15" t="n"/>
      <c r="AA33" s="15" t="n"/>
      <c r="AB33" s="15" t="n"/>
      <c r="AC33" s="15" t="n"/>
      <c r="AD33" s="15" t="n"/>
      <c r="AE33" s="14" t="n">
        <v>0</v>
      </c>
      <c r="AF33" s="14" t="n">
        <v>500</v>
      </c>
    </row>
    <row r="34" ht="11.5" customHeight="1">
      <c r="A34" s="8" t="n">
        <v>29</v>
      </c>
      <c r="B34" s="9" t="inlineStr">
        <is>
          <t>ROBERTO ORTEGA</t>
        </is>
      </c>
      <c r="C34" s="9" t="inlineStr"/>
      <c r="D34" s="9" t="inlineStr"/>
      <c r="E34" s="8" t="inlineStr">
        <is>
          <t>MNX601B</t>
        </is>
      </c>
      <c r="F34" s="10" t="n">
        <v>800</v>
      </c>
      <c r="G34" s="10" t="n">
        <v>800</v>
      </c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0" t="n">
        <v>700</v>
      </c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9" t="n">
        <v>-700</v>
      </c>
      <c r="AF34" s="10" t="n">
        <v>1500</v>
      </c>
    </row>
    <row r="35" ht="11.5" customHeight="1">
      <c r="A35" s="12" t="n">
        <v>30</v>
      </c>
      <c r="B35" s="13" t="inlineStr"/>
      <c r="C35" s="13" t="inlineStr"/>
      <c r="D35" s="13" t="inlineStr">
        <is>
          <t>EQUIPO MENOR</t>
        </is>
      </c>
      <c r="E35" s="12" t="inlineStr"/>
      <c r="F35" s="14" t="n">
        <v>500</v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4" t="n">
        <v>500</v>
      </c>
      <c r="AF35" s="14" t="n">
        <v>0</v>
      </c>
    </row>
    <row r="36" ht="11.5" customHeight="1">
      <c r="A36" s="8" t="n">
        <v>31</v>
      </c>
      <c r="B36" s="9" t="inlineStr">
        <is>
          <t>JOSÉ CABELLO</t>
        </is>
      </c>
      <c r="C36" s="9" t="inlineStr">
        <is>
          <t>ESTIMACIONES</t>
        </is>
      </c>
      <c r="D36" s="9" t="inlineStr"/>
      <c r="E36" s="8" t="inlineStr">
        <is>
          <t>LHB176D</t>
        </is>
      </c>
      <c r="F36" s="10" t="n">
        <v>1500</v>
      </c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0" t="n">
        <v>800</v>
      </c>
      <c r="Q36" s="8" t="inlineStr">
        <is>
          <t>A10856</t>
        </is>
      </c>
      <c r="R36" s="11" t="n"/>
      <c r="S36" s="11" t="n"/>
      <c r="T36" s="10" t="n">
        <v>700</v>
      </c>
      <c r="U36" s="8" t="inlineStr">
        <is>
          <t>a10881</t>
        </is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0" t="n">
        <v>0</v>
      </c>
      <c r="AF36" s="10" t="n">
        <v>1500</v>
      </c>
    </row>
    <row r="37" ht="11.5" customHeight="1">
      <c r="A37" s="12" t="n">
        <v>32</v>
      </c>
      <c r="B37" s="13" t="inlineStr">
        <is>
          <t>VICTOR HUGO MARTINEZ VELAZQUEZ</t>
        </is>
      </c>
      <c r="C37" s="13" t="inlineStr">
        <is>
          <t>JALSICO</t>
        </is>
      </c>
      <c r="D37" s="13" t="inlineStr">
        <is>
          <t>RAM 1200</t>
        </is>
      </c>
      <c r="E37" s="12" t="inlineStr">
        <is>
          <t>LHB182D</t>
        </is>
      </c>
      <c r="F37" s="14" t="n">
        <v>1500</v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4" t="n">
        <v>1500</v>
      </c>
      <c r="AF37" s="14" t="n">
        <v>0</v>
      </c>
    </row>
    <row r="38" ht="11.5" customHeight="1">
      <c r="A38" s="8" t="n">
        <v>33</v>
      </c>
      <c r="B38" s="9" t="inlineStr">
        <is>
          <t>PAOLA JARAMILLO</t>
        </is>
      </c>
      <c r="C38" s="9" t="inlineStr">
        <is>
          <t>CORPORATIVO</t>
        </is>
      </c>
      <c r="D38" s="9" t="inlineStr">
        <is>
          <t>CHANGAN ALSVIN</t>
        </is>
      </c>
      <c r="E38" s="8" t="inlineStr">
        <is>
          <t>LYY085A</t>
        </is>
      </c>
      <c r="F38" s="10" t="n">
        <v>700</v>
      </c>
      <c r="G38" s="10" t="n">
        <v>700</v>
      </c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0" t="n">
        <v>0</v>
      </c>
      <c r="AF38" s="10" t="n">
        <v>700</v>
      </c>
    </row>
    <row r="39" ht="11.5" customHeight="1">
      <c r="A39" s="12" t="n">
        <v>34</v>
      </c>
      <c r="B39" s="13" t="inlineStr">
        <is>
          <t>SAMUEL ORTEGA SILVA</t>
        </is>
      </c>
      <c r="C39" s="13" t="inlineStr"/>
      <c r="D39" s="13" t="inlineStr">
        <is>
          <t>MITSUBISHI L200</t>
        </is>
      </c>
      <c r="E39" s="12" t="inlineStr">
        <is>
          <t>NZT266B</t>
        </is>
      </c>
      <c r="F39" s="14" t="n">
        <v>3000</v>
      </c>
      <c r="G39" s="14" t="n">
        <v>1000</v>
      </c>
      <c r="H39" s="15" t="n"/>
      <c r="I39" s="15" t="n"/>
      <c r="J39" s="15" t="n"/>
      <c r="K39" s="15" t="n"/>
      <c r="L39" s="14" t="n">
        <v>1500</v>
      </c>
      <c r="M39" s="12" t="inlineStr">
        <is>
          <t>A10854</t>
        </is>
      </c>
      <c r="N39" s="15" t="n"/>
      <c r="O39" s="15" t="n"/>
      <c r="P39" s="15" t="n"/>
      <c r="Q39" s="15" t="n"/>
      <c r="R39" s="15" t="n"/>
      <c r="S39" s="15" t="n"/>
      <c r="T39" s="14" t="n">
        <v>500</v>
      </c>
      <c r="U39" s="12" t="inlineStr">
        <is>
          <t>A10874</t>
        </is>
      </c>
      <c r="V39" s="15" t="n"/>
      <c r="W39" s="14" t="n">
        <v>1000</v>
      </c>
      <c r="X39" s="15" t="n"/>
      <c r="Y39" s="15" t="n"/>
      <c r="Z39" s="15" t="n"/>
      <c r="AA39" s="15" t="n"/>
      <c r="AB39" s="15" t="n"/>
      <c r="AC39" s="15" t="n"/>
      <c r="AD39" s="15" t="n"/>
      <c r="AE39" s="20" t="n">
        <v>-1000</v>
      </c>
      <c r="AF39" s="14" t="n">
        <v>4000</v>
      </c>
    </row>
    <row r="40" ht="11.5" customHeight="1">
      <c r="A40" s="8" t="n">
        <v>35</v>
      </c>
      <c r="B40" s="9" t="inlineStr">
        <is>
          <t>CRISTOBAL SILVA</t>
        </is>
      </c>
      <c r="C40" s="9" t="inlineStr"/>
      <c r="D40" s="9" t="inlineStr">
        <is>
          <t>RAM 1200</t>
        </is>
      </c>
      <c r="E40" s="8" t="inlineStr">
        <is>
          <t>LKV206D</t>
        </is>
      </c>
      <c r="F40" s="10" t="n">
        <v>1500</v>
      </c>
      <c r="G40" s="10" t="n">
        <v>1500</v>
      </c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0" t="n">
        <v>0</v>
      </c>
      <c r="AF40" s="10" t="n">
        <v>1500</v>
      </c>
    </row>
    <row r="41" ht="11.5" customHeight="1">
      <c r="A41" s="12" t="n">
        <v>36</v>
      </c>
      <c r="B41" s="13" t="inlineStr">
        <is>
          <t>CRISTOBAL SILVA</t>
        </is>
      </c>
      <c r="C41" s="13" t="inlineStr"/>
      <c r="D41" s="13" t="inlineStr">
        <is>
          <t>RAM 1200</t>
        </is>
      </c>
      <c r="E41" s="12" t="inlineStr">
        <is>
          <t>LKC794D</t>
        </is>
      </c>
      <c r="F41" s="14" t="n">
        <v>1500</v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4" t="n">
        <v>1500</v>
      </c>
      <c r="AF41" s="14" t="n">
        <v>0</v>
      </c>
    </row>
    <row r="42" ht="11.5" customHeight="1">
      <c r="A42" s="8" t="n">
        <v>37</v>
      </c>
      <c r="B42" s="9" t="inlineStr"/>
      <c r="C42" s="9" t="inlineStr"/>
      <c r="D42" s="9" t="inlineStr">
        <is>
          <t>RAM 1200</t>
        </is>
      </c>
      <c r="E42" s="8" t="inlineStr">
        <is>
          <t>LKC789D</t>
        </is>
      </c>
      <c r="F42" s="10" t="n">
        <v>1500</v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0" t="n">
        <v>1500</v>
      </c>
      <c r="AF42" s="10" t="n">
        <v>0</v>
      </c>
    </row>
    <row r="43" ht="11.5" customHeight="1">
      <c r="A43" s="12" t="n">
        <v>38</v>
      </c>
      <c r="B43" s="13" t="inlineStr">
        <is>
          <t>HENRY</t>
        </is>
      </c>
      <c r="C43" s="13" t="inlineStr"/>
      <c r="D43" s="13" t="inlineStr"/>
      <c r="E43" s="12" t="inlineStr">
        <is>
          <t>NXP4918</t>
        </is>
      </c>
      <c r="F43" s="14" t="n">
        <v>800</v>
      </c>
      <c r="G43" s="14" t="n">
        <v>800</v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4" t="n">
        <v>0</v>
      </c>
      <c r="AF43" s="14" t="n">
        <v>800</v>
      </c>
    </row>
    <row r="44" ht="11.5" customHeight="1">
      <c r="A44" s="8" t="n">
        <v>39</v>
      </c>
      <c r="B44" s="9" t="inlineStr">
        <is>
          <t>JACK</t>
        </is>
      </c>
      <c r="C44" s="9" t="inlineStr">
        <is>
          <t>PLANTA PEGASO</t>
        </is>
      </c>
      <c r="D44" s="9" t="inlineStr"/>
      <c r="E44" s="8" t="inlineStr">
        <is>
          <t>PAT8298</t>
        </is>
      </c>
      <c r="F44" s="10" t="n">
        <v>1500</v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0" t="n">
        <v>1000</v>
      </c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0" t="n">
        <v>500</v>
      </c>
      <c r="AF44" s="10" t="n">
        <v>1000</v>
      </c>
    </row>
    <row r="45" ht="13.5" customHeight="1">
      <c r="A45" s="16" t="inlineStr">
        <is>
          <t>TOTALES J.D.J.</t>
        </is>
      </c>
      <c r="B45" s="17" t="n"/>
      <c r="C45" s="17" t="n"/>
      <c r="D45" s="17" t="n"/>
      <c r="E45" s="17" t="n"/>
      <c r="F45" s="18">
        <f>SUM(F4:F44)</f>
        <v/>
      </c>
      <c r="G45" s="18">
        <f>SUM(G4:G44)</f>
        <v/>
      </c>
      <c r="H45" s="18">
        <f>SUM(H4:H44)</f>
        <v/>
      </c>
      <c r="I45" s="18">
        <f>SUM(I4:I44)</f>
        <v/>
      </c>
      <c r="J45" s="18">
        <f>SUM(J4:J44)</f>
        <v/>
      </c>
      <c r="K45" s="18">
        <f>SUM(K4:K44)</f>
        <v/>
      </c>
      <c r="L45" s="18">
        <f>SUM(L4:L44)</f>
        <v/>
      </c>
      <c r="M45" s="18">
        <f>SUM(M4:M44)</f>
        <v/>
      </c>
      <c r="N45" s="18">
        <f>SUM(N4:N44)</f>
        <v/>
      </c>
      <c r="O45" s="18">
        <f>SUM(O4:O44)</f>
        <v/>
      </c>
      <c r="P45" s="18">
        <f>SUM(P4:P44)</f>
        <v/>
      </c>
      <c r="Q45" s="18">
        <f>SUM(Q4:Q44)</f>
        <v/>
      </c>
      <c r="R45" s="18">
        <f>SUM(R4:R44)</f>
        <v/>
      </c>
      <c r="S45" s="18">
        <f>SUM(S4:S44)</f>
        <v/>
      </c>
      <c r="T45" s="18">
        <f>SUM(T4:T44)</f>
        <v/>
      </c>
      <c r="U45" s="18">
        <f>SUM(U4:U44)</f>
        <v/>
      </c>
      <c r="V45" s="18">
        <f>SUM(V4:V44)</f>
        <v/>
      </c>
      <c r="W45" s="18">
        <f>SUM(W4:W44)</f>
        <v/>
      </c>
      <c r="X45" s="18">
        <f>SUM(X4:X44)</f>
        <v/>
      </c>
      <c r="Y45" s="18">
        <f>SUM(Y4:Y44)</f>
        <v/>
      </c>
      <c r="Z45" s="18">
        <f>SUM(Z4:Z44)</f>
        <v/>
      </c>
      <c r="AA45" s="18">
        <f>SUM(AA4:AA44)</f>
        <v/>
      </c>
      <c r="AB45" s="18">
        <f>SUM(AB4:AB44)</f>
        <v/>
      </c>
      <c r="AC45" s="18">
        <f>SUM(AC4:AC44)</f>
        <v/>
      </c>
      <c r="AD45" s="18">
        <f>SUM(AD4:AD44)</f>
        <v/>
      </c>
      <c r="AE45" s="18">
        <f>SUM(AE4:AE44)</f>
        <v/>
      </c>
      <c r="AF45" s="18">
        <f>SUM(AF4:AF44)</f>
        <v/>
      </c>
    </row>
    <row r="46" ht="6" customHeight="1"/>
    <row r="47" ht="17" customHeight="1">
      <c r="A47" s="1" t="inlineStr">
        <is>
          <t>GASOLINA - TRITURADORA ROCA DURA SAN MIGUEL  (SEMANA 33)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</row>
    <row r="48" ht="14" customHeight="1">
      <c r="A48" s="3" t="inlineStr">
        <is>
          <t>NO.</t>
        </is>
      </c>
      <c r="B48" s="3" t="inlineStr">
        <is>
          <t>RESPONSABLE</t>
        </is>
      </c>
      <c r="C48" s="3" t="inlineStr">
        <is>
          <t>CENTRO DE TRABAJO</t>
        </is>
      </c>
      <c r="D48" s="3" t="inlineStr">
        <is>
          <t>UNIDAD / EQUIPO</t>
        </is>
      </c>
      <c r="E48" s="3" t="inlineStr">
        <is>
          <t>PLACAS</t>
        </is>
      </c>
      <c r="F48" s="3" t="inlineStr">
        <is>
          <t>IMPORTE AUTORIZADO</t>
        </is>
      </c>
      <c r="G48" s="4" t="inlineStr">
        <is>
          <t>LUN 10/AGO</t>
        </is>
      </c>
      <c r="H48" s="2" t="n"/>
      <c r="I48" s="2" t="n"/>
      <c r="J48" s="2" t="n"/>
      <c r="K48" s="4" t="inlineStr">
        <is>
          <t>MAR 11/AGO</t>
        </is>
      </c>
      <c r="L48" s="2" t="n"/>
      <c r="M48" s="2" t="n"/>
      <c r="N48" s="2" t="n"/>
      <c r="O48" s="4" t="inlineStr">
        <is>
          <t>MIÉ 12/AGO</t>
        </is>
      </c>
      <c r="P48" s="2" t="n"/>
      <c r="Q48" s="2" t="n"/>
      <c r="R48" s="2" t="n"/>
      <c r="S48" s="4" t="inlineStr">
        <is>
          <t>JUE 13/AGO</t>
        </is>
      </c>
      <c r="T48" s="2" t="n"/>
      <c r="U48" s="2" t="n"/>
      <c r="V48" s="2" t="n"/>
      <c r="W48" s="4" t="inlineStr">
        <is>
          <t>VIE 14/AGO</t>
        </is>
      </c>
      <c r="X48" s="2" t="n"/>
      <c r="Y48" s="2" t="n"/>
      <c r="Z48" s="2" t="n"/>
      <c r="AA48" s="4" t="inlineStr">
        <is>
          <t>SÁB 15/AGO</t>
        </is>
      </c>
      <c r="AB48" s="2" t="n"/>
      <c r="AC48" s="2" t="n"/>
      <c r="AD48" s="2" t="n"/>
      <c r="AE48" s="5" t="inlineStr">
        <is>
          <t>REMANENTE
(SALDO)</t>
        </is>
      </c>
      <c r="AF48" s="3" t="inlineStr">
        <is>
          <t>CONSUMO
SEMANAL</t>
        </is>
      </c>
    </row>
    <row r="49" ht="13" customHeight="1">
      <c r="A49" s="6" t="n"/>
      <c r="B49" s="6" t="n"/>
      <c r="C49" s="6" t="n"/>
      <c r="D49" s="6" t="n"/>
      <c r="E49" s="6" t="n"/>
      <c r="F49" s="6" t="n"/>
      <c r="G49" s="7" t="inlineStr">
        <is>
          <t>LEVET</t>
        </is>
      </c>
      <c r="H49" s="7" t="inlineStr">
        <is>
          <t>MOBILE</t>
        </is>
      </c>
      <c r="I49" s="7" t="inlineStr">
        <is>
          <t>TICKET</t>
        </is>
      </c>
      <c r="J49" s="7" t="inlineStr">
        <is>
          <t>SI VALE</t>
        </is>
      </c>
      <c r="K49" s="7" t="inlineStr">
        <is>
          <t>LEVET</t>
        </is>
      </c>
      <c r="L49" s="7" t="inlineStr">
        <is>
          <t>MOBILE</t>
        </is>
      </c>
      <c r="M49" s="7" t="inlineStr">
        <is>
          <t>TICKET</t>
        </is>
      </c>
      <c r="N49" s="7" t="inlineStr">
        <is>
          <t>SI VALE</t>
        </is>
      </c>
      <c r="O49" s="7" t="inlineStr">
        <is>
          <t>LEVET</t>
        </is>
      </c>
      <c r="P49" s="7" t="inlineStr">
        <is>
          <t>MOBILE</t>
        </is>
      </c>
      <c r="Q49" s="7" t="inlineStr">
        <is>
          <t>TICKET</t>
        </is>
      </c>
      <c r="R49" s="7" t="inlineStr">
        <is>
          <t>SI VALE</t>
        </is>
      </c>
      <c r="S49" s="7" t="inlineStr">
        <is>
          <t>LEVET</t>
        </is>
      </c>
      <c r="T49" s="7" t="inlineStr">
        <is>
          <t>MOBILE</t>
        </is>
      </c>
      <c r="U49" s="7" t="inlineStr">
        <is>
          <t>TICKET</t>
        </is>
      </c>
      <c r="V49" s="7" t="inlineStr">
        <is>
          <t>SI VALE</t>
        </is>
      </c>
      <c r="W49" s="7" t="inlineStr">
        <is>
          <t>LEVET</t>
        </is>
      </c>
      <c r="X49" s="7" t="inlineStr">
        <is>
          <t>MOBILE</t>
        </is>
      </c>
      <c r="Y49" s="7" t="inlineStr">
        <is>
          <t>TICKET</t>
        </is>
      </c>
      <c r="Z49" s="7" t="inlineStr">
        <is>
          <t>SI VALE</t>
        </is>
      </c>
      <c r="AA49" s="7" t="inlineStr">
        <is>
          <t>LEVET</t>
        </is>
      </c>
      <c r="AB49" s="7" t="inlineStr">
        <is>
          <t>MOBILE</t>
        </is>
      </c>
      <c r="AC49" s="7" t="inlineStr">
        <is>
          <t>TICKET</t>
        </is>
      </c>
      <c r="AD49" s="7" t="inlineStr">
        <is>
          <t>SI VALE</t>
        </is>
      </c>
      <c r="AE49" s="2" t="n"/>
      <c r="AF49" s="6" t="n"/>
    </row>
    <row r="50" ht="11.5" customHeight="1">
      <c r="A50" s="8" t="n">
        <v>1</v>
      </c>
      <c r="B50" s="9" t="inlineStr">
        <is>
          <t>CARLOS REYES TRUJANO</t>
        </is>
      </c>
      <c r="C50" s="9" t="inlineStr">
        <is>
          <t>MINA TABERNILLAS</t>
        </is>
      </c>
      <c r="D50" s="9" t="inlineStr">
        <is>
          <t>TOYOTA TACOMA</t>
        </is>
      </c>
      <c r="E50" s="8" t="inlineStr">
        <is>
          <t>33K849</t>
        </is>
      </c>
      <c r="F50" s="10" t="n">
        <v>2500</v>
      </c>
      <c r="G50" s="10" t="n">
        <v>1000.27</v>
      </c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0" t="n">
        <v>1500</v>
      </c>
      <c r="X50" s="11" t="n"/>
      <c r="Y50" s="11" t="n"/>
      <c r="Z50" s="11" t="n"/>
      <c r="AA50" s="11" t="n"/>
      <c r="AB50" s="11" t="n"/>
      <c r="AC50" s="11" t="n"/>
      <c r="AD50" s="11" t="n"/>
      <c r="AE50" s="19" t="n">
        <v>-0.27</v>
      </c>
      <c r="AF50" s="10" t="n">
        <v>2500.27</v>
      </c>
    </row>
    <row r="51" ht="11.5" customHeight="1">
      <c r="A51" s="12" t="n">
        <v>2</v>
      </c>
      <c r="B51" s="13" t="inlineStr">
        <is>
          <t>LAZARO PINAL RIOS</t>
        </is>
      </c>
      <c r="C51" s="13" t="inlineStr">
        <is>
          <t>MINA TABERNILLAS</t>
        </is>
      </c>
      <c r="D51" s="13" t="inlineStr">
        <is>
          <t>MITSUBISHI L200</t>
        </is>
      </c>
      <c r="E51" s="12" t="inlineStr">
        <is>
          <t>MHL757A</t>
        </is>
      </c>
      <c r="F51" s="14" t="n">
        <v>1500</v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 t="n">
        <v>1500</v>
      </c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4" t="n">
        <v>0</v>
      </c>
      <c r="AF51" s="14" t="n">
        <v>1500</v>
      </c>
    </row>
    <row r="52" ht="11.5" customHeight="1">
      <c r="A52" s="8" t="n">
        <v>3</v>
      </c>
      <c r="B52" s="9" t="inlineStr">
        <is>
          <t>ARMANDO COLIN MORENO</t>
        </is>
      </c>
      <c r="C52" s="9" t="inlineStr">
        <is>
          <t>MINA TABERNILLAS</t>
        </is>
      </c>
      <c r="D52" s="9" t="inlineStr">
        <is>
          <t>CHEVORLET</t>
        </is>
      </c>
      <c r="E52" s="8" t="inlineStr">
        <is>
          <t>PAT8298</t>
        </is>
      </c>
      <c r="F52" s="10" t="n">
        <v>2000</v>
      </c>
      <c r="G52" s="10" t="n">
        <v>1247.28</v>
      </c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0" t="n">
        <v>700</v>
      </c>
      <c r="X52" s="11" t="n"/>
      <c r="Y52" s="11" t="n"/>
      <c r="Z52" s="11" t="n"/>
      <c r="AA52" s="11" t="n"/>
      <c r="AB52" s="11" t="n"/>
      <c r="AC52" s="11" t="n"/>
      <c r="AD52" s="11" t="n"/>
      <c r="AE52" s="10" t="n">
        <v>52.72</v>
      </c>
      <c r="AF52" s="10" t="n">
        <v>1947.28</v>
      </c>
    </row>
    <row r="53" ht="11.5" customHeight="1">
      <c r="A53" s="12" t="inlineStr"/>
      <c r="B53" s="13" t="inlineStr">
        <is>
          <t>ARMANDO COLIN MORENO</t>
        </is>
      </c>
      <c r="C53" s="13" t="inlineStr">
        <is>
          <t>MINA TABERNILLAS</t>
        </is>
      </c>
      <c r="D53" s="13" t="inlineStr">
        <is>
          <t>EQUIPO MENOR</t>
        </is>
      </c>
      <c r="E53" s="12" t="inlineStr"/>
      <c r="F53" s="14" t="n">
        <v>300</v>
      </c>
      <c r="G53" s="15" t="n"/>
      <c r="H53" s="15" t="n"/>
      <c r="I53" s="15" t="n"/>
      <c r="J53" s="15" t="n"/>
      <c r="K53" s="14" t="n">
        <v>1144.5</v>
      </c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20" t="n">
        <v>-844.5</v>
      </c>
      <c r="AF53" s="14" t="n">
        <v>1144.5</v>
      </c>
    </row>
    <row r="54" ht="11.5" customHeight="1">
      <c r="A54" s="8" t="n">
        <v>4</v>
      </c>
      <c r="B54" s="9" t="inlineStr">
        <is>
          <t>ABNER OSORIO BARTOLO</t>
        </is>
      </c>
      <c r="C54" s="9" t="inlineStr">
        <is>
          <t>MINA ZUMPAHUACAN</t>
        </is>
      </c>
      <c r="D54" s="9" t="inlineStr">
        <is>
          <t>MITSUBISHI L200</t>
        </is>
      </c>
      <c r="E54" s="8" t="inlineStr">
        <is>
          <t>NYZ828C</t>
        </is>
      </c>
      <c r="F54" s="10" t="n">
        <v>1500</v>
      </c>
      <c r="G54" s="11" t="n"/>
      <c r="H54" s="11" t="n"/>
      <c r="I54" s="11" t="n"/>
      <c r="J54" s="11" t="n"/>
      <c r="K54" s="10" t="n">
        <v>1465.97</v>
      </c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0" t="n">
        <v>34.03</v>
      </c>
      <c r="AF54" s="10" t="n">
        <v>1465.97</v>
      </c>
    </row>
    <row r="55" ht="11.5" customHeight="1">
      <c r="A55" s="12" t="n">
        <v>5</v>
      </c>
      <c r="B55" s="13" t="inlineStr">
        <is>
          <t>ISAAC GONZALEZ GONZALEZ</t>
        </is>
      </c>
      <c r="C55" s="13" t="inlineStr">
        <is>
          <t>MINA ZUMPAHUACAN</t>
        </is>
      </c>
      <c r="D55" s="13" t="inlineStr">
        <is>
          <t>MITSUBISHI L200</t>
        </is>
      </c>
      <c r="E55" s="12" t="inlineStr">
        <is>
          <t>NYZ839C</t>
        </is>
      </c>
      <c r="F55" s="14" t="n">
        <v>1500</v>
      </c>
      <c r="G55" s="14" t="n">
        <v>1500</v>
      </c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4" t="n">
        <v>400</v>
      </c>
      <c r="AB55" s="15" t="n"/>
      <c r="AC55" s="15" t="n"/>
      <c r="AD55" s="15" t="n"/>
      <c r="AE55" s="20" t="n">
        <v>-400</v>
      </c>
      <c r="AF55" s="14" t="n">
        <v>1900</v>
      </c>
    </row>
    <row r="56" ht="11.5" customHeight="1">
      <c r="A56" s="8" t="n">
        <v>6</v>
      </c>
      <c r="B56" s="9" t="inlineStr">
        <is>
          <t>JESUS MARIN GARCIA</t>
        </is>
      </c>
      <c r="C56" s="9" t="inlineStr">
        <is>
          <t>MINA CUAJOMAC</t>
        </is>
      </c>
      <c r="D56" s="9" t="inlineStr">
        <is>
          <t>CHEVORLET</t>
        </is>
      </c>
      <c r="E56" s="8" t="inlineStr">
        <is>
          <t>PCU8771</t>
        </is>
      </c>
      <c r="F56" s="10" t="n">
        <v>2000</v>
      </c>
      <c r="G56" s="11" t="n"/>
      <c r="H56" s="11" t="n"/>
      <c r="I56" s="11" t="n"/>
      <c r="J56" s="11" t="n"/>
      <c r="K56" s="10" t="n">
        <v>2000</v>
      </c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0" t="n">
        <v>0</v>
      </c>
      <c r="AF56" s="10" t="n">
        <v>2000</v>
      </c>
    </row>
    <row r="57" ht="11.5" customHeight="1">
      <c r="A57" s="12" t="n">
        <v>7</v>
      </c>
      <c r="B57" s="13" t="inlineStr">
        <is>
          <t>MINA ZUPAHUACAN</t>
        </is>
      </c>
      <c r="C57" s="13" t="inlineStr">
        <is>
          <t>MINA ZUMPAHUACAN</t>
        </is>
      </c>
      <c r="D57" s="13" t="inlineStr">
        <is>
          <t>EQUIPO MENOR</t>
        </is>
      </c>
      <c r="E57" s="12" t="inlineStr"/>
      <c r="F57" s="14" t="n">
        <v>500</v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4" t="n">
        <v>500</v>
      </c>
      <c r="AF57" s="14" t="n">
        <v>0</v>
      </c>
    </row>
    <row r="58" ht="13.5" customHeight="1">
      <c r="A58" s="16" t="inlineStr">
        <is>
          <t>TOTALES TRITURADORA</t>
        </is>
      </c>
      <c r="B58" s="17" t="n"/>
      <c r="C58" s="17" t="n"/>
      <c r="D58" s="17" t="n"/>
      <c r="E58" s="17" t="n"/>
      <c r="F58" s="18">
        <f>SUM(F50:F57)</f>
        <v/>
      </c>
      <c r="G58" s="18">
        <f>SUM(G50:G57)</f>
        <v/>
      </c>
      <c r="H58" s="18">
        <f>SUM(H50:H57)</f>
        <v/>
      </c>
      <c r="I58" s="18">
        <f>SUM(I50:I57)</f>
        <v/>
      </c>
      <c r="J58" s="18">
        <f>SUM(J50:J57)</f>
        <v/>
      </c>
      <c r="K58" s="18">
        <f>SUM(K50:K57)</f>
        <v/>
      </c>
      <c r="L58" s="18">
        <f>SUM(L50:L57)</f>
        <v/>
      </c>
      <c r="M58" s="18">
        <f>SUM(M50:M57)</f>
        <v/>
      </c>
      <c r="N58" s="18">
        <f>SUM(N50:N57)</f>
        <v/>
      </c>
      <c r="O58" s="18">
        <f>SUM(O50:O57)</f>
        <v/>
      </c>
      <c r="P58" s="18">
        <f>SUM(P50:P57)</f>
        <v/>
      </c>
      <c r="Q58" s="18">
        <f>SUM(Q50:Q57)</f>
        <v/>
      </c>
      <c r="R58" s="18">
        <f>SUM(R50:R57)</f>
        <v/>
      </c>
      <c r="S58" s="18">
        <f>SUM(S50:S57)</f>
        <v/>
      </c>
      <c r="T58" s="18">
        <f>SUM(T50:T57)</f>
        <v/>
      </c>
      <c r="U58" s="18">
        <f>SUM(U50:U57)</f>
        <v/>
      </c>
      <c r="V58" s="18">
        <f>SUM(V50:V57)</f>
        <v/>
      </c>
      <c r="W58" s="18">
        <f>SUM(W50:W57)</f>
        <v/>
      </c>
      <c r="X58" s="18">
        <f>SUM(X50:X57)</f>
        <v/>
      </c>
      <c r="Y58" s="18">
        <f>SUM(Y50:Y57)</f>
        <v/>
      </c>
      <c r="Z58" s="18">
        <f>SUM(Z50:Z57)</f>
        <v/>
      </c>
      <c r="AA58" s="18">
        <f>SUM(AA50:AA57)</f>
        <v/>
      </c>
      <c r="AB58" s="18">
        <f>SUM(AB50:AB57)</f>
        <v/>
      </c>
      <c r="AC58" s="18">
        <f>SUM(AC50:AC57)</f>
        <v/>
      </c>
      <c r="AD58" s="18">
        <f>SUM(AD50:AD57)</f>
        <v/>
      </c>
      <c r="AE58" s="18">
        <f>SUM(AE50:AE57)</f>
        <v/>
      </c>
      <c r="AF58" s="18">
        <f>SUM(AF50:AF57)</f>
        <v/>
      </c>
    </row>
  </sheetData>
  <mergeCells count="32">
    <mergeCell ref="A48:A49"/>
    <mergeCell ref="E48:E49"/>
    <mergeCell ref="K48:N48"/>
    <mergeCell ref="AF48:AF49"/>
    <mergeCell ref="O48:R48"/>
    <mergeCell ref="W2:Z2"/>
    <mergeCell ref="W48:Z48"/>
    <mergeCell ref="A45:E45"/>
    <mergeCell ref="O2:R2"/>
    <mergeCell ref="B2:B3"/>
    <mergeCell ref="AA2:AD2"/>
    <mergeCell ref="AE2:AE3"/>
    <mergeCell ref="D2:D3"/>
    <mergeCell ref="F2:F3"/>
    <mergeCell ref="B48:B49"/>
    <mergeCell ref="AE48:AE49"/>
    <mergeCell ref="A1:AF1"/>
    <mergeCell ref="D48:D49"/>
    <mergeCell ref="G2:J2"/>
    <mergeCell ref="A2:A3"/>
    <mergeCell ref="C2:C3"/>
    <mergeCell ref="AF2:AF3"/>
    <mergeCell ref="E2:E3"/>
    <mergeCell ref="G48:J48"/>
    <mergeCell ref="S2:V2"/>
    <mergeCell ref="S48:V48"/>
    <mergeCell ref="AA48:AD48"/>
    <mergeCell ref="C48:C49"/>
    <mergeCell ref="A47:AF47"/>
    <mergeCell ref="F48:F49"/>
    <mergeCell ref="K2:N2"/>
    <mergeCell ref="A58:E58"/>
  </mergeCells>
  <pageMargins left="0.2" right="0.2" top="0.25" bottom="0.25" header="0.5" footer="0.5"/>
  <pageSetup orientation="landscape" paperSize="5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F55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6.4" customWidth="1" min="30" max="30"/>
    <col width="8.5" customWidth="1" min="31" max="31"/>
    <col width="8.800000000000001" customWidth="1" min="32" max="32"/>
  </cols>
  <sheetData>
    <row r="1" ht="18" customHeight="1">
      <c r="A1" s="1" t="inlineStr">
        <is>
          <t>GASOLINA - J.D.J. EQUIPO Y CONSTRUCCIONES S.A. DE C.V.  (SEMANA 34)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17/AGO</t>
        </is>
      </c>
      <c r="H2" s="2" t="n"/>
      <c r="I2" s="2" t="n"/>
      <c r="J2" s="2" t="n"/>
      <c r="K2" s="4" t="inlineStr">
        <is>
          <t>MAR 18/AGO</t>
        </is>
      </c>
      <c r="L2" s="2" t="n"/>
      <c r="M2" s="2" t="n"/>
      <c r="N2" s="2" t="n"/>
      <c r="O2" s="4" t="inlineStr">
        <is>
          <t>MIÉ 19/AGO</t>
        </is>
      </c>
      <c r="P2" s="2" t="n"/>
      <c r="Q2" s="2" t="n"/>
      <c r="R2" s="2" t="n"/>
      <c r="S2" s="4" t="inlineStr">
        <is>
          <t>JUE 20/AGO</t>
        </is>
      </c>
      <c r="T2" s="2" t="n"/>
      <c r="U2" s="2" t="n"/>
      <c r="V2" s="2" t="n"/>
      <c r="W2" s="4" t="inlineStr">
        <is>
          <t>VIE 21/AGO</t>
        </is>
      </c>
      <c r="X2" s="2" t="n"/>
      <c r="Y2" s="2" t="n"/>
      <c r="Z2" s="2" t="n"/>
      <c r="AA2" s="4" t="inlineStr">
        <is>
          <t>SÁB 22/AGO</t>
        </is>
      </c>
      <c r="AB2" s="2" t="n"/>
      <c r="AC2" s="2" t="n"/>
      <c r="AD2" s="2" t="n"/>
      <c r="AE2" s="5" t="inlineStr">
        <is>
          <t>REMANENTE
(SALDO)</t>
        </is>
      </c>
      <c r="AF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TICKET</t>
        </is>
      </c>
      <c r="J3" s="7" t="inlineStr">
        <is>
          <t>SI VALE</t>
        </is>
      </c>
      <c r="K3" s="7" t="inlineStr">
        <is>
          <t>LEVET</t>
        </is>
      </c>
      <c r="L3" s="7" t="inlineStr">
        <is>
          <t>MOBILE</t>
        </is>
      </c>
      <c r="M3" s="7" t="inlineStr">
        <is>
          <t>TICKET</t>
        </is>
      </c>
      <c r="N3" s="7" t="inlineStr">
        <is>
          <t>SI VALE</t>
        </is>
      </c>
      <c r="O3" s="7" t="inlineStr">
        <is>
          <t>LEVET</t>
        </is>
      </c>
      <c r="P3" s="7" t="inlineStr">
        <is>
          <t>MOBILE</t>
        </is>
      </c>
      <c r="Q3" s="7" t="inlineStr">
        <is>
          <t>TICKET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TICKET</t>
        </is>
      </c>
      <c r="V3" s="7" t="inlineStr">
        <is>
          <t>SI VALE</t>
        </is>
      </c>
      <c r="W3" s="7" t="inlineStr">
        <is>
          <t>LEVET</t>
        </is>
      </c>
      <c r="X3" s="7" t="inlineStr">
        <is>
          <t>MOBILE</t>
        </is>
      </c>
      <c r="Y3" s="7" t="inlineStr">
        <is>
          <t>TICKET</t>
        </is>
      </c>
      <c r="Z3" s="7" t="inlineStr">
        <is>
          <t>SI VALE</t>
        </is>
      </c>
      <c r="AA3" s="7" t="inlineStr">
        <is>
          <t>LEVET</t>
        </is>
      </c>
      <c r="AB3" s="7" t="inlineStr">
        <is>
          <t>MOBILE</t>
        </is>
      </c>
      <c r="AC3" s="7" t="inlineStr">
        <is>
          <t>TICKET</t>
        </is>
      </c>
      <c r="AD3" s="7" t="inlineStr">
        <is>
          <t>SI VALE</t>
        </is>
      </c>
      <c r="AE3" s="2" t="n"/>
      <c r="AF3" s="6" t="n"/>
    </row>
    <row r="4" ht="11.5" customHeight="1">
      <c r="A4" s="8" t="n">
        <v>1</v>
      </c>
      <c r="B4" s="9" t="inlineStr">
        <is>
          <t>ING. ANTONIO IBAÑEZ</t>
        </is>
      </c>
      <c r="C4" s="9" t="inlineStr">
        <is>
          <t>MAQUINARIA</t>
        </is>
      </c>
      <c r="D4" s="9" t="inlineStr">
        <is>
          <t>RAM 1200</t>
        </is>
      </c>
      <c r="E4" s="8" t="inlineStr">
        <is>
          <t>LHB188D</t>
        </is>
      </c>
      <c r="F4" s="10" t="n">
        <v>2500</v>
      </c>
      <c r="G4" s="10" t="n">
        <v>2000.16</v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0" t="n">
        <v>499.84</v>
      </c>
      <c r="X4" s="11" t="n"/>
      <c r="Y4" s="11" t="n"/>
      <c r="Z4" s="11" t="n"/>
      <c r="AA4" s="11" t="n"/>
      <c r="AB4" s="11" t="n"/>
      <c r="AC4" s="11" t="n"/>
      <c r="AD4" s="11" t="n"/>
      <c r="AE4" s="10" t="n">
        <v>0</v>
      </c>
      <c r="AF4" s="10" t="n">
        <v>2500</v>
      </c>
    </row>
    <row r="5" ht="11.5" customHeight="1">
      <c r="A5" s="12" t="n">
        <v>2</v>
      </c>
      <c r="B5" s="13" t="inlineStr">
        <is>
          <t>ING. ANTONIO IBAÑEZ</t>
        </is>
      </c>
      <c r="C5" s="13" t="inlineStr">
        <is>
          <t>MAQUINARIA</t>
        </is>
      </c>
      <c r="D5" s="13" t="inlineStr">
        <is>
          <t>EQUIPO MENOR</t>
        </is>
      </c>
      <c r="E5" s="12" t="inlineStr">
        <is>
          <t>S/P</t>
        </is>
      </c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4" t="n">
        <v>500</v>
      </c>
      <c r="AF5" s="14" t="n">
        <v>0</v>
      </c>
    </row>
    <row r="6" ht="11.5" customHeight="1">
      <c r="A6" s="8" t="n">
        <v>3</v>
      </c>
      <c r="B6" s="9" t="inlineStr">
        <is>
          <t>JUAN CARLOS NAZAR CHAVEZ</t>
        </is>
      </c>
      <c r="C6" s="9" t="inlineStr">
        <is>
          <t>MAQUINARIA</t>
        </is>
      </c>
      <c r="D6" s="9" t="inlineStr">
        <is>
          <t>DODGE RAM 700</t>
        </is>
      </c>
      <c r="E6" s="8" t="inlineStr">
        <is>
          <t>PCW9238</t>
        </is>
      </c>
      <c r="F6" s="10" t="n">
        <v>1500</v>
      </c>
      <c r="G6" s="10" t="n">
        <v>963.71</v>
      </c>
      <c r="H6" s="11" t="n"/>
      <c r="I6" s="11" t="n"/>
      <c r="J6" s="11" t="n"/>
      <c r="K6" s="10" t="n">
        <v>536</v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0" t="n">
        <v>0.29</v>
      </c>
      <c r="AF6" s="10" t="n">
        <v>1499.71</v>
      </c>
    </row>
    <row r="7" ht="11.5" customHeight="1">
      <c r="A7" s="12" t="n">
        <v>4</v>
      </c>
      <c r="B7" s="13" t="inlineStr">
        <is>
          <t>EDGAR VELAZQUEZ ESQUIVEL</t>
        </is>
      </c>
      <c r="C7" s="13" t="inlineStr">
        <is>
          <t>MAQUINARIA</t>
        </is>
      </c>
      <c r="D7" s="13" t="inlineStr"/>
      <c r="E7" s="12" t="inlineStr">
        <is>
          <t>PCW9391</t>
        </is>
      </c>
      <c r="F7" s="14" t="n">
        <v>1500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4" t="n">
        <v>1500</v>
      </c>
      <c r="AF7" s="14" t="n">
        <v>0</v>
      </c>
    </row>
    <row r="8" ht="11.5" customHeight="1">
      <c r="A8" s="8" t="n">
        <v>5</v>
      </c>
      <c r="B8" s="9" t="inlineStr">
        <is>
          <t>ROBERTO CARLOS GARCÍA</t>
        </is>
      </c>
      <c r="C8" s="9" t="inlineStr">
        <is>
          <t>H. COLEGIO MILITAR</t>
        </is>
      </c>
      <c r="D8" s="9" t="inlineStr">
        <is>
          <t>CHANGAN ALSVIN</t>
        </is>
      </c>
      <c r="E8" s="8" t="inlineStr">
        <is>
          <t>LMH893A</t>
        </is>
      </c>
      <c r="F8" s="10" t="n">
        <v>700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0" t="n">
        <v>700</v>
      </c>
      <c r="AF8" s="10" t="n">
        <v>0</v>
      </c>
    </row>
    <row r="9" ht="11.5" customHeight="1">
      <c r="A9" s="12" t="n">
        <v>6</v>
      </c>
      <c r="B9" s="13" t="inlineStr">
        <is>
          <t>OSCAR ESTRADA LINARES</t>
        </is>
      </c>
      <c r="C9" s="13" t="inlineStr">
        <is>
          <t>EXPLANADA DAMIAN CARMONA</t>
        </is>
      </c>
      <c r="D9" s="13" t="inlineStr">
        <is>
          <t>NISSAN NP-300</t>
        </is>
      </c>
      <c r="E9" s="12" t="inlineStr">
        <is>
          <t>MAH844C</t>
        </is>
      </c>
      <c r="F9" s="14" t="n">
        <v>1500</v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4" t="n">
        <v>1500</v>
      </c>
      <c r="AF9" s="14" t="n">
        <v>0</v>
      </c>
    </row>
    <row r="10" ht="11.5" customHeight="1">
      <c r="A10" s="8" t="n">
        <v>7</v>
      </c>
      <c r="B10" s="9" t="inlineStr">
        <is>
          <t>DIEGO CARREOLA</t>
        </is>
      </c>
      <c r="C10" s="9" t="inlineStr">
        <is>
          <t>BACHEO TOLUCA</t>
        </is>
      </c>
      <c r="D10" s="9" t="inlineStr">
        <is>
          <t>MITSUBISHI L1200</t>
        </is>
      </c>
      <c r="E10" s="8" t="inlineStr">
        <is>
          <t>NYZ829C</t>
        </is>
      </c>
      <c r="F10" s="10" t="n">
        <v>1500</v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0" t="n">
        <v>1500</v>
      </c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0" t="n">
        <v>0</v>
      </c>
      <c r="AF10" s="10" t="n">
        <v>1500</v>
      </c>
    </row>
    <row r="11" ht="11.5" customHeight="1">
      <c r="A11" s="12" t="n">
        <v>8</v>
      </c>
      <c r="B11" s="13" t="inlineStr">
        <is>
          <t>DIEGO CARREOLA</t>
        </is>
      </c>
      <c r="C11" s="13" t="inlineStr">
        <is>
          <t>BACHEO TOLUCA</t>
        </is>
      </c>
      <c r="D11" s="13" t="inlineStr">
        <is>
          <t>EQUIPO MENOR</t>
        </is>
      </c>
      <c r="E11" s="12" t="inlineStr">
        <is>
          <t>S/P</t>
        </is>
      </c>
      <c r="F11" s="14" t="n">
        <v>500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4" t="n">
        <v>300</v>
      </c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4" t="n">
        <v>200</v>
      </c>
      <c r="AF11" s="14" t="n">
        <v>300</v>
      </c>
    </row>
    <row r="12" ht="11.5" customHeight="1">
      <c r="A12" s="8" t="n">
        <v>9</v>
      </c>
      <c r="B12" s="9" t="inlineStr">
        <is>
          <t>TOMAS ARANDA PROSPERO</t>
        </is>
      </c>
      <c r="C12" s="9" t="inlineStr">
        <is>
          <t>BACHEO TOLUCA</t>
        </is>
      </c>
      <c r="D12" s="9" t="inlineStr">
        <is>
          <t>DODGE RAM 4000 (3/2)</t>
        </is>
      </c>
      <c r="E12" s="8" t="inlineStr">
        <is>
          <t>LF05470</t>
        </is>
      </c>
      <c r="F12" s="10" t="n">
        <v>1500</v>
      </c>
      <c r="G12" s="10" t="n">
        <v>1500</v>
      </c>
      <c r="H12" s="11" t="n"/>
      <c r="I12" s="11" t="n"/>
      <c r="J12" s="11" t="n"/>
      <c r="K12" s="11" t="n"/>
      <c r="L12" s="11" t="n"/>
      <c r="M12" s="11" t="n"/>
      <c r="N12" s="11" t="n"/>
      <c r="O12" s="10" t="n">
        <v>2000</v>
      </c>
      <c r="P12" s="11" t="n"/>
      <c r="Q12" s="11" t="n"/>
      <c r="R12" s="11" t="n"/>
      <c r="S12" s="10" t="n">
        <v>1500</v>
      </c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9" t="n">
        <v>-3500</v>
      </c>
      <c r="AF12" s="10" t="n">
        <v>5000</v>
      </c>
    </row>
    <row r="13" ht="11.5" customHeight="1">
      <c r="A13" s="12" t="n">
        <v>10</v>
      </c>
      <c r="B13" s="13" t="inlineStr">
        <is>
          <t>CARLOS ALARCON</t>
        </is>
      </c>
      <c r="C13" s="13" t="inlineStr">
        <is>
          <t>OBRA MÉXICO TOLUCA</t>
        </is>
      </c>
      <c r="D13" s="13" t="inlineStr">
        <is>
          <t>MITSUBISHI 1200</t>
        </is>
      </c>
      <c r="E13" s="12" t="inlineStr">
        <is>
          <t>MHL758A</t>
        </is>
      </c>
      <c r="F13" s="14" t="n">
        <v>1500</v>
      </c>
      <c r="G13" s="14" t="n">
        <v>803</v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4" t="n">
        <v>924.25</v>
      </c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20" t="n">
        <v>-227.25</v>
      </c>
      <c r="AF13" s="14" t="n">
        <v>1727.25</v>
      </c>
    </row>
    <row r="14" ht="11.5" customHeight="1">
      <c r="A14" s="8" t="n">
        <v>11</v>
      </c>
      <c r="B14" s="9" t="inlineStr">
        <is>
          <t>JAVIER PEREZ DÍAZ</t>
        </is>
      </c>
      <c r="C14" s="9" t="inlineStr">
        <is>
          <t>OBRA MÉXICO TOLUCA</t>
        </is>
      </c>
      <c r="D14" s="9" t="inlineStr">
        <is>
          <t>MITSUBICHI</t>
        </is>
      </c>
      <c r="E14" s="8" t="inlineStr">
        <is>
          <t>MHL755A</t>
        </is>
      </c>
      <c r="F14" s="10" t="n">
        <v>2500</v>
      </c>
      <c r="G14" s="10" t="n">
        <v>1379.21</v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0" t="n">
        <v>1000</v>
      </c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0" t="n">
        <v>120.79</v>
      </c>
      <c r="AF14" s="10" t="n">
        <v>2379.21</v>
      </c>
    </row>
    <row r="15" ht="11.5" customHeight="1">
      <c r="A15" s="12" t="n">
        <v>12</v>
      </c>
      <c r="B15" s="13" t="inlineStr">
        <is>
          <t>JAVIER PEREZ DÍAZ</t>
        </is>
      </c>
      <c r="C15" s="13" t="inlineStr">
        <is>
          <t>OBRA MÉXICO TOLUCA</t>
        </is>
      </c>
      <c r="D15" s="13" t="inlineStr">
        <is>
          <t>EQUIPO MENOR</t>
        </is>
      </c>
      <c r="E15" s="12" t="inlineStr">
        <is>
          <t>S/P</t>
        </is>
      </c>
      <c r="F15" s="14" t="n">
        <v>300</v>
      </c>
      <c r="G15" s="14" t="n">
        <v>300</v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4" t="n">
        <v>0</v>
      </c>
      <c r="AF15" s="14" t="n">
        <v>300</v>
      </c>
    </row>
    <row r="16" ht="11.5" customHeight="1">
      <c r="A16" s="8" t="n">
        <v>13</v>
      </c>
      <c r="B16" s="9" t="inlineStr">
        <is>
          <t>ALEXIS SAMUEL RENDON DOMINGUEZ</t>
        </is>
      </c>
      <c r="C16" s="9" t="inlineStr">
        <is>
          <t>OBRA MÉXICO TOLUCA</t>
        </is>
      </c>
      <c r="D16" s="9" t="inlineStr">
        <is>
          <t>TOYOTA HIACE (URBAN)</t>
        </is>
      </c>
      <c r="E16" s="8" t="inlineStr">
        <is>
          <t>MEF284D</t>
        </is>
      </c>
      <c r="F16" s="10" t="n">
        <v>2500</v>
      </c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0" t="n">
        <v>871.49</v>
      </c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0" t="n">
        <v>1628.51</v>
      </c>
      <c r="AF16" s="10" t="n">
        <v>871.49</v>
      </c>
    </row>
    <row r="17" ht="11.5" customHeight="1">
      <c r="A17" s="12" t="n">
        <v>14</v>
      </c>
      <c r="B17" s="13" t="inlineStr">
        <is>
          <t>CRISTIAN REYES GAMORA</t>
        </is>
      </c>
      <c r="C17" s="13" t="inlineStr">
        <is>
          <t>OBRA MÉXICO TOLUCA</t>
        </is>
      </c>
      <c r="D17" s="13" t="inlineStr">
        <is>
          <t>DODGE RAM 4000 (3/2)</t>
        </is>
      </c>
      <c r="E17" s="12" t="inlineStr">
        <is>
          <t>LH49730</t>
        </is>
      </c>
      <c r="F17" s="14" t="n">
        <v>4000</v>
      </c>
      <c r="G17" s="15" t="n"/>
      <c r="H17" s="15" t="n"/>
      <c r="I17" s="15" t="n"/>
      <c r="J17" s="15" t="n"/>
      <c r="K17" s="15" t="n"/>
      <c r="L17" s="14" t="n">
        <v>3230.61</v>
      </c>
      <c r="M17" s="12" t="inlineStr">
        <is>
          <t>a10971</t>
        </is>
      </c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4" t="n">
        <v>769.39</v>
      </c>
      <c r="AF17" s="14" t="n">
        <v>3230.61</v>
      </c>
    </row>
    <row r="18" ht="11.5" customHeight="1">
      <c r="A18" s="8" t="n">
        <v>15</v>
      </c>
      <c r="B18" s="9" t="inlineStr">
        <is>
          <t>APOLINAR REYES BOLAINA</t>
        </is>
      </c>
      <c r="C18" s="9" t="inlineStr">
        <is>
          <t>LERMA TENANGO / ALFREDO DEL MAZO</t>
        </is>
      </c>
      <c r="D18" s="9" t="inlineStr">
        <is>
          <t>MITSUBISHI 1200</t>
        </is>
      </c>
      <c r="E18" s="8" t="inlineStr">
        <is>
          <t>NYZ971C</t>
        </is>
      </c>
      <c r="F18" s="10" t="n">
        <v>2500</v>
      </c>
      <c r="G18" s="11" t="n"/>
      <c r="H18" s="11" t="n"/>
      <c r="I18" s="11" t="n"/>
      <c r="J18" s="11" t="n"/>
      <c r="K18" s="10" t="n">
        <v>1136.6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0" t="n">
        <v>1363.4</v>
      </c>
      <c r="AF18" s="10" t="n">
        <v>1136.6</v>
      </c>
    </row>
    <row r="19" ht="11.5" customHeight="1">
      <c r="A19" s="12" t="n">
        <v>16</v>
      </c>
      <c r="B19" s="13" t="inlineStr">
        <is>
          <t>APOLINAR REYES BOLAINA</t>
        </is>
      </c>
      <c r="C19" s="13" t="inlineStr">
        <is>
          <t>LERMA TENANGO / ALFREDO DEL MAZO</t>
        </is>
      </c>
      <c r="D19" s="13" t="inlineStr">
        <is>
          <t>CORTADORA DE CONCRETO</t>
        </is>
      </c>
      <c r="E19" s="12" t="inlineStr">
        <is>
          <t>S/P</t>
        </is>
      </c>
      <c r="F19" s="14" t="n">
        <v>1000</v>
      </c>
      <c r="G19" s="14" t="n">
        <v>973.74</v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4" t="n">
        <v>26.26</v>
      </c>
      <c r="AF19" s="14" t="n">
        <v>973.74</v>
      </c>
    </row>
    <row r="20" ht="11.5" customHeight="1">
      <c r="A20" s="8" t="n">
        <v>17</v>
      </c>
      <c r="B20" s="9" t="inlineStr">
        <is>
          <t>APOLINAR REYES BOLAINA</t>
        </is>
      </c>
      <c r="C20" s="9" t="inlineStr">
        <is>
          <t>LERMA TENANGO / ALFREDO DEL MAZO</t>
        </is>
      </c>
      <c r="D20" s="9" t="inlineStr">
        <is>
          <t>MOTOR AUXILIAR PETROLIZADORA</t>
        </is>
      </c>
      <c r="E20" s="8" t="inlineStr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0" t="n">
        <v>0</v>
      </c>
      <c r="AF20" s="10" t="n">
        <v>0</v>
      </c>
    </row>
    <row r="21" ht="11.5" customHeight="1">
      <c r="A21" s="12" t="n">
        <v>18</v>
      </c>
      <c r="B21" s="13" t="inlineStr">
        <is>
          <t>APOLINAR REYES BOLAINA</t>
        </is>
      </c>
      <c r="C21" s="13" t="inlineStr">
        <is>
          <t>LERMA TENANGO / ALFREDO DEL MAZO</t>
        </is>
      </c>
      <c r="D21" s="13" t="inlineStr">
        <is>
          <t>MOTOR AUXILIAR PIPA DE AGUA</t>
        </is>
      </c>
      <c r="E21" s="12" t="inlineStr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4" t="n">
        <v>0</v>
      </c>
      <c r="AF21" s="14" t="n">
        <v>0</v>
      </c>
    </row>
    <row r="22" ht="11.5" customHeight="1">
      <c r="A22" s="8" t="n">
        <v>19</v>
      </c>
      <c r="B22" s="9" t="inlineStr">
        <is>
          <t>LEONCIO MARTINEZ PASCACIO</t>
        </is>
      </c>
      <c r="C22" s="9" t="inlineStr">
        <is>
          <t>LERMA TENANGO/ALFREDO DEL MAZO</t>
        </is>
      </c>
      <c r="D22" s="9" t="inlineStr">
        <is>
          <t>MITSUBISHI 1200</t>
        </is>
      </c>
      <c r="E22" s="8" t="inlineStr">
        <is>
          <t>NYZ790C</t>
        </is>
      </c>
      <c r="F22" s="10" t="n">
        <v>1500</v>
      </c>
      <c r="G22" s="10" t="n">
        <v>1050.47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0" t="n">
        <v>449</v>
      </c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0" t="n">
        <v>0.53</v>
      </c>
      <c r="AF22" s="10" t="n">
        <v>1499.47</v>
      </c>
    </row>
    <row r="23" ht="11.5" customHeight="1">
      <c r="A23" s="12" t="n">
        <v>20</v>
      </c>
      <c r="B23" s="13" t="inlineStr">
        <is>
          <t>CARMELO ALVAREZ ANICETO</t>
        </is>
      </c>
      <c r="C23" s="13" t="inlineStr">
        <is>
          <t>LERMA TENANGO /ALFREDO DEL MAZO</t>
        </is>
      </c>
      <c r="D23" s="13" t="inlineStr">
        <is>
          <t>DODGE RAM 4000 (3/2)</t>
        </is>
      </c>
      <c r="E23" s="12" t="inlineStr">
        <is>
          <t>LH49746</t>
        </is>
      </c>
      <c r="F23" s="14" t="n">
        <v>3000</v>
      </c>
      <c r="G23" s="14" t="n">
        <v>3000</v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4" t="n">
        <v>800</v>
      </c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20" t="n">
        <v>-800</v>
      </c>
      <c r="AF23" s="14" t="n">
        <v>3800</v>
      </c>
    </row>
    <row r="24" ht="11.5" customHeight="1">
      <c r="A24" s="8" t="n">
        <v>21</v>
      </c>
      <c r="B24" s="9" t="inlineStr">
        <is>
          <t>DIEGO FERNANDEZ SANTIAGO</t>
        </is>
      </c>
      <c r="C24" s="9" t="inlineStr">
        <is>
          <t>LERMA TENANGO /ALFREDO DEL MAZO</t>
        </is>
      </c>
      <c r="D24" s="9" t="inlineStr">
        <is>
          <t>TOYOTA HIACE (URBAN)</t>
        </is>
      </c>
      <c r="E24" s="8" t="inlineStr">
        <is>
          <t>MEF289D</t>
        </is>
      </c>
      <c r="F24" s="10" t="n">
        <v>2500</v>
      </c>
      <c r="G24" s="10" t="n">
        <v>1067.48</v>
      </c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0" t="n">
        <v>1432.52</v>
      </c>
      <c r="AF24" s="10" t="n">
        <v>1067.48</v>
      </c>
    </row>
    <row r="25" ht="11.5" customHeight="1">
      <c r="A25" s="12" t="n">
        <v>22</v>
      </c>
      <c r="B25" s="13" t="inlineStr">
        <is>
          <t>DAMIAN ANTONIO PUINI</t>
        </is>
      </c>
      <c r="C25" s="13" t="inlineStr">
        <is>
          <t>P. ASFALTO HUIXQUILUCAN</t>
        </is>
      </c>
      <c r="D25" s="13" t="inlineStr">
        <is>
          <t>FORD RANGER</t>
        </is>
      </c>
      <c r="E25" s="12" t="inlineStr">
        <is>
          <t>PCU7482</t>
        </is>
      </c>
      <c r="F25" s="14" t="n">
        <v>2500</v>
      </c>
      <c r="G25" s="15" t="n"/>
      <c r="H25" s="12" t="inlineStr">
        <is>
          <t>a10954</t>
        </is>
      </c>
      <c r="I25" s="14" t="n">
        <v>1000</v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4" t="n">
        <v>1500</v>
      </c>
      <c r="U25" s="12" t="inlineStr">
        <is>
          <t>a11001</t>
        </is>
      </c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4" t="n">
        <v>0</v>
      </c>
      <c r="AF25" s="14" t="n">
        <v>2500</v>
      </c>
    </row>
    <row r="26" ht="11.5" customHeight="1">
      <c r="A26" s="8" t="n">
        <v>23</v>
      </c>
      <c r="B26" s="9" t="inlineStr">
        <is>
          <t>LUIS VALDEZ</t>
        </is>
      </c>
      <c r="C26" s="9" t="inlineStr">
        <is>
          <t>P. ASFALTO HUIXQUILUCAN</t>
        </is>
      </c>
      <c r="D26" s="9" t="inlineStr">
        <is>
          <t>EQUIPO MENOR</t>
        </is>
      </c>
      <c r="E26" s="8" t="inlineStr">
        <is>
          <t>S/P</t>
        </is>
      </c>
      <c r="F26" s="10" t="n">
        <v>1000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0" t="n">
        <v>1000</v>
      </c>
      <c r="AF26" s="10" t="n">
        <v>0</v>
      </c>
    </row>
    <row r="27" ht="11.5" customHeight="1">
      <c r="A27" s="12" t="n">
        <v>24</v>
      </c>
      <c r="B27" s="13" t="inlineStr">
        <is>
          <t>CLEMENTE SANABRIA</t>
        </is>
      </c>
      <c r="C27" s="13" t="inlineStr">
        <is>
          <t>TRANSPORTES FLOTILLA</t>
        </is>
      </c>
      <c r="D27" s="13" t="inlineStr">
        <is>
          <t>RAM 1200</t>
        </is>
      </c>
      <c r="E27" s="12" t="inlineStr">
        <is>
          <t>LHB184D</t>
        </is>
      </c>
      <c r="F27" s="14" t="n">
        <v>2500</v>
      </c>
      <c r="G27" s="15" t="n"/>
      <c r="H27" s="15" t="n"/>
      <c r="I27" s="15" t="n"/>
      <c r="J27" s="15" t="n"/>
      <c r="K27" s="14" t="n">
        <v>2000.05</v>
      </c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4" t="n">
        <v>800</v>
      </c>
      <c r="Y27" s="12" t="inlineStr">
        <is>
          <t>a11015</t>
        </is>
      </c>
      <c r="Z27" s="15" t="n"/>
      <c r="AA27" s="15" t="n"/>
      <c r="AB27" s="15" t="n"/>
      <c r="AC27" s="15" t="n"/>
      <c r="AD27" s="15" t="n"/>
      <c r="AE27" s="20" t="n">
        <v>-300.05</v>
      </c>
      <c r="AF27" s="14" t="n">
        <v>2800.05</v>
      </c>
    </row>
    <row r="28" ht="11.5" customHeight="1">
      <c r="A28" s="8" t="n">
        <v>25</v>
      </c>
      <c r="B28" s="9" t="inlineStr">
        <is>
          <t>BRYAN GABRIEL CHAVEZ ALVAREZ</t>
        </is>
      </c>
      <c r="C28" s="9" t="inlineStr">
        <is>
          <t>TRANSPORTES FLOTILLA</t>
        </is>
      </c>
      <c r="D28" s="9" t="inlineStr">
        <is>
          <t>CHEVROLET TORNADO</t>
        </is>
      </c>
      <c r="E28" s="8" t="inlineStr">
        <is>
          <t>NUZ948C</t>
        </is>
      </c>
      <c r="F28" s="10" t="n">
        <v>1000</v>
      </c>
      <c r="G28" s="10" t="n">
        <v>1000</v>
      </c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0" t="n">
        <v>0</v>
      </c>
      <c r="AF28" s="10" t="n">
        <v>1000</v>
      </c>
    </row>
    <row r="29" ht="11.5" customHeight="1">
      <c r="A29" s="12" t="n">
        <v>26</v>
      </c>
      <c r="B29" s="13" t="inlineStr">
        <is>
          <t>BRYAN GABRIEL CHAVEZ ALVAREZ</t>
        </is>
      </c>
      <c r="C29" s="13" t="inlineStr">
        <is>
          <t>TRANSPORTES FLOTILLA</t>
        </is>
      </c>
      <c r="D29" s="13" t="inlineStr">
        <is>
          <t>MOTORES LOWBOY</t>
        </is>
      </c>
      <c r="E29" s="12" t="inlineStr">
        <is>
          <t>S/P</t>
        </is>
      </c>
      <c r="F29" s="14" t="n">
        <v>500</v>
      </c>
      <c r="G29" s="14" t="n">
        <v>500</v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4" t="n">
        <v>0</v>
      </c>
      <c r="AF29" s="14" t="n">
        <v>500</v>
      </c>
    </row>
    <row r="30" ht="11.5" customHeight="1">
      <c r="A30" s="8" t="n">
        <v>27</v>
      </c>
      <c r="B30" s="9" t="inlineStr">
        <is>
          <t>BRYAN GABRIEL CHAVEZ ALVAREZ</t>
        </is>
      </c>
      <c r="C30" s="9" t="inlineStr">
        <is>
          <t>TRANSPORTES FLOTILLA</t>
        </is>
      </c>
      <c r="D30" s="9" t="inlineStr">
        <is>
          <t>MOTORES LOWBOY</t>
        </is>
      </c>
      <c r="E30" s="8" t="inlineStr">
        <is>
          <t>S/P</t>
        </is>
      </c>
      <c r="F30" s="10" t="n">
        <v>500</v>
      </c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0" t="n">
        <v>500</v>
      </c>
      <c r="X30" s="11" t="n"/>
      <c r="Y30" s="11" t="n"/>
      <c r="Z30" s="11" t="n"/>
      <c r="AA30" s="11" t="n"/>
      <c r="AB30" s="11" t="n"/>
      <c r="AC30" s="11" t="n"/>
      <c r="AD30" s="11" t="n"/>
      <c r="AE30" s="10" t="n">
        <v>0</v>
      </c>
      <c r="AF30" s="10" t="n">
        <v>500</v>
      </c>
    </row>
    <row r="31" ht="11.5" customHeight="1">
      <c r="A31" s="12" t="n">
        <v>28</v>
      </c>
      <c r="B31" s="13" t="inlineStr">
        <is>
          <t>ROBERTO ORTEGA</t>
        </is>
      </c>
      <c r="C31" s="13" t="inlineStr"/>
      <c r="D31" s="13" t="inlineStr"/>
      <c r="E31" s="12" t="inlineStr">
        <is>
          <t>MNX601B</t>
        </is>
      </c>
      <c r="F31" s="14" t="n">
        <v>800</v>
      </c>
      <c r="G31" s="14" t="n">
        <v>800</v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4" t="n">
        <v>0</v>
      </c>
      <c r="AF31" s="14" t="n">
        <v>800</v>
      </c>
    </row>
    <row r="32" ht="11.5" customHeight="1">
      <c r="A32" s="8" t="n">
        <v>29</v>
      </c>
      <c r="B32" s="9" t="inlineStr">
        <is>
          <t>ROBERTO ORTEGA</t>
        </is>
      </c>
      <c r="C32" s="9" t="inlineStr"/>
      <c r="D32" s="9" t="inlineStr">
        <is>
          <t>EQUIPO MENOR</t>
        </is>
      </c>
      <c r="E32" s="8" t="inlineStr">
        <is>
          <t>S/P</t>
        </is>
      </c>
      <c r="F32" s="10" t="n">
        <v>500</v>
      </c>
      <c r="G32" s="11" t="n"/>
      <c r="H32" s="11" t="n"/>
      <c r="I32" s="11" t="n"/>
      <c r="J32" s="11" t="n"/>
      <c r="K32" s="11" t="n"/>
      <c r="L32" s="11" t="n"/>
      <c r="M32" s="11" t="n"/>
      <c r="N32" s="11" t="n"/>
      <c r="O32" s="10" t="n">
        <v>300</v>
      </c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0" t="n">
        <v>200</v>
      </c>
      <c r="AF32" s="10" t="n">
        <v>300</v>
      </c>
    </row>
    <row r="33" ht="11.5" customHeight="1">
      <c r="A33" s="12" t="n">
        <v>30</v>
      </c>
      <c r="B33" s="13" t="inlineStr">
        <is>
          <t>JOSÉ CABELLO</t>
        </is>
      </c>
      <c r="C33" s="13" t="inlineStr">
        <is>
          <t>ESTIMACIONES</t>
        </is>
      </c>
      <c r="D33" s="13" t="inlineStr">
        <is>
          <t>MITSUBICHI MIRAGE</t>
        </is>
      </c>
      <c r="E33" s="12" t="inlineStr">
        <is>
          <t>LHB176D</t>
        </is>
      </c>
      <c r="F33" s="14" t="n">
        <v>1500</v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4" t="n">
        <v>1500</v>
      </c>
      <c r="AF33" s="14" t="n">
        <v>0</v>
      </c>
    </row>
    <row r="34" ht="11.5" customHeight="1">
      <c r="A34" s="8" t="n">
        <v>31</v>
      </c>
      <c r="B34" s="9" t="inlineStr">
        <is>
          <t>VICTOR HUGO MARTINEZ VELAZQUEZ</t>
        </is>
      </c>
      <c r="C34" s="9" t="inlineStr">
        <is>
          <t>JALISCO</t>
        </is>
      </c>
      <c r="D34" s="9" t="inlineStr">
        <is>
          <t>RAM 1200</t>
        </is>
      </c>
      <c r="E34" s="8" t="inlineStr">
        <is>
          <t>LHB182D</t>
        </is>
      </c>
      <c r="F34" s="10" t="n">
        <v>1500</v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0" t="n">
        <v>1500</v>
      </c>
      <c r="AF34" s="10" t="n">
        <v>0</v>
      </c>
    </row>
    <row r="35" ht="11.5" customHeight="1">
      <c r="A35" s="12" t="n">
        <v>32</v>
      </c>
      <c r="B35" s="13" t="inlineStr">
        <is>
          <t>PAOLA JARAMILLO</t>
        </is>
      </c>
      <c r="C35" s="13" t="inlineStr">
        <is>
          <t>CORPORATIVO</t>
        </is>
      </c>
      <c r="D35" s="13" t="inlineStr">
        <is>
          <t>CHANGAN ALSVIN</t>
        </is>
      </c>
      <c r="E35" s="12" t="inlineStr">
        <is>
          <t>LYY085A</t>
        </is>
      </c>
      <c r="F35" s="14" t="n">
        <v>700</v>
      </c>
      <c r="G35" s="15" t="n"/>
      <c r="H35" s="15" t="n"/>
      <c r="I35" s="15" t="n"/>
      <c r="J35" s="15" t="n"/>
      <c r="K35" s="14" t="n">
        <v>700</v>
      </c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4" t="n">
        <v>0</v>
      </c>
      <c r="AF35" s="14" t="n">
        <v>700</v>
      </c>
    </row>
    <row r="36" ht="11.5" customHeight="1">
      <c r="A36" s="8" t="n">
        <v>33</v>
      </c>
      <c r="B36" s="9" t="inlineStr">
        <is>
          <t>SAMUEL ORTEGA SILVA</t>
        </is>
      </c>
      <c r="C36" s="9" t="inlineStr">
        <is>
          <t>PROVIDENCIA</t>
        </is>
      </c>
      <c r="D36" s="9" t="inlineStr">
        <is>
          <t>MITSUBISHI L200</t>
        </is>
      </c>
      <c r="E36" s="8" t="inlineStr">
        <is>
          <t>NZT266B</t>
        </is>
      </c>
      <c r="F36" s="10" t="n">
        <v>3000</v>
      </c>
      <c r="G36" s="11" t="n"/>
      <c r="H36" s="10" t="n">
        <v>1200</v>
      </c>
      <c r="I36" s="8" t="inlineStr">
        <is>
          <t>a10970</t>
        </is>
      </c>
      <c r="J36" s="11" t="n"/>
      <c r="K36" s="11" t="n"/>
      <c r="L36" s="10" t="n">
        <v>1200</v>
      </c>
      <c r="M36" s="8" t="inlineStr">
        <is>
          <t>a10977</t>
        </is>
      </c>
      <c r="N36" s="11" t="n"/>
      <c r="O36" s="11" t="n"/>
      <c r="P36" s="11" t="n"/>
      <c r="Q36" s="11" t="n"/>
      <c r="R36" s="11" t="n"/>
      <c r="S36" s="10" t="n">
        <v>786.6</v>
      </c>
      <c r="T36" s="10" t="n">
        <v>600</v>
      </c>
      <c r="U36" s="8" t="inlineStr">
        <is>
          <t>a10990</t>
        </is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9" t="n">
        <v>-786.6</v>
      </c>
      <c r="AF36" s="10" t="n">
        <v>3786.6</v>
      </c>
    </row>
    <row r="37" ht="11.5" customHeight="1">
      <c r="A37" s="12" t="n">
        <v>34</v>
      </c>
      <c r="B37" s="13" t="inlineStr">
        <is>
          <t>CRISTOBAL SILVA</t>
        </is>
      </c>
      <c r="C37" s="13" t="inlineStr"/>
      <c r="D37" s="13" t="inlineStr">
        <is>
          <t>RAM 1200</t>
        </is>
      </c>
      <c r="E37" s="12" t="inlineStr">
        <is>
          <t>LKC794D</t>
        </is>
      </c>
      <c r="F37" s="14" t="n">
        <v>1500</v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4" t="n">
        <v>1000</v>
      </c>
      <c r="AC37" s="12" t="inlineStr">
        <is>
          <t>a11021</t>
        </is>
      </c>
      <c r="AD37" s="15" t="n"/>
      <c r="AE37" s="14" t="n">
        <v>500</v>
      </c>
      <c r="AF37" s="14" t="n">
        <v>1000</v>
      </c>
    </row>
    <row r="38" ht="11.5" customHeight="1">
      <c r="A38" s="8" t="n">
        <v>35</v>
      </c>
      <c r="B38" s="9" t="inlineStr">
        <is>
          <t>HENRY PINEDA</t>
        </is>
      </c>
      <c r="C38" s="9" t="inlineStr">
        <is>
          <t>TRANSPORTES</t>
        </is>
      </c>
      <c r="D38" s="9" t="inlineStr"/>
      <c r="E38" s="8" t="inlineStr">
        <is>
          <t>NXP4918</t>
        </is>
      </c>
      <c r="F38" s="10" t="n">
        <v>800</v>
      </c>
      <c r="G38" s="11" t="n"/>
      <c r="H38" s="11" t="n"/>
      <c r="I38" s="11" t="n"/>
      <c r="J38" s="11" t="n"/>
      <c r="K38" s="11" t="n"/>
      <c r="L38" s="11" t="n"/>
      <c r="M38" s="11" t="n"/>
      <c r="N38" s="11" t="n"/>
      <c r="O38" s="10" t="n">
        <v>800</v>
      </c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0" t="n">
        <v>0</v>
      </c>
      <c r="AF38" s="10" t="n">
        <v>800</v>
      </c>
    </row>
    <row r="39" ht="11.5" customHeight="1">
      <c r="A39" s="12" t="n">
        <v>36</v>
      </c>
      <c r="B39" s="13" t="inlineStr">
        <is>
          <t>JACK</t>
        </is>
      </c>
      <c r="C39" s="13" t="inlineStr">
        <is>
          <t>PLANTA PEGASO</t>
        </is>
      </c>
      <c r="D39" s="13" t="inlineStr"/>
      <c r="E39" s="12" t="inlineStr">
        <is>
          <t>PAT8298</t>
        </is>
      </c>
      <c r="F39" s="14" t="n">
        <v>1500</v>
      </c>
      <c r="G39" s="14" t="n">
        <v>1200</v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4" t="n">
        <v>1266.94</v>
      </c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20" t="n">
        <v>-966.9400000000001</v>
      </c>
      <c r="AF39" s="14" t="n">
        <v>2466.94</v>
      </c>
    </row>
    <row r="40" ht="11.5" customHeight="1">
      <c r="A40" s="8" t="n">
        <v>37</v>
      </c>
      <c r="B40" s="9" t="inlineStr">
        <is>
          <t>JACK</t>
        </is>
      </c>
      <c r="C40" s="9" t="inlineStr">
        <is>
          <t>PLANTA PEGASO</t>
        </is>
      </c>
      <c r="D40" s="9" t="inlineStr">
        <is>
          <t>Equipo Menor</t>
        </is>
      </c>
      <c r="E40" s="8" t="inlineStr"/>
      <c r="F40" s="10" t="n">
        <v>500</v>
      </c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0" t="n">
        <v>228.9</v>
      </c>
      <c r="AB40" s="11" t="n"/>
      <c r="AC40" s="11" t="n"/>
      <c r="AD40" s="11" t="n"/>
      <c r="AE40" s="10" t="n">
        <v>271.1</v>
      </c>
      <c r="AF40" s="10" t="n">
        <v>228.9</v>
      </c>
    </row>
    <row r="41" ht="13.5" customHeight="1">
      <c r="A41" s="16" t="inlineStr">
        <is>
          <t>TOTALES J.D.J.</t>
        </is>
      </c>
      <c r="B41" s="17" t="n"/>
      <c r="C41" s="17" t="n"/>
      <c r="D41" s="17" t="n"/>
      <c r="E41" s="17" t="n"/>
      <c r="F41" s="18">
        <f>SUM(F4:F40)</f>
        <v/>
      </c>
      <c r="G41" s="18">
        <f>SUM(G4:G40)</f>
        <v/>
      </c>
      <c r="H41" s="18">
        <f>SUM(H4:H40)</f>
        <v/>
      </c>
      <c r="I41" s="18">
        <f>SUM(I4:I40)</f>
        <v/>
      </c>
      <c r="J41" s="18">
        <f>SUM(J4:J40)</f>
        <v/>
      </c>
      <c r="K41" s="18">
        <f>SUM(K4:K40)</f>
        <v/>
      </c>
      <c r="L41" s="18">
        <f>SUM(L4:L40)</f>
        <v/>
      </c>
      <c r="M41" s="18">
        <f>SUM(M4:M40)</f>
        <v/>
      </c>
      <c r="N41" s="18">
        <f>SUM(N4:N40)</f>
        <v/>
      </c>
      <c r="O41" s="18">
        <f>SUM(O4:O40)</f>
        <v/>
      </c>
      <c r="P41" s="18">
        <f>SUM(P4:P40)</f>
        <v/>
      </c>
      <c r="Q41" s="18">
        <f>SUM(Q4:Q40)</f>
        <v/>
      </c>
      <c r="R41" s="18">
        <f>SUM(R4:R40)</f>
        <v/>
      </c>
      <c r="S41" s="18">
        <f>SUM(S4:S40)</f>
        <v/>
      </c>
      <c r="T41" s="18">
        <f>SUM(T4:T40)</f>
        <v/>
      </c>
      <c r="U41" s="18">
        <f>SUM(U4:U40)</f>
        <v/>
      </c>
      <c r="V41" s="18">
        <f>SUM(V4:V40)</f>
        <v/>
      </c>
      <c r="W41" s="18">
        <f>SUM(W4:W40)</f>
        <v/>
      </c>
      <c r="X41" s="18">
        <f>SUM(X4:X40)</f>
        <v/>
      </c>
      <c r="Y41" s="18">
        <f>SUM(Y4:Y40)</f>
        <v/>
      </c>
      <c r="Z41" s="18">
        <f>SUM(Z4:Z40)</f>
        <v/>
      </c>
      <c r="AA41" s="18">
        <f>SUM(AA4:AA40)</f>
        <v/>
      </c>
      <c r="AB41" s="18">
        <f>SUM(AB4:AB40)</f>
        <v/>
      </c>
      <c r="AC41" s="18">
        <f>SUM(AC4:AC40)</f>
        <v/>
      </c>
      <c r="AD41" s="18">
        <f>SUM(AD4:AD40)</f>
        <v/>
      </c>
      <c r="AE41" s="18">
        <f>SUM(AE4:AE40)</f>
        <v/>
      </c>
      <c r="AF41" s="18">
        <f>SUM(AF4:AF40)</f>
        <v/>
      </c>
    </row>
    <row r="42" ht="6" customHeight="1"/>
    <row r="43" ht="17" customHeight="1">
      <c r="A43" s="1" t="inlineStr">
        <is>
          <t>GASOLINA - TRITURADORA ROCA DURA SAN MIGUEL  (SEMANA 34)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 ht="14" customHeight="1">
      <c r="A44" s="3" t="inlineStr">
        <is>
          <t>NO.</t>
        </is>
      </c>
      <c r="B44" s="3" t="inlineStr">
        <is>
          <t>RESPONSABLE</t>
        </is>
      </c>
      <c r="C44" s="3" t="inlineStr">
        <is>
          <t>CENTRO DE TRABAJO</t>
        </is>
      </c>
      <c r="D44" s="3" t="inlineStr">
        <is>
          <t>UNIDAD / EQUIPO</t>
        </is>
      </c>
      <c r="E44" s="3" t="inlineStr">
        <is>
          <t>PLACAS</t>
        </is>
      </c>
      <c r="F44" s="3" t="inlineStr">
        <is>
          <t>IMPORTE AUTORIZADO</t>
        </is>
      </c>
      <c r="G44" s="4" t="inlineStr">
        <is>
          <t>LUN 17/AGO</t>
        </is>
      </c>
      <c r="H44" s="2" t="n"/>
      <c r="I44" s="2" t="n"/>
      <c r="J44" s="2" t="n"/>
      <c r="K44" s="4" t="inlineStr">
        <is>
          <t>MAR 18/AGO</t>
        </is>
      </c>
      <c r="L44" s="2" t="n"/>
      <c r="M44" s="2" t="n"/>
      <c r="N44" s="2" t="n"/>
      <c r="O44" s="4" t="inlineStr">
        <is>
          <t>MIÉ 19/AGO</t>
        </is>
      </c>
      <c r="P44" s="2" t="n"/>
      <c r="Q44" s="2" t="n"/>
      <c r="R44" s="2" t="n"/>
      <c r="S44" s="4" t="inlineStr">
        <is>
          <t>JUE 20/AGO</t>
        </is>
      </c>
      <c r="T44" s="2" t="n"/>
      <c r="U44" s="2" t="n"/>
      <c r="V44" s="2" t="n"/>
      <c r="W44" s="4" t="inlineStr">
        <is>
          <t>VIE 21/AGO</t>
        </is>
      </c>
      <c r="X44" s="2" t="n"/>
      <c r="Y44" s="2" t="n"/>
      <c r="Z44" s="2" t="n"/>
      <c r="AA44" s="4" t="inlineStr">
        <is>
          <t>SÁB 22/AGO</t>
        </is>
      </c>
      <c r="AB44" s="2" t="n"/>
      <c r="AC44" s="2" t="n"/>
      <c r="AD44" s="2" t="n"/>
      <c r="AE44" s="5" t="inlineStr">
        <is>
          <t>REMANENTE
(SALDO)</t>
        </is>
      </c>
      <c r="AF44" s="3" t="inlineStr">
        <is>
          <t>CONSUMO
SEMANAL</t>
        </is>
      </c>
    </row>
    <row r="45" ht="13" customHeight="1">
      <c r="A45" s="6" t="n"/>
      <c r="B45" s="6" t="n"/>
      <c r="C45" s="6" t="n"/>
      <c r="D45" s="6" t="n"/>
      <c r="E45" s="6" t="n"/>
      <c r="F45" s="6" t="n"/>
      <c r="G45" s="7" t="inlineStr">
        <is>
          <t>LEVET</t>
        </is>
      </c>
      <c r="H45" s="7" t="inlineStr">
        <is>
          <t>MOBILE</t>
        </is>
      </c>
      <c r="I45" s="7" t="inlineStr">
        <is>
          <t>TICKET</t>
        </is>
      </c>
      <c r="J45" s="7" t="inlineStr">
        <is>
          <t>SI VALE</t>
        </is>
      </c>
      <c r="K45" s="7" t="inlineStr">
        <is>
          <t>LEVET</t>
        </is>
      </c>
      <c r="L45" s="7" t="inlineStr">
        <is>
          <t>MOBILE</t>
        </is>
      </c>
      <c r="M45" s="7" t="inlineStr">
        <is>
          <t>TICKET</t>
        </is>
      </c>
      <c r="N45" s="7" t="inlineStr">
        <is>
          <t>SI VALE</t>
        </is>
      </c>
      <c r="O45" s="7" t="inlineStr">
        <is>
          <t>LEVET</t>
        </is>
      </c>
      <c r="P45" s="7" t="inlineStr">
        <is>
          <t>MOBILE</t>
        </is>
      </c>
      <c r="Q45" s="7" t="inlineStr">
        <is>
          <t>TICKET</t>
        </is>
      </c>
      <c r="R45" s="7" t="inlineStr">
        <is>
          <t>SI VALE</t>
        </is>
      </c>
      <c r="S45" s="7" t="inlineStr">
        <is>
          <t>LEVET</t>
        </is>
      </c>
      <c r="T45" s="7" t="inlineStr">
        <is>
          <t>MOBILE</t>
        </is>
      </c>
      <c r="U45" s="7" t="inlineStr">
        <is>
          <t>TICKET</t>
        </is>
      </c>
      <c r="V45" s="7" t="inlineStr">
        <is>
          <t>SI VALE</t>
        </is>
      </c>
      <c r="W45" s="7" t="inlineStr">
        <is>
          <t>LEVET</t>
        </is>
      </c>
      <c r="X45" s="7" t="inlineStr">
        <is>
          <t>MOBILE</t>
        </is>
      </c>
      <c r="Y45" s="7" t="inlineStr">
        <is>
          <t>TICKET</t>
        </is>
      </c>
      <c r="Z45" s="7" t="inlineStr">
        <is>
          <t>SI VALE</t>
        </is>
      </c>
      <c r="AA45" s="7" t="inlineStr">
        <is>
          <t>LEVET</t>
        </is>
      </c>
      <c r="AB45" s="7" t="inlineStr">
        <is>
          <t>MOBILE</t>
        </is>
      </c>
      <c r="AC45" s="7" t="inlineStr">
        <is>
          <t>TICKET</t>
        </is>
      </c>
      <c r="AD45" s="7" t="inlineStr">
        <is>
          <t>SI VALE</t>
        </is>
      </c>
      <c r="AE45" s="2" t="n"/>
      <c r="AF45" s="6" t="n"/>
    </row>
    <row r="46" ht="11.5" customHeight="1">
      <c r="A46" s="8" t="n">
        <v>1</v>
      </c>
      <c r="B46" s="9" t="inlineStr">
        <is>
          <t>CARLOS REYES TRUJANO</t>
        </is>
      </c>
      <c r="C46" s="9" t="inlineStr">
        <is>
          <t>MINA TABERNILLAS</t>
        </is>
      </c>
      <c r="D46" s="9" t="inlineStr">
        <is>
          <t>TOYOTA TACOMA</t>
        </is>
      </c>
      <c r="E46" s="8" t="inlineStr">
        <is>
          <t>33K849</t>
        </is>
      </c>
      <c r="F46" s="10" t="n">
        <v>2500</v>
      </c>
      <c r="G46" s="10" t="n">
        <v>2283.27</v>
      </c>
      <c r="H46" s="11" t="n"/>
      <c r="I46" s="11" t="n"/>
      <c r="J46" s="11" t="n"/>
      <c r="K46" s="10" t="n">
        <v>300</v>
      </c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0" t="n">
        <v>1700</v>
      </c>
      <c r="X46" s="11" t="n"/>
      <c r="Y46" s="11" t="n"/>
      <c r="Z46" s="11" t="n"/>
      <c r="AA46" s="11" t="n"/>
      <c r="AB46" s="11" t="n"/>
      <c r="AC46" s="11" t="n"/>
      <c r="AD46" s="11" t="n"/>
      <c r="AE46" s="19" t="n">
        <v>-1783.27</v>
      </c>
      <c r="AF46" s="10" t="n">
        <v>4283.27</v>
      </c>
    </row>
    <row r="47" ht="11.5" customHeight="1">
      <c r="A47" s="12" t="n">
        <v>2</v>
      </c>
      <c r="B47" s="13" t="inlineStr">
        <is>
          <t>LAZARO PINAL RIOS</t>
        </is>
      </c>
      <c r="C47" s="13" t="inlineStr">
        <is>
          <t>MINA TABERNILLAS</t>
        </is>
      </c>
      <c r="D47" s="13" t="inlineStr">
        <is>
          <t>MITSUBISHI L200</t>
        </is>
      </c>
      <c r="E47" s="12" t="inlineStr">
        <is>
          <t>MHL757A</t>
        </is>
      </c>
      <c r="F47" s="14" t="n">
        <v>1500</v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 t="n">
        <v>1500</v>
      </c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4" t="n">
        <v>0</v>
      </c>
      <c r="AF47" s="14" t="n">
        <v>1500</v>
      </c>
    </row>
    <row r="48" ht="11.5" customHeight="1">
      <c r="A48" s="8" t="n">
        <v>3</v>
      </c>
      <c r="B48" s="9" t="inlineStr">
        <is>
          <t>ARMANDO LANDIN MORENO</t>
        </is>
      </c>
      <c r="C48" s="9" t="inlineStr">
        <is>
          <t>MINA TABERNILLAS</t>
        </is>
      </c>
      <c r="D48" s="9" t="inlineStr">
        <is>
          <t>MITSUBISHI L200</t>
        </is>
      </c>
      <c r="E48" s="8" t="inlineStr">
        <is>
          <t>LH180D</t>
        </is>
      </c>
      <c r="F48" s="10" t="n">
        <v>2000</v>
      </c>
      <c r="G48" s="10" t="n">
        <v>1397.16</v>
      </c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0" t="n">
        <v>551.8</v>
      </c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0" t="n">
        <v>700</v>
      </c>
      <c r="AC48" s="8" t="inlineStr">
        <is>
          <t>a11026</t>
        </is>
      </c>
      <c r="AD48" s="11" t="n"/>
      <c r="AE48" s="19" t="n">
        <v>-648.96</v>
      </c>
      <c r="AF48" s="10" t="n">
        <v>2648.96</v>
      </c>
    </row>
    <row r="49" ht="11.5" customHeight="1">
      <c r="A49" s="12" t="n">
        <v>4</v>
      </c>
      <c r="B49" s="13" t="inlineStr">
        <is>
          <t>ARMANDO LANDIN MORENO</t>
        </is>
      </c>
      <c r="C49" s="13" t="inlineStr">
        <is>
          <t>MINA TABERNILLAS</t>
        </is>
      </c>
      <c r="D49" s="13" t="inlineStr">
        <is>
          <t>EQUIPO MENOR</t>
        </is>
      </c>
      <c r="E49" s="12" t="inlineStr">
        <is>
          <t>S/P</t>
        </is>
      </c>
      <c r="F49" s="14" t="n">
        <v>500</v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4" t="n">
        <v>500</v>
      </c>
      <c r="AF49" s="14" t="n">
        <v>0</v>
      </c>
    </row>
    <row r="50" ht="11.5" customHeight="1">
      <c r="A50" s="8" t="n">
        <v>5</v>
      </c>
      <c r="B50" s="9" t="inlineStr">
        <is>
          <t>ABNER OSORIO BARTOLO</t>
        </is>
      </c>
      <c r="C50" s="9" t="inlineStr">
        <is>
          <t>MINA ZUMPAHUACAN</t>
        </is>
      </c>
      <c r="D50" s="9" t="inlineStr">
        <is>
          <t>MITSUBISHI L200</t>
        </is>
      </c>
      <c r="E50" s="8" t="inlineStr">
        <is>
          <t>NYZ828C</t>
        </is>
      </c>
      <c r="F50" s="10" t="n">
        <v>1500</v>
      </c>
      <c r="G50" s="10" t="n">
        <v>1148.83</v>
      </c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0" t="n">
        <v>351.17</v>
      </c>
      <c r="AF50" s="10" t="n">
        <v>1148.83</v>
      </c>
    </row>
    <row r="51" ht="11.5" customHeight="1">
      <c r="A51" s="12" t="n">
        <v>6</v>
      </c>
      <c r="B51" s="13" t="inlineStr">
        <is>
          <t>ISAAC GONZALEZ GONZALEZ</t>
        </is>
      </c>
      <c r="C51" s="13" t="inlineStr">
        <is>
          <t>MINA ZUMPAHUACAN</t>
        </is>
      </c>
      <c r="D51" s="13" t="inlineStr">
        <is>
          <t>MITSUBISHI L200</t>
        </is>
      </c>
      <c r="E51" s="12" t="inlineStr">
        <is>
          <t>NYZ839C</t>
        </is>
      </c>
      <c r="F51" s="14" t="n">
        <v>1500</v>
      </c>
      <c r="G51" s="14" t="n">
        <v>1500</v>
      </c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4" t="n">
        <v>0</v>
      </c>
      <c r="AF51" s="14" t="n">
        <v>1500</v>
      </c>
    </row>
    <row r="52" ht="11.5" customHeight="1">
      <c r="A52" s="8" t="n">
        <v>7</v>
      </c>
      <c r="B52" s="9" t="inlineStr">
        <is>
          <t>ISAAC GONZALEZ GONZALEZ</t>
        </is>
      </c>
      <c r="C52" s="9" t="inlineStr">
        <is>
          <t>MINA ZUMPAHUACAN</t>
        </is>
      </c>
      <c r="D52" s="9" t="inlineStr">
        <is>
          <t>EQUIPO MENOR</t>
        </is>
      </c>
      <c r="E52" s="8" t="inlineStr">
        <is>
          <t>S/P</t>
        </is>
      </c>
      <c r="F52" s="10" t="n">
        <v>500</v>
      </c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0" t="n">
        <v>500</v>
      </c>
      <c r="AF52" s="10" t="n">
        <v>0</v>
      </c>
    </row>
    <row r="53" ht="11.5" customHeight="1">
      <c r="A53" s="12" t="n">
        <v>8</v>
      </c>
      <c r="B53" s="13" t="inlineStr">
        <is>
          <t>JESUS MARIN GARCIA</t>
        </is>
      </c>
      <c r="C53" s="13" t="inlineStr">
        <is>
          <t>MINA CUAJOMAC</t>
        </is>
      </c>
      <c r="D53" s="13" t="inlineStr">
        <is>
          <t>CHEVORLET</t>
        </is>
      </c>
      <c r="E53" s="12" t="inlineStr">
        <is>
          <t>PCU8771</t>
        </is>
      </c>
      <c r="F53" s="14" t="n">
        <v>2000</v>
      </c>
      <c r="G53" s="14" t="n">
        <v>1400.16</v>
      </c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4" t="n">
        <v>599.84</v>
      </c>
      <c r="AF53" s="14" t="n">
        <v>1400.16</v>
      </c>
    </row>
    <row r="54" ht="11.5" customHeight="1">
      <c r="A54" s="8" t="n">
        <v>9</v>
      </c>
      <c r="B54" s="9" t="inlineStr">
        <is>
          <t>JESUS MARIN GARCIA</t>
        </is>
      </c>
      <c r="C54" s="9" t="inlineStr">
        <is>
          <t>MINA CUAJOMAC</t>
        </is>
      </c>
      <c r="D54" s="9" t="inlineStr">
        <is>
          <t>EQUIPO MENOR</t>
        </is>
      </c>
      <c r="E54" s="8" t="inlineStr">
        <is>
          <t>S/P</t>
        </is>
      </c>
      <c r="F54" s="10" t="n">
        <v>500</v>
      </c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0" t="n">
        <v>500</v>
      </c>
      <c r="AF54" s="10" t="n">
        <v>0</v>
      </c>
    </row>
    <row r="55" ht="13.5" customHeight="1">
      <c r="A55" s="16" t="inlineStr">
        <is>
          <t>TOTALES TRITURADORA</t>
        </is>
      </c>
      <c r="B55" s="17" t="n"/>
      <c r="C55" s="17" t="n"/>
      <c r="D55" s="17" t="n"/>
      <c r="E55" s="17" t="n"/>
      <c r="F55" s="18">
        <f>SUM(F46:F54)</f>
        <v/>
      </c>
      <c r="G55" s="18">
        <f>SUM(G46:G54)</f>
        <v/>
      </c>
      <c r="H55" s="18">
        <f>SUM(H46:H54)</f>
        <v/>
      </c>
      <c r="I55" s="18">
        <f>SUM(I46:I54)</f>
        <v/>
      </c>
      <c r="J55" s="18">
        <f>SUM(J46:J54)</f>
        <v/>
      </c>
      <c r="K55" s="18">
        <f>SUM(K46:K54)</f>
        <v/>
      </c>
      <c r="L55" s="18">
        <f>SUM(L46:L54)</f>
        <v/>
      </c>
      <c r="M55" s="18">
        <f>SUM(M46:M54)</f>
        <v/>
      </c>
      <c r="N55" s="18">
        <f>SUM(N46:N54)</f>
        <v/>
      </c>
      <c r="O55" s="18">
        <f>SUM(O46:O54)</f>
        <v/>
      </c>
      <c r="P55" s="18">
        <f>SUM(P46:P54)</f>
        <v/>
      </c>
      <c r="Q55" s="18">
        <f>SUM(Q46:Q54)</f>
        <v/>
      </c>
      <c r="R55" s="18">
        <f>SUM(R46:R54)</f>
        <v/>
      </c>
      <c r="S55" s="18">
        <f>SUM(S46:S54)</f>
        <v/>
      </c>
      <c r="T55" s="18">
        <f>SUM(T46:T54)</f>
        <v/>
      </c>
      <c r="U55" s="18">
        <f>SUM(U46:U54)</f>
        <v/>
      </c>
      <c r="V55" s="18">
        <f>SUM(V46:V54)</f>
        <v/>
      </c>
      <c r="W55" s="18">
        <f>SUM(W46:W54)</f>
        <v/>
      </c>
      <c r="X55" s="18">
        <f>SUM(X46:X54)</f>
        <v/>
      </c>
      <c r="Y55" s="18">
        <f>SUM(Y46:Y54)</f>
        <v/>
      </c>
      <c r="Z55" s="18">
        <f>SUM(Z46:Z54)</f>
        <v/>
      </c>
      <c r="AA55" s="18">
        <f>SUM(AA46:AA54)</f>
        <v/>
      </c>
      <c r="AB55" s="18">
        <f>SUM(AB46:AB54)</f>
        <v/>
      </c>
      <c r="AC55" s="18">
        <f>SUM(AC46:AC54)</f>
        <v/>
      </c>
      <c r="AD55" s="18">
        <f>SUM(AD46:AD54)</f>
        <v/>
      </c>
      <c r="AE55" s="18">
        <f>SUM(AE46:AE54)</f>
        <v/>
      </c>
      <c r="AF55" s="18">
        <f>SUM(AF46:AF54)</f>
        <v/>
      </c>
    </row>
  </sheetData>
  <mergeCells count="32">
    <mergeCell ref="F44:F45"/>
    <mergeCell ref="W2:Z2"/>
    <mergeCell ref="O2:R2"/>
    <mergeCell ref="B2:B3"/>
    <mergeCell ref="AA2:AD2"/>
    <mergeCell ref="AE2:AE3"/>
    <mergeCell ref="D2:D3"/>
    <mergeCell ref="F2:F3"/>
    <mergeCell ref="C44:C45"/>
    <mergeCell ref="E44:E45"/>
    <mergeCell ref="G44:J44"/>
    <mergeCell ref="S44:V44"/>
    <mergeCell ref="AF44:AF45"/>
    <mergeCell ref="A1:AF1"/>
    <mergeCell ref="W44:Z44"/>
    <mergeCell ref="A41:E41"/>
    <mergeCell ref="G2:J2"/>
    <mergeCell ref="A2:A3"/>
    <mergeCell ref="C2:C3"/>
    <mergeCell ref="AF2:AF3"/>
    <mergeCell ref="E2:E3"/>
    <mergeCell ref="B44:B45"/>
    <mergeCell ref="A55:E55"/>
    <mergeCell ref="AA44:AD44"/>
    <mergeCell ref="AE44:AE45"/>
    <mergeCell ref="S2:V2"/>
    <mergeCell ref="A44:A45"/>
    <mergeCell ref="K44:N44"/>
    <mergeCell ref="O44:R44"/>
    <mergeCell ref="K2:N2"/>
    <mergeCell ref="A43:AF43"/>
    <mergeCell ref="D44:D45"/>
  </mergeCells>
  <pageMargins left="0.2" right="0.2" top="0.25" bottom="0.25" header="0.5" footer="0.5"/>
  <pageSetup orientation="landscape" paperSize="5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F55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6.4" customWidth="1" min="30" max="30"/>
    <col width="8.5" customWidth="1" min="31" max="31"/>
    <col width="8.800000000000001" customWidth="1" min="32" max="32"/>
  </cols>
  <sheetData>
    <row r="1" ht="18" customHeight="1">
      <c r="A1" s="1" t="inlineStr">
        <is>
          <t>GASOLINA - J.D.J. EQUIPO Y CONSTRUCCIONES S.A. DE C.V.  (SEMANA 35)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24/AGO</t>
        </is>
      </c>
      <c r="H2" s="2" t="n"/>
      <c r="I2" s="2" t="n"/>
      <c r="J2" s="2" t="n"/>
      <c r="K2" s="4" t="inlineStr">
        <is>
          <t>MAR 25/AGO</t>
        </is>
      </c>
      <c r="L2" s="2" t="n"/>
      <c r="M2" s="2" t="n"/>
      <c r="N2" s="2" t="n"/>
      <c r="O2" s="4" t="inlineStr">
        <is>
          <t>MIÉ 26/AGO</t>
        </is>
      </c>
      <c r="P2" s="2" t="n"/>
      <c r="Q2" s="2" t="n"/>
      <c r="R2" s="2" t="n"/>
      <c r="S2" s="4" t="inlineStr">
        <is>
          <t>JUE 27/AGO</t>
        </is>
      </c>
      <c r="T2" s="2" t="n"/>
      <c r="U2" s="2" t="n"/>
      <c r="V2" s="2" t="n"/>
      <c r="W2" s="4" t="inlineStr">
        <is>
          <t>VIE 28/AGO</t>
        </is>
      </c>
      <c r="X2" s="2" t="n"/>
      <c r="Y2" s="2" t="n"/>
      <c r="Z2" s="2" t="n"/>
      <c r="AA2" s="4" t="inlineStr">
        <is>
          <t>SÁB 29/AGO</t>
        </is>
      </c>
      <c r="AB2" s="2" t="n"/>
      <c r="AC2" s="2" t="n"/>
      <c r="AD2" s="2" t="n"/>
      <c r="AE2" s="5" t="inlineStr">
        <is>
          <t>REMANENTE
(SALDO)</t>
        </is>
      </c>
      <c r="AF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TICKET</t>
        </is>
      </c>
      <c r="J3" s="7" t="inlineStr">
        <is>
          <t>SI VALE</t>
        </is>
      </c>
      <c r="K3" s="7" t="inlineStr">
        <is>
          <t>LEVET</t>
        </is>
      </c>
      <c r="L3" s="7" t="inlineStr">
        <is>
          <t>MOBILE</t>
        </is>
      </c>
      <c r="M3" s="7" t="inlineStr">
        <is>
          <t>TICKET</t>
        </is>
      </c>
      <c r="N3" s="7" t="inlineStr">
        <is>
          <t>SI VALE</t>
        </is>
      </c>
      <c r="O3" s="7" t="inlineStr">
        <is>
          <t>LEVET</t>
        </is>
      </c>
      <c r="P3" s="7" t="inlineStr">
        <is>
          <t>MOBILE</t>
        </is>
      </c>
      <c r="Q3" s="7" t="inlineStr">
        <is>
          <t>TICKET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TICKET</t>
        </is>
      </c>
      <c r="V3" s="7" t="inlineStr">
        <is>
          <t>SI VALE</t>
        </is>
      </c>
      <c r="W3" s="7" t="inlineStr">
        <is>
          <t>LEVET</t>
        </is>
      </c>
      <c r="X3" s="7" t="inlineStr">
        <is>
          <t>MOBILE</t>
        </is>
      </c>
      <c r="Y3" s="7" t="inlineStr">
        <is>
          <t>TICKET</t>
        </is>
      </c>
      <c r="Z3" s="7" t="inlineStr">
        <is>
          <t>SI VALE</t>
        </is>
      </c>
      <c r="AA3" s="7" t="inlineStr">
        <is>
          <t>LEVET</t>
        </is>
      </c>
      <c r="AB3" s="7" t="inlineStr">
        <is>
          <t>MOBILE</t>
        </is>
      </c>
      <c r="AC3" s="7" t="inlineStr">
        <is>
          <t>TICKET</t>
        </is>
      </c>
      <c r="AD3" s="7" t="inlineStr">
        <is>
          <t>SI VALE</t>
        </is>
      </c>
      <c r="AE3" s="2" t="n"/>
      <c r="AF3" s="6" t="n"/>
    </row>
    <row r="4" ht="11.5" customHeight="1">
      <c r="A4" s="8" t="n">
        <v>1</v>
      </c>
      <c r="B4" s="9" t="inlineStr">
        <is>
          <t>ING. ANTONIO IBAÑEZ</t>
        </is>
      </c>
      <c r="C4" s="9" t="inlineStr">
        <is>
          <t>MAQUINARIA</t>
        </is>
      </c>
      <c r="D4" s="9" t="inlineStr">
        <is>
          <t>RAM 1200</t>
        </is>
      </c>
      <c r="E4" s="8" t="inlineStr">
        <is>
          <t>LHB188D</t>
        </is>
      </c>
      <c r="F4" s="10" t="n">
        <v>2500</v>
      </c>
      <c r="G4" s="10" t="n">
        <v>1612.94</v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0" t="n">
        <v>887</v>
      </c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0" t="n">
        <v>0.06</v>
      </c>
      <c r="AF4" s="10" t="n">
        <v>2499.94</v>
      </c>
    </row>
    <row r="5" ht="11.5" customHeight="1">
      <c r="A5" s="12" t="n">
        <v>2</v>
      </c>
      <c r="B5" s="13" t="inlineStr">
        <is>
          <t>ING. ANTONIO IBAÑEZ</t>
        </is>
      </c>
      <c r="C5" s="13" t="inlineStr">
        <is>
          <t>MAQUINARIA</t>
        </is>
      </c>
      <c r="D5" s="13" t="inlineStr">
        <is>
          <t>EQUIPO MENOR</t>
        </is>
      </c>
      <c r="E5" s="12" t="inlineStr">
        <is>
          <t>S/P</t>
        </is>
      </c>
      <c r="F5" s="14" t="n">
        <v>500</v>
      </c>
      <c r="G5" s="14" t="n">
        <v>500</v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4" t="n">
        <v>0</v>
      </c>
      <c r="AF5" s="14" t="n">
        <v>500</v>
      </c>
    </row>
    <row r="6" ht="11.5" customHeight="1">
      <c r="A6" s="8" t="n">
        <v>3</v>
      </c>
      <c r="B6" s="9" t="inlineStr">
        <is>
          <t>JUAN CARLOS NAZAR CHAVEZ</t>
        </is>
      </c>
      <c r="C6" s="9" t="inlineStr">
        <is>
          <t>MAQUINARIA</t>
        </is>
      </c>
      <c r="D6" s="9" t="inlineStr">
        <is>
          <t>DODGE RAM 700</t>
        </is>
      </c>
      <c r="E6" s="8" t="inlineStr">
        <is>
          <t>PCW9238</t>
        </is>
      </c>
      <c r="F6" s="10" t="n">
        <v>1500</v>
      </c>
      <c r="G6" s="10" t="n">
        <v>904.48</v>
      </c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0" t="n">
        <v>1000</v>
      </c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9" t="n">
        <v>-404.48</v>
      </c>
      <c r="AF6" s="10" t="n">
        <v>1904.48</v>
      </c>
    </row>
    <row r="7" ht="11.5" customHeight="1">
      <c r="A7" s="12" t="n">
        <v>4</v>
      </c>
      <c r="B7" s="13" t="inlineStr">
        <is>
          <t>EDGAR VELAZQUEZ ESQUIVEL</t>
        </is>
      </c>
      <c r="C7" s="13" t="inlineStr">
        <is>
          <t>MAQUINARIA</t>
        </is>
      </c>
      <c r="D7" s="13" t="inlineStr"/>
      <c r="E7" s="12" t="inlineStr">
        <is>
          <t>PCW9391</t>
        </is>
      </c>
      <c r="F7" s="14" t="n">
        <v>1500</v>
      </c>
      <c r="G7" s="14" t="n">
        <v>1285</v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4" t="n">
        <v>215</v>
      </c>
      <c r="AF7" s="14" t="n">
        <v>1285</v>
      </c>
    </row>
    <row r="8" ht="11.5" customHeight="1">
      <c r="A8" s="8" t="n">
        <v>5</v>
      </c>
      <c r="B8" s="9" t="inlineStr">
        <is>
          <t>ROBERTO CARLOS GARCÍA</t>
        </is>
      </c>
      <c r="C8" s="9" t="inlineStr">
        <is>
          <t>H. COLEGIO MILITAR</t>
        </is>
      </c>
      <c r="D8" s="9" t="inlineStr">
        <is>
          <t>CHANGAN ALSVIN</t>
        </is>
      </c>
      <c r="E8" s="8" t="inlineStr">
        <is>
          <t>LMH893A</t>
        </is>
      </c>
      <c r="F8" s="10" t="n">
        <v>700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0" t="n">
        <v>700</v>
      </c>
      <c r="AF8" s="10" t="n">
        <v>0</v>
      </c>
    </row>
    <row r="9" ht="11.5" customHeight="1">
      <c r="A9" s="12" t="n">
        <v>6</v>
      </c>
      <c r="B9" s="13" t="inlineStr">
        <is>
          <t>OSCAR ESTRADA LINARES</t>
        </is>
      </c>
      <c r="C9" s="13" t="inlineStr">
        <is>
          <t>EXPLANADA DAMIAN CARMONA</t>
        </is>
      </c>
      <c r="D9" s="13" t="inlineStr">
        <is>
          <t>NISSAN NP-300</t>
        </is>
      </c>
      <c r="E9" s="12" t="inlineStr">
        <is>
          <t>MAH844C</t>
        </is>
      </c>
      <c r="F9" s="14" t="n">
        <v>1500</v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4" t="n">
        <v>1500</v>
      </c>
      <c r="AF9" s="14" t="n">
        <v>0</v>
      </c>
    </row>
    <row r="10" ht="11.5" customHeight="1">
      <c r="A10" s="8" t="n">
        <v>7</v>
      </c>
      <c r="B10" s="9" t="inlineStr">
        <is>
          <t>DIEGO CARREOLA</t>
        </is>
      </c>
      <c r="C10" s="9" t="inlineStr">
        <is>
          <t>BACHEO TOLUCA</t>
        </is>
      </c>
      <c r="D10" s="9" t="inlineStr">
        <is>
          <t>MITSUBISHI L1200</t>
        </is>
      </c>
      <c r="E10" s="8" t="inlineStr">
        <is>
          <t>NYZ829C</t>
        </is>
      </c>
      <c r="F10" s="10" t="n">
        <v>1500</v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0" t="n">
        <v>1500</v>
      </c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0" t="n">
        <v>0</v>
      </c>
      <c r="AF10" s="10" t="n">
        <v>1500</v>
      </c>
    </row>
    <row r="11" ht="11.5" customHeight="1">
      <c r="A11" s="12" t="n">
        <v>8</v>
      </c>
      <c r="B11" s="13" t="inlineStr">
        <is>
          <t>DIEGO CARREOLA</t>
        </is>
      </c>
      <c r="C11" s="13" t="inlineStr">
        <is>
          <t>BACHEO TOLUCA</t>
        </is>
      </c>
      <c r="D11" s="13" t="inlineStr">
        <is>
          <t>EQUIPO MENOR</t>
        </is>
      </c>
      <c r="E11" s="12" t="inlineStr">
        <is>
          <t>S/P</t>
        </is>
      </c>
      <c r="F11" s="14" t="n">
        <v>500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4" t="n">
        <v>500</v>
      </c>
      <c r="AF11" s="14" t="n">
        <v>0</v>
      </c>
    </row>
    <row r="12" ht="11.5" customHeight="1">
      <c r="A12" s="8" t="n">
        <v>9</v>
      </c>
      <c r="B12" s="9" t="inlineStr">
        <is>
          <t>TOMAS ARANDA PROSPERO</t>
        </is>
      </c>
      <c r="C12" s="9" t="inlineStr">
        <is>
          <t>BACHEO TOLUCA</t>
        </is>
      </c>
      <c r="D12" s="9" t="inlineStr">
        <is>
          <t>DODGE RAM 4000 (3/2)</t>
        </is>
      </c>
      <c r="E12" s="8" t="inlineStr">
        <is>
          <t>LF05470</t>
        </is>
      </c>
      <c r="F12" s="10" t="n">
        <v>1500</v>
      </c>
      <c r="G12" s="10" t="n">
        <v>1500</v>
      </c>
      <c r="H12" s="11" t="n"/>
      <c r="I12" s="11" t="n"/>
      <c r="J12" s="11" t="n"/>
      <c r="K12" s="11" t="n"/>
      <c r="L12" s="11" t="n"/>
      <c r="M12" s="11" t="n"/>
      <c r="N12" s="11" t="n"/>
      <c r="O12" s="10" t="n">
        <v>2500</v>
      </c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9" t="n">
        <v>-2500</v>
      </c>
      <c r="AF12" s="10" t="n">
        <v>4000</v>
      </c>
    </row>
    <row r="13" ht="11.5" customHeight="1">
      <c r="A13" s="12" t="n">
        <v>10</v>
      </c>
      <c r="B13" s="13" t="inlineStr">
        <is>
          <t>CARLOS ALARCON</t>
        </is>
      </c>
      <c r="C13" s="13" t="inlineStr">
        <is>
          <t>OBRA MÉXICO TOLUCA</t>
        </is>
      </c>
      <c r="D13" s="13" t="inlineStr">
        <is>
          <t>MITSUBISHI 1200</t>
        </is>
      </c>
      <c r="E13" s="12" t="inlineStr">
        <is>
          <t>MHL758A</t>
        </is>
      </c>
      <c r="F13" s="14" t="n">
        <v>1500</v>
      </c>
      <c r="G13" s="14" t="n">
        <v>1100.23</v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4" t="n">
        <v>399.77</v>
      </c>
      <c r="AF13" s="14" t="n">
        <v>1100.23</v>
      </c>
    </row>
    <row r="14" ht="11.5" customHeight="1">
      <c r="A14" s="8" t="n">
        <v>11</v>
      </c>
      <c r="B14" s="9" t="inlineStr">
        <is>
          <t>JAVIER PEREZ DÍAZ</t>
        </is>
      </c>
      <c r="C14" s="9" t="inlineStr">
        <is>
          <t>OBRA MÉXICO TOLUCA</t>
        </is>
      </c>
      <c r="D14" s="9" t="inlineStr">
        <is>
          <t>MITSUBICHI</t>
        </is>
      </c>
      <c r="E14" s="8" t="inlineStr">
        <is>
          <t>MHL755A</t>
        </is>
      </c>
      <c r="F14" s="10" t="n">
        <v>2500</v>
      </c>
      <c r="G14" s="10" t="n">
        <v>985.6900000000001</v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0" t="n">
        <v>1300</v>
      </c>
      <c r="U14" s="8" t="inlineStr">
        <is>
          <t>A11115</t>
        </is>
      </c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0" t="n">
        <v>214.31</v>
      </c>
      <c r="AF14" s="10" t="n">
        <v>2285.69</v>
      </c>
    </row>
    <row r="15" ht="11.5" customHeight="1">
      <c r="A15" s="12" t="n">
        <v>12</v>
      </c>
      <c r="B15" s="13" t="inlineStr">
        <is>
          <t>JAVIER PEREZ DÍAZ</t>
        </is>
      </c>
      <c r="C15" s="13" t="inlineStr">
        <is>
          <t>OBRA MÉXICO TOLUCA</t>
        </is>
      </c>
      <c r="D15" s="13" t="inlineStr">
        <is>
          <t>EQUIPO MENOR</t>
        </is>
      </c>
      <c r="E15" s="12" t="inlineStr">
        <is>
          <t>S/P</t>
        </is>
      </c>
      <c r="F15" s="14" t="n">
        <v>300</v>
      </c>
      <c r="G15" s="14" t="n">
        <v>300</v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4" t="n">
        <v>0</v>
      </c>
      <c r="AF15" s="14" t="n">
        <v>300</v>
      </c>
    </row>
    <row r="16" ht="11.5" customHeight="1">
      <c r="A16" s="8" t="n">
        <v>13</v>
      </c>
      <c r="B16" s="9" t="inlineStr">
        <is>
          <t>ALEXIS SAMUEL RENDON DOMINGUEZ</t>
        </is>
      </c>
      <c r="C16" s="9" t="inlineStr">
        <is>
          <t>OBRA MÉXICO TOLUCA</t>
        </is>
      </c>
      <c r="D16" s="9" t="inlineStr">
        <is>
          <t>TOYOTA HIACE (URBAN)</t>
        </is>
      </c>
      <c r="E16" s="8" t="inlineStr">
        <is>
          <t>MEF284D</t>
        </is>
      </c>
      <c r="F16" s="10" t="n">
        <v>2500</v>
      </c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0" t="n">
        <v>2500</v>
      </c>
      <c r="AF16" s="10" t="n">
        <v>0</v>
      </c>
    </row>
    <row r="17" ht="11.5" customHeight="1">
      <c r="A17" s="12" t="n">
        <v>14</v>
      </c>
      <c r="B17" s="13" t="inlineStr">
        <is>
          <t>CRISTIAN REYES GAMORA</t>
        </is>
      </c>
      <c r="C17" s="13" t="inlineStr">
        <is>
          <t>OBRA MÉXICO TOLUCA</t>
        </is>
      </c>
      <c r="D17" s="13" t="inlineStr">
        <is>
          <t>DODGE RAM 4000 (3/2)</t>
        </is>
      </c>
      <c r="E17" s="12" t="inlineStr">
        <is>
          <t>LH49730</t>
        </is>
      </c>
      <c r="F17" s="14" t="n">
        <v>4000</v>
      </c>
      <c r="G17" s="15" t="n"/>
      <c r="H17" s="14" t="n">
        <v>3403.24</v>
      </c>
      <c r="I17" s="12" t="inlineStr">
        <is>
          <t>A11060</t>
        </is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4" t="n">
        <v>1500</v>
      </c>
      <c r="U17" s="12" t="inlineStr">
        <is>
          <t>A11097</t>
        </is>
      </c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20" t="n">
        <v>-903.24</v>
      </c>
      <c r="AF17" s="14" t="n">
        <v>4903.24</v>
      </c>
    </row>
    <row r="18" ht="11.5" customHeight="1">
      <c r="A18" s="8" t="n">
        <v>15</v>
      </c>
      <c r="B18" s="9" t="inlineStr">
        <is>
          <t>APOLINAR REYES BOLAINA</t>
        </is>
      </c>
      <c r="C18" s="9" t="inlineStr">
        <is>
          <t>LERMA TENANGO / ALFREDO DEL MAZO</t>
        </is>
      </c>
      <c r="D18" s="9" t="inlineStr">
        <is>
          <t>MITSUBISHI 1200</t>
        </is>
      </c>
      <c r="E18" s="8" t="inlineStr">
        <is>
          <t>NYZ971C</t>
        </is>
      </c>
      <c r="F18" s="10" t="n">
        <v>2500</v>
      </c>
      <c r="G18" s="10" t="n">
        <v>1169.52</v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0" t="n">
        <v>640.67</v>
      </c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0" t="n">
        <v>689.8099999999999</v>
      </c>
      <c r="AF18" s="10" t="n">
        <v>1810.19</v>
      </c>
    </row>
    <row r="19" ht="11.5" customHeight="1">
      <c r="A19" s="12" t="n">
        <v>16</v>
      </c>
      <c r="B19" s="13" t="inlineStr">
        <is>
          <t>APOLINAR REYES BOLAINA</t>
        </is>
      </c>
      <c r="C19" s="13" t="inlineStr">
        <is>
          <t>LERMA TENANGO / ALFREDO DEL MAZO</t>
        </is>
      </c>
      <c r="D19" s="13" t="inlineStr">
        <is>
          <t>CORTADORA DE CONCRETO</t>
        </is>
      </c>
      <c r="E19" s="12" t="inlineStr">
        <is>
          <t>S/P</t>
        </is>
      </c>
      <c r="F19" s="14" t="n">
        <v>1000</v>
      </c>
      <c r="G19" s="15" t="n"/>
      <c r="H19" s="15" t="n"/>
      <c r="I19" s="15" t="n"/>
      <c r="J19" s="15" t="n"/>
      <c r="K19" s="14" t="n">
        <v>1000</v>
      </c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4" t="n">
        <v>0</v>
      </c>
      <c r="AF19" s="14" t="n">
        <v>1000</v>
      </c>
    </row>
    <row r="20" ht="11.5" customHeight="1">
      <c r="A20" s="8" t="n">
        <v>17</v>
      </c>
      <c r="B20" s="9" t="inlineStr">
        <is>
          <t>APOLINAR REYES BOLAINA</t>
        </is>
      </c>
      <c r="C20" s="9" t="inlineStr">
        <is>
          <t>LERMA TENANGO / ALFREDO DEL MAZO</t>
        </is>
      </c>
      <c r="D20" s="9" t="inlineStr">
        <is>
          <t>MOTOR AUXILIAR PETROLIZADORA</t>
        </is>
      </c>
      <c r="E20" s="8" t="inlineStr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0" t="n">
        <v>0</v>
      </c>
      <c r="AF20" s="10" t="n">
        <v>0</v>
      </c>
    </row>
    <row r="21" ht="11.5" customHeight="1">
      <c r="A21" s="12" t="n">
        <v>18</v>
      </c>
      <c r="B21" s="13" t="inlineStr">
        <is>
          <t>APOLINAR REYES BOLAINA</t>
        </is>
      </c>
      <c r="C21" s="13" t="inlineStr">
        <is>
          <t>LERMA TENANGO / ALFREDO DEL MAZO</t>
        </is>
      </c>
      <c r="D21" s="13" t="inlineStr">
        <is>
          <t>MOTOR AUXILIAR PIPA DE AGUA</t>
        </is>
      </c>
      <c r="E21" s="12" t="inlineStr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4" t="n">
        <v>0</v>
      </c>
      <c r="AF21" s="14" t="n">
        <v>0</v>
      </c>
    </row>
    <row r="22" ht="11.5" customHeight="1">
      <c r="A22" s="8" t="n">
        <v>19</v>
      </c>
      <c r="B22" s="9" t="inlineStr">
        <is>
          <t>LEONCIO MARTINEZ PASCACIO</t>
        </is>
      </c>
      <c r="C22" s="9" t="inlineStr">
        <is>
          <t>LERMA TENANGO/ALFREDO DEL MAZO</t>
        </is>
      </c>
      <c r="D22" s="9" t="inlineStr">
        <is>
          <t>MITSUBISHI 1200</t>
        </is>
      </c>
      <c r="E22" s="8" t="inlineStr">
        <is>
          <t>NYZ790C</t>
        </is>
      </c>
      <c r="F22" s="10" t="n">
        <v>1500</v>
      </c>
      <c r="G22" s="10" t="n">
        <v>901.48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0" t="n">
        <v>598</v>
      </c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0" t="n">
        <v>0.52</v>
      </c>
      <c r="AF22" s="10" t="n">
        <v>1499.48</v>
      </c>
    </row>
    <row r="23" ht="11.5" customHeight="1">
      <c r="A23" s="12" t="n">
        <v>20</v>
      </c>
      <c r="B23" s="13" t="inlineStr">
        <is>
          <t>CARMELO ALVAREZ ANICETO</t>
        </is>
      </c>
      <c r="C23" s="13" t="inlineStr">
        <is>
          <t>LERMA TENANGO /ALFREDO DEL MAZO</t>
        </is>
      </c>
      <c r="D23" s="13" t="inlineStr">
        <is>
          <t>DODGE RAM 4000 (3/2)</t>
        </is>
      </c>
      <c r="E23" s="12" t="inlineStr">
        <is>
          <t>LH49746</t>
        </is>
      </c>
      <c r="F23" s="14" t="n">
        <v>3000</v>
      </c>
      <c r="G23" s="14" t="n">
        <v>3000</v>
      </c>
      <c r="H23" s="15" t="n"/>
      <c r="I23" s="15" t="n"/>
      <c r="J23" s="15" t="n"/>
      <c r="K23" s="15" t="n"/>
      <c r="L23" s="15" t="n"/>
      <c r="M23" s="15" t="n"/>
      <c r="N23" s="15" t="n"/>
      <c r="O23" s="14" t="n">
        <v>1500</v>
      </c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20" t="n">
        <v>-1500</v>
      </c>
      <c r="AF23" s="14" t="n">
        <v>4500</v>
      </c>
    </row>
    <row r="24" ht="11.5" customHeight="1">
      <c r="A24" s="8" t="n">
        <v>21</v>
      </c>
      <c r="B24" s="9" t="inlineStr">
        <is>
          <t>DIEGO FERNANDEZ SANTIAGO</t>
        </is>
      </c>
      <c r="C24" s="9" t="inlineStr">
        <is>
          <t>LERMA TENANGO /ALFREDO DEL MAZO</t>
        </is>
      </c>
      <c r="D24" s="9" t="inlineStr">
        <is>
          <t>TOYOTA HIACE (URBAN)</t>
        </is>
      </c>
      <c r="E24" s="8" t="inlineStr">
        <is>
          <t>MEF289D</t>
        </is>
      </c>
      <c r="F24" s="10" t="n">
        <v>2500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0" t="n">
        <v>801.2</v>
      </c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0" t="n">
        <v>1698.8</v>
      </c>
      <c r="AF24" s="10" t="n">
        <v>801.2</v>
      </c>
    </row>
    <row r="25" ht="11.5" customHeight="1">
      <c r="A25" s="12" t="n">
        <v>22</v>
      </c>
      <c r="B25" s="13" t="inlineStr">
        <is>
          <t>DAMIAN ANTONIO PUINI</t>
        </is>
      </c>
      <c r="C25" s="13" t="inlineStr">
        <is>
          <t>P. ASFALTO HUIXQUILUCAN</t>
        </is>
      </c>
      <c r="D25" s="13" t="inlineStr">
        <is>
          <t>FORD RANGER</t>
        </is>
      </c>
      <c r="E25" s="12" t="inlineStr">
        <is>
          <t>PCU7482</t>
        </is>
      </c>
      <c r="F25" s="14" t="n">
        <v>2500</v>
      </c>
      <c r="G25" s="15" t="n"/>
      <c r="H25" s="14" t="n">
        <v>1000</v>
      </c>
      <c r="I25" s="12" t="inlineStr">
        <is>
          <t>A11043</t>
        </is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4" t="n">
        <v>1300</v>
      </c>
      <c r="U25" s="12" t="inlineStr">
        <is>
          <t>A11110</t>
        </is>
      </c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4" t="n">
        <v>200</v>
      </c>
      <c r="AF25" s="14" t="n">
        <v>2300</v>
      </c>
    </row>
    <row r="26" ht="11.5" customHeight="1">
      <c r="A26" s="8" t="n">
        <v>23</v>
      </c>
      <c r="B26" s="9" t="inlineStr">
        <is>
          <t>LUIS VALDEZ</t>
        </is>
      </c>
      <c r="C26" s="9" t="inlineStr">
        <is>
          <t>P. ASFALTO HUIXQUILUCAN</t>
        </is>
      </c>
      <c r="D26" s="9" t="inlineStr">
        <is>
          <t>EQUIPO MENOR</t>
        </is>
      </c>
      <c r="E26" s="8" t="inlineStr">
        <is>
          <t>S/P</t>
        </is>
      </c>
      <c r="F26" s="10" t="n">
        <v>1000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0" t="n">
        <v>1000</v>
      </c>
      <c r="AF26" s="10" t="n">
        <v>0</v>
      </c>
    </row>
    <row r="27" ht="11.5" customHeight="1">
      <c r="A27" s="12" t="n">
        <v>24</v>
      </c>
      <c r="B27" s="13" t="inlineStr">
        <is>
          <t>CLEMENTE SANABRIA</t>
        </is>
      </c>
      <c r="C27" s="13" t="inlineStr">
        <is>
          <t>TRANSPORTES FLOTILLA</t>
        </is>
      </c>
      <c r="D27" s="13" t="inlineStr">
        <is>
          <t>RAM 1200</t>
        </is>
      </c>
      <c r="E27" s="12" t="inlineStr">
        <is>
          <t>LHB184D</t>
        </is>
      </c>
      <c r="F27" s="14" t="n">
        <v>2500</v>
      </c>
      <c r="G27" s="15" t="n"/>
      <c r="H27" s="15" t="n"/>
      <c r="I27" s="15" t="n"/>
      <c r="J27" s="15" t="n"/>
      <c r="K27" s="14" t="n">
        <v>2153.67</v>
      </c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4" t="n">
        <v>1000</v>
      </c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20" t="n">
        <v>-653.67</v>
      </c>
      <c r="AF27" s="14" t="n">
        <v>3153.67</v>
      </c>
    </row>
    <row r="28" ht="11.5" customHeight="1">
      <c r="A28" s="8" t="n">
        <v>25</v>
      </c>
      <c r="B28" s="9" t="inlineStr">
        <is>
          <t>BRYAN GABRIEL CHAVEZ ALVAREZ</t>
        </is>
      </c>
      <c r="C28" s="9" t="inlineStr">
        <is>
          <t>TRANSPORTES FLOTILLA</t>
        </is>
      </c>
      <c r="D28" s="9" t="inlineStr">
        <is>
          <t>CHEVROLET TORNADO</t>
        </is>
      </c>
      <c r="E28" s="8" t="inlineStr">
        <is>
          <t>NUZ948C</t>
        </is>
      </c>
      <c r="F28" s="10" t="n">
        <v>1000</v>
      </c>
      <c r="G28" s="10" t="n">
        <v>1000</v>
      </c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0" t="n">
        <v>300</v>
      </c>
      <c r="X28" s="11" t="n"/>
      <c r="Y28" s="11" t="n"/>
      <c r="Z28" s="11" t="n"/>
      <c r="AA28" s="11" t="n"/>
      <c r="AB28" s="11" t="n"/>
      <c r="AC28" s="11" t="n"/>
      <c r="AD28" s="11" t="n"/>
      <c r="AE28" s="19" t="n">
        <v>-300</v>
      </c>
      <c r="AF28" s="10" t="n">
        <v>1300</v>
      </c>
    </row>
    <row r="29" ht="11.5" customHeight="1">
      <c r="A29" s="12" t="n">
        <v>26</v>
      </c>
      <c r="B29" s="13" t="inlineStr">
        <is>
          <t>BRYAN GABRIEL CHAVEZ ALVAREZ</t>
        </is>
      </c>
      <c r="C29" s="13" t="inlineStr">
        <is>
          <t>TRANSPORTES FLOTILLA</t>
        </is>
      </c>
      <c r="D29" s="13" t="inlineStr">
        <is>
          <t>MOTORES LOWBOY</t>
        </is>
      </c>
      <c r="E29" s="12" t="inlineStr">
        <is>
          <t>S/P</t>
        </is>
      </c>
      <c r="F29" s="14" t="n">
        <v>500</v>
      </c>
      <c r="G29" s="14" t="n">
        <v>500</v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4" t="n">
        <v>0</v>
      </c>
      <c r="AF29" s="14" t="n">
        <v>500</v>
      </c>
    </row>
    <row r="30" ht="11.5" customHeight="1">
      <c r="A30" s="8" t="n">
        <v>27</v>
      </c>
      <c r="B30" s="9" t="inlineStr">
        <is>
          <t>BRYAN GABRIEL CHAVEZ ALVAREZ</t>
        </is>
      </c>
      <c r="C30" s="9" t="inlineStr">
        <is>
          <t>TRANSPORTES FLOTILLA</t>
        </is>
      </c>
      <c r="D30" s="9" t="inlineStr">
        <is>
          <t>MOTORES LOWBOY</t>
        </is>
      </c>
      <c r="E30" s="8" t="inlineStr">
        <is>
          <t>S/P</t>
        </is>
      </c>
      <c r="F30" s="10" t="n">
        <v>500</v>
      </c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0" t="n">
        <v>500</v>
      </c>
      <c r="T30" s="11" t="n"/>
      <c r="U30" s="11" t="n"/>
      <c r="V30" s="11" t="n"/>
      <c r="W30" s="10" t="n">
        <v>500</v>
      </c>
      <c r="X30" s="11" t="n"/>
      <c r="Y30" s="11" t="n"/>
      <c r="Z30" s="11" t="n"/>
      <c r="AA30" s="11" t="n"/>
      <c r="AB30" s="11" t="n"/>
      <c r="AC30" s="11" t="n"/>
      <c r="AD30" s="11" t="n"/>
      <c r="AE30" s="19" t="n">
        <v>-500</v>
      </c>
      <c r="AF30" s="10" t="n">
        <v>1000</v>
      </c>
    </row>
    <row r="31" ht="11.5" customHeight="1">
      <c r="A31" s="12" t="n">
        <v>28</v>
      </c>
      <c r="B31" s="13" t="inlineStr">
        <is>
          <t>ROBERTO ORTEGA</t>
        </is>
      </c>
      <c r="C31" s="13" t="inlineStr"/>
      <c r="D31" s="13" t="inlineStr"/>
      <c r="E31" s="12" t="inlineStr">
        <is>
          <t>MNX601B</t>
        </is>
      </c>
      <c r="F31" s="14" t="n">
        <v>800</v>
      </c>
      <c r="G31" s="14" t="n">
        <v>800</v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4" t="n">
        <v>500</v>
      </c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20" t="n">
        <v>-500</v>
      </c>
      <c r="AF31" s="14" t="n">
        <v>1300</v>
      </c>
    </row>
    <row r="32" ht="11.5" customHeight="1">
      <c r="A32" s="8" t="n">
        <v>29</v>
      </c>
      <c r="B32" s="9" t="inlineStr">
        <is>
          <t>ROBERTO ORTEGA</t>
        </is>
      </c>
      <c r="C32" s="9" t="inlineStr"/>
      <c r="D32" s="9" t="inlineStr">
        <is>
          <t>EQUIPO MENOR</t>
        </is>
      </c>
      <c r="E32" s="8" t="inlineStr">
        <is>
          <t>S/P</t>
        </is>
      </c>
      <c r="F32" s="10" t="n">
        <v>500</v>
      </c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0" t="n">
        <v>300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0" t="n">
        <v>200</v>
      </c>
      <c r="AF32" s="10" t="n">
        <v>300</v>
      </c>
    </row>
    <row r="33" ht="11.5" customHeight="1">
      <c r="A33" s="12" t="n">
        <v>30</v>
      </c>
      <c r="B33" s="13" t="inlineStr">
        <is>
          <t>JOSÉ CABELLO</t>
        </is>
      </c>
      <c r="C33" s="13" t="inlineStr">
        <is>
          <t>ESTIMACIONES</t>
        </is>
      </c>
      <c r="D33" s="13" t="inlineStr">
        <is>
          <t>MITSUBICHI MIRAGE</t>
        </is>
      </c>
      <c r="E33" s="12" t="inlineStr">
        <is>
          <t>LHB176D</t>
        </is>
      </c>
      <c r="F33" s="14" t="n">
        <v>1500</v>
      </c>
      <c r="G33" s="15" t="n"/>
      <c r="H33" s="15" t="n"/>
      <c r="I33" s="15" t="n"/>
      <c r="J33" s="15" t="n"/>
      <c r="K33" s="14" t="n">
        <v>700.37</v>
      </c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4" t="n">
        <v>799.63</v>
      </c>
      <c r="AF33" s="14" t="n">
        <v>700.37</v>
      </c>
    </row>
    <row r="34" ht="11.5" customHeight="1">
      <c r="A34" s="8" t="n">
        <v>31</v>
      </c>
      <c r="B34" s="9" t="inlineStr">
        <is>
          <t>VICTOR HUGO MARTINEZ VELAZQUEZ</t>
        </is>
      </c>
      <c r="C34" s="9" t="inlineStr">
        <is>
          <t>JALISCO</t>
        </is>
      </c>
      <c r="D34" s="9" t="inlineStr">
        <is>
          <t>RAM 1200</t>
        </is>
      </c>
      <c r="E34" s="8" t="inlineStr">
        <is>
          <t>LHB182D</t>
        </is>
      </c>
      <c r="F34" s="10" t="n">
        <v>1500</v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0" t="n">
        <v>1500</v>
      </c>
      <c r="AF34" s="10" t="n">
        <v>0</v>
      </c>
    </row>
    <row r="35" ht="11.5" customHeight="1">
      <c r="A35" s="12" t="n">
        <v>32</v>
      </c>
      <c r="B35" s="13" t="inlineStr">
        <is>
          <t>PAOLA JARAMILLO</t>
        </is>
      </c>
      <c r="C35" s="13" t="inlineStr">
        <is>
          <t>CORPORATIVO</t>
        </is>
      </c>
      <c r="D35" s="13" t="inlineStr">
        <is>
          <t>CHANGAN ALSVIN</t>
        </is>
      </c>
      <c r="E35" s="12" t="inlineStr">
        <is>
          <t>LYY085A</t>
        </is>
      </c>
      <c r="F35" s="14" t="n">
        <v>700</v>
      </c>
      <c r="G35" s="15" t="n"/>
      <c r="H35" s="15" t="n"/>
      <c r="I35" s="15" t="n"/>
      <c r="J35" s="15" t="n"/>
      <c r="K35" s="14" t="n">
        <v>700</v>
      </c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4" t="n">
        <v>0</v>
      </c>
      <c r="AF35" s="14" t="n">
        <v>700</v>
      </c>
    </row>
    <row r="36" ht="11.5" customHeight="1">
      <c r="A36" s="8" t="n">
        <v>33</v>
      </c>
      <c r="B36" s="9" t="inlineStr">
        <is>
          <t>SAMUEL ORTEGA SILVA</t>
        </is>
      </c>
      <c r="C36" s="9" t="inlineStr">
        <is>
          <t>PROVIDENCIA</t>
        </is>
      </c>
      <c r="D36" s="9" t="inlineStr">
        <is>
          <t>MITSUBISHI L200</t>
        </is>
      </c>
      <c r="E36" s="8" t="inlineStr">
        <is>
          <t>NZT266B</t>
        </is>
      </c>
      <c r="F36" s="10" t="n">
        <v>3000</v>
      </c>
      <c r="G36" s="11" t="n"/>
      <c r="H36" s="10" t="n">
        <v>1000</v>
      </c>
      <c r="I36" s="8" t="inlineStr">
        <is>
          <t>A11059</t>
        </is>
      </c>
      <c r="J36" s="11" t="n"/>
      <c r="K36" s="11" t="n"/>
      <c r="L36" s="11" t="n"/>
      <c r="M36" s="11" t="n"/>
      <c r="N36" s="11" t="n"/>
      <c r="O36" s="11" t="n"/>
      <c r="P36" s="10" t="n">
        <v>1000</v>
      </c>
      <c r="Q36" s="8" t="inlineStr">
        <is>
          <t>A11802</t>
        </is>
      </c>
      <c r="R36" s="11" t="n"/>
      <c r="S36" s="11" t="n"/>
      <c r="T36" s="10" t="n">
        <v>1000</v>
      </c>
      <c r="U36" s="8" t="inlineStr">
        <is>
          <t>A11091</t>
        </is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0" t="n">
        <v>0</v>
      </c>
      <c r="AF36" s="10" t="n">
        <v>3000</v>
      </c>
    </row>
    <row r="37" ht="11.5" customHeight="1">
      <c r="A37" s="12" t="n">
        <v>34</v>
      </c>
      <c r="B37" s="13" t="inlineStr">
        <is>
          <t>CRISTOBAL SILVA</t>
        </is>
      </c>
      <c r="C37" s="13" t="inlineStr"/>
      <c r="D37" s="13" t="inlineStr">
        <is>
          <t>RAM 1200</t>
        </is>
      </c>
      <c r="E37" s="12" t="inlineStr">
        <is>
          <t>LKC794D</t>
        </is>
      </c>
      <c r="F37" s="14" t="n">
        <v>1500</v>
      </c>
      <c r="G37" s="15" t="n"/>
      <c r="H37" s="15" t="n"/>
      <c r="I37" s="15" t="n"/>
      <c r="J37" s="15" t="n"/>
      <c r="K37" s="15" t="n"/>
      <c r="L37" s="14" t="n">
        <v>1500</v>
      </c>
      <c r="M37" s="12" t="inlineStr">
        <is>
          <t>A11057</t>
        </is>
      </c>
      <c r="N37" s="15" t="n"/>
      <c r="O37" s="15" t="n"/>
      <c r="P37" s="15" t="n"/>
      <c r="Q37" s="15" t="n"/>
      <c r="R37" s="15" t="n"/>
      <c r="S37" s="15" t="n"/>
      <c r="T37" s="14" t="n">
        <v>2177.57</v>
      </c>
      <c r="U37" s="12" t="inlineStr">
        <is>
          <t>A11104</t>
        </is>
      </c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20" t="n">
        <v>-2177.57</v>
      </c>
      <c r="AF37" s="14" t="n">
        <v>3677.57</v>
      </c>
    </row>
    <row r="38" ht="11.5" customHeight="1">
      <c r="A38" s="8" t="n">
        <v>35</v>
      </c>
      <c r="B38" s="9" t="inlineStr">
        <is>
          <t>HENRY PINEDA</t>
        </is>
      </c>
      <c r="C38" s="9" t="inlineStr">
        <is>
          <t>TRANSPORTES</t>
        </is>
      </c>
      <c r="D38" s="9" t="inlineStr"/>
      <c r="E38" s="8" t="inlineStr">
        <is>
          <t>NXP4918</t>
        </is>
      </c>
      <c r="F38" s="10" t="n">
        <v>800</v>
      </c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0" t="n">
        <v>800</v>
      </c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0" t="n">
        <v>0</v>
      </c>
      <c r="AF38" s="10" t="n">
        <v>800</v>
      </c>
    </row>
    <row r="39" ht="11.5" customHeight="1">
      <c r="A39" s="12" t="n">
        <v>36</v>
      </c>
      <c r="B39" s="13" t="inlineStr">
        <is>
          <t>JACK</t>
        </is>
      </c>
      <c r="C39" s="13" t="inlineStr">
        <is>
          <t>PLANTA PEGASO</t>
        </is>
      </c>
      <c r="D39" s="13" t="inlineStr"/>
      <c r="E39" s="12" t="inlineStr">
        <is>
          <t>PAT8298</t>
        </is>
      </c>
      <c r="F39" s="14" t="n">
        <v>1500</v>
      </c>
      <c r="G39" s="14" t="n">
        <v>1200</v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4" t="n">
        <v>300</v>
      </c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4" t="n">
        <v>0</v>
      </c>
      <c r="AF39" s="14" t="n">
        <v>1500</v>
      </c>
    </row>
    <row r="40" ht="11.5" customHeight="1">
      <c r="A40" s="8" t="n">
        <v>37</v>
      </c>
      <c r="B40" s="9" t="inlineStr">
        <is>
          <t>JACK</t>
        </is>
      </c>
      <c r="C40" s="9" t="inlineStr">
        <is>
          <t>PLANTA PEGASO</t>
        </is>
      </c>
      <c r="D40" s="9" t="inlineStr">
        <is>
          <t>Equipo Menor</t>
        </is>
      </c>
      <c r="E40" s="8" t="inlineStr"/>
      <c r="F40" s="10" t="n">
        <v>500</v>
      </c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0" t="n">
        <v>500</v>
      </c>
      <c r="AF40" s="10" t="n">
        <v>0</v>
      </c>
    </row>
    <row r="41" ht="13.5" customHeight="1">
      <c r="A41" s="16" t="inlineStr">
        <is>
          <t>TOTALES J.D.J.</t>
        </is>
      </c>
      <c r="B41" s="17" t="n"/>
      <c r="C41" s="17" t="n"/>
      <c r="D41" s="17" t="n"/>
      <c r="E41" s="17" t="n"/>
      <c r="F41" s="18">
        <f>SUM(F4:F40)</f>
        <v/>
      </c>
      <c r="G41" s="18">
        <f>SUM(G4:G40)</f>
        <v/>
      </c>
      <c r="H41" s="18">
        <f>SUM(H4:H40)</f>
        <v/>
      </c>
      <c r="I41" s="18">
        <f>SUM(I4:I40)</f>
        <v/>
      </c>
      <c r="J41" s="18">
        <f>SUM(J4:J40)</f>
        <v/>
      </c>
      <c r="K41" s="18">
        <f>SUM(K4:K40)</f>
        <v/>
      </c>
      <c r="L41" s="18">
        <f>SUM(L4:L40)</f>
        <v/>
      </c>
      <c r="M41" s="18">
        <f>SUM(M4:M40)</f>
        <v/>
      </c>
      <c r="N41" s="18">
        <f>SUM(N4:N40)</f>
        <v/>
      </c>
      <c r="O41" s="18">
        <f>SUM(O4:O40)</f>
        <v/>
      </c>
      <c r="P41" s="18">
        <f>SUM(P4:P40)</f>
        <v/>
      </c>
      <c r="Q41" s="18">
        <f>SUM(Q4:Q40)</f>
        <v/>
      </c>
      <c r="R41" s="18">
        <f>SUM(R4:R40)</f>
        <v/>
      </c>
      <c r="S41" s="18">
        <f>SUM(S4:S40)</f>
        <v/>
      </c>
      <c r="T41" s="18">
        <f>SUM(T4:T40)</f>
        <v/>
      </c>
      <c r="U41" s="18">
        <f>SUM(U4:U40)</f>
        <v/>
      </c>
      <c r="V41" s="18">
        <f>SUM(V4:V40)</f>
        <v/>
      </c>
      <c r="W41" s="18">
        <f>SUM(W4:W40)</f>
        <v/>
      </c>
      <c r="X41" s="18">
        <f>SUM(X4:X40)</f>
        <v/>
      </c>
      <c r="Y41" s="18">
        <f>SUM(Y4:Y40)</f>
        <v/>
      </c>
      <c r="Z41" s="18">
        <f>SUM(Z4:Z40)</f>
        <v/>
      </c>
      <c r="AA41" s="18">
        <f>SUM(AA4:AA40)</f>
        <v/>
      </c>
      <c r="AB41" s="18">
        <f>SUM(AB4:AB40)</f>
        <v/>
      </c>
      <c r="AC41" s="18">
        <f>SUM(AC4:AC40)</f>
        <v/>
      </c>
      <c r="AD41" s="18">
        <f>SUM(AD4:AD40)</f>
        <v/>
      </c>
      <c r="AE41" s="18">
        <f>SUM(AE4:AE40)</f>
        <v/>
      </c>
      <c r="AF41" s="18">
        <f>SUM(AF4:AF40)</f>
        <v/>
      </c>
    </row>
    <row r="42" ht="6" customHeight="1"/>
    <row r="43" ht="17" customHeight="1">
      <c r="A43" s="1" t="inlineStr">
        <is>
          <t>GASOLINA - TRITURADORA ROCA DURA SAN MIGUEL  (SEMANA 35)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 ht="14" customHeight="1">
      <c r="A44" s="3" t="inlineStr">
        <is>
          <t>NO.</t>
        </is>
      </c>
      <c r="B44" s="3" t="inlineStr">
        <is>
          <t>RESPONSABLE</t>
        </is>
      </c>
      <c r="C44" s="3" t="inlineStr">
        <is>
          <t>CENTRO DE TRABAJO</t>
        </is>
      </c>
      <c r="D44" s="3" t="inlineStr">
        <is>
          <t>UNIDAD / EQUIPO</t>
        </is>
      </c>
      <c r="E44" s="3" t="inlineStr">
        <is>
          <t>PLACAS</t>
        </is>
      </c>
      <c r="F44" s="3" t="inlineStr">
        <is>
          <t>IMPORTE AUTORIZADO</t>
        </is>
      </c>
      <c r="G44" s="4" t="inlineStr">
        <is>
          <t>LUN 24/AGO</t>
        </is>
      </c>
      <c r="H44" s="2" t="n"/>
      <c r="I44" s="2" t="n"/>
      <c r="J44" s="2" t="n"/>
      <c r="K44" s="4" t="inlineStr">
        <is>
          <t>MAR 25/AGO</t>
        </is>
      </c>
      <c r="L44" s="2" t="n"/>
      <c r="M44" s="2" t="n"/>
      <c r="N44" s="2" t="n"/>
      <c r="O44" s="4" t="inlineStr">
        <is>
          <t>MIÉ 26/AGO</t>
        </is>
      </c>
      <c r="P44" s="2" t="n"/>
      <c r="Q44" s="2" t="n"/>
      <c r="R44" s="2" t="n"/>
      <c r="S44" s="4" t="inlineStr">
        <is>
          <t>JUE 27/AGO</t>
        </is>
      </c>
      <c r="T44" s="2" t="n"/>
      <c r="U44" s="2" t="n"/>
      <c r="V44" s="2" t="n"/>
      <c r="W44" s="4" t="inlineStr">
        <is>
          <t>VIE 28/AGO</t>
        </is>
      </c>
      <c r="X44" s="2" t="n"/>
      <c r="Y44" s="2" t="n"/>
      <c r="Z44" s="2" t="n"/>
      <c r="AA44" s="4" t="inlineStr">
        <is>
          <t>SÁB 29/AGO</t>
        </is>
      </c>
      <c r="AB44" s="2" t="n"/>
      <c r="AC44" s="2" t="n"/>
      <c r="AD44" s="2" t="n"/>
      <c r="AE44" s="5" t="inlineStr">
        <is>
          <t>REMANENTE
(SALDO)</t>
        </is>
      </c>
      <c r="AF44" s="3" t="inlineStr">
        <is>
          <t>CONSUMO
SEMANAL</t>
        </is>
      </c>
    </row>
    <row r="45" ht="13" customHeight="1">
      <c r="A45" s="6" t="n"/>
      <c r="B45" s="6" t="n"/>
      <c r="C45" s="6" t="n"/>
      <c r="D45" s="6" t="n"/>
      <c r="E45" s="6" t="n"/>
      <c r="F45" s="6" t="n"/>
      <c r="G45" s="7" t="inlineStr">
        <is>
          <t>LEVET</t>
        </is>
      </c>
      <c r="H45" s="7" t="inlineStr">
        <is>
          <t>MOBILE</t>
        </is>
      </c>
      <c r="I45" s="7" t="inlineStr">
        <is>
          <t>TICKET</t>
        </is>
      </c>
      <c r="J45" s="7" t="inlineStr">
        <is>
          <t>SI VALE</t>
        </is>
      </c>
      <c r="K45" s="7" t="inlineStr">
        <is>
          <t>LEVET</t>
        </is>
      </c>
      <c r="L45" s="7" t="inlineStr">
        <is>
          <t>MOBILE</t>
        </is>
      </c>
      <c r="M45" s="7" t="inlineStr">
        <is>
          <t>TICKET</t>
        </is>
      </c>
      <c r="N45" s="7" t="inlineStr">
        <is>
          <t>SI VALE</t>
        </is>
      </c>
      <c r="O45" s="7" t="inlineStr">
        <is>
          <t>LEVET</t>
        </is>
      </c>
      <c r="P45" s="7" t="inlineStr">
        <is>
          <t>MOBILE</t>
        </is>
      </c>
      <c r="Q45" s="7" t="inlineStr">
        <is>
          <t>TICKET</t>
        </is>
      </c>
      <c r="R45" s="7" t="inlineStr">
        <is>
          <t>SI VALE</t>
        </is>
      </c>
      <c r="S45" s="7" t="inlineStr">
        <is>
          <t>LEVET</t>
        </is>
      </c>
      <c r="T45" s="7" t="inlineStr">
        <is>
          <t>MOBILE</t>
        </is>
      </c>
      <c r="U45" s="7" t="inlineStr">
        <is>
          <t>TICKET</t>
        </is>
      </c>
      <c r="V45" s="7" t="inlineStr">
        <is>
          <t>SI VALE</t>
        </is>
      </c>
      <c r="W45" s="7" t="inlineStr">
        <is>
          <t>LEVET</t>
        </is>
      </c>
      <c r="X45" s="7" t="inlineStr">
        <is>
          <t>MOBILE</t>
        </is>
      </c>
      <c r="Y45" s="7" t="inlineStr">
        <is>
          <t>TICKET</t>
        </is>
      </c>
      <c r="Z45" s="7" t="inlineStr">
        <is>
          <t>SI VALE</t>
        </is>
      </c>
      <c r="AA45" s="7" t="inlineStr">
        <is>
          <t>LEVET</t>
        </is>
      </c>
      <c r="AB45" s="7" t="inlineStr">
        <is>
          <t>MOBILE</t>
        </is>
      </c>
      <c r="AC45" s="7" t="inlineStr">
        <is>
          <t>TICKET</t>
        </is>
      </c>
      <c r="AD45" s="7" t="inlineStr">
        <is>
          <t>SI VALE</t>
        </is>
      </c>
      <c r="AE45" s="2" t="n"/>
      <c r="AF45" s="6" t="n"/>
    </row>
    <row r="46" ht="11.5" customHeight="1">
      <c r="A46" s="8" t="n">
        <v>1</v>
      </c>
      <c r="B46" s="9" t="inlineStr">
        <is>
          <t>CARLOS REYES TRUJANO</t>
        </is>
      </c>
      <c r="C46" s="9" t="inlineStr">
        <is>
          <t>MINA TABERNILLAS</t>
        </is>
      </c>
      <c r="D46" s="9" t="inlineStr">
        <is>
          <t>TOYOTA TACOMA</t>
        </is>
      </c>
      <c r="E46" s="8" t="inlineStr">
        <is>
          <t>33K849</t>
        </is>
      </c>
      <c r="F46" s="10" t="n">
        <v>2500</v>
      </c>
      <c r="G46" s="11" t="n"/>
      <c r="H46" s="11" t="n"/>
      <c r="I46" s="11" t="n"/>
      <c r="J46" s="11" t="n"/>
      <c r="K46" s="11" t="n"/>
      <c r="L46" s="11" t="n"/>
      <c r="M46" s="11" t="n"/>
      <c r="N46" s="11" t="n"/>
      <c r="O46" s="10" t="n">
        <v>2011.79</v>
      </c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0" t="n">
        <v>488.21</v>
      </c>
      <c r="AF46" s="10" t="n">
        <v>2011.79</v>
      </c>
    </row>
    <row r="47" ht="11.5" customHeight="1">
      <c r="A47" s="12" t="n">
        <v>2</v>
      </c>
      <c r="B47" s="13" t="inlineStr">
        <is>
          <t>LAZARO PINAL RIOS</t>
        </is>
      </c>
      <c r="C47" s="13" t="inlineStr">
        <is>
          <t>MINA TABERNILLAS</t>
        </is>
      </c>
      <c r="D47" s="13" t="inlineStr">
        <is>
          <t>MITSUBISHI L200</t>
        </is>
      </c>
      <c r="E47" s="12" t="inlineStr">
        <is>
          <t>MHL757A</t>
        </is>
      </c>
      <c r="F47" s="14" t="n">
        <v>1500</v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4" t="n">
        <v>1500</v>
      </c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4" t="n">
        <v>0</v>
      </c>
      <c r="AF47" s="14" t="n">
        <v>1500</v>
      </c>
    </row>
    <row r="48" ht="11.5" customHeight="1">
      <c r="A48" s="8" t="n">
        <v>3</v>
      </c>
      <c r="B48" s="9" t="inlineStr">
        <is>
          <t>ARMANDO LANDIN MORENO</t>
        </is>
      </c>
      <c r="C48" s="9" t="inlineStr">
        <is>
          <t>MINA TABERNILLAS</t>
        </is>
      </c>
      <c r="D48" s="9" t="inlineStr">
        <is>
          <t>MITSUBISHI L200</t>
        </is>
      </c>
      <c r="E48" s="8" t="inlineStr">
        <is>
          <t>LH180D</t>
        </is>
      </c>
      <c r="F48" s="10" t="n">
        <v>2000</v>
      </c>
      <c r="G48" s="11" t="n"/>
      <c r="H48" s="11" t="n"/>
      <c r="I48" s="11" t="n"/>
      <c r="J48" s="11" t="n"/>
      <c r="K48" s="10" t="n">
        <v>1368.09</v>
      </c>
      <c r="L48" s="11" t="n"/>
      <c r="M48" s="11" t="n"/>
      <c r="N48" s="11" t="n"/>
      <c r="O48" s="11" t="n"/>
      <c r="P48" s="11" t="n"/>
      <c r="Q48" s="11" t="n"/>
      <c r="R48" s="11" t="n"/>
      <c r="S48" s="10" t="n">
        <v>531.14</v>
      </c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0" t="n">
        <v>100.77</v>
      </c>
      <c r="AF48" s="10" t="n">
        <v>1899.23</v>
      </c>
    </row>
    <row r="49" ht="11.5" customHeight="1">
      <c r="A49" s="12" t="n">
        <v>4</v>
      </c>
      <c r="B49" s="13" t="inlineStr">
        <is>
          <t>ARMANDO LANDIN MORENO</t>
        </is>
      </c>
      <c r="C49" s="13" t="inlineStr">
        <is>
          <t>MINA TABERNILLAS</t>
        </is>
      </c>
      <c r="D49" s="13" t="inlineStr">
        <is>
          <t>EQUIPO MENOR</t>
        </is>
      </c>
      <c r="E49" s="12" t="inlineStr">
        <is>
          <t>S/P</t>
        </is>
      </c>
      <c r="F49" s="14" t="n">
        <v>500</v>
      </c>
      <c r="G49" s="15" t="n"/>
      <c r="H49" s="15" t="n"/>
      <c r="I49" s="15" t="n"/>
      <c r="J49" s="15" t="n"/>
      <c r="K49" s="14" t="n">
        <v>457.8</v>
      </c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4" t="n">
        <v>42.2</v>
      </c>
      <c r="AF49" s="14" t="n">
        <v>457.8</v>
      </c>
    </row>
    <row r="50" ht="11.5" customHeight="1">
      <c r="A50" s="8" t="n">
        <v>5</v>
      </c>
      <c r="B50" s="9" t="inlineStr">
        <is>
          <t>ABNER OSORIO BARTOLO</t>
        </is>
      </c>
      <c r="C50" s="9" t="inlineStr">
        <is>
          <t>MINA ZUMPAHUACAN</t>
        </is>
      </c>
      <c r="D50" s="9" t="inlineStr">
        <is>
          <t>MITSUBISHI L200</t>
        </is>
      </c>
      <c r="E50" s="8" t="inlineStr">
        <is>
          <t>NYZ828C</t>
        </is>
      </c>
      <c r="F50" s="10" t="n">
        <v>1500</v>
      </c>
      <c r="G50" s="10" t="n">
        <v>1493.07</v>
      </c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0" t="n">
        <v>6.93</v>
      </c>
      <c r="AF50" s="10" t="n">
        <v>1493.07</v>
      </c>
    </row>
    <row r="51" ht="11.5" customHeight="1">
      <c r="A51" s="12" t="n">
        <v>6</v>
      </c>
      <c r="B51" s="13" t="inlineStr">
        <is>
          <t>ISAAC GONZALEZ GONZALEZ</t>
        </is>
      </c>
      <c r="C51" s="13" t="inlineStr">
        <is>
          <t>MINA ZUMPAHUACAN</t>
        </is>
      </c>
      <c r="D51" s="13" t="inlineStr">
        <is>
          <t>MITSUBISHI L200</t>
        </is>
      </c>
      <c r="E51" s="12" t="inlineStr">
        <is>
          <t>NYZ839C</t>
        </is>
      </c>
      <c r="F51" s="14" t="n">
        <v>1500</v>
      </c>
      <c r="G51" s="14" t="n">
        <v>1500</v>
      </c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4" t="n">
        <v>0</v>
      </c>
      <c r="AF51" s="14" t="n">
        <v>1500</v>
      </c>
    </row>
    <row r="52" ht="11.5" customHeight="1">
      <c r="A52" s="8" t="n">
        <v>7</v>
      </c>
      <c r="B52" s="9" t="inlineStr">
        <is>
          <t>ISAAC GONZALEZ GONZALEZ</t>
        </is>
      </c>
      <c r="C52" s="9" t="inlineStr">
        <is>
          <t>MINA ZUMPAHUACAN</t>
        </is>
      </c>
      <c r="D52" s="9" t="inlineStr">
        <is>
          <t>EQUIPO MENOR</t>
        </is>
      </c>
      <c r="E52" s="8" t="inlineStr">
        <is>
          <t>S/P</t>
        </is>
      </c>
      <c r="F52" s="10" t="n">
        <v>500</v>
      </c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0" t="n">
        <v>500</v>
      </c>
      <c r="AF52" s="10" t="n">
        <v>0</v>
      </c>
    </row>
    <row r="53" ht="11.5" customHeight="1">
      <c r="A53" s="12" t="n">
        <v>8</v>
      </c>
      <c r="B53" s="13" t="inlineStr">
        <is>
          <t>JESUS MARIN GARCIA</t>
        </is>
      </c>
      <c r="C53" s="13" t="inlineStr">
        <is>
          <t>MINA CUAJOMAC</t>
        </is>
      </c>
      <c r="D53" s="13" t="inlineStr">
        <is>
          <t>CHEVORLET</t>
        </is>
      </c>
      <c r="E53" s="12" t="inlineStr">
        <is>
          <t>PCU8771</t>
        </is>
      </c>
      <c r="F53" s="14" t="n">
        <v>2000</v>
      </c>
      <c r="G53" s="14" t="n">
        <v>1500.3</v>
      </c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4" t="n">
        <v>499.7</v>
      </c>
      <c r="AF53" s="14" t="n">
        <v>1500.3</v>
      </c>
    </row>
    <row r="54" ht="11.5" customHeight="1">
      <c r="A54" s="8" t="n">
        <v>9</v>
      </c>
      <c r="B54" s="9" t="inlineStr">
        <is>
          <t>JESUS MARIN GARCIA</t>
        </is>
      </c>
      <c r="C54" s="9" t="inlineStr">
        <is>
          <t>MINA CUAJOMAC</t>
        </is>
      </c>
      <c r="D54" s="9" t="inlineStr">
        <is>
          <t>EQUIPO MENOR</t>
        </is>
      </c>
      <c r="E54" s="8" t="inlineStr">
        <is>
          <t>S/P</t>
        </is>
      </c>
      <c r="F54" s="10" t="n">
        <v>500</v>
      </c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0" t="n">
        <v>500</v>
      </c>
      <c r="AF54" s="10" t="n">
        <v>0</v>
      </c>
    </row>
    <row r="55" ht="13.5" customHeight="1">
      <c r="A55" s="16" t="inlineStr">
        <is>
          <t>TOTALES TRITURADORA</t>
        </is>
      </c>
      <c r="B55" s="17" t="n"/>
      <c r="C55" s="17" t="n"/>
      <c r="D55" s="17" t="n"/>
      <c r="E55" s="17" t="n"/>
      <c r="F55" s="18">
        <f>SUM(F46:F54)</f>
        <v/>
      </c>
      <c r="G55" s="18">
        <f>SUM(G46:G54)</f>
        <v/>
      </c>
      <c r="H55" s="18">
        <f>SUM(H46:H54)</f>
        <v/>
      </c>
      <c r="I55" s="18">
        <f>SUM(I46:I54)</f>
        <v/>
      </c>
      <c r="J55" s="18">
        <f>SUM(J46:J54)</f>
        <v/>
      </c>
      <c r="K55" s="18">
        <f>SUM(K46:K54)</f>
        <v/>
      </c>
      <c r="L55" s="18">
        <f>SUM(L46:L54)</f>
        <v/>
      </c>
      <c r="M55" s="18">
        <f>SUM(M46:M54)</f>
        <v/>
      </c>
      <c r="N55" s="18">
        <f>SUM(N46:N54)</f>
        <v/>
      </c>
      <c r="O55" s="18">
        <f>SUM(O46:O54)</f>
        <v/>
      </c>
      <c r="P55" s="18">
        <f>SUM(P46:P54)</f>
        <v/>
      </c>
      <c r="Q55" s="18">
        <f>SUM(Q46:Q54)</f>
        <v/>
      </c>
      <c r="R55" s="18">
        <f>SUM(R46:R54)</f>
        <v/>
      </c>
      <c r="S55" s="18">
        <f>SUM(S46:S54)</f>
        <v/>
      </c>
      <c r="T55" s="18">
        <f>SUM(T46:T54)</f>
        <v/>
      </c>
      <c r="U55" s="18">
        <f>SUM(U46:U54)</f>
        <v/>
      </c>
      <c r="V55" s="18">
        <f>SUM(V46:V54)</f>
        <v/>
      </c>
      <c r="W55" s="18">
        <f>SUM(W46:W54)</f>
        <v/>
      </c>
      <c r="X55" s="18">
        <f>SUM(X46:X54)</f>
        <v/>
      </c>
      <c r="Y55" s="18">
        <f>SUM(Y46:Y54)</f>
        <v/>
      </c>
      <c r="Z55" s="18">
        <f>SUM(Z46:Z54)</f>
        <v/>
      </c>
      <c r="AA55" s="18">
        <f>SUM(AA46:AA54)</f>
        <v/>
      </c>
      <c r="AB55" s="18">
        <f>SUM(AB46:AB54)</f>
        <v/>
      </c>
      <c r="AC55" s="18">
        <f>SUM(AC46:AC54)</f>
        <v/>
      </c>
      <c r="AD55" s="18">
        <f>SUM(AD46:AD54)</f>
        <v/>
      </c>
      <c r="AE55" s="18">
        <f>SUM(AE46:AE54)</f>
        <v/>
      </c>
      <c r="AF55" s="18">
        <f>SUM(AF46:AF54)</f>
        <v/>
      </c>
    </row>
  </sheetData>
  <mergeCells count="32">
    <mergeCell ref="F44:F45"/>
    <mergeCell ref="W2:Z2"/>
    <mergeCell ref="O2:R2"/>
    <mergeCell ref="B2:B3"/>
    <mergeCell ref="AA2:AD2"/>
    <mergeCell ref="AE2:AE3"/>
    <mergeCell ref="D2:D3"/>
    <mergeCell ref="F2:F3"/>
    <mergeCell ref="C44:C45"/>
    <mergeCell ref="E44:E45"/>
    <mergeCell ref="G44:J44"/>
    <mergeCell ref="S44:V44"/>
    <mergeCell ref="AF44:AF45"/>
    <mergeCell ref="A1:AF1"/>
    <mergeCell ref="W44:Z44"/>
    <mergeCell ref="A41:E41"/>
    <mergeCell ref="G2:J2"/>
    <mergeCell ref="A2:A3"/>
    <mergeCell ref="C2:C3"/>
    <mergeCell ref="AF2:AF3"/>
    <mergeCell ref="E2:E3"/>
    <mergeCell ref="B44:B45"/>
    <mergeCell ref="A55:E55"/>
    <mergeCell ref="AA44:AD44"/>
    <mergeCell ref="AE44:AE45"/>
    <mergeCell ref="S2:V2"/>
    <mergeCell ref="A44:A45"/>
    <mergeCell ref="K44:N44"/>
    <mergeCell ref="O44:R44"/>
    <mergeCell ref="K2:N2"/>
    <mergeCell ref="A43:AF43"/>
    <mergeCell ref="D44:D45"/>
  </mergeCells>
  <pageMargins left="0.2" right="0.2" top="0.25" bottom="0.25" header="0.5" footer="0.5"/>
  <pageSetup orientation="landscape" paperSize="5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F55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6.4" customWidth="1" min="30" max="30"/>
    <col width="8.5" customWidth="1" min="31" max="31"/>
    <col width="8.800000000000001" customWidth="1" min="32" max="32"/>
  </cols>
  <sheetData>
    <row r="1" ht="18" customHeight="1">
      <c r="A1" s="1" t="inlineStr">
        <is>
          <t>GASOLINA - J.D.J. EQUIPO Y CONSTRUCCIONES S.A. DE C.V.  (SEMANA 36)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31/AGO</t>
        </is>
      </c>
      <c r="H2" s="2" t="n"/>
      <c r="I2" s="2" t="n"/>
      <c r="J2" s="2" t="n"/>
      <c r="K2" s="4" t="inlineStr">
        <is>
          <t>MAR 01/SEP</t>
        </is>
      </c>
      <c r="L2" s="2" t="n"/>
      <c r="M2" s="2" t="n"/>
      <c r="N2" s="2" t="n"/>
      <c r="O2" s="4" t="inlineStr">
        <is>
          <t>MIÉ 02/SEP</t>
        </is>
      </c>
      <c r="P2" s="2" t="n"/>
      <c r="Q2" s="2" t="n"/>
      <c r="R2" s="2" t="n"/>
      <c r="S2" s="4" t="inlineStr">
        <is>
          <t>JUE 03/SEP</t>
        </is>
      </c>
      <c r="T2" s="2" t="n"/>
      <c r="U2" s="2" t="n"/>
      <c r="V2" s="2" t="n"/>
      <c r="W2" s="4" t="inlineStr">
        <is>
          <t>VIE 04/SEP</t>
        </is>
      </c>
      <c r="X2" s="2" t="n"/>
      <c r="Y2" s="2" t="n"/>
      <c r="Z2" s="2" t="n"/>
      <c r="AA2" s="4" t="inlineStr">
        <is>
          <t>SÁB 05/SEP</t>
        </is>
      </c>
      <c r="AB2" s="2" t="n"/>
      <c r="AC2" s="2" t="n"/>
      <c r="AD2" s="2" t="n"/>
      <c r="AE2" s="5" t="inlineStr">
        <is>
          <t>REMANENTE
(SALDO)</t>
        </is>
      </c>
      <c r="AF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TICKET</t>
        </is>
      </c>
      <c r="J3" s="7" t="inlineStr">
        <is>
          <t>SI VALE</t>
        </is>
      </c>
      <c r="K3" s="7" t="inlineStr">
        <is>
          <t>LEVET</t>
        </is>
      </c>
      <c r="L3" s="7" t="inlineStr">
        <is>
          <t>MOBILE</t>
        </is>
      </c>
      <c r="M3" s="7" t="inlineStr">
        <is>
          <t>TICKET</t>
        </is>
      </c>
      <c r="N3" s="7" t="inlineStr">
        <is>
          <t>SI VALE</t>
        </is>
      </c>
      <c r="O3" s="7" t="inlineStr">
        <is>
          <t>LEVET</t>
        </is>
      </c>
      <c r="P3" s="7" t="inlineStr">
        <is>
          <t>MOBILE</t>
        </is>
      </c>
      <c r="Q3" s="7" t="inlineStr">
        <is>
          <t>TICKET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TICKET</t>
        </is>
      </c>
      <c r="V3" s="7" t="inlineStr">
        <is>
          <t>SI VALE</t>
        </is>
      </c>
      <c r="W3" s="7" t="inlineStr">
        <is>
          <t>LEVET</t>
        </is>
      </c>
      <c r="X3" s="7" t="inlineStr">
        <is>
          <t>MOBILE</t>
        </is>
      </c>
      <c r="Y3" s="7" t="inlineStr">
        <is>
          <t>TICKET</t>
        </is>
      </c>
      <c r="Z3" s="7" t="inlineStr">
        <is>
          <t>SI VALE</t>
        </is>
      </c>
      <c r="AA3" s="7" t="inlineStr">
        <is>
          <t>LEVET</t>
        </is>
      </c>
      <c r="AB3" s="7" t="inlineStr">
        <is>
          <t>MOBILE</t>
        </is>
      </c>
      <c r="AC3" s="7" t="inlineStr">
        <is>
          <t>TICKET</t>
        </is>
      </c>
      <c r="AD3" s="7" t="inlineStr">
        <is>
          <t>SI VALE</t>
        </is>
      </c>
      <c r="AE3" s="2" t="n"/>
      <c r="AF3" s="6" t="n"/>
    </row>
    <row r="4" ht="11.5" customHeight="1">
      <c r="A4" s="8" t="n">
        <v>1</v>
      </c>
      <c r="B4" s="9" t="inlineStr">
        <is>
          <t>ING. ANTONIO IBAÑEZ</t>
        </is>
      </c>
      <c r="C4" s="9" t="inlineStr">
        <is>
          <t>MAQUINARIA</t>
        </is>
      </c>
      <c r="D4" s="9" t="inlineStr">
        <is>
          <t>RAM 1200</t>
        </is>
      </c>
      <c r="E4" s="8" t="inlineStr">
        <is>
          <t>LHB188D</t>
        </is>
      </c>
      <c r="F4" s="10" t="n">
        <v>2500</v>
      </c>
      <c r="G4" s="11" t="n"/>
      <c r="H4" s="11" t="n"/>
      <c r="I4" s="11" t="n"/>
      <c r="J4" s="11" t="n"/>
      <c r="K4" s="10" t="n">
        <v>1700.18</v>
      </c>
      <c r="L4" s="11" t="n"/>
      <c r="M4" s="11" t="n"/>
      <c r="N4" s="11" t="n"/>
      <c r="O4" s="11" t="n"/>
      <c r="P4" s="11" t="n"/>
      <c r="Q4" s="11" t="n"/>
      <c r="R4" s="11" t="n"/>
      <c r="S4" s="10" t="n">
        <v>799</v>
      </c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0" t="n">
        <v>0.82</v>
      </c>
      <c r="AF4" s="10" t="n">
        <v>2499.18</v>
      </c>
    </row>
    <row r="5" ht="11.5" customHeight="1">
      <c r="A5" s="12" t="n">
        <v>2</v>
      </c>
      <c r="B5" s="13" t="inlineStr">
        <is>
          <t>ING. ANTONIO IBAÑEZ</t>
        </is>
      </c>
      <c r="C5" s="13" t="inlineStr">
        <is>
          <t>MAQUINARIA</t>
        </is>
      </c>
      <c r="D5" s="13" t="inlineStr">
        <is>
          <t>EQUIPO MENOR</t>
        </is>
      </c>
      <c r="E5" s="12" t="inlineStr">
        <is>
          <t>S/P</t>
        </is>
      </c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4" t="n">
        <v>500</v>
      </c>
      <c r="AF5" s="14" t="n">
        <v>0</v>
      </c>
    </row>
    <row r="6" ht="11.5" customHeight="1">
      <c r="A6" s="8" t="n">
        <v>3</v>
      </c>
      <c r="B6" s="9" t="inlineStr">
        <is>
          <t>JUAN CARLOS NAZAR CHAVEZ</t>
        </is>
      </c>
      <c r="C6" s="9" t="inlineStr">
        <is>
          <t>MAQUINARIA</t>
        </is>
      </c>
      <c r="D6" s="9" t="inlineStr">
        <is>
          <t>DODGE RAM 700</t>
        </is>
      </c>
      <c r="E6" s="8" t="inlineStr">
        <is>
          <t>PCW9238</t>
        </is>
      </c>
      <c r="F6" s="10" t="n">
        <v>1500</v>
      </c>
      <c r="G6" s="10" t="n">
        <v>944.92</v>
      </c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0" t="n">
        <v>1144.13</v>
      </c>
      <c r="X6" s="11" t="n"/>
      <c r="Y6" s="11" t="n"/>
      <c r="Z6" s="11" t="n"/>
      <c r="AA6" s="11" t="n"/>
      <c r="AB6" s="11" t="n"/>
      <c r="AC6" s="11" t="n"/>
      <c r="AD6" s="11" t="n"/>
      <c r="AE6" s="19" t="n">
        <v>-589.05</v>
      </c>
      <c r="AF6" s="10" t="n">
        <v>2089.05</v>
      </c>
    </row>
    <row r="7" ht="11.5" customHeight="1">
      <c r="A7" s="12" t="n">
        <v>4</v>
      </c>
      <c r="B7" s="13" t="inlineStr">
        <is>
          <t>EDGAR VELAZQUEZ ESQUIVEL</t>
        </is>
      </c>
      <c r="C7" s="13" t="inlineStr">
        <is>
          <t>MAQUINARIA</t>
        </is>
      </c>
      <c r="D7" s="13" t="inlineStr"/>
      <c r="E7" s="12" t="inlineStr">
        <is>
          <t>PCW9391</t>
        </is>
      </c>
      <c r="F7" s="14" t="n">
        <v>1500</v>
      </c>
      <c r="G7" s="14" t="n">
        <v>1383.45</v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4" t="n">
        <v>573</v>
      </c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20" t="n">
        <v>-456.45</v>
      </c>
      <c r="AF7" s="14" t="n">
        <v>1956.45</v>
      </c>
    </row>
    <row r="8" ht="11.5" customHeight="1">
      <c r="A8" s="8" t="n">
        <v>5</v>
      </c>
      <c r="B8" s="9" t="inlineStr">
        <is>
          <t>ROBERTO CARLOS GARCÍA</t>
        </is>
      </c>
      <c r="C8" s="9" t="inlineStr">
        <is>
          <t>H. COLEGIO MILITAR</t>
        </is>
      </c>
      <c r="D8" s="9" t="inlineStr">
        <is>
          <t>CHANGAN ALSVIN</t>
        </is>
      </c>
      <c r="E8" s="8" t="inlineStr">
        <is>
          <t>LMH893A</t>
        </is>
      </c>
      <c r="F8" s="10" t="n">
        <v>700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0" t="n">
        <v>700</v>
      </c>
      <c r="AF8" s="10" t="n">
        <v>0</v>
      </c>
    </row>
    <row r="9" ht="11.5" customHeight="1">
      <c r="A9" s="12" t="n">
        <v>6</v>
      </c>
      <c r="B9" s="13" t="inlineStr">
        <is>
          <t>OSCAR ESTRADA LINARES</t>
        </is>
      </c>
      <c r="C9" s="13" t="inlineStr">
        <is>
          <t>EXPLANADA DAMIAN CARMONA</t>
        </is>
      </c>
      <c r="D9" s="13" t="inlineStr">
        <is>
          <t>NISSAN NP-300</t>
        </is>
      </c>
      <c r="E9" s="12" t="inlineStr">
        <is>
          <t>MAH844C</t>
        </is>
      </c>
      <c r="F9" s="14" t="n">
        <v>1500</v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4" t="n">
        <v>1500</v>
      </c>
      <c r="AF9" s="14" t="n">
        <v>0</v>
      </c>
    </row>
    <row r="10" ht="11.5" customHeight="1">
      <c r="A10" s="8" t="n">
        <v>7</v>
      </c>
      <c r="B10" s="9" t="inlineStr">
        <is>
          <t>DIEGO CARREOLA</t>
        </is>
      </c>
      <c r="C10" s="9" t="inlineStr">
        <is>
          <t>BACHEO TOLUCA</t>
        </is>
      </c>
      <c r="D10" s="9" t="inlineStr">
        <is>
          <t>MITSUBISHI L1200</t>
        </is>
      </c>
      <c r="E10" s="8" t="inlineStr">
        <is>
          <t>NYZ829C</t>
        </is>
      </c>
      <c r="F10" s="10" t="n">
        <v>1500</v>
      </c>
      <c r="G10" s="10" t="n">
        <v>1500</v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0" t="n">
        <v>800</v>
      </c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9" t="n">
        <v>-800</v>
      </c>
      <c r="AF10" s="10" t="n">
        <v>2300</v>
      </c>
    </row>
    <row r="11" ht="11.5" customHeight="1">
      <c r="A11" s="12" t="n">
        <v>8</v>
      </c>
      <c r="B11" s="13" t="inlineStr">
        <is>
          <t>DIEGO CARREOLA</t>
        </is>
      </c>
      <c r="C11" s="13" t="inlineStr">
        <is>
          <t>BACHEO TOLUCA</t>
        </is>
      </c>
      <c r="D11" s="13" t="inlineStr">
        <is>
          <t>EQUIPO MENOR</t>
        </is>
      </c>
      <c r="E11" s="12" t="inlineStr">
        <is>
          <t>S/P</t>
        </is>
      </c>
      <c r="F11" s="14" t="n">
        <v>500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4" t="n">
        <v>500</v>
      </c>
      <c r="AF11" s="14" t="n">
        <v>0</v>
      </c>
    </row>
    <row r="12" ht="11.5" customHeight="1">
      <c r="A12" s="8" t="n">
        <v>9</v>
      </c>
      <c r="B12" s="9" t="inlineStr">
        <is>
          <t>TOMAS ARANDA PROSPERO</t>
        </is>
      </c>
      <c r="C12" s="9" t="inlineStr">
        <is>
          <t>BACHEO TOLUCA</t>
        </is>
      </c>
      <c r="D12" s="9" t="inlineStr">
        <is>
          <t>DODGE RAM 4000 (3/2)</t>
        </is>
      </c>
      <c r="E12" s="8" t="inlineStr">
        <is>
          <t>LF05470</t>
        </is>
      </c>
      <c r="F12" s="10" t="n">
        <v>1500</v>
      </c>
      <c r="G12" s="10" t="n">
        <v>1500</v>
      </c>
      <c r="H12" s="11" t="n"/>
      <c r="I12" s="11" t="n"/>
      <c r="J12" s="11" t="n"/>
      <c r="K12" s="10" t="n">
        <v>500</v>
      </c>
      <c r="L12" s="11" t="n"/>
      <c r="M12" s="11" t="n"/>
      <c r="N12" s="11" t="n"/>
      <c r="O12" s="10" t="n">
        <v>1500</v>
      </c>
      <c r="P12" s="11" t="n"/>
      <c r="Q12" s="11" t="n"/>
      <c r="R12" s="11" t="n"/>
      <c r="S12" s="10" t="n">
        <v>1500</v>
      </c>
      <c r="T12" s="11" t="n"/>
      <c r="U12" s="11" t="n"/>
      <c r="V12" s="11" t="n"/>
      <c r="W12" s="10" t="n">
        <v>1500</v>
      </c>
      <c r="X12" s="11" t="n"/>
      <c r="Y12" s="11" t="n"/>
      <c r="Z12" s="11" t="n"/>
      <c r="AA12" s="11" t="n"/>
      <c r="AB12" s="11" t="n"/>
      <c r="AC12" s="11" t="n"/>
      <c r="AD12" s="11" t="n"/>
      <c r="AE12" s="19" t="n">
        <v>-5000</v>
      </c>
      <c r="AF12" s="10" t="n">
        <v>6500</v>
      </c>
    </row>
    <row r="13" ht="11.5" customHeight="1">
      <c r="A13" s="12" t="n">
        <v>10</v>
      </c>
      <c r="B13" s="13" t="inlineStr">
        <is>
          <t>CARLOS ALARCON</t>
        </is>
      </c>
      <c r="C13" s="13" t="inlineStr">
        <is>
          <t>OBRA MÉXICO TOLUCA</t>
        </is>
      </c>
      <c r="D13" s="13" t="inlineStr">
        <is>
          <t>MITSUBISHI 1200</t>
        </is>
      </c>
      <c r="E13" s="12" t="inlineStr">
        <is>
          <t>MHL758A</t>
        </is>
      </c>
      <c r="F13" s="14" t="n">
        <v>1500</v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4" t="n">
        <v>800</v>
      </c>
      <c r="Y13" s="12" t="inlineStr">
        <is>
          <t>a11248</t>
        </is>
      </c>
      <c r="Z13" s="15" t="n"/>
      <c r="AA13" s="15" t="n"/>
      <c r="AB13" s="15" t="n"/>
      <c r="AC13" s="15" t="n"/>
      <c r="AD13" s="15" t="n"/>
      <c r="AE13" s="14" t="n">
        <v>700</v>
      </c>
      <c r="AF13" s="14" t="n">
        <v>800</v>
      </c>
    </row>
    <row r="14" ht="11.5" customHeight="1">
      <c r="A14" s="8" t="n">
        <v>11</v>
      </c>
      <c r="B14" s="9" t="inlineStr">
        <is>
          <t>JAVIER PEREZ DÍAZ</t>
        </is>
      </c>
      <c r="C14" s="9" t="inlineStr">
        <is>
          <t>OBRA MÉXICO TOLUCA</t>
        </is>
      </c>
      <c r="D14" s="9" t="inlineStr">
        <is>
          <t>MITSUBICHI</t>
        </is>
      </c>
      <c r="E14" s="8" t="inlineStr">
        <is>
          <t>MHL755A</t>
        </is>
      </c>
      <c r="F14" s="10" t="n">
        <v>2500</v>
      </c>
      <c r="G14" s="10" t="n">
        <v>1491.07</v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0" t="n">
        <v>1000</v>
      </c>
      <c r="X14" s="11" t="n"/>
      <c r="Y14" s="11" t="n"/>
      <c r="Z14" s="11" t="n"/>
      <c r="AA14" s="11" t="n"/>
      <c r="AB14" s="11" t="n"/>
      <c r="AC14" s="11" t="n"/>
      <c r="AD14" s="11" t="n"/>
      <c r="AE14" s="10" t="n">
        <v>8.93</v>
      </c>
      <c r="AF14" s="10" t="n">
        <v>2491.07</v>
      </c>
    </row>
    <row r="15" ht="11.5" customHeight="1">
      <c r="A15" s="12" t="n">
        <v>12</v>
      </c>
      <c r="B15" s="13" t="inlineStr">
        <is>
          <t>JAVIER PEREZ DÍAZ</t>
        </is>
      </c>
      <c r="C15" s="13" t="inlineStr">
        <is>
          <t>OBRA MÉXICO TOLUCA</t>
        </is>
      </c>
      <c r="D15" s="13" t="inlineStr">
        <is>
          <t>EQUIPO MENOR</t>
        </is>
      </c>
      <c r="E15" s="12" t="inlineStr">
        <is>
          <t>S/P</t>
        </is>
      </c>
      <c r="F15" s="14" t="n">
        <v>300</v>
      </c>
      <c r="G15" s="14" t="n">
        <v>300</v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4" t="n">
        <v>228.9</v>
      </c>
      <c r="X15" s="15" t="n"/>
      <c r="Y15" s="15" t="n"/>
      <c r="Z15" s="15" t="n"/>
      <c r="AA15" s="15" t="n"/>
      <c r="AB15" s="15" t="n"/>
      <c r="AC15" s="15" t="n"/>
      <c r="AD15" s="15" t="n"/>
      <c r="AE15" s="20" t="n">
        <v>-228.9</v>
      </c>
      <c r="AF15" s="14" t="n">
        <v>528.9</v>
      </c>
    </row>
    <row r="16" ht="11.5" customHeight="1">
      <c r="A16" s="8" t="n">
        <v>13</v>
      </c>
      <c r="B16" s="9" t="inlineStr">
        <is>
          <t>ALEXIS SAMUEL RENDON DOMINGUEZ</t>
        </is>
      </c>
      <c r="C16" s="9" t="inlineStr">
        <is>
          <t>OBRA MÉXICO TOLUCA</t>
        </is>
      </c>
      <c r="D16" s="9" t="inlineStr">
        <is>
          <t>TOYOTA HIACE (URBAN)</t>
        </is>
      </c>
      <c r="E16" s="8" t="inlineStr">
        <is>
          <t>MEF284D</t>
        </is>
      </c>
      <c r="F16" s="10" t="n">
        <v>2500</v>
      </c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n">
        <v>1167.14</v>
      </c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0" t="n">
        <v>1332.86</v>
      </c>
      <c r="AF16" s="10" t="n">
        <v>1167.14</v>
      </c>
    </row>
    <row r="17" ht="11.5" customHeight="1">
      <c r="A17" s="12" t="n">
        <v>14</v>
      </c>
      <c r="B17" s="13" t="inlineStr">
        <is>
          <t>CRISTIAN REYES GAMORA</t>
        </is>
      </c>
      <c r="C17" s="13" t="inlineStr">
        <is>
          <t>OBRA MÉXICO TOLUCA</t>
        </is>
      </c>
      <c r="D17" s="13" t="inlineStr">
        <is>
          <t>DODGE RAM 4000 (3/2)</t>
        </is>
      </c>
      <c r="E17" s="12" t="inlineStr">
        <is>
          <t>LH49730</t>
        </is>
      </c>
      <c r="F17" s="14" t="n">
        <v>4000</v>
      </c>
      <c r="G17" s="15" t="n"/>
      <c r="H17" s="14" t="n">
        <v>3200</v>
      </c>
      <c r="I17" s="12" t="inlineStr">
        <is>
          <t>a11217</t>
        </is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4" t="n">
        <v>800</v>
      </c>
      <c r="AF17" s="14" t="n">
        <v>3200</v>
      </c>
    </row>
    <row r="18" ht="11.5" customHeight="1">
      <c r="A18" s="8" t="n">
        <v>15</v>
      </c>
      <c r="B18" s="9" t="inlineStr">
        <is>
          <t>APOLINAR REYES BOLAINA</t>
        </is>
      </c>
      <c r="C18" s="9" t="inlineStr">
        <is>
          <t>LERMA TENANGO / ALFREDO DEL MAZO</t>
        </is>
      </c>
      <c r="D18" s="9" t="inlineStr">
        <is>
          <t>MITSUBISHI 1200</t>
        </is>
      </c>
      <c r="E18" s="8" t="inlineStr">
        <is>
          <t>NYZ971C</t>
        </is>
      </c>
      <c r="F18" s="10" t="n">
        <v>2500</v>
      </c>
      <c r="G18" s="10" t="n">
        <v>1341.9</v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0" t="n">
        <v>1158.1</v>
      </c>
      <c r="AF18" s="10" t="n">
        <v>1341.9</v>
      </c>
    </row>
    <row r="19" ht="11.5" customHeight="1">
      <c r="A19" s="12" t="n">
        <v>16</v>
      </c>
      <c r="B19" s="13" t="inlineStr">
        <is>
          <t>APOLINAR REYES BOLAINA</t>
        </is>
      </c>
      <c r="C19" s="13" t="inlineStr">
        <is>
          <t>LERMA TENANGO / ALFREDO DEL MAZO</t>
        </is>
      </c>
      <c r="D19" s="13" t="inlineStr">
        <is>
          <t>CORTADORA DE CONCRETO</t>
        </is>
      </c>
      <c r="E19" s="12" t="inlineStr">
        <is>
          <t>S/P</t>
        </is>
      </c>
      <c r="F19" s="14" t="n">
        <v>1000</v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4" t="n">
        <v>1000</v>
      </c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4" t="n">
        <v>0</v>
      </c>
      <c r="AF19" s="14" t="n">
        <v>1000</v>
      </c>
    </row>
    <row r="20" ht="11.5" customHeight="1">
      <c r="A20" s="8" t="n">
        <v>17</v>
      </c>
      <c r="B20" s="9" t="inlineStr">
        <is>
          <t>APOLINAR REYES BOLAINA</t>
        </is>
      </c>
      <c r="C20" s="9" t="inlineStr">
        <is>
          <t>LERMA TENANGO / ALFREDO DEL MAZO</t>
        </is>
      </c>
      <c r="D20" s="9" t="inlineStr">
        <is>
          <t>MOTOR AUXILIAR PETROLIZADORA</t>
        </is>
      </c>
      <c r="E20" s="8" t="inlineStr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0" t="n">
        <v>0</v>
      </c>
      <c r="AF20" s="10" t="n">
        <v>0</v>
      </c>
    </row>
    <row r="21" ht="11.5" customHeight="1">
      <c r="A21" s="12" t="n">
        <v>18</v>
      </c>
      <c r="B21" s="13" t="inlineStr">
        <is>
          <t>APOLINAR REYES BOLAINA</t>
        </is>
      </c>
      <c r="C21" s="13" t="inlineStr">
        <is>
          <t>LERMA TENANGO / ALFREDO DEL MAZO</t>
        </is>
      </c>
      <c r="D21" s="13" t="inlineStr">
        <is>
          <t>MOTOR AUXILIAR PIPA DE AGUA</t>
        </is>
      </c>
      <c r="E21" s="12" t="inlineStr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4" t="n">
        <v>0</v>
      </c>
      <c r="AF21" s="14" t="n">
        <v>0</v>
      </c>
    </row>
    <row r="22" ht="11.5" customHeight="1">
      <c r="A22" s="8" t="n">
        <v>19</v>
      </c>
      <c r="B22" s="9" t="inlineStr">
        <is>
          <t>LEONCIO MARTINEZ PASCACIO</t>
        </is>
      </c>
      <c r="C22" s="9" t="inlineStr">
        <is>
          <t>LERMA TENANGO/ALFREDO DEL MAZO</t>
        </is>
      </c>
      <c r="D22" s="9" t="inlineStr">
        <is>
          <t>MITSUBISHI 1200</t>
        </is>
      </c>
      <c r="E22" s="8" t="inlineStr">
        <is>
          <t>NYZ790C</t>
        </is>
      </c>
      <c r="F22" s="10" t="n">
        <v>1500</v>
      </c>
      <c r="G22" s="10" t="n">
        <v>1201.31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0" t="n">
        <v>298</v>
      </c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0" t="n">
        <v>0.6899999999999999</v>
      </c>
      <c r="AF22" s="10" t="n">
        <v>1499.31</v>
      </c>
    </row>
    <row r="23" ht="11.5" customHeight="1">
      <c r="A23" s="12" t="n">
        <v>20</v>
      </c>
      <c r="B23" s="13" t="inlineStr">
        <is>
          <t>CARMELO ALVAREZ ANICETO</t>
        </is>
      </c>
      <c r="C23" s="13" t="inlineStr">
        <is>
          <t>LERMA TENANGO /ALFREDO DEL MAZO</t>
        </is>
      </c>
      <c r="D23" s="13" t="inlineStr">
        <is>
          <t>DODGE RAM 4000 (3/2)</t>
        </is>
      </c>
      <c r="E23" s="12" t="inlineStr">
        <is>
          <t>LH49746</t>
        </is>
      </c>
      <c r="F23" s="14" t="n">
        <v>3000</v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4" t="n">
        <v>2850.33</v>
      </c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4" t="n">
        <v>149.67</v>
      </c>
      <c r="AF23" s="14" t="n">
        <v>2850.33</v>
      </c>
    </row>
    <row r="24" ht="11.5" customHeight="1">
      <c r="A24" s="8" t="n">
        <v>21</v>
      </c>
      <c r="B24" s="9" t="inlineStr">
        <is>
          <t>DIEGO FERNANDEZ SANTIAGO</t>
        </is>
      </c>
      <c r="C24" s="9" t="inlineStr">
        <is>
          <t>LERMA TENANGO /ALFREDO DEL MAZO</t>
        </is>
      </c>
      <c r="D24" s="9" t="inlineStr">
        <is>
          <t>TOYOTA HIACE (URBAN)</t>
        </is>
      </c>
      <c r="E24" s="8" t="inlineStr">
        <is>
          <t>MEF289D</t>
        </is>
      </c>
      <c r="F24" s="10" t="n">
        <v>2500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0" t="n">
        <v>2500</v>
      </c>
      <c r="AF24" s="10" t="n">
        <v>0</v>
      </c>
    </row>
    <row r="25" ht="11.5" customHeight="1">
      <c r="A25" s="12" t="n">
        <v>22</v>
      </c>
      <c r="B25" s="13" t="inlineStr">
        <is>
          <t>DAMIAN ANTONIO PUINI</t>
        </is>
      </c>
      <c r="C25" s="13" t="inlineStr">
        <is>
          <t>P. ASFALTO HUIXQUILUCAN</t>
        </is>
      </c>
      <c r="D25" s="13" t="inlineStr">
        <is>
          <t>FORD RANGER</t>
        </is>
      </c>
      <c r="E25" s="12" t="inlineStr">
        <is>
          <t>PCU7482</t>
        </is>
      </c>
      <c r="F25" s="14" t="n">
        <v>2500</v>
      </c>
      <c r="G25" s="15" t="n"/>
      <c r="H25" s="14" t="n">
        <v>1000</v>
      </c>
      <c r="I25" s="12" t="inlineStr">
        <is>
          <t>a11183</t>
        </is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4" t="n">
        <v>1500</v>
      </c>
      <c r="AF25" s="14" t="n">
        <v>1000</v>
      </c>
    </row>
    <row r="26" ht="11.5" customHeight="1">
      <c r="A26" s="8" t="n">
        <v>23</v>
      </c>
      <c r="B26" s="9" t="inlineStr">
        <is>
          <t>LUIS VALDEZ</t>
        </is>
      </c>
      <c r="C26" s="9" t="inlineStr">
        <is>
          <t>P. ASFALTO HUIXQUILUCAN</t>
        </is>
      </c>
      <c r="D26" s="9" t="inlineStr">
        <is>
          <t>EQUIPO MENOR</t>
        </is>
      </c>
      <c r="E26" s="8" t="inlineStr">
        <is>
          <t>S/P</t>
        </is>
      </c>
      <c r="F26" s="10" t="n">
        <v>1000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0" t="n">
        <v>1000</v>
      </c>
      <c r="AF26" s="10" t="n">
        <v>0</v>
      </c>
    </row>
    <row r="27" ht="11.5" customHeight="1">
      <c r="A27" s="12" t="n">
        <v>24</v>
      </c>
      <c r="B27" s="13" t="inlineStr">
        <is>
          <t>CLEMENTE SANABRIA</t>
        </is>
      </c>
      <c r="C27" s="13" t="inlineStr">
        <is>
          <t>TRANSPORTES FLOTILLA</t>
        </is>
      </c>
      <c r="D27" s="13" t="inlineStr">
        <is>
          <t>RAM 1200</t>
        </is>
      </c>
      <c r="E27" s="12" t="inlineStr">
        <is>
          <t>LHB184D</t>
        </is>
      </c>
      <c r="F27" s="14" t="n">
        <v>2500</v>
      </c>
      <c r="G27" s="14" t="n">
        <v>1762.34</v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4" t="n">
        <v>737.66</v>
      </c>
      <c r="AF27" s="14" t="n">
        <v>1762.34</v>
      </c>
    </row>
    <row r="28" ht="11.5" customHeight="1">
      <c r="A28" s="8" t="n">
        <v>25</v>
      </c>
      <c r="B28" s="9" t="inlineStr">
        <is>
          <t>BRYAN GABRIEL CHAVEZ ALVAREZ</t>
        </is>
      </c>
      <c r="C28" s="9" t="inlineStr">
        <is>
          <t>TRANSPORTES FLOTILLA</t>
        </is>
      </c>
      <c r="D28" s="9" t="inlineStr">
        <is>
          <t>CHEVROLET TORNADO</t>
        </is>
      </c>
      <c r="E28" s="8" t="inlineStr">
        <is>
          <t>NUZ948C</t>
        </is>
      </c>
      <c r="F28" s="10" t="n">
        <v>1000</v>
      </c>
      <c r="G28" s="10" t="n">
        <v>1000</v>
      </c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0" t="n">
        <v>300</v>
      </c>
      <c r="X28" s="11" t="n"/>
      <c r="Y28" s="11" t="n"/>
      <c r="Z28" s="11" t="n"/>
      <c r="AA28" s="11" t="n"/>
      <c r="AB28" s="11" t="n"/>
      <c r="AC28" s="11" t="n"/>
      <c r="AD28" s="11" t="n"/>
      <c r="AE28" s="19" t="n">
        <v>-300</v>
      </c>
      <c r="AF28" s="10" t="n">
        <v>1300</v>
      </c>
    </row>
    <row r="29" ht="11.5" customHeight="1">
      <c r="A29" s="12" t="n">
        <v>26</v>
      </c>
      <c r="B29" s="13" t="inlineStr">
        <is>
          <t>BRYAN GABRIEL CHAVEZ ALVAREZ</t>
        </is>
      </c>
      <c r="C29" s="13" t="inlineStr">
        <is>
          <t>TRANSPORTES FLOTILLA</t>
        </is>
      </c>
      <c r="D29" s="13" t="inlineStr">
        <is>
          <t>MOTORES LOWBOY</t>
        </is>
      </c>
      <c r="E29" s="12" t="inlineStr">
        <is>
          <t>S/P</t>
        </is>
      </c>
      <c r="F29" s="14" t="n">
        <v>500</v>
      </c>
      <c r="G29" s="14" t="n">
        <v>500</v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4" t="n">
        <v>0</v>
      </c>
      <c r="AF29" s="14" t="n">
        <v>500</v>
      </c>
    </row>
    <row r="30" ht="11.5" customHeight="1">
      <c r="A30" s="8" t="n">
        <v>27</v>
      </c>
      <c r="B30" s="9" t="inlineStr">
        <is>
          <t>BRYAN GABRIEL CHAVEZ ALVAREZ</t>
        </is>
      </c>
      <c r="C30" s="9" t="inlineStr">
        <is>
          <t>TRANSPORTES FLOTILLA</t>
        </is>
      </c>
      <c r="D30" s="9" t="inlineStr">
        <is>
          <t>MOTORES LOWBOY</t>
        </is>
      </c>
      <c r="E30" s="8" t="inlineStr">
        <is>
          <t>S/P</t>
        </is>
      </c>
      <c r="F30" s="10" t="n">
        <v>500</v>
      </c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0" t="n">
        <v>500</v>
      </c>
      <c r="AF30" s="10" t="n">
        <v>0</v>
      </c>
    </row>
    <row r="31" ht="11.5" customHeight="1">
      <c r="A31" s="12" t="n">
        <v>28</v>
      </c>
      <c r="B31" s="13" t="inlineStr">
        <is>
          <t>ROBERTO ORTEGA</t>
        </is>
      </c>
      <c r="C31" s="13" t="inlineStr"/>
      <c r="D31" s="13" t="inlineStr"/>
      <c r="E31" s="12" t="inlineStr">
        <is>
          <t>MNX601B</t>
        </is>
      </c>
      <c r="F31" s="14" t="n">
        <v>800</v>
      </c>
      <c r="G31" s="14" t="n">
        <v>800</v>
      </c>
      <c r="H31" s="15" t="n"/>
      <c r="I31" s="15" t="n"/>
      <c r="J31" s="15" t="n"/>
      <c r="K31" s="15" t="n"/>
      <c r="L31" s="15" t="n"/>
      <c r="M31" s="15" t="n"/>
      <c r="N31" s="15" t="n"/>
      <c r="O31" s="14" t="n">
        <v>800</v>
      </c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20" t="n">
        <v>-800</v>
      </c>
      <c r="AF31" s="14" t="n">
        <v>1600</v>
      </c>
    </row>
    <row r="32" ht="11.5" customHeight="1">
      <c r="A32" s="8" t="n">
        <v>29</v>
      </c>
      <c r="B32" s="9" t="inlineStr">
        <is>
          <t>ROBERTO ORTEGA</t>
        </is>
      </c>
      <c r="C32" s="9" t="inlineStr"/>
      <c r="D32" s="9" t="inlineStr">
        <is>
          <t>EQUIPO MENOR</t>
        </is>
      </c>
      <c r="E32" s="8" t="inlineStr">
        <is>
          <t>S/P</t>
        </is>
      </c>
      <c r="F32" s="10" t="n">
        <v>500</v>
      </c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0" t="n">
        <v>500</v>
      </c>
      <c r="AF32" s="10" t="n">
        <v>0</v>
      </c>
    </row>
    <row r="33" ht="11.5" customHeight="1">
      <c r="A33" s="12" t="n">
        <v>30</v>
      </c>
      <c r="B33" s="13" t="inlineStr">
        <is>
          <t>JOSÉ CABELLO</t>
        </is>
      </c>
      <c r="C33" s="13" t="inlineStr">
        <is>
          <t>ESTIMACIONES</t>
        </is>
      </c>
      <c r="D33" s="13" t="inlineStr">
        <is>
          <t>MITSUBICHI MIRAGE</t>
        </is>
      </c>
      <c r="E33" s="12" t="inlineStr">
        <is>
          <t>LHB176D</t>
        </is>
      </c>
      <c r="F33" s="14" t="n">
        <v>1500</v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4" t="n">
        <v>1500</v>
      </c>
      <c r="AF33" s="14" t="n">
        <v>0</v>
      </c>
    </row>
    <row r="34" ht="11.5" customHeight="1">
      <c r="A34" s="8" t="n">
        <v>31</v>
      </c>
      <c r="B34" s="9" t="inlineStr">
        <is>
          <t>VICTOR HUGO MARTINEZ VELAZQUEZ</t>
        </is>
      </c>
      <c r="C34" s="9" t="inlineStr">
        <is>
          <t>JALISCO</t>
        </is>
      </c>
      <c r="D34" s="9" t="inlineStr">
        <is>
          <t>RAM 1200</t>
        </is>
      </c>
      <c r="E34" s="8" t="inlineStr">
        <is>
          <t>LHB182D</t>
        </is>
      </c>
      <c r="F34" s="10" t="n">
        <v>1500</v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0" t="n">
        <v>1500</v>
      </c>
      <c r="AF34" s="10" t="n">
        <v>0</v>
      </c>
    </row>
    <row r="35" ht="11.5" customHeight="1">
      <c r="A35" s="12" t="n">
        <v>32</v>
      </c>
      <c r="B35" s="13" t="inlineStr">
        <is>
          <t>PAOLA JARAMILLO</t>
        </is>
      </c>
      <c r="C35" s="13" t="inlineStr">
        <is>
          <t>CORPORATIVO</t>
        </is>
      </c>
      <c r="D35" s="13" t="inlineStr">
        <is>
          <t>CHANGAN ALSVIN</t>
        </is>
      </c>
      <c r="E35" s="12" t="inlineStr">
        <is>
          <t>LYY085A</t>
        </is>
      </c>
      <c r="F35" s="14" t="n">
        <v>700</v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4" t="n">
        <v>700</v>
      </c>
      <c r="AF35" s="14" t="n">
        <v>0</v>
      </c>
    </row>
    <row r="36" ht="11.5" customHeight="1">
      <c r="A36" s="8" t="n">
        <v>33</v>
      </c>
      <c r="B36" s="9" t="inlineStr">
        <is>
          <t>SAMUEL ORTEGA SILVA</t>
        </is>
      </c>
      <c r="C36" s="9" t="inlineStr">
        <is>
          <t>PROVIDENCIA</t>
        </is>
      </c>
      <c r="D36" s="9" t="inlineStr">
        <is>
          <t>MITSUBISHI L200</t>
        </is>
      </c>
      <c r="E36" s="8" t="inlineStr">
        <is>
          <t>NZT266B</t>
        </is>
      </c>
      <c r="F36" s="10" t="n">
        <v>3000</v>
      </c>
      <c r="G36" s="11" t="n"/>
      <c r="H36" s="10" t="n">
        <v>1000</v>
      </c>
      <c r="I36" s="8" t="inlineStr">
        <is>
          <t>a11165</t>
        </is>
      </c>
      <c r="J36" s="11" t="n"/>
      <c r="K36" s="11" t="n"/>
      <c r="L36" s="11" t="n"/>
      <c r="M36" s="11" t="n"/>
      <c r="N36" s="11" t="n"/>
      <c r="O36" s="11" t="n"/>
      <c r="P36" s="10" t="n">
        <v>1000</v>
      </c>
      <c r="Q36" s="8" t="inlineStr">
        <is>
          <t>a11237</t>
        </is>
      </c>
      <c r="R36" s="11" t="n"/>
      <c r="S36" s="11" t="n"/>
      <c r="T36" s="10" t="n">
        <v>1000</v>
      </c>
      <c r="U36" s="8" t="inlineStr">
        <is>
          <t>a11234</t>
        </is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0" t="n">
        <v>0</v>
      </c>
      <c r="AF36" s="10" t="n">
        <v>3000</v>
      </c>
    </row>
    <row r="37" ht="11.5" customHeight="1">
      <c r="A37" s="12" t="n">
        <v>34</v>
      </c>
      <c r="B37" s="13" t="inlineStr">
        <is>
          <t>CRISTOBAL SILVA</t>
        </is>
      </c>
      <c r="C37" s="13" t="inlineStr"/>
      <c r="D37" s="13" t="inlineStr">
        <is>
          <t>RAM 1200</t>
        </is>
      </c>
      <c r="E37" s="12" t="inlineStr">
        <is>
          <t>LKC794D</t>
        </is>
      </c>
      <c r="F37" s="14" t="n">
        <v>1500</v>
      </c>
      <c r="G37" s="14" t="n">
        <v>1459.15</v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4" t="n">
        <v>2000</v>
      </c>
      <c r="X37" s="15" t="n"/>
      <c r="Y37" s="15" t="n"/>
      <c r="Z37" s="15" t="n"/>
      <c r="AA37" s="15" t="n"/>
      <c r="AB37" s="15" t="n"/>
      <c r="AC37" s="15" t="n"/>
      <c r="AD37" s="15" t="n"/>
      <c r="AE37" s="20" t="n">
        <v>-1959.15</v>
      </c>
      <c r="AF37" s="14" t="n">
        <v>3459.15</v>
      </c>
    </row>
    <row r="38" ht="11.5" customHeight="1">
      <c r="A38" s="8" t="n">
        <v>35</v>
      </c>
      <c r="B38" s="9" t="inlineStr">
        <is>
          <t>HENRY PINEDA</t>
        </is>
      </c>
      <c r="C38" s="9" t="inlineStr">
        <is>
          <t>TRANSPORTES</t>
        </is>
      </c>
      <c r="D38" s="9" t="inlineStr"/>
      <c r="E38" s="8" t="inlineStr">
        <is>
          <t>NXP4918</t>
        </is>
      </c>
      <c r="F38" s="10" t="n">
        <v>800</v>
      </c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0" t="n">
        <v>800</v>
      </c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0" t="n">
        <v>0</v>
      </c>
      <c r="AF38" s="10" t="n">
        <v>800</v>
      </c>
    </row>
    <row r="39" ht="11.5" customHeight="1">
      <c r="A39" s="12" t="n">
        <v>36</v>
      </c>
      <c r="B39" s="13" t="inlineStr">
        <is>
          <t>JACK</t>
        </is>
      </c>
      <c r="C39" s="13" t="inlineStr">
        <is>
          <t>PLANTA PEGASO</t>
        </is>
      </c>
      <c r="D39" s="13" t="inlineStr"/>
      <c r="E39" s="12" t="inlineStr">
        <is>
          <t>PAT8298</t>
        </is>
      </c>
      <c r="F39" s="14" t="n">
        <v>1500</v>
      </c>
      <c r="G39" s="14" t="n">
        <v>1200</v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4" t="n">
        <v>300</v>
      </c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4" t="n">
        <v>0</v>
      </c>
      <c r="AF39" s="14" t="n">
        <v>1500</v>
      </c>
    </row>
    <row r="40" ht="11.5" customHeight="1">
      <c r="A40" s="8" t="n">
        <v>37</v>
      </c>
      <c r="B40" s="9" t="inlineStr">
        <is>
          <t>JACK</t>
        </is>
      </c>
      <c r="C40" s="9" t="inlineStr">
        <is>
          <t>PLANTA PEGASO</t>
        </is>
      </c>
      <c r="D40" s="9" t="inlineStr">
        <is>
          <t>Equipo Menor</t>
        </is>
      </c>
      <c r="E40" s="8" t="inlineStr"/>
      <c r="F40" s="10" t="n">
        <v>500</v>
      </c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0" t="n">
        <v>500</v>
      </c>
      <c r="AF40" s="10" t="n">
        <v>0</v>
      </c>
    </row>
    <row r="41" ht="13.5" customHeight="1">
      <c r="A41" s="16" t="inlineStr">
        <is>
          <t>TOTALES J.D.J.</t>
        </is>
      </c>
      <c r="B41" s="17" t="n"/>
      <c r="C41" s="17" t="n"/>
      <c r="D41" s="17" t="n"/>
      <c r="E41" s="17" t="n"/>
      <c r="F41" s="18">
        <f>SUM(F4:F40)</f>
        <v/>
      </c>
      <c r="G41" s="18">
        <f>SUM(G4:G40)</f>
        <v/>
      </c>
      <c r="H41" s="18">
        <f>SUM(H4:H40)</f>
        <v/>
      </c>
      <c r="I41" s="18">
        <f>SUM(I4:I40)</f>
        <v/>
      </c>
      <c r="J41" s="18">
        <f>SUM(J4:J40)</f>
        <v/>
      </c>
      <c r="K41" s="18">
        <f>SUM(K4:K40)</f>
        <v/>
      </c>
      <c r="L41" s="18">
        <f>SUM(L4:L40)</f>
        <v/>
      </c>
      <c r="M41" s="18">
        <f>SUM(M4:M40)</f>
        <v/>
      </c>
      <c r="N41" s="18">
        <f>SUM(N4:N40)</f>
        <v/>
      </c>
      <c r="O41" s="18">
        <f>SUM(O4:O40)</f>
        <v/>
      </c>
      <c r="P41" s="18">
        <f>SUM(P4:P40)</f>
        <v/>
      </c>
      <c r="Q41" s="18">
        <f>SUM(Q4:Q40)</f>
        <v/>
      </c>
      <c r="R41" s="18">
        <f>SUM(R4:R40)</f>
        <v/>
      </c>
      <c r="S41" s="18">
        <f>SUM(S4:S40)</f>
        <v/>
      </c>
      <c r="T41" s="18">
        <f>SUM(T4:T40)</f>
        <v/>
      </c>
      <c r="U41" s="18">
        <f>SUM(U4:U40)</f>
        <v/>
      </c>
      <c r="V41" s="18">
        <f>SUM(V4:V40)</f>
        <v/>
      </c>
      <c r="W41" s="18">
        <f>SUM(W4:W40)</f>
        <v/>
      </c>
      <c r="X41" s="18">
        <f>SUM(X4:X40)</f>
        <v/>
      </c>
      <c r="Y41" s="18">
        <f>SUM(Y4:Y40)</f>
        <v/>
      </c>
      <c r="Z41" s="18">
        <f>SUM(Z4:Z40)</f>
        <v/>
      </c>
      <c r="AA41" s="18">
        <f>SUM(AA4:AA40)</f>
        <v/>
      </c>
      <c r="AB41" s="18">
        <f>SUM(AB4:AB40)</f>
        <v/>
      </c>
      <c r="AC41" s="18">
        <f>SUM(AC4:AC40)</f>
        <v/>
      </c>
      <c r="AD41" s="18">
        <f>SUM(AD4:AD40)</f>
        <v/>
      </c>
      <c r="AE41" s="18">
        <f>SUM(AE4:AE40)</f>
        <v/>
      </c>
      <c r="AF41" s="18">
        <f>SUM(AF4:AF40)</f>
        <v/>
      </c>
    </row>
    <row r="42" ht="6" customHeight="1"/>
    <row r="43" ht="17" customHeight="1">
      <c r="A43" s="1" t="inlineStr">
        <is>
          <t>GASOLINA - TRITURADORA ROCA DURA SAN MIGUEL  (SEMANA 36)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 ht="14" customHeight="1">
      <c r="A44" s="3" t="inlineStr">
        <is>
          <t>NO.</t>
        </is>
      </c>
      <c r="B44" s="3" t="inlineStr">
        <is>
          <t>RESPONSABLE</t>
        </is>
      </c>
      <c r="C44" s="3" t="inlineStr">
        <is>
          <t>CENTRO DE TRABAJO</t>
        </is>
      </c>
      <c r="D44" s="3" t="inlineStr">
        <is>
          <t>UNIDAD / EQUIPO</t>
        </is>
      </c>
      <c r="E44" s="3" t="inlineStr">
        <is>
          <t>PLACAS</t>
        </is>
      </c>
      <c r="F44" s="3" t="inlineStr">
        <is>
          <t>IMPORTE AUTORIZADO</t>
        </is>
      </c>
      <c r="G44" s="4" t="inlineStr">
        <is>
          <t>LUN 31/AGO</t>
        </is>
      </c>
      <c r="H44" s="2" t="n"/>
      <c r="I44" s="2" t="n"/>
      <c r="J44" s="2" t="n"/>
      <c r="K44" s="4" t="inlineStr">
        <is>
          <t>MAR 01/SEP</t>
        </is>
      </c>
      <c r="L44" s="2" t="n"/>
      <c r="M44" s="2" t="n"/>
      <c r="N44" s="2" t="n"/>
      <c r="O44" s="4" t="inlineStr">
        <is>
          <t>MIÉ 02/SEP</t>
        </is>
      </c>
      <c r="P44" s="2" t="n"/>
      <c r="Q44" s="2" t="n"/>
      <c r="R44" s="2" t="n"/>
      <c r="S44" s="4" t="inlineStr">
        <is>
          <t>JUE 03/SEP</t>
        </is>
      </c>
      <c r="T44" s="2" t="n"/>
      <c r="U44" s="2" t="n"/>
      <c r="V44" s="2" t="n"/>
      <c r="W44" s="4" t="inlineStr">
        <is>
          <t>VIE 04/SEP</t>
        </is>
      </c>
      <c r="X44" s="2" t="n"/>
      <c r="Y44" s="2" t="n"/>
      <c r="Z44" s="2" t="n"/>
      <c r="AA44" s="4" t="inlineStr">
        <is>
          <t>SÁB 05/SEP</t>
        </is>
      </c>
      <c r="AB44" s="2" t="n"/>
      <c r="AC44" s="2" t="n"/>
      <c r="AD44" s="2" t="n"/>
      <c r="AE44" s="5" t="inlineStr">
        <is>
          <t>REMANENTE
(SALDO)</t>
        </is>
      </c>
      <c r="AF44" s="3" t="inlineStr">
        <is>
          <t>CONSUMO
SEMANAL</t>
        </is>
      </c>
    </row>
    <row r="45" ht="13" customHeight="1">
      <c r="A45" s="6" t="n"/>
      <c r="B45" s="6" t="n"/>
      <c r="C45" s="6" t="n"/>
      <c r="D45" s="6" t="n"/>
      <c r="E45" s="6" t="n"/>
      <c r="F45" s="6" t="n"/>
      <c r="G45" s="7" t="inlineStr">
        <is>
          <t>LEVET</t>
        </is>
      </c>
      <c r="H45" s="7" t="inlineStr">
        <is>
          <t>MOBILE</t>
        </is>
      </c>
      <c r="I45" s="7" t="inlineStr">
        <is>
          <t>TICKET</t>
        </is>
      </c>
      <c r="J45" s="7" t="inlineStr">
        <is>
          <t>SI VALE</t>
        </is>
      </c>
      <c r="K45" s="7" t="inlineStr">
        <is>
          <t>LEVET</t>
        </is>
      </c>
      <c r="L45" s="7" t="inlineStr">
        <is>
          <t>MOBILE</t>
        </is>
      </c>
      <c r="M45" s="7" t="inlineStr">
        <is>
          <t>TICKET</t>
        </is>
      </c>
      <c r="N45" s="7" t="inlineStr">
        <is>
          <t>SI VALE</t>
        </is>
      </c>
      <c r="O45" s="7" t="inlineStr">
        <is>
          <t>LEVET</t>
        </is>
      </c>
      <c r="P45" s="7" t="inlineStr">
        <is>
          <t>MOBILE</t>
        </is>
      </c>
      <c r="Q45" s="7" t="inlineStr">
        <is>
          <t>TICKET</t>
        </is>
      </c>
      <c r="R45" s="7" t="inlineStr">
        <is>
          <t>SI VALE</t>
        </is>
      </c>
      <c r="S45" s="7" t="inlineStr">
        <is>
          <t>LEVET</t>
        </is>
      </c>
      <c r="T45" s="7" t="inlineStr">
        <is>
          <t>MOBILE</t>
        </is>
      </c>
      <c r="U45" s="7" t="inlineStr">
        <is>
          <t>TICKET</t>
        </is>
      </c>
      <c r="V45" s="7" t="inlineStr">
        <is>
          <t>SI VALE</t>
        </is>
      </c>
      <c r="W45" s="7" t="inlineStr">
        <is>
          <t>LEVET</t>
        </is>
      </c>
      <c r="X45" s="7" t="inlineStr">
        <is>
          <t>MOBILE</t>
        </is>
      </c>
      <c r="Y45" s="7" t="inlineStr">
        <is>
          <t>TICKET</t>
        </is>
      </c>
      <c r="Z45" s="7" t="inlineStr">
        <is>
          <t>SI VALE</t>
        </is>
      </c>
      <c r="AA45" s="7" t="inlineStr">
        <is>
          <t>LEVET</t>
        </is>
      </c>
      <c r="AB45" s="7" t="inlineStr">
        <is>
          <t>MOBILE</t>
        </is>
      </c>
      <c r="AC45" s="7" t="inlineStr">
        <is>
          <t>TICKET</t>
        </is>
      </c>
      <c r="AD45" s="7" t="inlineStr">
        <is>
          <t>SI VALE</t>
        </is>
      </c>
      <c r="AE45" s="2" t="n"/>
      <c r="AF45" s="6" t="n"/>
    </row>
    <row r="46" ht="11.5" customHeight="1">
      <c r="A46" s="8" t="n">
        <v>1</v>
      </c>
      <c r="B46" s="9" t="inlineStr">
        <is>
          <t>CARLOS REYES TRUJANO</t>
        </is>
      </c>
      <c r="C46" s="9" t="inlineStr">
        <is>
          <t>MINA TABERNILLAS</t>
        </is>
      </c>
      <c r="D46" s="9" t="inlineStr">
        <is>
          <t>TOYOTA TACOMA</t>
        </is>
      </c>
      <c r="E46" s="8" t="inlineStr">
        <is>
          <t>33K849</t>
        </is>
      </c>
      <c r="F46" s="10" t="n">
        <v>2500</v>
      </c>
      <c r="G46" s="10" t="n">
        <v>2050.05</v>
      </c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0" t="n">
        <v>1000</v>
      </c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9" t="n">
        <v>-550.05</v>
      </c>
      <c r="AF46" s="10" t="n">
        <v>3050.05</v>
      </c>
    </row>
    <row r="47" ht="11.5" customHeight="1">
      <c r="A47" s="12" t="n">
        <v>2</v>
      </c>
      <c r="B47" s="13" t="inlineStr">
        <is>
          <t>LAZARO PINAL RIOS</t>
        </is>
      </c>
      <c r="C47" s="13" t="inlineStr">
        <is>
          <t>MINA TABERNILLAS</t>
        </is>
      </c>
      <c r="D47" s="13" t="inlineStr">
        <is>
          <t>MITSUBISHI L200</t>
        </is>
      </c>
      <c r="E47" s="12" t="inlineStr">
        <is>
          <t>MHL757A</t>
        </is>
      </c>
      <c r="F47" s="14" t="n">
        <v>1500</v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 t="n">
        <v>1500</v>
      </c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4" t="n">
        <v>0</v>
      </c>
      <c r="AF47" s="14" t="n">
        <v>1500</v>
      </c>
    </row>
    <row r="48" ht="11.5" customHeight="1">
      <c r="A48" s="8" t="n">
        <v>3</v>
      </c>
      <c r="B48" s="9" t="inlineStr">
        <is>
          <t>ARMANDO LANDIN MORENO</t>
        </is>
      </c>
      <c r="C48" s="9" t="inlineStr">
        <is>
          <t>MINA TABERNILLAS</t>
        </is>
      </c>
      <c r="D48" s="9" t="inlineStr">
        <is>
          <t>MITSUBISHI L200</t>
        </is>
      </c>
      <c r="E48" s="8" t="inlineStr">
        <is>
          <t>LH180D</t>
        </is>
      </c>
      <c r="F48" s="10" t="n">
        <v>2000</v>
      </c>
      <c r="G48" s="11" t="n"/>
      <c r="H48" s="11" t="n"/>
      <c r="I48" s="11" t="n"/>
      <c r="J48" s="11" t="n"/>
      <c r="K48" s="10" t="n">
        <v>1117.12</v>
      </c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0" t="n">
        <v>882.88</v>
      </c>
      <c r="AF48" s="10" t="n">
        <v>1117.12</v>
      </c>
    </row>
    <row r="49" ht="11.5" customHeight="1">
      <c r="A49" s="12" t="n">
        <v>4</v>
      </c>
      <c r="B49" s="13" t="inlineStr">
        <is>
          <t>ARMANDO LANDIN MORENO</t>
        </is>
      </c>
      <c r="C49" s="13" t="inlineStr">
        <is>
          <t>MINA TABERNILLAS</t>
        </is>
      </c>
      <c r="D49" s="13" t="inlineStr">
        <is>
          <t>EQUIPO MENOR</t>
        </is>
      </c>
      <c r="E49" s="12" t="inlineStr">
        <is>
          <t>S/P</t>
        </is>
      </c>
      <c r="F49" s="14" t="n">
        <v>500</v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4" t="n">
        <v>500</v>
      </c>
      <c r="AF49" s="14" t="n">
        <v>0</v>
      </c>
    </row>
    <row r="50" ht="11.5" customHeight="1">
      <c r="A50" s="8" t="n">
        <v>5</v>
      </c>
      <c r="B50" s="9" t="inlineStr">
        <is>
          <t>ABNER OSORIO BARTOLO</t>
        </is>
      </c>
      <c r="C50" s="9" t="inlineStr">
        <is>
          <t>MINA ZUMPAHUACAN</t>
        </is>
      </c>
      <c r="D50" s="9" t="inlineStr">
        <is>
          <t>MITSUBISHI L200</t>
        </is>
      </c>
      <c r="E50" s="8" t="inlineStr">
        <is>
          <t>NYZ828C</t>
        </is>
      </c>
      <c r="F50" s="10" t="n">
        <v>1500</v>
      </c>
      <c r="G50" s="10" t="n">
        <v>1500</v>
      </c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0" t="n">
        <v>500</v>
      </c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9" t="n">
        <v>-500</v>
      </c>
      <c r="AF50" s="10" t="n">
        <v>2000</v>
      </c>
    </row>
    <row r="51" ht="11.5" customHeight="1">
      <c r="A51" s="12" t="n">
        <v>6</v>
      </c>
      <c r="B51" s="13" t="inlineStr">
        <is>
          <t>ISAAC GONZALEZ GONZALEZ</t>
        </is>
      </c>
      <c r="C51" s="13" t="inlineStr">
        <is>
          <t>MINA ZUMPAHUACAN</t>
        </is>
      </c>
      <c r="D51" s="13" t="inlineStr">
        <is>
          <t>MITSUBISHI L200</t>
        </is>
      </c>
      <c r="E51" s="12" t="inlineStr">
        <is>
          <t>NYZ839C</t>
        </is>
      </c>
      <c r="F51" s="14" t="n">
        <v>1500</v>
      </c>
      <c r="G51" s="14" t="n">
        <v>1500</v>
      </c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4" t="n">
        <v>0</v>
      </c>
      <c r="AF51" s="14" t="n">
        <v>1500</v>
      </c>
    </row>
    <row r="52" ht="11.5" customHeight="1">
      <c r="A52" s="8" t="n">
        <v>7</v>
      </c>
      <c r="B52" s="9" t="inlineStr">
        <is>
          <t>ISAAC GONZALEZ GONZALEZ</t>
        </is>
      </c>
      <c r="C52" s="9" t="inlineStr">
        <is>
          <t>MINA ZUMPAHUACAN</t>
        </is>
      </c>
      <c r="D52" s="9" t="inlineStr">
        <is>
          <t>EQUIPO MENOR</t>
        </is>
      </c>
      <c r="E52" s="8" t="inlineStr">
        <is>
          <t>S/P</t>
        </is>
      </c>
      <c r="F52" s="10" t="n">
        <v>500</v>
      </c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0" t="n">
        <v>500</v>
      </c>
      <c r="AF52" s="10" t="n">
        <v>0</v>
      </c>
    </row>
    <row r="53" ht="11.5" customHeight="1">
      <c r="A53" s="12" t="n">
        <v>8</v>
      </c>
      <c r="B53" s="13" t="inlineStr">
        <is>
          <t>JESUS MARIN GARCIA</t>
        </is>
      </c>
      <c r="C53" s="13" t="inlineStr">
        <is>
          <t>MINA CUAJOMAC</t>
        </is>
      </c>
      <c r="D53" s="13" t="inlineStr">
        <is>
          <t>CHEVORLET</t>
        </is>
      </c>
      <c r="E53" s="12" t="inlineStr">
        <is>
          <t>PCU8771</t>
        </is>
      </c>
      <c r="F53" s="14" t="n">
        <v>2000</v>
      </c>
      <c r="G53" s="14" t="n">
        <v>1550.13</v>
      </c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4" t="n">
        <v>449.87</v>
      </c>
      <c r="AF53" s="14" t="n">
        <v>1550.13</v>
      </c>
    </row>
    <row r="54" ht="11.5" customHeight="1">
      <c r="A54" s="8" t="n">
        <v>9</v>
      </c>
      <c r="B54" s="9" t="inlineStr">
        <is>
          <t>JESUS MARIN GARCIA</t>
        </is>
      </c>
      <c r="C54" s="9" t="inlineStr">
        <is>
          <t>MINA CUAJOMAC</t>
        </is>
      </c>
      <c r="D54" s="9" t="inlineStr">
        <is>
          <t>EQUIPO MENOR</t>
        </is>
      </c>
      <c r="E54" s="8" t="inlineStr">
        <is>
          <t>S/P</t>
        </is>
      </c>
      <c r="F54" s="10" t="n">
        <v>500</v>
      </c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0" t="n">
        <v>500</v>
      </c>
      <c r="AF54" s="10" t="n">
        <v>0</v>
      </c>
    </row>
    <row r="55" ht="13.5" customHeight="1">
      <c r="A55" s="16" t="inlineStr">
        <is>
          <t>TOTALES TRITURADORA</t>
        </is>
      </c>
      <c r="B55" s="17" t="n"/>
      <c r="C55" s="17" t="n"/>
      <c r="D55" s="17" t="n"/>
      <c r="E55" s="17" t="n"/>
      <c r="F55" s="18">
        <f>SUM(F46:F54)</f>
        <v/>
      </c>
      <c r="G55" s="18">
        <f>SUM(G46:G54)</f>
        <v/>
      </c>
      <c r="H55" s="18">
        <f>SUM(H46:H54)</f>
        <v/>
      </c>
      <c r="I55" s="18">
        <f>SUM(I46:I54)</f>
        <v/>
      </c>
      <c r="J55" s="18">
        <f>SUM(J46:J54)</f>
        <v/>
      </c>
      <c r="K55" s="18">
        <f>SUM(K46:K54)</f>
        <v/>
      </c>
      <c r="L55" s="18">
        <f>SUM(L46:L54)</f>
        <v/>
      </c>
      <c r="M55" s="18">
        <f>SUM(M46:M54)</f>
        <v/>
      </c>
      <c r="N55" s="18">
        <f>SUM(N46:N54)</f>
        <v/>
      </c>
      <c r="O55" s="18">
        <f>SUM(O46:O54)</f>
        <v/>
      </c>
      <c r="P55" s="18">
        <f>SUM(P46:P54)</f>
        <v/>
      </c>
      <c r="Q55" s="18">
        <f>SUM(Q46:Q54)</f>
        <v/>
      </c>
      <c r="R55" s="18">
        <f>SUM(R46:R54)</f>
        <v/>
      </c>
      <c r="S55" s="18">
        <f>SUM(S46:S54)</f>
        <v/>
      </c>
      <c r="T55" s="18">
        <f>SUM(T46:T54)</f>
        <v/>
      </c>
      <c r="U55" s="18">
        <f>SUM(U46:U54)</f>
        <v/>
      </c>
      <c r="V55" s="18">
        <f>SUM(V46:V54)</f>
        <v/>
      </c>
      <c r="W55" s="18">
        <f>SUM(W46:W54)</f>
        <v/>
      </c>
      <c r="X55" s="18">
        <f>SUM(X46:X54)</f>
        <v/>
      </c>
      <c r="Y55" s="18">
        <f>SUM(Y46:Y54)</f>
        <v/>
      </c>
      <c r="Z55" s="18">
        <f>SUM(Z46:Z54)</f>
        <v/>
      </c>
      <c r="AA55" s="18">
        <f>SUM(AA46:AA54)</f>
        <v/>
      </c>
      <c r="AB55" s="18">
        <f>SUM(AB46:AB54)</f>
        <v/>
      </c>
      <c r="AC55" s="18">
        <f>SUM(AC46:AC54)</f>
        <v/>
      </c>
      <c r="AD55" s="18">
        <f>SUM(AD46:AD54)</f>
        <v/>
      </c>
      <c r="AE55" s="18">
        <f>SUM(AE46:AE54)</f>
        <v/>
      </c>
      <c r="AF55" s="18">
        <f>SUM(AF46:AF54)</f>
        <v/>
      </c>
    </row>
  </sheetData>
  <mergeCells count="32">
    <mergeCell ref="F44:F45"/>
    <mergeCell ref="W2:Z2"/>
    <mergeCell ref="O2:R2"/>
    <mergeCell ref="B2:B3"/>
    <mergeCell ref="AA2:AD2"/>
    <mergeCell ref="AE2:AE3"/>
    <mergeCell ref="D2:D3"/>
    <mergeCell ref="F2:F3"/>
    <mergeCell ref="C44:C45"/>
    <mergeCell ref="E44:E45"/>
    <mergeCell ref="G44:J44"/>
    <mergeCell ref="S44:V44"/>
    <mergeCell ref="AF44:AF45"/>
    <mergeCell ref="A1:AF1"/>
    <mergeCell ref="W44:Z44"/>
    <mergeCell ref="A41:E41"/>
    <mergeCell ref="G2:J2"/>
    <mergeCell ref="A2:A3"/>
    <mergeCell ref="C2:C3"/>
    <mergeCell ref="AF2:AF3"/>
    <mergeCell ref="E2:E3"/>
    <mergeCell ref="B44:B45"/>
    <mergeCell ref="A55:E55"/>
    <mergeCell ref="AA44:AD44"/>
    <mergeCell ref="AE44:AE45"/>
    <mergeCell ref="S2:V2"/>
    <mergeCell ref="A44:A45"/>
    <mergeCell ref="K44:N44"/>
    <mergeCell ref="O44:R44"/>
    <mergeCell ref="K2:N2"/>
    <mergeCell ref="A43:AF43"/>
    <mergeCell ref="D44:D45"/>
  </mergeCells>
  <pageMargins left="0.2" right="0.2" top="0.25" bottom="0.25" header="0.5" footer="0.5"/>
  <pageSetup orientation="landscape" paperSize="5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F55"/>
  <sheetViews>
    <sheetView workbookViewId="0">
      <selection activeCell="A1" sqref="A1"/>
    </sheetView>
  </sheetViews>
  <sheetFormatPr baseColWidth="8" defaultRowHeight="15"/>
  <cols>
    <col width="3.5" customWidth="1" min="1" max="1"/>
    <col width="16.5" customWidth="1" min="2" max="2"/>
    <col width="14" customWidth="1" min="3" max="3"/>
    <col width="13" customWidth="1" min="4" max="4"/>
    <col width="7.8" customWidth="1" min="5" max="5"/>
    <col width="8.800000000000001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6.4" customWidth="1" min="30" max="30"/>
    <col width="8.5" customWidth="1" min="31" max="31"/>
    <col width="8.800000000000001" customWidth="1" min="32" max="32"/>
  </cols>
  <sheetData>
    <row r="1" ht="18" customHeight="1">
      <c r="A1" s="1" t="inlineStr">
        <is>
          <t>GASOLINA - J.D.J. EQUIPO Y CONSTRUCCIONES S.A. DE C.V.  (SEMANA 37)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14" customHeight="1">
      <c r="A2" s="3" t="inlineStr">
        <is>
          <t>NO.</t>
        </is>
      </c>
      <c r="B2" s="3" t="inlineStr">
        <is>
          <t>RESPONSABLE</t>
        </is>
      </c>
      <c r="C2" s="3" t="inlineStr">
        <is>
          <t>CENTRO DE TRABAJO</t>
        </is>
      </c>
      <c r="D2" s="3" t="inlineStr">
        <is>
          <t>UNIDAD / EQUIPO</t>
        </is>
      </c>
      <c r="E2" s="3" t="inlineStr">
        <is>
          <t>PLACAS</t>
        </is>
      </c>
      <c r="F2" s="3" t="inlineStr">
        <is>
          <t>IMPORTE AUTORIZADO</t>
        </is>
      </c>
      <c r="G2" s="4" t="inlineStr">
        <is>
          <t>LUN 07/SEP</t>
        </is>
      </c>
      <c r="H2" s="2" t="n"/>
      <c r="I2" s="2" t="n"/>
      <c r="J2" s="2" t="n"/>
      <c r="K2" s="4" t="inlineStr">
        <is>
          <t>MAR 08/SEP</t>
        </is>
      </c>
      <c r="L2" s="2" t="n"/>
      <c r="M2" s="2" t="n"/>
      <c r="N2" s="2" t="n"/>
      <c r="O2" s="4" t="inlineStr">
        <is>
          <t>MIÉ 09/SEP</t>
        </is>
      </c>
      <c r="P2" s="2" t="n"/>
      <c r="Q2" s="2" t="n"/>
      <c r="R2" s="2" t="n"/>
      <c r="S2" s="4" t="inlineStr">
        <is>
          <t>JUE 10/SEP</t>
        </is>
      </c>
      <c r="T2" s="2" t="n"/>
      <c r="U2" s="2" t="n"/>
      <c r="V2" s="2" t="n"/>
      <c r="W2" s="4" t="inlineStr">
        <is>
          <t>VIE 11/SEP</t>
        </is>
      </c>
      <c r="X2" s="2" t="n"/>
      <c r="Y2" s="2" t="n"/>
      <c r="Z2" s="2" t="n"/>
      <c r="AA2" s="4" t="inlineStr">
        <is>
          <t>SÁB 12/SEP</t>
        </is>
      </c>
      <c r="AB2" s="2" t="n"/>
      <c r="AC2" s="2" t="n"/>
      <c r="AD2" s="2" t="n"/>
      <c r="AE2" s="5" t="inlineStr">
        <is>
          <t>REMANENTE
(SALDO)</t>
        </is>
      </c>
      <c r="AF2" s="3" t="inlineStr">
        <is>
          <t>CONSUMO
SEMANAL</t>
        </is>
      </c>
    </row>
    <row r="3" ht="13" customHeight="1">
      <c r="A3" s="6" t="n"/>
      <c r="B3" s="6" t="n"/>
      <c r="C3" s="6" t="n"/>
      <c r="D3" s="6" t="n"/>
      <c r="E3" s="6" t="n"/>
      <c r="F3" s="6" t="n"/>
      <c r="G3" s="7" t="inlineStr">
        <is>
          <t>LEVET</t>
        </is>
      </c>
      <c r="H3" s="7" t="inlineStr">
        <is>
          <t>MOBILE</t>
        </is>
      </c>
      <c r="I3" s="7" t="inlineStr">
        <is>
          <t>TICKET</t>
        </is>
      </c>
      <c r="J3" s="7" t="inlineStr">
        <is>
          <t>SI VALE</t>
        </is>
      </c>
      <c r="K3" s="7" t="inlineStr">
        <is>
          <t>LEVET</t>
        </is>
      </c>
      <c r="L3" s="7" t="inlineStr">
        <is>
          <t>MOBILE</t>
        </is>
      </c>
      <c r="M3" s="7" t="inlineStr">
        <is>
          <t>TICKET</t>
        </is>
      </c>
      <c r="N3" s="7" t="inlineStr">
        <is>
          <t>SI VALE</t>
        </is>
      </c>
      <c r="O3" s="7" t="inlineStr">
        <is>
          <t>LEVET</t>
        </is>
      </c>
      <c r="P3" s="7" t="inlineStr">
        <is>
          <t>MOBILE</t>
        </is>
      </c>
      <c r="Q3" s="7" t="inlineStr">
        <is>
          <t>TICKET</t>
        </is>
      </c>
      <c r="R3" s="7" t="inlineStr">
        <is>
          <t>SI VALE</t>
        </is>
      </c>
      <c r="S3" s="7" t="inlineStr">
        <is>
          <t>LEVET</t>
        </is>
      </c>
      <c r="T3" s="7" t="inlineStr">
        <is>
          <t>MOBILE</t>
        </is>
      </c>
      <c r="U3" s="7" t="inlineStr">
        <is>
          <t>TICKET</t>
        </is>
      </c>
      <c r="V3" s="7" t="inlineStr">
        <is>
          <t>SI VALE</t>
        </is>
      </c>
      <c r="W3" s="7" t="inlineStr">
        <is>
          <t>LEVET</t>
        </is>
      </c>
      <c r="X3" s="7" t="inlineStr">
        <is>
          <t>MOBILE</t>
        </is>
      </c>
      <c r="Y3" s="7" t="inlineStr">
        <is>
          <t>TICKET</t>
        </is>
      </c>
      <c r="Z3" s="7" t="inlineStr">
        <is>
          <t>SI VALE</t>
        </is>
      </c>
      <c r="AA3" s="7" t="inlineStr">
        <is>
          <t>LEVET</t>
        </is>
      </c>
      <c r="AB3" s="7" t="inlineStr">
        <is>
          <t>MOBILE</t>
        </is>
      </c>
      <c r="AC3" s="7" t="inlineStr">
        <is>
          <t>TICKET</t>
        </is>
      </c>
      <c r="AD3" s="7" t="inlineStr">
        <is>
          <t>SI VALE</t>
        </is>
      </c>
      <c r="AE3" s="2" t="n"/>
      <c r="AF3" s="6" t="n"/>
    </row>
    <row r="4" ht="11.5" customHeight="1">
      <c r="A4" s="8" t="n">
        <v>1</v>
      </c>
      <c r="B4" s="9" t="inlineStr">
        <is>
          <t>ING. ANTONIO IBAÑEZ</t>
        </is>
      </c>
      <c r="C4" s="9" t="inlineStr">
        <is>
          <t>MAQUINARIA</t>
        </is>
      </c>
      <c r="D4" s="9" t="inlineStr">
        <is>
          <t>RAM 1200</t>
        </is>
      </c>
      <c r="E4" s="8" t="inlineStr">
        <is>
          <t>LHB188D</t>
        </is>
      </c>
      <c r="F4" s="10" t="n">
        <v>2500</v>
      </c>
      <c r="G4" s="11" t="n"/>
      <c r="H4" s="11" t="n"/>
      <c r="I4" s="11" t="n"/>
      <c r="J4" s="11" t="n"/>
      <c r="K4" s="10" t="n">
        <v>1098.81</v>
      </c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0" t="n">
        <v>1401.19</v>
      </c>
      <c r="AF4" s="10" t="n">
        <v>1098.81</v>
      </c>
    </row>
    <row r="5" ht="11.5" customHeight="1">
      <c r="A5" s="12" t="n">
        <v>2</v>
      </c>
      <c r="B5" s="13" t="inlineStr">
        <is>
          <t>ING. ANTONIO IBAÑEZ</t>
        </is>
      </c>
      <c r="C5" s="13" t="inlineStr">
        <is>
          <t>MAQUINARIA</t>
        </is>
      </c>
      <c r="D5" s="13" t="inlineStr">
        <is>
          <t>EQUIPO MENOR</t>
        </is>
      </c>
      <c r="E5" s="12" t="inlineStr">
        <is>
          <t>S/P</t>
        </is>
      </c>
      <c r="F5" s="14" t="n">
        <v>500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4" t="n">
        <v>500</v>
      </c>
      <c r="AF5" s="14" t="n">
        <v>0</v>
      </c>
    </row>
    <row r="6" ht="11.5" customHeight="1">
      <c r="A6" s="8" t="n">
        <v>3</v>
      </c>
      <c r="B6" s="9" t="inlineStr">
        <is>
          <t>JUAN CARLOS NAZAR CHAVEZ</t>
        </is>
      </c>
      <c r="C6" s="9" t="inlineStr">
        <is>
          <t>MAQUINARIA</t>
        </is>
      </c>
      <c r="D6" s="9" t="inlineStr">
        <is>
          <t>DODGE RAM 700</t>
        </is>
      </c>
      <c r="E6" s="8" t="inlineStr">
        <is>
          <t>PCW9238</t>
        </is>
      </c>
      <c r="F6" s="10" t="n">
        <v>1500</v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0" t="n">
        <v>1086.63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0" t="n">
        <v>413.37</v>
      </c>
      <c r="AF6" s="10" t="n">
        <v>1086.63</v>
      </c>
    </row>
    <row r="7" ht="11.5" customHeight="1">
      <c r="A7" s="12" t="n">
        <v>4</v>
      </c>
      <c r="B7" s="13" t="inlineStr">
        <is>
          <t>EDGAR VELAZQUEZ ESQUIVEL</t>
        </is>
      </c>
      <c r="C7" s="13" t="inlineStr">
        <is>
          <t>MAQUINARIA</t>
        </is>
      </c>
      <c r="D7" s="13" t="inlineStr"/>
      <c r="E7" s="12" t="inlineStr">
        <is>
          <t>PCW9391</t>
        </is>
      </c>
      <c r="F7" s="14" t="n">
        <v>1500</v>
      </c>
      <c r="G7" s="14" t="n">
        <v>1260.74</v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4" t="n">
        <v>239.26</v>
      </c>
      <c r="AF7" s="14" t="n">
        <v>1260.74</v>
      </c>
    </row>
    <row r="8" ht="11.5" customHeight="1">
      <c r="A8" s="8" t="n">
        <v>5</v>
      </c>
      <c r="B8" s="9" t="inlineStr">
        <is>
          <t>ROBERTO CARLOS GARCÍA</t>
        </is>
      </c>
      <c r="C8" s="9" t="inlineStr">
        <is>
          <t>H. COLEGIO MILITAR</t>
        </is>
      </c>
      <c r="D8" s="9" t="inlineStr">
        <is>
          <t>CHANGAN ALSVIN</t>
        </is>
      </c>
      <c r="E8" s="8" t="inlineStr">
        <is>
          <t>LMH893A</t>
        </is>
      </c>
      <c r="F8" s="10" t="n">
        <v>700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0" t="n">
        <v>700</v>
      </c>
      <c r="AF8" s="10" t="n">
        <v>0</v>
      </c>
    </row>
    <row r="9" ht="11.5" customHeight="1">
      <c r="A9" s="12" t="n">
        <v>6</v>
      </c>
      <c r="B9" s="13" t="inlineStr">
        <is>
          <t>OSCAR ESTRADA LINARES</t>
        </is>
      </c>
      <c r="C9" s="13" t="inlineStr">
        <is>
          <t>EXPLANADA DAMIAN CARMONA</t>
        </is>
      </c>
      <c r="D9" s="13" t="inlineStr">
        <is>
          <t>NISSAN NP-300</t>
        </is>
      </c>
      <c r="E9" s="12" t="inlineStr">
        <is>
          <t>MAH844C</t>
        </is>
      </c>
      <c r="F9" s="14" t="n">
        <v>1500</v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4" t="n">
        <v>1500</v>
      </c>
      <c r="AF9" s="14" t="n">
        <v>0</v>
      </c>
    </row>
    <row r="10" ht="11.5" customHeight="1">
      <c r="A10" s="8" t="n">
        <v>7</v>
      </c>
      <c r="B10" s="9" t="inlineStr">
        <is>
          <t>DIEGO CARREOLA</t>
        </is>
      </c>
      <c r="C10" s="9" t="inlineStr">
        <is>
          <t>BACHEO TOLUCA</t>
        </is>
      </c>
      <c r="D10" s="9" t="inlineStr">
        <is>
          <t>MITSUBISHI L1200</t>
        </is>
      </c>
      <c r="E10" s="8" t="inlineStr">
        <is>
          <t>NYZ829C</t>
        </is>
      </c>
      <c r="F10" s="10" t="n">
        <v>1500</v>
      </c>
      <c r="G10" s="11" t="n"/>
      <c r="H10" s="11" t="n"/>
      <c r="I10" s="11" t="n"/>
      <c r="J10" s="11" t="n"/>
      <c r="K10" s="10" t="n">
        <v>1500</v>
      </c>
      <c r="L10" s="11" t="n"/>
      <c r="M10" s="11" t="n"/>
      <c r="N10" s="11" t="n"/>
      <c r="O10" s="11" t="n"/>
      <c r="P10" s="11" t="n"/>
      <c r="Q10" s="11" t="n"/>
      <c r="R10" s="11" t="n"/>
      <c r="S10" s="10" t="n">
        <v>874.54</v>
      </c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9" t="n">
        <v>-874.54</v>
      </c>
      <c r="AF10" s="10" t="n">
        <v>2374.54</v>
      </c>
    </row>
    <row r="11" ht="11.5" customHeight="1">
      <c r="A11" s="12" t="n">
        <v>8</v>
      </c>
      <c r="B11" s="13" t="inlineStr">
        <is>
          <t>DIEGO CARREOLA</t>
        </is>
      </c>
      <c r="C11" s="13" t="inlineStr">
        <is>
          <t>BACHEO TOLUCA</t>
        </is>
      </c>
      <c r="D11" s="13" t="inlineStr">
        <is>
          <t>EQUIPO MENOR</t>
        </is>
      </c>
      <c r="E11" s="12" t="inlineStr">
        <is>
          <t>S/P</t>
        </is>
      </c>
      <c r="F11" s="14" t="n">
        <v>500</v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4" t="n">
        <v>500</v>
      </c>
      <c r="AF11" s="14" t="n">
        <v>0</v>
      </c>
    </row>
    <row r="12" ht="11.5" customHeight="1">
      <c r="A12" s="8" t="n">
        <v>9</v>
      </c>
      <c r="B12" s="9" t="inlineStr">
        <is>
          <t>TOMAS ARANDA PROSPERO</t>
        </is>
      </c>
      <c r="C12" s="9" t="inlineStr">
        <is>
          <t>BACHEO TOLUCA</t>
        </is>
      </c>
      <c r="D12" s="9" t="inlineStr">
        <is>
          <t>DODGE RAM 4000 (3/2)</t>
        </is>
      </c>
      <c r="E12" s="8" t="inlineStr">
        <is>
          <t>LF05470</t>
        </is>
      </c>
      <c r="F12" s="10" t="n">
        <v>1500</v>
      </c>
      <c r="G12" s="10" t="n">
        <v>1500</v>
      </c>
      <c r="H12" s="11" t="n"/>
      <c r="I12" s="11" t="n"/>
      <c r="J12" s="11" t="n"/>
      <c r="K12" s="11" t="n"/>
      <c r="L12" s="11" t="n"/>
      <c r="M12" s="11" t="n"/>
      <c r="N12" s="11" t="n"/>
      <c r="O12" s="10" t="n">
        <v>1500</v>
      </c>
      <c r="P12" s="11" t="n"/>
      <c r="Q12" s="11" t="n"/>
      <c r="R12" s="11" t="n"/>
      <c r="S12" s="10" t="n">
        <v>1500</v>
      </c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9" t="n">
        <v>-3000</v>
      </c>
      <c r="AF12" s="10" t="n">
        <v>4500</v>
      </c>
    </row>
    <row r="13" ht="11.5" customHeight="1">
      <c r="A13" s="12" t="n">
        <v>10</v>
      </c>
      <c r="B13" s="13" t="inlineStr">
        <is>
          <t>JAVIER PEREZ DÍAZ</t>
        </is>
      </c>
      <c r="C13" s="13" t="inlineStr">
        <is>
          <t>OBRA MÉXICO TOLUCA</t>
        </is>
      </c>
      <c r="D13" s="13" t="inlineStr">
        <is>
          <t>MITSUBICHI</t>
        </is>
      </c>
      <c r="E13" s="12" t="inlineStr">
        <is>
          <t>MHL755A</t>
        </is>
      </c>
      <c r="F13" s="14" t="n">
        <v>2500</v>
      </c>
      <c r="G13" s="14" t="n">
        <v>1214.38</v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4" t="n">
        <v>1147</v>
      </c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4" t="n">
        <v>138.62</v>
      </c>
      <c r="AF13" s="14" t="n">
        <v>2361.38</v>
      </c>
    </row>
    <row r="14" ht="11.5" customHeight="1">
      <c r="A14" s="8" t="n">
        <v>11</v>
      </c>
      <c r="B14" s="9" t="inlineStr">
        <is>
          <t>JAVIER PEREZ DÍAZ</t>
        </is>
      </c>
      <c r="C14" s="9" t="inlineStr">
        <is>
          <t>OBRA MÉXICO TOLUCA</t>
        </is>
      </c>
      <c r="D14" s="9" t="inlineStr">
        <is>
          <t>EQUIPO MENOR</t>
        </is>
      </c>
      <c r="E14" s="8" t="inlineStr">
        <is>
          <t>S/P</t>
        </is>
      </c>
      <c r="F14" s="10" t="n">
        <v>300</v>
      </c>
      <c r="G14" s="10" t="n">
        <v>500</v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9" t="n">
        <v>-200</v>
      </c>
      <c r="AF14" s="10" t="n">
        <v>500</v>
      </c>
    </row>
    <row r="15" ht="11.5" customHeight="1">
      <c r="A15" s="12" t="n">
        <v>12</v>
      </c>
      <c r="B15" s="13" t="inlineStr">
        <is>
          <t>ALEXIS SAMUEL RENDON DOMINGUEZ</t>
        </is>
      </c>
      <c r="C15" s="13" t="inlineStr">
        <is>
          <t>OBRA MÉXICO TOLUCA</t>
        </is>
      </c>
      <c r="D15" s="13" t="inlineStr">
        <is>
          <t>TOYOTA HIACE (URBAN)</t>
        </is>
      </c>
      <c r="E15" s="12" t="inlineStr"/>
      <c r="F15" s="14" t="n">
        <v>2500</v>
      </c>
      <c r="G15" s="14" t="n">
        <v>1490.28</v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4" t="n">
        <v>1009.72</v>
      </c>
      <c r="AF15" s="14" t="n">
        <v>1490.28</v>
      </c>
    </row>
    <row r="16" ht="11.5" customHeight="1">
      <c r="A16" s="8" t="n">
        <v>13</v>
      </c>
      <c r="B16" s="9" t="inlineStr">
        <is>
          <t>CRISTIAN REYES GAMORA</t>
        </is>
      </c>
      <c r="C16" s="9" t="inlineStr">
        <is>
          <t>OBRA MÉXICO TOLUCA</t>
        </is>
      </c>
      <c r="D16" s="9" t="inlineStr">
        <is>
          <t>DODGE RAM 4000 (3/2)</t>
        </is>
      </c>
      <c r="E16" s="8" t="inlineStr">
        <is>
          <t>LH49730</t>
        </is>
      </c>
      <c r="F16" s="10" t="n">
        <v>4000</v>
      </c>
      <c r="G16" s="11" t="n"/>
      <c r="H16" s="10" t="n">
        <v>3100.71</v>
      </c>
      <c r="I16" s="8" t="inlineStr">
        <is>
          <t>A11279</t>
        </is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0" t="n">
        <v>1500</v>
      </c>
      <c r="Y16" s="8" t="inlineStr">
        <is>
          <t>a11333</t>
        </is>
      </c>
      <c r="Z16" s="11" t="n"/>
      <c r="AA16" s="11" t="n"/>
      <c r="AB16" s="11" t="n"/>
      <c r="AC16" s="11" t="n"/>
      <c r="AD16" s="11" t="n"/>
      <c r="AE16" s="19" t="n">
        <v>-600.71</v>
      </c>
      <c r="AF16" s="10" t="n">
        <v>4600.71</v>
      </c>
    </row>
    <row r="17" ht="11.5" customHeight="1">
      <c r="A17" s="12" t="n">
        <v>14</v>
      </c>
      <c r="B17" s="13" t="inlineStr">
        <is>
          <t>APOLINAR REYES BOLAINA</t>
        </is>
      </c>
      <c r="C17" s="13" t="inlineStr">
        <is>
          <t>LERMA TENANGO / ALFREDO DEL MAZO</t>
        </is>
      </c>
      <c r="D17" s="13" t="inlineStr">
        <is>
          <t>MITSUBISHI 1200</t>
        </is>
      </c>
      <c r="E17" s="12" t="inlineStr">
        <is>
          <t>NYZ971C</t>
        </is>
      </c>
      <c r="F17" s="14" t="n">
        <v>2500</v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4" t="n">
        <v>1095</v>
      </c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4" t="n">
        <v>1405</v>
      </c>
      <c r="AF17" s="14" t="n">
        <v>1095</v>
      </c>
    </row>
    <row r="18" ht="11.5" customHeight="1">
      <c r="A18" s="8" t="n">
        <v>15</v>
      </c>
      <c r="B18" s="9" t="inlineStr">
        <is>
          <t>APOLINAR REYES BOLAINA</t>
        </is>
      </c>
      <c r="C18" s="9" t="inlineStr">
        <is>
          <t>LERMA TENANGO / ALFREDO DEL MAZO</t>
        </is>
      </c>
      <c r="D18" s="9" t="inlineStr">
        <is>
          <t>CORTADORA DE CONCRETO</t>
        </is>
      </c>
      <c r="E18" s="8" t="inlineStr">
        <is>
          <t>S/P</t>
        </is>
      </c>
      <c r="F18" s="10" t="n">
        <v>1000</v>
      </c>
      <c r="G18" s="11" t="n"/>
      <c r="H18" s="11" t="n"/>
      <c r="I18" s="11" t="n"/>
      <c r="J18" s="11" t="n"/>
      <c r="K18" s="10" t="n">
        <v>1000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0" t="n">
        <v>0</v>
      </c>
      <c r="AF18" s="10" t="n">
        <v>1000</v>
      </c>
    </row>
    <row r="19" ht="11.5" customHeight="1">
      <c r="A19" s="12" t="n">
        <v>16</v>
      </c>
      <c r="B19" s="13" t="inlineStr">
        <is>
          <t>APOLINAR REYES BOLAINA</t>
        </is>
      </c>
      <c r="C19" s="13" t="inlineStr">
        <is>
          <t>LERMA TENANGO / ALFREDO DEL MAZO</t>
        </is>
      </c>
      <c r="D19" s="13" t="inlineStr">
        <is>
          <t>MOTOR AUXILIAR PETROLIZADORA</t>
        </is>
      </c>
      <c r="E19" s="12" t="inlineStr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4" t="n">
        <v>0</v>
      </c>
      <c r="AF19" s="14" t="n">
        <v>0</v>
      </c>
    </row>
    <row r="20" ht="11.5" customHeight="1">
      <c r="A20" s="8" t="n">
        <v>17</v>
      </c>
      <c r="B20" s="9" t="inlineStr">
        <is>
          <t>APOLINAR REYES BOLAINA</t>
        </is>
      </c>
      <c r="C20" s="9" t="inlineStr">
        <is>
          <t>LERMA TENANGO / ALFREDO DEL MAZO</t>
        </is>
      </c>
      <c r="D20" s="9" t="inlineStr">
        <is>
          <t>MOTOR AUXILIAR PIPA DE AGUA</t>
        </is>
      </c>
      <c r="E20" s="8" t="inlineStr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0" t="n">
        <v>0</v>
      </c>
      <c r="AF20" s="10" t="n">
        <v>0</v>
      </c>
    </row>
    <row r="21" ht="11.5" customHeight="1">
      <c r="A21" s="12" t="n">
        <v>18</v>
      </c>
      <c r="B21" s="13" t="inlineStr">
        <is>
          <t>LEONCIO MARTINEZ PASCACIO</t>
        </is>
      </c>
      <c r="C21" s="13" t="inlineStr">
        <is>
          <t>LERMA TENANGO/ALFREDO DEL MAZO</t>
        </is>
      </c>
      <c r="D21" s="13" t="inlineStr">
        <is>
          <t>MITSUBISHI 1200</t>
        </is>
      </c>
      <c r="E21" s="12" t="inlineStr">
        <is>
          <t>NYZ790C</t>
        </is>
      </c>
      <c r="F21" s="14" t="n">
        <v>1500</v>
      </c>
      <c r="G21" s="15" t="n"/>
      <c r="H21" s="15" t="n"/>
      <c r="I21" s="15" t="n"/>
      <c r="J21" s="15" t="n"/>
      <c r="K21" s="14" t="n">
        <v>1336.39</v>
      </c>
      <c r="L21" s="15" t="n"/>
      <c r="M21" s="15" t="n"/>
      <c r="N21" s="15" t="n"/>
      <c r="O21" s="15" t="n"/>
      <c r="P21" s="15" t="n"/>
      <c r="Q21" s="15" t="n"/>
      <c r="R21" s="15" t="n"/>
      <c r="S21" s="14" t="n">
        <v>167</v>
      </c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20" t="n">
        <v>-3.39</v>
      </c>
      <c r="AF21" s="14" t="n">
        <v>1503.39</v>
      </c>
    </row>
    <row r="22" ht="11.5" customHeight="1">
      <c r="A22" s="8" t="n">
        <v>19</v>
      </c>
      <c r="B22" s="9" t="inlineStr">
        <is>
          <t>CARMELO ALVAREZ ANICETO</t>
        </is>
      </c>
      <c r="C22" s="9" t="inlineStr">
        <is>
          <t>LERMA TENANGO /ALFREDO DEL MAZO</t>
        </is>
      </c>
      <c r="D22" s="9" t="inlineStr">
        <is>
          <t>DODGE RAM 4000 (3/2)</t>
        </is>
      </c>
      <c r="E22" s="8" t="inlineStr">
        <is>
          <t>LH49746</t>
        </is>
      </c>
      <c r="F22" s="10" t="n">
        <v>3000</v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0" t="n">
        <v>3000</v>
      </c>
      <c r="Q22" s="8" t="inlineStr">
        <is>
          <t>A11306</t>
        </is>
      </c>
      <c r="R22" s="11" t="n"/>
      <c r="S22" s="11" t="n"/>
      <c r="T22" s="11" t="n"/>
      <c r="U22" s="11" t="n"/>
      <c r="V22" s="11" t="n"/>
      <c r="W22" s="11" t="n"/>
      <c r="X22" s="10" t="n">
        <v>1000</v>
      </c>
      <c r="Y22" s="8" t="inlineStr">
        <is>
          <t>a11332</t>
        </is>
      </c>
      <c r="Z22" s="11" t="n"/>
      <c r="AA22" s="11" t="n"/>
      <c r="AB22" s="11" t="n"/>
      <c r="AC22" s="11" t="n"/>
      <c r="AD22" s="11" t="n"/>
      <c r="AE22" s="19" t="n">
        <v>-1000</v>
      </c>
      <c r="AF22" s="10" t="n">
        <v>4000</v>
      </c>
    </row>
    <row r="23" ht="11.5" customHeight="1">
      <c r="A23" s="12" t="n">
        <v>20</v>
      </c>
      <c r="B23" s="13" t="inlineStr">
        <is>
          <t>DIEGO FERNANDEZ SANTIAGO</t>
        </is>
      </c>
      <c r="C23" s="13" t="inlineStr">
        <is>
          <t>LERMA TENANGO /ALFREDO DEL MAZO</t>
        </is>
      </c>
      <c r="D23" s="13" t="inlineStr">
        <is>
          <t>TOYOTA HIACE (URBAN)</t>
        </is>
      </c>
      <c r="E23" s="12" t="inlineStr">
        <is>
          <t>MEF284D</t>
        </is>
      </c>
      <c r="F23" s="14" t="n">
        <v>2500</v>
      </c>
      <c r="G23" s="14" t="n">
        <v>1404.58</v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4" t="n">
        <v>1009</v>
      </c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4" t="n">
        <v>86.42</v>
      </c>
      <c r="AF23" s="14" t="n">
        <v>2413.58</v>
      </c>
    </row>
    <row r="24" ht="11.5" customHeight="1">
      <c r="A24" s="8" t="n">
        <v>21</v>
      </c>
      <c r="B24" s="9" t="inlineStr">
        <is>
          <t>DAMIAN ANTONIO PUINI</t>
        </is>
      </c>
      <c r="C24" s="9" t="inlineStr">
        <is>
          <t>P. ASFALTO HUIXQUILUCAN</t>
        </is>
      </c>
      <c r="D24" s="9" t="inlineStr">
        <is>
          <t>FORD RANGER</t>
        </is>
      </c>
      <c r="E24" s="8" t="inlineStr">
        <is>
          <t>PCU7482</t>
        </is>
      </c>
      <c r="F24" s="10" t="n">
        <v>2500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0" t="n">
        <v>1237.06</v>
      </c>
      <c r="Q24" s="8" t="inlineStr">
        <is>
          <t>A11300</t>
        </is>
      </c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0" t="n">
        <v>1262.94</v>
      </c>
      <c r="AF24" s="10" t="n">
        <v>1237.06</v>
      </c>
    </row>
    <row r="25" ht="11.5" customHeight="1">
      <c r="A25" s="12" t="n">
        <v>22</v>
      </c>
      <c r="B25" s="13" t="inlineStr">
        <is>
          <t>LUIS VALDEZ</t>
        </is>
      </c>
      <c r="C25" s="13" t="inlineStr">
        <is>
          <t>P. ASFALTO HUIXQUILUCAN</t>
        </is>
      </c>
      <c r="D25" s="13" t="inlineStr">
        <is>
          <t>MITSUBISHI 1200</t>
        </is>
      </c>
      <c r="E25" s="12" t="inlineStr">
        <is>
          <t>MHL758A</t>
        </is>
      </c>
      <c r="F25" s="14" t="n">
        <v>1500</v>
      </c>
      <c r="G25" s="15" t="n"/>
      <c r="H25" s="14" t="n">
        <v>1390.02</v>
      </c>
      <c r="I25" s="12" t="inlineStr">
        <is>
          <t>A11281</t>
        </is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4" t="n">
        <v>500</v>
      </c>
      <c r="AC25" s="12" t="inlineStr">
        <is>
          <t>a11338</t>
        </is>
      </c>
      <c r="AD25" s="15" t="n"/>
      <c r="AE25" s="15" t="n"/>
      <c r="AF25" s="15" t="n"/>
    </row>
    <row r="26" ht="11.5" customHeight="1">
      <c r="A26" s="8" t="n">
        <v>23</v>
      </c>
      <c r="B26" s="9" t="inlineStr">
        <is>
          <t>LUIS VALDEZ</t>
        </is>
      </c>
      <c r="C26" s="9" t="inlineStr">
        <is>
          <t>P. ASFALTO HUIXQUILUCAN</t>
        </is>
      </c>
      <c r="D26" s="9" t="inlineStr">
        <is>
          <t>EQUIPO MENOR</t>
        </is>
      </c>
      <c r="E26" s="8" t="inlineStr">
        <is>
          <t>S/P</t>
        </is>
      </c>
      <c r="F26" s="10" t="n">
        <v>1000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0" t="n">
        <v>1000</v>
      </c>
      <c r="AF26" s="10" t="n">
        <v>0</v>
      </c>
    </row>
    <row r="27" ht="11.5" customHeight="1">
      <c r="A27" s="12" t="n">
        <v>24</v>
      </c>
      <c r="B27" s="13" t="inlineStr">
        <is>
          <t>CLEMENTE SANABRIA</t>
        </is>
      </c>
      <c r="C27" s="13" t="inlineStr">
        <is>
          <t>TRANSPORTES FLOTILLA</t>
        </is>
      </c>
      <c r="D27" s="13" t="inlineStr">
        <is>
          <t>RAM 1200</t>
        </is>
      </c>
      <c r="E27" s="12" t="inlineStr">
        <is>
          <t>LHB184D</t>
        </is>
      </c>
      <c r="F27" s="14" t="n">
        <v>2500</v>
      </c>
      <c r="G27" s="15" t="n"/>
      <c r="H27" s="15" t="n"/>
      <c r="I27" s="15" t="n"/>
      <c r="J27" s="15" t="n"/>
      <c r="K27" s="14" t="n">
        <v>1924.77</v>
      </c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4" t="n">
        <v>575.23</v>
      </c>
      <c r="AF27" s="14" t="n">
        <v>1924.77</v>
      </c>
    </row>
    <row r="28" ht="11.5" customHeight="1">
      <c r="A28" s="8" t="n">
        <v>25</v>
      </c>
      <c r="B28" s="9" t="inlineStr">
        <is>
          <t>BRYAN GABRIEL CHAVEZ ALVAREZ</t>
        </is>
      </c>
      <c r="C28" s="9" t="inlineStr">
        <is>
          <t>TRANSPORTES FLOTILLA</t>
        </is>
      </c>
      <c r="D28" s="9" t="inlineStr">
        <is>
          <t>CHEVROLET TORNADO</t>
        </is>
      </c>
      <c r="E28" s="8" t="inlineStr">
        <is>
          <t>NUZ948C</t>
        </is>
      </c>
      <c r="F28" s="10" t="n">
        <v>1000</v>
      </c>
      <c r="G28" s="11" t="n"/>
      <c r="H28" s="11" t="n"/>
      <c r="I28" s="11" t="n"/>
      <c r="J28" s="11" t="n"/>
      <c r="K28" s="10" t="n">
        <v>1000</v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0" t="n">
        <v>0</v>
      </c>
      <c r="AF28" s="10" t="n">
        <v>1000</v>
      </c>
    </row>
    <row r="29" ht="11.5" customHeight="1">
      <c r="A29" s="12" t="n">
        <v>26</v>
      </c>
      <c r="B29" s="13" t="inlineStr">
        <is>
          <t>BRYAN GABRIEL CHAVEZ ALVAREZ</t>
        </is>
      </c>
      <c r="C29" s="13" t="inlineStr">
        <is>
          <t>TRANSPORTES FLOTILLA</t>
        </is>
      </c>
      <c r="D29" s="13" t="inlineStr">
        <is>
          <t>MOTORES LOWBOY</t>
        </is>
      </c>
      <c r="E29" s="12" t="inlineStr">
        <is>
          <t>S/P</t>
        </is>
      </c>
      <c r="F29" s="14" t="n">
        <v>500</v>
      </c>
      <c r="G29" s="15" t="n"/>
      <c r="H29" s="15" t="n"/>
      <c r="I29" s="15" t="n"/>
      <c r="J29" s="15" t="n"/>
      <c r="K29" s="14" t="n">
        <v>500</v>
      </c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4" t="n">
        <v>0</v>
      </c>
      <c r="AF29" s="14" t="n">
        <v>500</v>
      </c>
    </row>
    <row r="30" ht="11.5" customHeight="1">
      <c r="A30" s="8" t="n">
        <v>27</v>
      </c>
      <c r="B30" s="9" t="inlineStr">
        <is>
          <t>BRYAN GABRIEL CHAVEZ ALVAREZ</t>
        </is>
      </c>
      <c r="C30" s="9" t="inlineStr">
        <is>
          <t>TRANSPORTES FLOTILLA</t>
        </is>
      </c>
      <c r="D30" s="9" t="inlineStr">
        <is>
          <t>MOTORES LOWBOY</t>
        </is>
      </c>
      <c r="E30" s="8" t="inlineStr">
        <is>
          <t>S/P</t>
        </is>
      </c>
      <c r="F30" s="10" t="n">
        <v>500</v>
      </c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0" t="n">
        <v>500</v>
      </c>
      <c r="X30" s="11" t="n"/>
      <c r="Y30" s="11" t="n"/>
      <c r="Z30" s="11" t="n"/>
      <c r="AA30" s="11" t="n"/>
      <c r="AB30" s="11" t="n"/>
      <c r="AC30" s="11" t="n"/>
      <c r="AD30" s="11" t="n"/>
      <c r="AE30" s="10" t="n">
        <v>0</v>
      </c>
      <c r="AF30" s="10" t="n">
        <v>500</v>
      </c>
    </row>
    <row r="31" ht="11.5" customHeight="1">
      <c r="A31" s="12" t="n">
        <v>28</v>
      </c>
      <c r="B31" s="13" t="inlineStr">
        <is>
          <t>ROBERTO ORTEGA</t>
        </is>
      </c>
      <c r="C31" s="13" t="inlineStr"/>
      <c r="D31" s="13" t="inlineStr"/>
      <c r="E31" s="12" t="inlineStr">
        <is>
          <t>MNX601B</t>
        </is>
      </c>
      <c r="F31" s="14" t="n">
        <v>800</v>
      </c>
      <c r="G31" s="14" t="n">
        <v>800</v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4" t="n">
        <v>500</v>
      </c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20" t="n">
        <v>-500</v>
      </c>
      <c r="AF31" s="14" t="n">
        <v>1300</v>
      </c>
    </row>
    <row r="32" ht="11.5" customHeight="1">
      <c r="A32" s="8" t="n">
        <v>29</v>
      </c>
      <c r="B32" s="9" t="inlineStr">
        <is>
          <t>ROBERTO ORTEGA</t>
        </is>
      </c>
      <c r="C32" s="9" t="inlineStr"/>
      <c r="D32" s="9" t="inlineStr">
        <is>
          <t>EQUIPO MENOR</t>
        </is>
      </c>
      <c r="E32" s="8" t="inlineStr">
        <is>
          <t>S/P</t>
        </is>
      </c>
      <c r="F32" s="10" t="n">
        <v>500</v>
      </c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0" t="n">
        <v>500</v>
      </c>
      <c r="AF32" s="10" t="n">
        <v>0</v>
      </c>
    </row>
    <row r="33" ht="11.5" customHeight="1">
      <c r="A33" s="12" t="n">
        <v>30</v>
      </c>
      <c r="B33" s="13" t="inlineStr">
        <is>
          <t>JOSÉ CABELLO</t>
        </is>
      </c>
      <c r="C33" s="13" t="inlineStr">
        <is>
          <t>ESTIMACIONES</t>
        </is>
      </c>
      <c r="D33" s="13" t="inlineStr">
        <is>
          <t>MITSUBICHI MIRAGE</t>
        </is>
      </c>
      <c r="E33" s="12" t="inlineStr">
        <is>
          <t>LHB176D</t>
        </is>
      </c>
      <c r="F33" s="14" t="n">
        <v>1500</v>
      </c>
      <c r="G33" s="15" t="n"/>
      <c r="H33" s="15" t="n"/>
      <c r="I33" s="15" t="n"/>
      <c r="J33" s="15" t="n"/>
      <c r="K33" s="14" t="n">
        <v>700</v>
      </c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4" t="n">
        <v>800</v>
      </c>
      <c r="AF33" s="14" t="n">
        <v>700</v>
      </c>
    </row>
    <row r="34" ht="11.5" customHeight="1">
      <c r="A34" s="8" t="n">
        <v>31</v>
      </c>
      <c r="B34" s="9" t="inlineStr">
        <is>
          <t>VICTOR HUGO MARTINEZ VELAZQUEZ</t>
        </is>
      </c>
      <c r="C34" s="9" t="inlineStr">
        <is>
          <t>JALISCO</t>
        </is>
      </c>
      <c r="D34" s="9" t="inlineStr">
        <is>
          <t>RAM 1200</t>
        </is>
      </c>
      <c r="E34" s="8" t="inlineStr">
        <is>
          <t>LHB182D</t>
        </is>
      </c>
      <c r="F34" s="10" t="n">
        <v>1500</v>
      </c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0" t="n">
        <v>1500</v>
      </c>
      <c r="AF34" s="10" t="n">
        <v>0</v>
      </c>
    </row>
    <row r="35" ht="11.5" customHeight="1">
      <c r="A35" s="12" t="n">
        <v>32</v>
      </c>
      <c r="B35" s="13" t="inlineStr">
        <is>
          <t>PAOLA JARAMILLO</t>
        </is>
      </c>
      <c r="C35" s="13" t="inlineStr">
        <is>
          <t>CORPORATIVO</t>
        </is>
      </c>
      <c r="D35" s="13" t="inlineStr">
        <is>
          <t>CHANGAN ALSVIN</t>
        </is>
      </c>
      <c r="E35" s="12" t="inlineStr">
        <is>
          <t>LYY085A</t>
        </is>
      </c>
      <c r="F35" s="14" t="n">
        <v>700</v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4" t="n">
        <v>700</v>
      </c>
      <c r="AF35" s="14" t="n">
        <v>0</v>
      </c>
    </row>
    <row r="36" ht="11.5" customHeight="1">
      <c r="A36" s="8" t="n">
        <v>33</v>
      </c>
      <c r="B36" s="9" t="inlineStr">
        <is>
          <t>SAMUEL ORTEGA SILVA</t>
        </is>
      </c>
      <c r="C36" s="9" t="inlineStr">
        <is>
          <t>PROVIDENCIA</t>
        </is>
      </c>
      <c r="D36" s="9" t="inlineStr">
        <is>
          <t>MITSUBISHI L200</t>
        </is>
      </c>
      <c r="E36" s="8" t="inlineStr">
        <is>
          <t>NZT266B</t>
        </is>
      </c>
      <c r="F36" s="10" t="n">
        <v>3000</v>
      </c>
      <c r="G36" s="11" t="n"/>
      <c r="H36" s="10" t="n">
        <v>1000</v>
      </c>
      <c r="I36" s="8" t="inlineStr">
        <is>
          <t>A11283</t>
        </is>
      </c>
      <c r="J36" s="11" t="n"/>
      <c r="K36" s="11" t="n"/>
      <c r="L36" s="11" t="n"/>
      <c r="M36" s="11" t="n"/>
      <c r="N36" s="11" t="n"/>
      <c r="O36" s="11" t="n"/>
      <c r="P36" s="10" t="n">
        <v>1000</v>
      </c>
      <c r="Q36" s="8" t="inlineStr">
        <is>
          <t>A11305</t>
        </is>
      </c>
      <c r="R36" s="11" t="n"/>
      <c r="S36" s="11" t="n"/>
      <c r="T36" s="10" t="n">
        <v>1000</v>
      </c>
      <c r="U36" s="8" t="inlineStr">
        <is>
          <t>a11316</t>
        </is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0" t="n">
        <v>0</v>
      </c>
      <c r="AF36" s="10" t="n">
        <v>3000</v>
      </c>
    </row>
    <row r="37" ht="11.5" customHeight="1">
      <c r="A37" s="12" t="n">
        <v>34</v>
      </c>
      <c r="B37" s="13" t="inlineStr">
        <is>
          <t>CRISTOBAL SILVA</t>
        </is>
      </c>
      <c r="C37" s="13" t="inlineStr"/>
      <c r="D37" s="13" t="inlineStr">
        <is>
          <t>RAM 1200</t>
        </is>
      </c>
      <c r="E37" s="12" t="inlineStr">
        <is>
          <t>LKC794D</t>
        </is>
      </c>
      <c r="F37" s="14" t="n">
        <v>1500</v>
      </c>
      <c r="G37" s="15" t="n"/>
      <c r="H37" s="15" t="n"/>
      <c r="I37" s="15" t="n"/>
      <c r="J37" s="15" t="n"/>
      <c r="K37" s="14" t="n">
        <v>1500</v>
      </c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4" t="n">
        <v>0</v>
      </c>
      <c r="AF37" s="14" t="n">
        <v>1500</v>
      </c>
    </row>
    <row r="38" ht="11.5" customHeight="1">
      <c r="A38" s="8" t="n">
        <v>35</v>
      </c>
      <c r="B38" s="9" t="inlineStr">
        <is>
          <t>HENRY PINEDA</t>
        </is>
      </c>
      <c r="C38" s="9" t="inlineStr">
        <is>
          <t>TRANSPORTES</t>
        </is>
      </c>
      <c r="D38" s="9" t="inlineStr"/>
      <c r="E38" s="8" t="inlineStr">
        <is>
          <t>NXP4918</t>
        </is>
      </c>
      <c r="F38" s="10" t="n">
        <v>800</v>
      </c>
      <c r="G38" s="11" t="n"/>
      <c r="H38" s="11" t="n"/>
      <c r="I38" s="11" t="n"/>
      <c r="J38" s="11" t="n"/>
      <c r="K38" s="11" t="n"/>
      <c r="L38" s="11" t="n"/>
      <c r="M38" s="11" t="n"/>
      <c r="N38" s="11" t="n"/>
      <c r="O38" s="10" t="n">
        <v>800</v>
      </c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0" t="n">
        <v>0</v>
      </c>
      <c r="AF38" s="10" t="n">
        <v>800</v>
      </c>
    </row>
    <row r="39" ht="11.5" customHeight="1">
      <c r="A39" s="12" t="n">
        <v>36</v>
      </c>
      <c r="B39" s="13" t="inlineStr">
        <is>
          <t>JACK</t>
        </is>
      </c>
      <c r="C39" s="13" t="inlineStr">
        <is>
          <t>PLANTA PEGASO</t>
        </is>
      </c>
      <c r="D39" s="13" t="inlineStr"/>
      <c r="E39" s="12" t="inlineStr">
        <is>
          <t>PAT8298</t>
        </is>
      </c>
      <c r="F39" s="14" t="n">
        <v>1500</v>
      </c>
      <c r="G39" s="14" t="n">
        <v>1500</v>
      </c>
      <c r="H39" s="15" t="n"/>
      <c r="I39" s="15" t="n"/>
      <c r="J39" s="15" t="n"/>
      <c r="K39" s="15" t="n"/>
      <c r="L39" s="15" t="n"/>
      <c r="M39" s="15" t="n"/>
      <c r="N39" s="15" t="n"/>
      <c r="O39" s="14" t="n">
        <v>1500</v>
      </c>
      <c r="P39" s="15" t="n"/>
      <c r="Q39" s="15" t="n"/>
      <c r="R39" s="15" t="n"/>
      <c r="S39" s="15" t="n"/>
      <c r="T39" s="15" t="n"/>
      <c r="U39" s="15" t="n"/>
      <c r="V39" s="15" t="n"/>
      <c r="W39" s="14" t="n">
        <v>500</v>
      </c>
      <c r="X39" s="15" t="n"/>
      <c r="Y39" s="15" t="n"/>
      <c r="Z39" s="15" t="n"/>
      <c r="AA39" s="15" t="n"/>
      <c r="AB39" s="15" t="n"/>
      <c r="AC39" s="15" t="n"/>
      <c r="AD39" s="15" t="n"/>
      <c r="AE39" s="20" t="n">
        <v>-2000</v>
      </c>
      <c r="AF39" s="14" t="n">
        <v>3500</v>
      </c>
    </row>
    <row r="40" ht="11.5" customHeight="1">
      <c r="A40" s="8" t="n">
        <v>37</v>
      </c>
      <c r="B40" s="9" t="inlineStr">
        <is>
          <t>JACK</t>
        </is>
      </c>
      <c r="C40" s="9" t="inlineStr">
        <is>
          <t>PLANTA PEGASO</t>
        </is>
      </c>
      <c r="D40" s="9" t="inlineStr">
        <is>
          <t>Equipo Menor</t>
        </is>
      </c>
      <c r="E40" s="8" t="inlineStr"/>
      <c r="F40" s="10" t="n">
        <v>500</v>
      </c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0" t="n">
        <v>500</v>
      </c>
      <c r="AF40" s="10" t="n">
        <v>0</v>
      </c>
    </row>
    <row r="41" ht="13.5" customHeight="1">
      <c r="A41" s="16" t="inlineStr">
        <is>
          <t>TOTALES J.D.J.</t>
        </is>
      </c>
      <c r="B41" s="17" t="n"/>
      <c r="C41" s="17" t="n"/>
      <c r="D41" s="17" t="n"/>
      <c r="E41" s="17" t="n"/>
      <c r="F41" s="18">
        <f>SUM(F4:F40)</f>
        <v/>
      </c>
      <c r="G41" s="18">
        <f>SUM(G4:G40)</f>
        <v/>
      </c>
      <c r="H41" s="18">
        <f>SUM(H4:H40)</f>
        <v/>
      </c>
      <c r="I41" s="18">
        <f>SUM(I4:I40)</f>
        <v/>
      </c>
      <c r="J41" s="18">
        <f>SUM(J4:J40)</f>
        <v/>
      </c>
      <c r="K41" s="18">
        <f>SUM(K4:K40)</f>
        <v/>
      </c>
      <c r="L41" s="18">
        <f>SUM(L4:L40)</f>
        <v/>
      </c>
      <c r="M41" s="18">
        <f>SUM(M4:M40)</f>
        <v/>
      </c>
      <c r="N41" s="18">
        <f>SUM(N4:N40)</f>
        <v/>
      </c>
      <c r="O41" s="18">
        <f>SUM(O4:O40)</f>
        <v/>
      </c>
      <c r="P41" s="18">
        <f>SUM(P4:P40)</f>
        <v/>
      </c>
      <c r="Q41" s="18">
        <f>SUM(Q4:Q40)</f>
        <v/>
      </c>
      <c r="R41" s="18">
        <f>SUM(R4:R40)</f>
        <v/>
      </c>
      <c r="S41" s="18">
        <f>SUM(S4:S40)</f>
        <v/>
      </c>
      <c r="T41" s="18">
        <f>SUM(T4:T40)</f>
        <v/>
      </c>
      <c r="U41" s="18">
        <f>SUM(U4:U40)</f>
        <v/>
      </c>
      <c r="V41" s="18">
        <f>SUM(V4:V40)</f>
        <v/>
      </c>
      <c r="W41" s="18">
        <f>SUM(W4:W40)</f>
        <v/>
      </c>
      <c r="X41" s="18">
        <f>SUM(X4:X40)</f>
        <v/>
      </c>
      <c r="Y41" s="18">
        <f>SUM(Y4:Y40)</f>
        <v/>
      </c>
      <c r="Z41" s="18">
        <f>SUM(Z4:Z40)</f>
        <v/>
      </c>
      <c r="AA41" s="18">
        <f>SUM(AA4:AA40)</f>
        <v/>
      </c>
      <c r="AB41" s="18">
        <f>SUM(AB4:AB40)</f>
        <v/>
      </c>
      <c r="AC41" s="18">
        <f>SUM(AC4:AC40)</f>
        <v/>
      </c>
      <c r="AD41" s="18">
        <f>SUM(AD4:AD40)</f>
        <v/>
      </c>
      <c r="AE41" s="18">
        <f>SUM(AE4:AE40)</f>
        <v/>
      </c>
      <c r="AF41" s="18">
        <f>SUM(AF4:AF40)</f>
        <v/>
      </c>
    </row>
    <row r="42" ht="6" customHeight="1"/>
    <row r="43" ht="17" customHeight="1">
      <c r="A43" s="1" t="inlineStr">
        <is>
          <t>GASOLINA - TRITURADORA ROCA DURA SAN MIGUEL  (SEMANA 37)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 ht="14" customHeight="1">
      <c r="A44" s="3" t="inlineStr">
        <is>
          <t>NO.</t>
        </is>
      </c>
      <c r="B44" s="3" t="inlineStr">
        <is>
          <t>RESPONSABLE</t>
        </is>
      </c>
      <c r="C44" s="3" t="inlineStr">
        <is>
          <t>CENTRO DE TRABAJO</t>
        </is>
      </c>
      <c r="D44" s="3" t="inlineStr">
        <is>
          <t>UNIDAD / EQUIPO</t>
        </is>
      </c>
      <c r="E44" s="3" t="inlineStr">
        <is>
          <t>PLACAS</t>
        </is>
      </c>
      <c r="F44" s="3" t="inlineStr">
        <is>
          <t>IMPORTE AUTORIZADO</t>
        </is>
      </c>
      <c r="G44" s="4" t="inlineStr">
        <is>
          <t>LUN 07/SEP</t>
        </is>
      </c>
      <c r="H44" s="2" t="n"/>
      <c r="I44" s="2" t="n"/>
      <c r="J44" s="2" t="n"/>
      <c r="K44" s="4" t="inlineStr">
        <is>
          <t>MAR 08/SEP</t>
        </is>
      </c>
      <c r="L44" s="2" t="n"/>
      <c r="M44" s="2" t="n"/>
      <c r="N44" s="2" t="n"/>
      <c r="O44" s="4" t="inlineStr">
        <is>
          <t>MIÉ 09/SEP</t>
        </is>
      </c>
      <c r="P44" s="2" t="n"/>
      <c r="Q44" s="2" t="n"/>
      <c r="R44" s="2" t="n"/>
      <c r="S44" s="4" t="inlineStr">
        <is>
          <t>JUE 10/SEP</t>
        </is>
      </c>
      <c r="T44" s="2" t="n"/>
      <c r="U44" s="2" t="n"/>
      <c r="V44" s="2" t="n"/>
      <c r="W44" s="4" t="inlineStr">
        <is>
          <t>VIE 11/SEP</t>
        </is>
      </c>
      <c r="X44" s="2" t="n"/>
      <c r="Y44" s="2" t="n"/>
      <c r="Z44" s="2" t="n"/>
      <c r="AA44" s="4" t="inlineStr">
        <is>
          <t>SÁB 12/SEP</t>
        </is>
      </c>
      <c r="AB44" s="2" t="n"/>
      <c r="AC44" s="2" t="n"/>
      <c r="AD44" s="2" t="n"/>
      <c r="AE44" s="5" t="inlineStr">
        <is>
          <t>REMANENTE
(SALDO)</t>
        </is>
      </c>
      <c r="AF44" s="3" t="inlineStr">
        <is>
          <t>CONSUMO
SEMANAL</t>
        </is>
      </c>
    </row>
    <row r="45" ht="13" customHeight="1">
      <c r="A45" s="6" t="n"/>
      <c r="B45" s="6" t="n"/>
      <c r="C45" s="6" t="n"/>
      <c r="D45" s="6" t="n"/>
      <c r="E45" s="6" t="n"/>
      <c r="F45" s="6" t="n"/>
      <c r="G45" s="7" t="inlineStr">
        <is>
          <t>LEVET</t>
        </is>
      </c>
      <c r="H45" s="7" t="inlineStr">
        <is>
          <t>MOBILE</t>
        </is>
      </c>
      <c r="I45" s="7" t="inlineStr">
        <is>
          <t>TICKET</t>
        </is>
      </c>
      <c r="J45" s="7" t="inlineStr">
        <is>
          <t>SI VALE</t>
        </is>
      </c>
      <c r="K45" s="7" t="inlineStr">
        <is>
          <t>LEVET</t>
        </is>
      </c>
      <c r="L45" s="7" t="inlineStr">
        <is>
          <t>MOBILE</t>
        </is>
      </c>
      <c r="M45" s="7" t="inlineStr">
        <is>
          <t>TICKET</t>
        </is>
      </c>
      <c r="N45" s="7" t="inlineStr">
        <is>
          <t>SI VALE</t>
        </is>
      </c>
      <c r="O45" s="7" t="inlineStr">
        <is>
          <t>LEVET</t>
        </is>
      </c>
      <c r="P45" s="7" t="inlineStr">
        <is>
          <t>MOBILE</t>
        </is>
      </c>
      <c r="Q45" s="7" t="inlineStr">
        <is>
          <t>TICKET</t>
        </is>
      </c>
      <c r="R45" s="7" t="inlineStr">
        <is>
          <t>SI VALE</t>
        </is>
      </c>
      <c r="S45" s="7" t="inlineStr">
        <is>
          <t>LEVET</t>
        </is>
      </c>
      <c r="T45" s="7" t="inlineStr">
        <is>
          <t>MOBILE</t>
        </is>
      </c>
      <c r="U45" s="7" t="inlineStr">
        <is>
          <t>TICKET</t>
        </is>
      </c>
      <c r="V45" s="7" t="inlineStr">
        <is>
          <t>SI VALE</t>
        </is>
      </c>
      <c r="W45" s="7" t="inlineStr">
        <is>
          <t>LEVET</t>
        </is>
      </c>
      <c r="X45" s="7" t="inlineStr">
        <is>
          <t>MOBILE</t>
        </is>
      </c>
      <c r="Y45" s="7" t="inlineStr">
        <is>
          <t>TICKET</t>
        </is>
      </c>
      <c r="Z45" s="7" t="inlineStr">
        <is>
          <t>SI VALE</t>
        </is>
      </c>
      <c r="AA45" s="7" t="inlineStr">
        <is>
          <t>LEVET</t>
        </is>
      </c>
      <c r="AB45" s="7" t="inlineStr">
        <is>
          <t>MOBILE</t>
        </is>
      </c>
      <c r="AC45" s="7" t="inlineStr">
        <is>
          <t>TICKET</t>
        </is>
      </c>
      <c r="AD45" s="7" t="inlineStr">
        <is>
          <t>SI VALE</t>
        </is>
      </c>
      <c r="AE45" s="2" t="n"/>
      <c r="AF45" s="6" t="n"/>
    </row>
    <row r="46" ht="11.5" customHeight="1">
      <c r="A46" s="8" t="n">
        <v>1</v>
      </c>
      <c r="B46" s="9" t="inlineStr">
        <is>
          <t>CARLOS REYES TRUJANO</t>
        </is>
      </c>
      <c r="C46" s="9" t="inlineStr">
        <is>
          <t>MINA TABERNILLAS</t>
        </is>
      </c>
      <c r="D46" s="9" t="inlineStr">
        <is>
          <t>TOYOTA TACOMA</t>
        </is>
      </c>
      <c r="E46" s="8" t="inlineStr">
        <is>
          <t>33K849</t>
        </is>
      </c>
      <c r="F46" s="10" t="n">
        <v>2500</v>
      </c>
      <c r="G46" s="10" t="n">
        <v>1500.12</v>
      </c>
      <c r="H46" s="11" t="n"/>
      <c r="I46" s="11" t="n"/>
      <c r="J46" s="11" t="n"/>
      <c r="K46" s="11" t="n"/>
      <c r="L46" s="11" t="n"/>
      <c r="M46" s="11" t="n"/>
      <c r="N46" s="11" t="n"/>
      <c r="O46" s="10" t="n">
        <v>1000</v>
      </c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9" t="n">
        <v>-0.12</v>
      </c>
      <c r="AF46" s="10" t="n">
        <v>2500.12</v>
      </c>
    </row>
    <row r="47" ht="11.5" customHeight="1">
      <c r="A47" s="12" t="n">
        <v>2</v>
      </c>
      <c r="B47" s="13" t="inlineStr">
        <is>
          <t>LAZARO PINAL RIOS</t>
        </is>
      </c>
      <c r="C47" s="13" t="inlineStr">
        <is>
          <t>MINA TABERNILLAS</t>
        </is>
      </c>
      <c r="D47" s="13" t="inlineStr">
        <is>
          <t>MITSUBISHI L200</t>
        </is>
      </c>
      <c r="E47" s="12" t="inlineStr">
        <is>
          <t>MHL757A</t>
        </is>
      </c>
      <c r="F47" s="14" t="n">
        <v>1500</v>
      </c>
      <c r="G47" s="14" t="n">
        <v>1500</v>
      </c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4" t="n">
        <v>0</v>
      </c>
      <c r="AF47" s="14" t="n">
        <v>1500</v>
      </c>
    </row>
    <row r="48" ht="11.5" customHeight="1">
      <c r="A48" s="8" t="n">
        <v>3</v>
      </c>
      <c r="B48" s="9" t="inlineStr">
        <is>
          <t>ARMANDO LANDIN MORENO</t>
        </is>
      </c>
      <c r="C48" s="9" t="inlineStr">
        <is>
          <t>MINA TABERNILLAS</t>
        </is>
      </c>
      <c r="D48" s="9" t="inlineStr">
        <is>
          <t>MITSUBISHI L200</t>
        </is>
      </c>
      <c r="E48" s="8" t="inlineStr">
        <is>
          <t>LH180D</t>
        </is>
      </c>
      <c r="F48" s="10" t="n">
        <v>2000</v>
      </c>
      <c r="G48" s="10" t="n">
        <v>1268.7</v>
      </c>
      <c r="H48" s="11" t="n"/>
      <c r="I48" s="11" t="n"/>
      <c r="J48" s="11" t="n"/>
      <c r="K48" s="11" t="n"/>
      <c r="L48" s="11" t="n"/>
      <c r="M48" s="11" t="n"/>
      <c r="N48" s="11" t="n"/>
      <c r="O48" s="10" t="n">
        <v>694.46</v>
      </c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0" t="n">
        <v>36.84</v>
      </c>
      <c r="AF48" s="10" t="n">
        <v>1963.16</v>
      </c>
    </row>
    <row r="49" ht="11.5" customHeight="1">
      <c r="A49" s="12" t="n">
        <v>4</v>
      </c>
      <c r="B49" s="13" t="inlineStr">
        <is>
          <t>ARMANDO LANDIN MORENO</t>
        </is>
      </c>
      <c r="C49" s="13" t="inlineStr">
        <is>
          <t>MINA TABERNILLAS</t>
        </is>
      </c>
      <c r="D49" s="13" t="inlineStr">
        <is>
          <t>EQUIPO MENOR</t>
        </is>
      </c>
      <c r="E49" s="12" t="inlineStr">
        <is>
          <t>S/P</t>
        </is>
      </c>
      <c r="F49" s="14" t="n">
        <v>500</v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4" t="n">
        <v>500</v>
      </c>
      <c r="AF49" s="14" t="n">
        <v>0</v>
      </c>
    </row>
    <row r="50" ht="11.5" customHeight="1">
      <c r="A50" s="8" t="n">
        <v>5</v>
      </c>
      <c r="B50" s="9" t="inlineStr">
        <is>
          <t>ABNER OSORIO BARTOLO</t>
        </is>
      </c>
      <c r="C50" s="9" t="inlineStr">
        <is>
          <t>MINA ZUMPAHUACAN</t>
        </is>
      </c>
      <c r="D50" s="9" t="inlineStr">
        <is>
          <t>MITSUBISHI L200</t>
        </is>
      </c>
      <c r="E50" s="8" t="inlineStr">
        <is>
          <t>NYZ828C</t>
        </is>
      </c>
      <c r="F50" s="10" t="n">
        <v>1500</v>
      </c>
      <c r="G50" s="10" t="n">
        <v>1250.27</v>
      </c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0" t="n">
        <v>400</v>
      </c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9" t="n">
        <v>-150.27</v>
      </c>
      <c r="AF50" s="10" t="n">
        <v>1650.27</v>
      </c>
    </row>
    <row r="51" ht="11.5" customHeight="1">
      <c r="A51" s="12" t="n">
        <v>6</v>
      </c>
      <c r="B51" s="13" t="inlineStr">
        <is>
          <t>ISAAC GONZALEZ GONZALEZ</t>
        </is>
      </c>
      <c r="C51" s="13" t="inlineStr">
        <is>
          <t>MINA ZUMPAHUACAN</t>
        </is>
      </c>
      <c r="D51" s="13" t="inlineStr">
        <is>
          <t>MITSUBISHI L200</t>
        </is>
      </c>
      <c r="E51" s="12" t="inlineStr">
        <is>
          <t>NYZ839C</t>
        </is>
      </c>
      <c r="F51" s="14" t="n">
        <v>1500</v>
      </c>
      <c r="G51" s="14" t="n">
        <v>1500</v>
      </c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4" t="n">
        <v>0</v>
      </c>
      <c r="AF51" s="14" t="n">
        <v>1500</v>
      </c>
    </row>
    <row r="52" ht="11.5" customHeight="1">
      <c r="A52" s="8" t="n">
        <v>7</v>
      </c>
      <c r="B52" s="9" t="inlineStr">
        <is>
          <t>ISAAC GONZALEZ GONZALEZ</t>
        </is>
      </c>
      <c r="C52" s="9" t="inlineStr">
        <is>
          <t>MINA ZUMPAHUACAN</t>
        </is>
      </c>
      <c r="D52" s="9" t="inlineStr">
        <is>
          <t>EQUIPO MENOR</t>
        </is>
      </c>
      <c r="E52" s="8" t="inlineStr">
        <is>
          <t>S/P</t>
        </is>
      </c>
      <c r="F52" s="10" t="n">
        <v>500</v>
      </c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0" t="n">
        <v>500</v>
      </c>
      <c r="AF52" s="10" t="n">
        <v>0</v>
      </c>
    </row>
    <row r="53" ht="11.5" customHeight="1">
      <c r="A53" s="12" t="n">
        <v>8</v>
      </c>
      <c r="B53" s="13" t="inlineStr">
        <is>
          <t>JESUS MARIN GARCIA</t>
        </is>
      </c>
      <c r="C53" s="13" t="inlineStr">
        <is>
          <t>MINA CUAJOMAC</t>
        </is>
      </c>
      <c r="D53" s="13" t="inlineStr">
        <is>
          <t>CHEVORLET</t>
        </is>
      </c>
      <c r="E53" s="12" t="inlineStr">
        <is>
          <t>PCU8771</t>
        </is>
      </c>
      <c r="F53" s="14" t="n">
        <v>2000</v>
      </c>
      <c r="G53" s="14" t="n">
        <v>1670.67</v>
      </c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4" t="n">
        <v>329.33</v>
      </c>
      <c r="AF53" s="14" t="n">
        <v>1670.67</v>
      </c>
    </row>
    <row r="54" ht="11.5" customHeight="1">
      <c r="A54" s="8" t="n">
        <v>9</v>
      </c>
      <c r="B54" s="9" t="inlineStr">
        <is>
          <t>JESUS MARIN GARCIA</t>
        </is>
      </c>
      <c r="C54" s="9" t="inlineStr">
        <is>
          <t>MINA CUAJOMAC</t>
        </is>
      </c>
      <c r="D54" s="9" t="inlineStr">
        <is>
          <t>EQUIPO MENOR</t>
        </is>
      </c>
      <c r="E54" s="8" t="inlineStr">
        <is>
          <t>S/P</t>
        </is>
      </c>
      <c r="F54" s="10" t="n">
        <v>500</v>
      </c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0" t="n">
        <v>500</v>
      </c>
      <c r="AF54" s="10" t="n">
        <v>0</v>
      </c>
    </row>
    <row r="55" ht="13.5" customHeight="1">
      <c r="A55" s="16" t="inlineStr">
        <is>
          <t>TOTALES TRITURADORA</t>
        </is>
      </c>
      <c r="B55" s="17" t="n"/>
      <c r="C55" s="17" t="n"/>
      <c r="D55" s="17" t="n"/>
      <c r="E55" s="17" t="n"/>
      <c r="F55" s="18">
        <f>SUM(F46:F54)</f>
        <v/>
      </c>
      <c r="G55" s="18">
        <f>SUM(G46:G54)</f>
        <v/>
      </c>
      <c r="H55" s="18">
        <f>SUM(H46:H54)</f>
        <v/>
      </c>
      <c r="I55" s="18">
        <f>SUM(I46:I54)</f>
        <v/>
      </c>
      <c r="J55" s="18">
        <f>SUM(J46:J54)</f>
        <v/>
      </c>
      <c r="K55" s="18">
        <f>SUM(K46:K54)</f>
        <v/>
      </c>
      <c r="L55" s="18">
        <f>SUM(L46:L54)</f>
        <v/>
      </c>
      <c r="M55" s="18">
        <f>SUM(M46:M54)</f>
        <v/>
      </c>
      <c r="N55" s="18">
        <f>SUM(N46:N54)</f>
        <v/>
      </c>
      <c r="O55" s="18">
        <f>SUM(O46:O54)</f>
        <v/>
      </c>
      <c r="P55" s="18">
        <f>SUM(P46:P54)</f>
        <v/>
      </c>
      <c r="Q55" s="18">
        <f>SUM(Q46:Q54)</f>
        <v/>
      </c>
      <c r="R55" s="18">
        <f>SUM(R46:R54)</f>
        <v/>
      </c>
      <c r="S55" s="18">
        <f>SUM(S46:S54)</f>
        <v/>
      </c>
      <c r="T55" s="18">
        <f>SUM(T46:T54)</f>
        <v/>
      </c>
      <c r="U55" s="18">
        <f>SUM(U46:U54)</f>
        <v/>
      </c>
      <c r="V55" s="18">
        <f>SUM(V46:V54)</f>
        <v/>
      </c>
      <c r="W55" s="18">
        <f>SUM(W46:W54)</f>
        <v/>
      </c>
      <c r="X55" s="18">
        <f>SUM(X46:X54)</f>
        <v/>
      </c>
      <c r="Y55" s="18">
        <f>SUM(Y46:Y54)</f>
        <v/>
      </c>
      <c r="Z55" s="18">
        <f>SUM(Z46:Z54)</f>
        <v/>
      </c>
      <c r="AA55" s="18">
        <f>SUM(AA46:AA54)</f>
        <v/>
      </c>
      <c r="AB55" s="18">
        <f>SUM(AB46:AB54)</f>
        <v/>
      </c>
      <c r="AC55" s="18">
        <f>SUM(AC46:AC54)</f>
        <v/>
      </c>
      <c r="AD55" s="18">
        <f>SUM(AD46:AD54)</f>
        <v/>
      </c>
      <c r="AE55" s="18">
        <f>SUM(AE46:AE54)</f>
        <v/>
      </c>
      <c r="AF55" s="18">
        <f>SUM(AF46:AF54)</f>
        <v/>
      </c>
    </row>
  </sheetData>
  <mergeCells count="32">
    <mergeCell ref="F44:F45"/>
    <mergeCell ref="W2:Z2"/>
    <mergeCell ref="O2:R2"/>
    <mergeCell ref="B2:B3"/>
    <mergeCell ref="AA2:AD2"/>
    <mergeCell ref="AE2:AE3"/>
    <mergeCell ref="D2:D3"/>
    <mergeCell ref="F2:F3"/>
    <mergeCell ref="C44:C45"/>
    <mergeCell ref="E44:E45"/>
    <mergeCell ref="G44:J44"/>
    <mergeCell ref="S44:V44"/>
    <mergeCell ref="AF44:AF45"/>
    <mergeCell ref="A1:AF1"/>
    <mergeCell ref="W44:Z44"/>
    <mergeCell ref="A41:E41"/>
    <mergeCell ref="G2:J2"/>
    <mergeCell ref="A2:A3"/>
    <mergeCell ref="C2:C3"/>
    <mergeCell ref="AF2:AF3"/>
    <mergeCell ref="E2:E3"/>
    <mergeCell ref="B44:B45"/>
    <mergeCell ref="A55:E55"/>
    <mergeCell ref="AA44:AD44"/>
    <mergeCell ref="AE44:AE45"/>
    <mergeCell ref="S2:V2"/>
    <mergeCell ref="A44:A45"/>
    <mergeCell ref="K44:N44"/>
    <mergeCell ref="O44:R44"/>
    <mergeCell ref="K2:N2"/>
    <mergeCell ref="A43:AF43"/>
    <mergeCell ref="D44:D45"/>
  </mergeCells>
  <pageMargins left="0.2" right="0.2" top="0.25" bottom="0.25" header="0.5" footer="0.5"/>
  <pageSetup orientation="landscape" paperSize="5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2026-09-18T16:15:59Z</dcterms:created>
  <dcterms:modified xsi:type="dcterms:W3CDTF">2026-09-18T16:15:59Z</dcterms:modified>
</cp:coreProperties>
</file>