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1AC7B163-B64C-4710-A187-6BB4A2FDC4BC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SEMANA 26" sheetId="1" r:id="rId1"/>
    <sheet name="SEMANA 27" sheetId="2" r:id="rId2"/>
    <sheet name="SEMANA 28" sheetId="3" r:id="rId3"/>
    <sheet name="SEMANA 29" sheetId="4" r:id="rId4"/>
    <sheet name="SEMANA 30" sheetId="5" r:id="rId5"/>
    <sheet name="SEMANA 31" sheetId="6" r:id="rId6"/>
    <sheet name="SEMANA 32" sheetId="7" r:id="rId7"/>
    <sheet name="SEMANA 33" sheetId="8" r:id="rId8"/>
    <sheet name="SEMANA 34" sheetId="9" r:id="rId9"/>
    <sheet name="SEMANA 35" sheetId="10" r:id="rId10"/>
    <sheet name="SEMANA 36" sheetId="11" r:id="rId11"/>
    <sheet name="SEMANA 37" sheetId="12" r:id="rId12"/>
  </sheets>
  <definedNames>
    <definedName name="_xlnm.Print_Area" localSheetId="0">'SEMANA 26'!$A$1:$AA$48</definedName>
    <definedName name="_xlnm.Print_Area" localSheetId="1">'SEMANA 27'!$A$1:$Z$52</definedName>
    <definedName name="_xlnm.Print_Area" localSheetId="2">'SEMANA 28'!$A$1:$AC$55</definedName>
    <definedName name="_xlnm.Print_Area" localSheetId="3">'SEMANA 29'!$A$1:$AC$55</definedName>
    <definedName name="_xlnm.Print_Area" localSheetId="4">'SEMANA 30'!$A$1:$AC$58</definedName>
    <definedName name="_xlnm.Print_Area" localSheetId="5">'SEMANA 31'!$A$1:$AH$58</definedName>
    <definedName name="_xlnm.Print_Area" localSheetId="6">'SEMANA 32'!$A$1:$AH$59</definedName>
    <definedName name="_xlnm.Print_Area" localSheetId="7">'SEMANA 33'!$A$1:$AF$59</definedName>
    <definedName name="_xlnm.Print_Area" localSheetId="8">'SEMANA 34'!$A$1:$AF$56</definedName>
    <definedName name="_xlnm.Print_Area" localSheetId="9">'SEMANA 35'!$A$1:$AF$56</definedName>
    <definedName name="_xlnm.Print_Area" localSheetId="10">'SEMANA 36'!$A$1:$AF$56</definedName>
    <definedName name="_xlnm.Print_Area" localSheetId="11">'SEMANA 37'!$A$1:$AF$56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5" i="12" l="1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AG59" i="7"/>
  <c r="AF59" i="7"/>
  <c r="Y59" i="7"/>
  <c r="X59" i="7"/>
  <c r="Q59" i="7"/>
  <c r="P59" i="7"/>
  <c r="I59" i="7"/>
  <c r="H59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AH44" i="7"/>
  <c r="AH59" i="7" s="1"/>
  <c r="AG44" i="7"/>
  <c r="AF44" i="7"/>
  <c r="AE44" i="7"/>
  <c r="AE59" i="7" s="1"/>
  <c r="AD44" i="7"/>
  <c r="AD59" i="7" s="1"/>
  <c r="AC44" i="7"/>
  <c r="AC59" i="7" s="1"/>
  <c r="AB44" i="7"/>
  <c r="AB59" i="7" s="1"/>
  <c r="AA44" i="7"/>
  <c r="AA59" i="7" s="1"/>
  <c r="Z44" i="7"/>
  <c r="Z59" i="7" s="1"/>
  <c r="Y44" i="7"/>
  <c r="X44" i="7"/>
  <c r="W44" i="7"/>
  <c r="W59" i="7" s="1"/>
  <c r="V44" i="7"/>
  <c r="V59" i="7" s="1"/>
  <c r="U44" i="7"/>
  <c r="U59" i="7" s="1"/>
  <c r="T44" i="7"/>
  <c r="T59" i="7" s="1"/>
  <c r="S44" i="7"/>
  <c r="S59" i="7" s="1"/>
  <c r="R44" i="7"/>
  <c r="R59" i="7" s="1"/>
  <c r="Q44" i="7"/>
  <c r="P44" i="7"/>
  <c r="O44" i="7"/>
  <c r="O59" i="7" s="1"/>
  <c r="N44" i="7"/>
  <c r="N59" i="7" s="1"/>
  <c r="M44" i="7"/>
  <c r="M59" i="7" s="1"/>
  <c r="L44" i="7"/>
  <c r="L59" i="7" s="1"/>
  <c r="K44" i="7"/>
  <c r="K59" i="7" s="1"/>
  <c r="J44" i="7"/>
  <c r="J59" i="7" s="1"/>
  <c r="I44" i="7"/>
  <c r="H44" i="7"/>
  <c r="G44" i="7"/>
  <c r="G59" i="7" s="1"/>
  <c r="F44" i="7"/>
  <c r="F59" i="7" s="1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Z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A36" i="1"/>
  <c r="Z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</calcChain>
</file>

<file path=xl/sharedStrings.xml><?xml version="1.0" encoding="utf-8"?>
<sst xmlns="http://schemas.openxmlformats.org/spreadsheetml/2006/main" count="2858" uniqueCount="351">
  <si>
    <t>GASOLINA - J.D.J. EQUIPO Y CONSTRUCCIONES S.A. DE C.V.  (SEMANA 26)</t>
  </si>
  <si>
    <t>NO.</t>
  </si>
  <si>
    <t>RESPONSABLE</t>
  </si>
  <si>
    <t>CENTRO DE TRABAJO</t>
  </si>
  <si>
    <t>UNIDAD / EQUIPO</t>
  </si>
  <si>
    <t>PLACAS</t>
  </si>
  <si>
    <t>IMPORTE AUTORIZADO</t>
  </si>
  <si>
    <t>LUN 22/JUN</t>
  </si>
  <si>
    <t>MAR 23/JUN</t>
  </si>
  <si>
    <t>MIÉ 24/JUN</t>
  </si>
  <si>
    <t>JUE 25/JUN</t>
  </si>
  <si>
    <t>VIE 26/JUN</t>
  </si>
  <si>
    <t>SÁB 27/JUN</t>
  </si>
  <si>
    <t>REMANENTE</t>
  </si>
  <si>
    <t>REMANENTE
(SALDO)</t>
  </si>
  <si>
    <t>CONSUMO
SEMANAL</t>
  </si>
  <si>
    <t>LEVET</t>
  </si>
  <si>
    <t>MOBILE</t>
  </si>
  <si>
    <t>SI VALE</t>
  </si>
  <si>
    <t>ING.ARMANDO  COLIN</t>
  </si>
  <si>
    <t>BACHEO TOLUCA</t>
  </si>
  <si>
    <t>CHEVROLET S10</t>
  </si>
  <si>
    <t>PAT8298</t>
  </si>
  <si>
    <t>EQUIPO MENOR</t>
  </si>
  <si>
    <t>ING. ANTONIO IBAÑEZ</t>
  </si>
  <si>
    <t>MAQUINARIA</t>
  </si>
  <si>
    <t>RAM 1200</t>
  </si>
  <si>
    <t>LHB188D</t>
  </si>
  <si>
    <t>ALBERTO HERNANDEZ DE JESUS</t>
  </si>
  <si>
    <t>DODGE RAM 700</t>
  </si>
  <si>
    <t>NXP4918</t>
  </si>
  <si>
    <t>JUAN CARLOS NAZAR</t>
  </si>
  <si>
    <t>PCW9391</t>
  </si>
  <si>
    <t>EDGAR VELAZQUEZ ESQUIVEL</t>
  </si>
  <si>
    <t>PCW9238</t>
  </si>
  <si>
    <t>ROBERTO CARLOS GARCÍA</t>
  </si>
  <si>
    <t>H. COLEGIO MILITAR</t>
  </si>
  <si>
    <t>CHANGAN ALSVIN</t>
  </si>
  <si>
    <t>LMH893A</t>
  </si>
  <si>
    <t>OSCAR ESTRADA LINARES</t>
  </si>
  <si>
    <t>EXPLANADA DAMIAN CARMONA</t>
  </si>
  <si>
    <t>NISSAN NP-300</t>
  </si>
  <si>
    <t>MAH844C</t>
  </si>
  <si>
    <t>DIEGO CARREOLA</t>
  </si>
  <si>
    <t>BACHEO TOLUCA Y C. VICENTE LOMBARDO</t>
  </si>
  <si>
    <t>MITSUBISHI L1200</t>
  </si>
  <si>
    <t>NYZ829C</t>
  </si>
  <si>
    <t>TOMAS ARANDA PROSPERO</t>
  </si>
  <si>
    <t>DODGE RAM 4000 (3/2)</t>
  </si>
  <si>
    <t>LF05470</t>
  </si>
  <si>
    <t>JAVIER PEREZ DÍAZ</t>
  </si>
  <si>
    <t>OBRA MÉXICO TOLUCA</t>
  </si>
  <si>
    <t>MITSUBISHI 1200</t>
  </si>
  <si>
    <t>MHL758A</t>
  </si>
  <si>
    <t>ALEXIS SAMUEL RENDON DOMINGUEZ</t>
  </si>
  <si>
    <t>TOYOTA HIACE (URBAN)</t>
  </si>
  <si>
    <t>PBT1230</t>
  </si>
  <si>
    <t>CRISTIAN REYES GAMORA</t>
  </si>
  <si>
    <t>LH49730</t>
  </si>
  <si>
    <t>APOLINAR REYES BOLAINA</t>
  </si>
  <si>
    <t>LERMA TENANGO</t>
  </si>
  <si>
    <t>NYZ971C</t>
  </si>
  <si>
    <t>CORTADORA DE CONCRETO</t>
  </si>
  <si>
    <t>MOTOR AUXILIAR PETROLIZADORA</t>
  </si>
  <si>
    <t>MOTOR AUXILIAR PIPA DE AGUA</t>
  </si>
  <si>
    <t>LEONCIO MARTINEZ PASCACIO</t>
  </si>
  <si>
    <t>NYZ790C</t>
  </si>
  <si>
    <t>CARMELO ALVAREZ ANICETO</t>
  </si>
  <si>
    <t>LH49746</t>
  </si>
  <si>
    <t>DIEGO FERNANDEZ SANTIAGO</t>
  </si>
  <si>
    <t>PBT1229</t>
  </si>
  <si>
    <t>DAMIAN ANTONIO PUINI</t>
  </si>
  <si>
    <t>P. ASFALTO HUIXQUILUCAN</t>
  </si>
  <si>
    <t>FORD RANGER</t>
  </si>
  <si>
    <t>PCU7482</t>
  </si>
  <si>
    <t>LUIS VALDEZ</t>
  </si>
  <si>
    <t>CLEMENTE SANABRIA</t>
  </si>
  <si>
    <t>TRANSPORTES FLOTILLA</t>
  </si>
  <si>
    <t>LHB184D</t>
  </si>
  <si>
    <t>BRYAN GABRIEL CHAVEZ ALVAREZ</t>
  </si>
  <si>
    <t>CHEVROLET TORNADO</t>
  </si>
  <si>
    <t>NUZ948C</t>
  </si>
  <si>
    <t>MOTORES LOWBOY</t>
  </si>
  <si>
    <t>ROBERTO ORTEGA</t>
  </si>
  <si>
    <t>MNX601B</t>
  </si>
  <si>
    <t>VICTOR</t>
  </si>
  <si>
    <t>SAMUEL ORTEGA SILVA</t>
  </si>
  <si>
    <t>MITSUBISHI L200</t>
  </si>
  <si>
    <t>NZT266B</t>
  </si>
  <si>
    <t>TOTALES J.D.J.</t>
  </si>
  <si>
    <t>GASOLINA - TRITURADORA ROCA DURA SAN MIGUEL  (SEMANA 26)</t>
  </si>
  <si>
    <t>CARLOS REYES TRUJANO</t>
  </si>
  <si>
    <t>MINA TABERNILLAS</t>
  </si>
  <si>
    <t>TOYOTA TACOMA</t>
  </si>
  <si>
    <t>33K849</t>
  </si>
  <si>
    <t>LAZARO PINAL RIOS</t>
  </si>
  <si>
    <t>MHL757A</t>
  </si>
  <si>
    <t>ARMANDO COLIN MORENO</t>
  </si>
  <si>
    <t>CHEVORLET</t>
  </si>
  <si>
    <t>ABNER OSORIO BARTOLO</t>
  </si>
  <si>
    <t>MINA ZUMPAHUACAN</t>
  </si>
  <si>
    <t>NYZ828C</t>
  </si>
  <si>
    <t>ISAAC GONZALEZ GONZALEZ</t>
  </si>
  <si>
    <t>NYZ839C</t>
  </si>
  <si>
    <t>JESUS MARIN GARCIA</t>
  </si>
  <si>
    <t>MINA CUAJOMAC</t>
  </si>
  <si>
    <t>PCU8771</t>
  </si>
  <si>
    <t>TOTALES TRITURADORA</t>
  </si>
  <si>
    <t>GRAN TOTAL (J.D.J. + TRITURADORA)</t>
  </si>
  <si>
    <t>GASOLINA - J.D.J. EQUIPO Y CONSTRUCCIONES S.A. DE C.V.  (SEMANA 27)</t>
  </si>
  <si>
    <t>LUN 29/JUN</t>
  </si>
  <si>
    <t>MAR 30/JUN</t>
  </si>
  <si>
    <t>MIÉ 01/JUL</t>
  </si>
  <si>
    <t>JUE 02/JUL</t>
  </si>
  <si>
    <t>VIE 03/JUL</t>
  </si>
  <si>
    <t>SÁB 04/JUL</t>
  </si>
  <si>
    <t>NXP9814</t>
  </si>
  <si>
    <t>JUAN CARLOS NAZAR CHAVEZ</t>
  </si>
  <si>
    <t>A10278</t>
  </si>
  <si>
    <t>A10329</t>
  </si>
  <si>
    <t>A10356</t>
  </si>
  <si>
    <t>A10322</t>
  </si>
  <si>
    <t>A10343</t>
  </si>
  <si>
    <t>A10267</t>
  </si>
  <si>
    <t>A10337</t>
  </si>
  <si>
    <t>A10255(1000)</t>
  </si>
  <si>
    <t>A10336</t>
  </si>
  <si>
    <t>A10345</t>
  </si>
  <si>
    <t>JOSÉ CABELLO /JACK</t>
  </si>
  <si>
    <t>ESTIMACIONES /PLANTA PEGASO</t>
  </si>
  <si>
    <t>LHB176D</t>
  </si>
  <si>
    <t>VICTOR HUGO MARTINEZ VELAZQUEZ</t>
  </si>
  <si>
    <t>JALSICO</t>
  </si>
  <si>
    <t>LHB182D</t>
  </si>
  <si>
    <t>PAOLA JARAMILLO</t>
  </si>
  <si>
    <t>CORPORATIVO</t>
  </si>
  <si>
    <t>A10268</t>
  </si>
  <si>
    <t>A10321</t>
  </si>
  <si>
    <t>A10344</t>
  </si>
  <si>
    <t>GASOLINA - TRITURADORA ROCA DURA SAN MIGUEL  (SEMANA 27)</t>
  </si>
  <si>
    <t>GASOLINA - J.D.J. EQUIPO Y CONSTRUCCIONES S.A. DE C.V.  (SEMANA 28)</t>
  </si>
  <si>
    <t>LUN 06/JUL</t>
  </si>
  <si>
    <t>MAR 07/JUL</t>
  </si>
  <si>
    <t>MIÉ 08/JUL</t>
  </si>
  <si>
    <t>JUE 09/JUL</t>
  </si>
  <si>
    <t>VIE 10/JUL</t>
  </si>
  <si>
    <t>SÁB 11/JUL</t>
  </si>
  <si>
    <t>DOM 12/JUL</t>
  </si>
  <si>
    <t>A10372</t>
  </si>
  <si>
    <t>A10399</t>
  </si>
  <si>
    <t>A10892</t>
  </si>
  <si>
    <t>A10395</t>
  </si>
  <si>
    <t>A10911</t>
  </si>
  <si>
    <t>A10910</t>
  </si>
  <si>
    <t>A10407</t>
  </si>
  <si>
    <t>A10906</t>
  </si>
  <si>
    <t>A10369</t>
  </si>
  <si>
    <t>A10386</t>
  </si>
  <si>
    <t>A10394</t>
  </si>
  <si>
    <t>CRISTOBAL SILVA</t>
  </si>
  <si>
    <t>LKV206D</t>
  </si>
  <si>
    <t>LKC794D</t>
  </si>
  <si>
    <t>A10903</t>
  </si>
  <si>
    <t>LKC789D</t>
  </si>
  <si>
    <t>GASOLINA - TRITURADORA ROCA DURA SAN MIGUEL  (SEMANA 28)</t>
  </si>
  <si>
    <t>A10905</t>
  </si>
  <si>
    <t>GASOLINA - J.D.J. EQUIPO Y CONSTRUCCIONES S.A. DE C.V.  (SEMANA 29)</t>
  </si>
  <si>
    <t>LUN 13/JUL</t>
  </si>
  <si>
    <t>MAR 14/JUL</t>
  </si>
  <si>
    <t>MIÉ 15/JUL</t>
  </si>
  <si>
    <t>JUE 16/JUL</t>
  </si>
  <si>
    <t>VIE 17/JUL</t>
  </si>
  <si>
    <t>SÁB 18/JUL</t>
  </si>
  <si>
    <t>DOM 19/JUL</t>
  </si>
  <si>
    <t>A10424</t>
  </si>
  <si>
    <t>A10515</t>
  </si>
  <si>
    <t>A10450</t>
  </si>
  <si>
    <t>A10427</t>
  </si>
  <si>
    <t>A23783097</t>
  </si>
  <si>
    <t>A10470</t>
  </si>
  <si>
    <t>A10460</t>
  </si>
  <si>
    <t>A10454</t>
  </si>
  <si>
    <t>A10434</t>
  </si>
  <si>
    <t>A10451</t>
  </si>
  <si>
    <t>A23783099</t>
  </si>
  <si>
    <t>GASOLINA - TRITURADORA ROCA DURA SAN MIGUEL  (SEMANA 29)</t>
  </si>
  <si>
    <t>GASOLINA - J.D.J. EQUIPO Y CONSTRUCCIONES S.A. DE C.V.  (SEMANA 30)</t>
  </si>
  <si>
    <t>LUN 20/JUL</t>
  </si>
  <si>
    <t>MAR 21/JUL</t>
  </si>
  <si>
    <t>MIÉ 22/JUL</t>
  </si>
  <si>
    <t>JUE 23/JUL</t>
  </si>
  <si>
    <t>VIE 24/JUL</t>
  </si>
  <si>
    <t>SÁB 25/JUL</t>
  </si>
  <si>
    <t>DOM 26/JUL</t>
  </si>
  <si>
    <t>9391.0</t>
  </si>
  <si>
    <t>A10486</t>
  </si>
  <si>
    <t>MHL755A</t>
  </si>
  <si>
    <t>A10482</t>
  </si>
  <si>
    <t>A10567</t>
  </si>
  <si>
    <t>A10545</t>
  </si>
  <si>
    <t>A10580</t>
  </si>
  <si>
    <t>A10518</t>
  </si>
  <si>
    <t>A10552</t>
  </si>
  <si>
    <t>A10571</t>
  </si>
  <si>
    <t>A10585</t>
  </si>
  <si>
    <t>HENRY</t>
  </si>
  <si>
    <t>GASOLINA - TRITURADORA ROCA DURA SAN MIGUEL  (SEMANA 30)</t>
  </si>
  <si>
    <t>GASOLINA - J.D.J. EQUIPO Y CONSTRUCCIONES S.A. DE C.V.  (SEMANA 31)</t>
  </si>
  <si>
    <t>LUN 27/JUL</t>
  </si>
  <si>
    <t>MAR 28/JUL</t>
  </si>
  <si>
    <t>MIÉ 29/JUL</t>
  </si>
  <si>
    <t>JUE 30/JUL</t>
  </si>
  <si>
    <t>VIE 31/JUL</t>
  </si>
  <si>
    <t>SÁB 01/AGO</t>
  </si>
  <si>
    <t>DOM 02/AGO</t>
  </si>
  <si>
    <t>TICKET</t>
  </si>
  <si>
    <t>A10620</t>
  </si>
  <si>
    <t>A10607</t>
  </si>
  <si>
    <t>A10741</t>
  </si>
  <si>
    <t>A10606</t>
  </si>
  <si>
    <t>A10710</t>
  </si>
  <si>
    <t>A10635,A10746</t>
  </si>
  <si>
    <t>a10678</t>
  </si>
  <si>
    <t>A10621</t>
  </si>
  <si>
    <t>a237803</t>
  </si>
  <si>
    <t>GASOLINA - TRITURADORA ROCA DURA SAN MIGUEL  (SEMANA 31)</t>
  </si>
  <si>
    <t>MINA ZUPAHUACAN</t>
  </si>
  <si>
    <t>GASOLINA - J.D.J. EQUIPO Y CONSTRUCCIONES S.A. DE C.V.  (SEMANA 32)</t>
  </si>
  <si>
    <t>LUN 03/AGO</t>
  </si>
  <si>
    <t>MAR 04/AGO</t>
  </si>
  <si>
    <t>MIÉ 05/AGO</t>
  </si>
  <si>
    <t>JUE 06/AGO</t>
  </si>
  <si>
    <t>VIE 07/AGO</t>
  </si>
  <si>
    <t>SÁB 08/AGO</t>
  </si>
  <si>
    <t>A10772</t>
  </si>
  <si>
    <t>A10681</t>
  </si>
  <si>
    <t>A10786</t>
  </si>
  <si>
    <t>a10695</t>
  </si>
  <si>
    <t>A10810</t>
  </si>
  <si>
    <t>A10816</t>
  </si>
  <si>
    <t>A10782</t>
  </si>
  <si>
    <t>LYY085A</t>
  </si>
  <si>
    <t>A10690</t>
  </si>
  <si>
    <t>A10775</t>
  </si>
  <si>
    <t>GASOLINA - TRITURADORA ROCA DURA SAN MIGUEL  (SEMANA 32)</t>
  </si>
  <si>
    <t>GASOLINA - J.D.J. EQUIPO Y CONSTRUCCIONES S.A. DE C.V.  (SEMANA 33)</t>
  </si>
  <si>
    <t>LUN 10/AGO</t>
  </si>
  <si>
    <t>MAR 11/AGO</t>
  </si>
  <si>
    <t>MIÉ 12/AGO</t>
  </si>
  <si>
    <t>JUE 13/AGO</t>
  </si>
  <si>
    <t>VIE 14/AGO</t>
  </si>
  <si>
    <t>SÁB 15/AGO</t>
  </si>
  <si>
    <t>a10850</t>
  </si>
  <si>
    <t>A10829</t>
  </si>
  <si>
    <t>a10882</t>
  </si>
  <si>
    <t>a10928</t>
  </si>
  <si>
    <t>a10943</t>
  </si>
  <si>
    <t>A10853</t>
  </si>
  <si>
    <t>a10929</t>
  </si>
  <si>
    <t>JOSÉ CABELLO</t>
  </si>
  <si>
    <t>ESTIMACIONES</t>
  </si>
  <si>
    <t>A10856</t>
  </si>
  <si>
    <t>a10881</t>
  </si>
  <si>
    <t>A10854</t>
  </si>
  <si>
    <t>A10874</t>
  </si>
  <si>
    <t>JACK</t>
  </si>
  <si>
    <t>PLANTA PEGASO</t>
  </si>
  <si>
    <t>GASOLINA - TRITURADORA ROCA DURA SAN MIGUEL  (SEMANA 33)</t>
  </si>
  <si>
    <t>GASOLINA - J.D.J. EQUIPO Y CONSTRUCCIONES S.A. DE C.V.  (SEMANA 34)</t>
  </si>
  <si>
    <t>LUN 17/AGO</t>
  </si>
  <si>
    <t>MAR 18/AGO</t>
  </si>
  <si>
    <t>MIÉ 19/AGO</t>
  </si>
  <si>
    <t>JUE 20/AGO</t>
  </si>
  <si>
    <t>VIE 21/AGO</t>
  </si>
  <si>
    <t>SÁB 22/AGO</t>
  </si>
  <si>
    <t>S/P</t>
  </si>
  <si>
    <t>CARLOS ALARCON</t>
  </si>
  <si>
    <t>MITSUBICHI</t>
  </si>
  <si>
    <t>MEF284D</t>
  </si>
  <si>
    <t>a10971</t>
  </si>
  <si>
    <t>LERMA TENANGO / ALFREDO DEL MAZO</t>
  </si>
  <si>
    <t>LERMA TENANGO/ALFREDO DEL MAZO</t>
  </si>
  <si>
    <t>LERMA TENANGO /ALFREDO DEL MAZO</t>
  </si>
  <si>
    <t>MEF289D</t>
  </si>
  <si>
    <t>a10954</t>
  </si>
  <si>
    <t>a11001</t>
  </si>
  <si>
    <t>a11015</t>
  </si>
  <si>
    <t>MITSUBICHI MIRAGE</t>
  </si>
  <si>
    <t>JALISCO</t>
  </si>
  <si>
    <t>PROVIDENCIA</t>
  </si>
  <si>
    <t>a10970</t>
  </si>
  <si>
    <t>a10977</t>
  </si>
  <si>
    <t>a10990</t>
  </si>
  <si>
    <t>a11021</t>
  </si>
  <si>
    <t>HENRY PINEDA</t>
  </si>
  <si>
    <t>TRANSPORTES</t>
  </si>
  <si>
    <t>Equipo Menor</t>
  </si>
  <si>
    <t>GASOLINA - TRITURADORA ROCA DURA SAN MIGUEL  (SEMANA 34)</t>
  </si>
  <si>
    <t>ARMANDO LANDIN MORENO</t>
  </si>
  <si>
    <t>LH180D</t>
  </si>
  <si>
    <t>a11026</t>
  </si>
  <si>
    <t>GASOLINA - J.D.J. EQUIPO Y CONSTRUCCIONES S.A. DE C.V.  (SEMANA 35)</t>
  </si>
  <si>
    <t>LUN 24/AGO</t>
  </si>
  <si>
    <t>MAR 25/AGO</t>
  </si>
  <si>
    <t>MIÉ 26/AGO</t>
  </si>
  <si>
    <t>JUE 27/AGO</t>
  </si>
  <si>
    <t>VIE 28/AGO</t>
  </si>
  <si>
    <t>SÁB 29/AGO</t>
  </si>
  <si>
    <t>A11115</t>
  </si>
  <si>
    <t>A11060</t>
  </si>
  <si>
    <t>A11097</t>
  </si>
  <si>
    <t>A11043</t>
  </si>
  <si>
    <t>A11110</t>
  </si>
  <si>
    <t>A11059</t>
  </si>
  <si>
    <t>A11802</t>
  </si>
  <si>
    <t>A11091</t>
  </si>
  <si>
    <t>A11057</t>
  </si>
  <si>
    <t>A11104</t>
  </si>
  <si>
    <t>GASOLINA - TRITURADORA ROCA DURA SAN MIGUEL  (SEMANA 35)</t>
  </si>
  <si>
    <t>GASOLINA - J.D.J. EQUIPO Y CONSTRUCCIONES S.A. DE C.V.  (SEMANA 36)</t>
  </si>
  <si>
    <t>LUN 31/AGO</t>
  </si>
  <si>
    <t>MAR 01/SEP</t>
  </si>
  <si>
    <t>MIÉ 02/SEP</t>
  </si>
  <si>
    <t>JUE 03/SEP</t>
  </si>
  <si>
    <t>VIE 04/SEP</t>
  </si>
  <si>
    <t>SÁB 05/SEP</t>
  </si>
  <si>
    <t>a11248</t>
  </si>
  <si>
    <t>a11217</t>
  </si>
  <si>
    <t>a11183</t>
  </si>
  <si>
    <t>a11165</t>
  </si>
  <si>
    <t>a11237</t>
  </si>
  <si>
    <t>a11234</t>
  </si>
  <si>
    <t>GASOLINA - TRITURADORA ROCA DURA SAN MIGUEL  (SEMANA 36)</t>
  </si>
  <si>
    <t>GASOLINA - J.D.J. EQUIPO Y CONSTRUCCIONES S.A. DE C.V.  (SEMANA 37)</t>
  </si>
  <si>
    <t>LUN 07/SEP</t>
  </si>
  <si>
    <t>MAR 08/SEP</t>
  </si>
  <si>
    <t>MIÉ 09/SEP</t>
  </si>
  <si>
    <t>JUE 10/SEP</t>
  </si>
  <si>
    <t>VIE 11/SEP</t>
  </si>
  <si>
    <t>SÁB 12/SEP</t>
  </si>
  <si>
    <t>A11279</t>
  </si>
  <si>
    <t>a11333</t>
  </si>
  <si>
    <t>A11306</t>
  </si>
  <si>
    <t>a11332</t>
  </si>
  <si>
    <t>A11300</t>
  </si>
  <si>
    <t>A11281</t>
  </si>
  <si>
    <t>a11338</t>
  </si>
  <si>
    <t>A11283</t>
  </si>
  <si>
    <t>A11305</t>
  </si>
  <si>
    <t>a11316</t>
  </si>
  <si>
    <t>GASOLINA - TRITURADORA ROCA DURA SAN MIGUEL  (SEMANA 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</si>
</sst>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7" x14ac:knownFonts="1">
    <font>
      <sz val="11"/>
      <color theme="1"/>
      <name val="Calibri"/>
      <family val="2"/>
      <scheme val="minor"/>
    </font>
    <font>
      <b/>
      <sz val="9.5"/>
      <color rgb="FF000000"/>
      <name val="Arial"/>
    </font>
    <font>
      <b/>
      <sz val="7.5"/>
      <color rgb="FF000000"/>
      <name val="Arial"/>
    </font>
    <font>
      <b/>
      <sz val="6.5"/>
      <color rgb="FF000000"/>
      <name val="Arial"/>
    </font>
    <font>
      <sz val="6.5"/>
      <color rgb="FF000000"/>
      <name val="Arial"/>
    </font>
    <font>
      <b/>
      <sz val="8"/>
      <color rgb="FF000000"/>
      <name val="Arial"/>
    </font>
    <font>
      <b/>
      <sz val="6.5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F9FBFC"/>
        <bgColor rgb="FFF9FBFC"/>
      </patternFill>
    </fill>
    <fill>
      <patternFill patternType="solid">
        <fgColor rgb="FFF6C6AC"/>
        <bgColor rgb="FFF6C6AC"/>
      </patternFill>
    </fill>
    <fill>
      <patternFill patternType="solid">
        <fgColor rgb="FFC6D9F1"/>
        <bgColor rgb="FFC6D9F1"/>
      </patternFill>
    </fill>
  </fills>
  <borders count="3">
    <border>
      <left/>
      <right/>
      <top/>
      <bottom/>
      <diagonal/>
    </border>
    <border>
      <left style="thin">
        <color rgb="FFA0AAB5"/>
      </left>
      <right style="thin">
        <color rgb="FFA0AAB5"/>
      </right>
      <top style="thin">
        <color rgb="FFA0AAB5"/>
      </top>
      <bottom style="thin">
        <color rgb="FFA0AAB5"/>
      </bottom>
      <diagonal/>
    </border>
    <border>
      <left style="thin">
        <color rgb="FFA0AAB5"/>
      </left>
      <right style="thin">
        <color rgb="FFA0AAB5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/>
    <xf numFmtId="164" fontId="2" fillId="5" borderId="2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9"/>
  <sheetViews>
    <sheetView topLeftCell="C1" zoomScaleNormal="100" workbookViewId="0">
      <selection activeCell="Y36" sqref="Y36"/>
    </sheetView>
  </sheetViews>
  <sheetFormatPr baseColWidth="10" defaultColWidth="8.88671875" defaultRowHeight="14.4" x14ac:dyDescent="0.3"/>
  <cols>
    <col min="1" max="1" width="3.44140625" customWidth="1"/>
    <col min="2" max="2" width="16.44140625" customWidth="1"/>
    <col min="3" max="3" width="14" customWidth="1"/>
    <col min="4" max="4" width="23.44140625" bestFit="1" customWidth="1"/>
    <col min="5" max="5" width="7.77734375" customWidth="1"/>
    <col min="6" max="6" width="10.44140625" customWidth="1"/>
    <col min="7" max="10" width="7.109375" bestFit="1" customWidth="1"/>
    <col min="11" max="11" width="6.21875" customWidth="1"/>
    <col min="12" max="20" width="7.109375" bestFit="1" customWidth="1"/>
    <col min="21" max="21" width="6.77734375" bestFit="1" customWidth="1"/>
    <col min="22" max="22" width="6.21875" customWidth="1"/>
    <col min="23" max="23" width="7.109375" bestFit="1" customWidth="1"/>
    <col min="24" max="24" width="6.21875" customWidth="1"/>
    <col min="25" max="25" width="9.5546875" bestFit="1" customWidth="1"/>
    <col min="26" max="26" width="9.44140625" customWidth="1"/>
    <col min="27" max="27" width="8.44140625" customWidth="1"/>
  </cols>
  <sheetData>
    <row r="1" spans="1:27" ht="18" customHeight="1" x14ac:dyDescent="0.3">
      <c r="A1" s="23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7</v>
      </c>
      <c r="H2" s="19"/>
      <c r="I2" s="19"/>
      <c r="J2" s="18" t="s">
        <v>8</v>
      </c>
      <c r="K2" s="19"/>
      <c r="L2" s="19"/>
      <c r="M2" s="18" t="s">
        <v>9</v>
      </c>
      <c r="N2" s="19"/>
      <c r="O2" s="19"/>
      <c r="P2" s="18" t="s">
        <v>10</v>
      </c>
      <c r="Q2" s="19"/>
      <c r="R2" s="19"/>
      <c r="S2" s="18" t="s">
        <v>11</v>
      </c>
      <c r="T2" s="19"/>
      <c r="U2" s="19"/>
      <c r="V2" s="18" t="s">
        <v>12</v>
      </c>
      <c r="W2" s="19"/>
      <c r="X2" s="19"/>
      <c r="Y2" s="18" t="s">
        <v>13</v>
      </c>
      <c r="Z2" s="20" t="s">
        <v>14</v>
      </c>
      <c r="AA2" s="14" t="s">
        <v>15</v>
      </c>
    </row>
    <row r="3" spans="1:27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18</v>
      </c>
      <c r="J3" s="1" t="s">
        <v>16</v>
      </c>
      <c r="K3" s="1" t="s">
        <v>17</v>
      </c>
      <c r="L3" s="1" t="s">
        <v>18</v>
      </c>
      <c r="M3" s="1" t="s">
        <v>16</v>
      </c>
      <c r="N3" s="1" t="s">
        <v>17</v>
      </c>
      <c r="O3" s="1" t="s">
        <v>18</v>
      </c>
      <c r="P3" s="1" t="s">
        <v>16</v>
      </c>
      <c r="Q3" s="1" t="s">
        <v>17</v>
      </c>
      <c r="R3" s="1" t="s">
        <v>18</v>
      </c>
      <c r="S3" s="1" t="s">
        <v>16</v>
      </c>
      <c r="T3" s="1" t="s">
        <v>17</v>
      </c>
      <c r="U3" s="1" t="s">
        <v>18</v>
      </c>
      <c r="V3" s="1" t="s">
        <v>16</v>
      </c>
      <c r="W3" s="1" t="s">
        <v>17</v>
      </c>
      <c r="X3" s="1" t="s">
        <v>18</v>
      </c>
      <c r="Y3" s="1"/>
      <c r="Z3" s="19"/>
      <c r="AA3" s="15"/>
    </row>
    <row r="4" spans="1:27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4">
        <v>1200</v>
      </c>
      <c r="Z4" s="4">
        <v>0</v>
      </c>
      <c r="AA4" s="5"/>
    </row>
    <row r="5" spans="1:27" ht="11.55" customHeight="1" x14ac:dyDescent="0.3">
      <c r="A5" s="6">
        <v>2</v>
      </c>
      <c r="B5" s="7"/>
      <c r="C5" s="7"/>
      <c r="D5" s="7" t="s">
        <v>23</v>
      </c>
      <c r="E5" s="6"/>
      <c r="F5" s="8">
        <v>500</v>
      </c>
      <c r="G5" s="8">
        <v>500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8">
        <v>0</v>
      </c>
      <c r="Z5" s="8">
        <v>500</v>
      </c>
      <c r="AA5" s="9"/>
    </row>
    <row r="6" spans="1:27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5"/>
      <c r="H6" s="5"/>
      <c r="I6" s="5"/>
      <c r="J6" s="4">
        <v>1850.22</v>
      </c>
      <c r="K6" s="5"/>
      <c r="L6" s="5"/>
      <c r="M6" s="5"/>
      <c r="N6" s="5"/>
      <c r="O6" s="5"/>
      <c r="P6" s="5"/>
      <c r="Q6" s="5"/>
      <c r="R6" s="4">
        <v>2000</v>
      </c>
      <c r="S6" s="5"/>
      <c r="T6" s="5"/>
      <c r="U6" s="5"/>
      <c r="V6" s="5"/>
      <c r="W6" s="5"/>
      <c r="X6" s="5"/>
      <c r="Y6" s="4">
        <v>-1350.22</v>
      </c>
      <c r="Z6" s="4">
        <v>3850.22</v>
      </c>
      <c r="AA6" s="5"/>
    </row>
    <row r="7" spans="1:27" ht="11.55" customHeight="1" x14ac:dyDescent="0.3">
      <c r="A7" s="6">
        <v>4</v>
      </c>
      <c r="B7" s="7"/>
      <c r="C7" s="7"/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8">
        <v>300</v>
      </c>
      <c r="T7" s="9"/>
      <c r="U7" s="9"/>
      <c r="V7" s="9"/>
      <c r="W7" s="9"/>
      <c r="X7" s="9"/>
      <c r="Y7" s="8">
        <v>200</v>
      </c>
      <c r="Z7" s="8">
        <v>300</v>
      </c>
      <c r="AA7" s="9"/>
    </row>
    <row r="8" spans="1:27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30</v>
      </c>
      <c r="F8" s="4">
        <v>2500</v>
      </c>
      <c r="G8" s="5"/>
      <c r="H8" s="4">
        <v>1000</v>
      </c>
      <c r="I8" s="5"/>
      <c r="J8" s="5"/>
      <c r="K8" s="5"/>
      <c r="L8" s="5"/>
      <c r="M8" s="5"/>
      <c r="N8" s="5"/>
      <c r="O8" s="5"/>
      <c r="P8" s="5"/>
      <c r="Q8" s="5"/>
      <c r="R8" s="5"/>
      <c r="S8" s="4">
        <v>800</v>
      </c>
      <c r="T8" s="5"/>
      <c r="U8" s="5"/>
      <c r="V8" s="4">
        <v>500</v>
      </c>
      <c r="W8" s="5"/>
      <c r="X8" s="5"/>
      <c r="Y8" s="4">
        <v>200</v>
      </c>
      <c r="Z8" s="4">
        <v>2300</v>
      </c>
      <c r="AA8" s="5"/>
    </row>
    <row r="9" spans="1:27" ht="11.55" customHeight="1" x14ac:dyDescent="0.3">
      <c r="A9" s="6">
        <v>6</v>
      </c>
      <c r="B9" s="7" t="s">
        <v>31</v>
      </c>
      <c r="C9" s="7" t="s">
        <v>25</v>
      </c>
      <c r="D9" s="7" t="s">
        <v>29</v>
      </c>
      <c r="E9" s="6" t="s">
        <v>32</v>
      </c>
      <c r="F9" s="8">
        <v>1500</v>
      </c>
      <c r="G9" s="8">
        <v>500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8">
        <v>-242.4</v>
      </c>
      <c r="Z9" s="8">
        <v>500</v>
      </c>
      <c r="AA9" s="9"/>
    </row>
    <row r="10" spans="1:27" ht="11.55" customHeight="1" x14ac:dyDescent="0.3">
      <c r="A10" s="2">
        <v>7</v>
      </c>
      <c r="B10" s="3" t="s">
        <v>33</v>
      </c>
      <c r="C10" s="3" t="s">
        <v>25</v>
      </c>
      <c r="D10" s="3"/>
      <c r="E10" s="2" t="s">
        <v>34</v>
      </c>
      <c r="F10" s="4">
        <v>1500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>
        <v>1242.4000000000001</v>
      </c>
      <c r="T10" s="5"/>
      <c r="U10" s="5"/>
      <c r="V10" s="5"/>
      <c r="W10" s="5"/>
      <c r="X10" s="5"/>
      <c r="Y10" s="4">
        <v>257.60000000000002</v>
      </c>
      <c r="Z10" s="4">
        <v>1242.4000000000001</v>
      </c>
      <c r="AA10" s="5"/>
    </row>
    <row r="11" spans="1:27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8">
        <v>700</v>
      </c>
      <c r="Z11" s="8">
        <v>0</v>
      </c>
      <c r="AA11" s="9"/>
    </row>
    <row r="12" spans="1:27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4">
        <v>1500</v>
      </c>
      <c r="Z12" s="4">
        <v>0</v>
      </c>
      <c r="AA12" s="5"/>
    </row>
    <row r="13" spans="1:27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9"/>
      <c r="H13" s="9"/>
      <c r="I13" s="9"/>
      <c r="J13" s="9"/>
      <c r="K13" s="9"/>
      <c r="L13" s="9"/>
      <c r="M13" s="8">
        <v>1532.1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8">
        <v>-32.1</v>
      </c>
      <c r="Z13" s="8">
        <v>1532.1</v>
      </c>
      <c r="AA13" s="9"/>
    </row>
    <row r="14" spans="1:27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4">
        <v>500</v>
      </c>
      <c r="H14" s="5"/>
      <c r="I14" s="5"/>
      <c r="J14" s="5"/>
      <c r="K14" s="5"/>
      <c r="L14" s="5"/>
      <c r="M14" s="5"/>
      <c r="N14" s="5"/>
      <c r="O14" s="5"/>
      <c r="P14" s="4">
        <v>400</v>
      </c>
      <c r="Q14" s="5"/>
      <c r="R14" s="5"/>
      <c r="S14" s="5"/>
      <c r="T14" s="5"/>
      <c r="U14" s="5"/>
      <c r="V14" s="5"/>
      <c r="W14" s="5"/>
      <c r="X14" s="5"/>
      <c r="Y14" s="4">
        <v>-400</v>
      </c>
      <c r="Z14" s="4">
        <v>900</v>
      </c>
      <c r="AA14" s="5"/>
    </row>
    <row r="15" spans="1:27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8">
        <v>1500</v>
      </c>
      <c r="H15" s="9"/>
      <c r="I15" s="9"/>
      <c r="J15" s="9"/>
      <c r="K15" s="9"/>
      <c r="L15" s="9"/>
      <c r="M15" s="8">
        <v>1500</v>
      </c>
      <c r="N15" s="9"/>
      <c r="O15" s="9"/>
      <c r="P15" s="9"/>
      <c r="Q15" s="9"/>
      <c r="R15" s="9"/>
      <c r="S15" s="8">
        <v>1500</v>
      </c>
      <c r="T15" s="9"/>
      <c r="U15" s="9"/>
      <c r="V15" s="9"/>
      <c r="W15" s="9"/>
      <c r="X15" s="9"/>
      <c r="Y15" s="8">
        <v>-3000</v>
      </c>
      <c r="Z15" s="8">
        <v>4500</v>
      </c>
      <c r="AA15" s="9"/>
    </row>
    <row r="16" spans="1:27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2500</v>
      </c>
      <c r="G16" s="5"/>
      <c r="H16" s="4">
        <v>1500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4">
        <v>1000</v>
      </c>
      <c r="X16" s="5"/>
      <c r="Y16" s="4">
        <v>0</v>
      </c>
      <c r="Z16" s="4">
        <v>2500</v>
      </c>
      <c r="AA16" s="4">
        <v>6500</v>
      </c>
    </row>
    <row r="17" spans="1:27" ht="11.55" customHeight="1" x14ac:dyDescent="0.3">
      <c r="A17" s="6">
        <v>14</v>
      </c>
      <c r="B17" s="7" t="s">
        <v>54</v>
      </c>
      <c r="C17" s="7" t="s">
        <v>51</v>
      </c>
      <c r="D17" s="7" t="s">
        <v>55</v>
      </c>
      <c r="E17" s="6" t="s">
        <v>56</v>
      </c>
      <c r="F17" s="8">
        <v>2500</v>
      </c>
      <c r="G17" s="9"/>
      <c r="H17" s="9"/>
      <c r="I17" s="9"/>
      <c r="J17" s="9"/>
      <c r="K17" s="9"/>
      <c r="L17" s="9"/>
      <c r="M17" s="9"/>
      <c r="N17" s="8">
        <v>1500</v>
      </c>
      <c r="O17" s="9"/>
      <c r="P17" s="9"/>
      <c r="Q17" s="9"/>
      <c r="R17" s="9"/>
      <c r="S17" s="9"/>
      <c r="T17" s="9"/>
      <c r="U17" s="9"/>
      <c r="V17" s="9"/>
      <c r="W17" s="8">
        <v>1000</v>
      </c>
      <c r="X17" s="9"/>
      <c r="Y17" s="8">
        <v>0</v>
      </c>
      <c r="Z17" s="8">
        <v>2500</v>
      </c>
      <c r="AA17" s="9"/>
    </row>
    <row r="18" spans="1:27" ht="11.55" customHeight="1" x14ac:dyDescent="0.3">
      <c r="A18" s="2">
        <v>15</v>
      </c>
      <c r="B18" s="3" t="s">
        <v>57</v>
      </c>
      <c r="C18" s="3" t="s">
        <v>51</v>
      </c>
      <c r="D18" s="3" t="s">
        <v>48</v>
      </c>
      <c r="E18" s="2" t="s">
        <v>58</v>
      </c>
      <c r="F18" s="4">
        <v>4000</v>
      </c>
      <c r="G18" s="5"/>
      <c r="H18" s="4">
        <v>1500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4">
        <v>2500</v>
      </c>
      <c r="Z18" s="4">
        <v>1500</v>
      </c>
      <c r="AA18" s="5"/>
    </row>
    <row r="19" spans="1:27" ht="11.55" customHeight="1" x14ac:dyDescent="0.3">
      <c r="A19" s="6">
        <v>16</v>
      </c>
      <c r="B19" s="7" t="s">
        <v>59</v>
      </c>
      <c r="C19" s="7" t="s">
        <v>60</v>
      </c>
      <c r="D19" s="7" t="s">
        <v>52</v>
      </c>
      <c r="E19" s="6" t="s">
        <v>61</v>
      </c>
      <c r="F19" s="8">
        <v>2500</v>
      </c>
      <c r="G19" s="8">
        <v>1473.84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8">
        <v>1026.1600000000001</v>
      </c>
      <c r="Z19" s="8">
        <v>1473.84</v>
      </c>
      <c r="AA19" s="9"/>
    </row>
    <row r="20" spans="1:27" ht="11.55" customHeight="1" x14ac:dyDescent="0.3">
      <c r="A20" s="2">
        <v>17</v>
      </c>
      <c r="B20" s="3"/>
      <c r="C20" s="3"/>
      <c r="D20" s="3" t="s">
        <v>62</v>
      </c>
      <c r="E20" s="2"/>
      <c r="F20" s="4">
        <v>1000</v>
      </c>
      <c r="G20" s="5"/>
      <c r="H20" s="5"/>
      <c r="I20" s="5"/>
      <c r="J20" s="4">
        <v>1000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4">
        <v>0</v>
      </c>
      <c r="Z20" s="4">
        <v>1000</v>
      </c>
      <c r="AA20" s="4">
        <v>10473.84</v>
      </c>
    </row>
    <row r="21" spans="1:27" ht="11.55" customHeight="1" x14ac:dyDescent="0.3">
      <c r="A21" s="6">
        <v>18</v>
      </c>
      <c r="B21" s="7"/>
      <c r="C21" s="7"/>
      <c r="D21" s="7" t="s">
        <v>63</v>
      </c>
      <c r="E21" s="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8">
        <v>0</v>
      </c>
      <c r="Z21" s="8">
        <v>0</v>
      </c>
      <c r="AA21" s="9"/>
    </row>
    <row r="22" spans="1:27" ht="11.55" customHeight="1" x14ac:dyDescent="0.3">
      <c r="A22" s="2">
        <v>19</v>
      </c>
      <c r="B22" s="3"/>
      <c r="C22" s="3"/>
      <c r="D22" s="3" t="s">
        <v>64</v>
      </c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4">
        <v>0</v>
      </c>
      <c r="Z22" s="4">
        <v>0</v>
      </c>
      <c r="AA22" s="5"/>
    </row>
    <row r="23" spans="1:27" ht="11.55" customHeight="1" x14ac:dyDescent="0.3">
      <c r="A23" s="6">
        <v>20</v>
      </c>
      <c r="B23" s="7" t="s">
        <v>65</v>
      </c>
      <c r="C23" s="7" t="s">
        <v>60</v>
      </c>
      <c r="D23" s="7" t="s">
        <v>52</v>
      </c>
      <c r="E23" s="6" t="s">
        <v>66</v>
      </c>
      <c r="F23" s="8">
        <v>1500</v>
      </c>
      <c r="G23" s="9"/>
      <c r="H23" s="9"/>
      <c r="I23" s="9"/>
      <c r="J23" s="9"/>
      <c r="K23" s="9"/>
      <c r="L23" s="9"/>
      <c r="M23" s="9"/>
      <c r="N23" s="9"/>
      <c r="O23" s="9"/>
      <c r="P23" s="8">
        <v>1500</v>
      </c>
      <c r="Q23" s="9"/>
      <c r="R23" s="9"/>
      <c r="S23" s="9"/>
      <c r="T23" s="9"/>
      <c r="U23" s="9"/>
      <c r="V23" s="9"/>
      <c r="W23" s="9"/>
      <c r="X23" s="9"/>
      <c r="Y23" s="8">
        <v>0</v>
      </c>
      <c r="Z23" s="8">
        <v>1500</v>
      </c>
      <c r="AA23" s="9"/>
    </row>
    <row r="24" spans="1:27" ht="11.55" customHeight="1" x14ac:dyDescent="0.3">
      <c r="A24" s="2">
        <v>21</v>
      </c>
      <c r="B24" s="3" t="s">
        <v>67</v>
      </c>
      <c r="C24" s="3" t="s">
        <v>60</v>
      </c>
      <c r="D24" s="3" t="s">
        <v>48</v>
      </c>
      <c r="E24" s="2" t="s">
        <v>68</v>
      </c>
      <c r="F24" s="4">
        <v>3000</v>
      </c>
      <c r="G24" s="5"/>
      <c r="H24" s="5"/>
      <c r="I24" s="5"/>
      <c r="J24" s="4">
        <v>3000</v>
      </c>
      <c r="K24" s="5"/>
      <c r="L24" s="5"/>
      <c r="M24" s="5"/>
      <c r="N24" s="5"/>
      <c r="O24" s="5"/>
      <c r="P24" s="5"/>
      <c r="Q24" s="5"/>
      <c r="R24" s="5"/>
      <c r="S24" s="4">
        <v>1000</v>
      </c>
      <c r="T24" s="5"/>
      <c r="U24" s="5"/>
      <c r="V24" s="5"/>
      <c r="W24" s="5"/>
      <c r="X24" s="5"/>
      <c r="Y24" s="4">
        <v>-1000</v>
      </c>
      <c r="Z24" s="4">
        <v>4000</v>
      </c>
      <c r="AA24" s="5"/>
    </row>
    <row r="25" spans="1:27" ht="11.55" customHeight="1" x14ac:dyDescent="0.3">
      <c r="A25" s="6">
        <v>22</v>
      </c>
      <c r="B25" s="7" t="s">
        <v>69</v>
      </c>
      <c r="C25" s="7" t="s">
        <v>60</v>
      </c>
      <c r="D25" s="7" t="s">
        <v>55</v>
      </c>
      <c r="E25" s="6" t="s">
        <v>70</v>
      </c>
      <c r="F25" s="8">
        <v>2500</v>
      </c>
      <c r="G25" s="9"/>
      <c r="H25" s="9"/>
      <c r="I25" s="9"/>
      <c r="J25" s="8">
        <v>1290.54</v>
      </c>
      <c r="K25" s="9"/>
      <c r="L25" s="9"/>
      <c r="M25" s="9"/>
      <c r="N25" s="9"/>
      <c r="O25" s="9"/>
      <c r="P25" s="9"/>
      <c r="Q25" s="9"/>
      <c r="R25" s="9"/>
      <c r="S25" s="8">
        <v>1209.46</v>
      </c>
      <c r="T25" s="9"/>
      <c r="U25" s="9"/>
      <c r="V25" s="9"/>
      <c r="W25" s="9"/>
      <c r="X25" s="9"/>
      <c r="Y25" s="8">
        <v>0</v>
      </c>
      <c r="Z25" s="8">
        <v>2500</v>
      </c>
      <c r="AA25" s="9"/>
    </row>
    <row r="26" spans="1:27" ht="11.55" customHeight="1" x14ac:dyDescent="0.3">
      <c r="A26" s="2">
        <v>23</v>
      </c>
      <c r="B26" s="3" t="s">
        <v>71</v>
      </c>
      <c r="C26" s="3" t="s">
        <v>72</v>
      </c>
      <c r="D26" s="3" t="s">
        <v>73</v>
      </c>
      <c r="E26" s="2" t="s">
        <v>74</v>
      </c>
      <c r="F26" s="4">
        <v>2500</v>
      </c>
      <c r="G26" s="4">
        <v>1000</v>
      </c>
      <c r="H26" s="5"/>
      <c r="I26" s="5"/>
      <c r="J26" s="5"/>
      <c r="K26" s="5"/>
      <c r="L26" s="5"/>
      <c r="M26" s="5"/>
      <c r="N26" s="5"/>
      <c r="O26" s="5"/>
      <c r="P26" s="5"/>
      <c r="Q26" s="4">
        <v>1500</v>
      </c>
      <c r="R26" s="5"/>
      <c r="S26" s="5"/>
      <c r="T26" s="5"/>
      <c r="U26" s="5"/>
      <c r="V26" s="5"/>
      <c r="W26" s="4">
        <v>500</v>
      </c>
      <c r="X26" s="5"/>
      <c r="Y26" s="4">
        <v>-500</v>
      </c>
      <c r="Z26" s="4">
        <v>3000</v>
      </c>
      <c r="AA26" s="5"/>
    </row>
    <row r="27" spans="1:27" ht="11.55" customHeight="1" x14ac:dyDescent="0.3">
      <c r="A27" s="6">
        <v>24</v>
      </c>
      <c r="B27" s="7" t="s">
        <v>75</v>
      </c>
      <c r="C27" s="7"/>
      <c r="D27" s="7" t="s">
        <v>23</v>
      </c>
      <c r="E27" s="6"/>
      <c r="F27" s="8">
        <v>500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8">
        <v>500</v>
      </c>
      <c r="Z27" s="8">
        <v>0</v>
      </c>
      <c r="AA27" s="9"/>
    </row>
    <row r="28" spans="1:27" ht="11.55" customHeight="1" x14ac:dyDescent="0.3">
      <c r="A28" s="2">
        <v>25</v>
      </c>
      <c r="B28" s="3" t="s">
        <v>76</v>
      </c>
      <c r="C28" s="3" t="s">
        <v>77</v>
      </c>
      <c r="D28" s="3" t="s">
        <v>26</v>
      </c>
      <c r="E28" s="2" t="s">
        <v>78</v>
      </c>
      <c r="F28" s="4">
        <v>2500</v>
      </c>
      <c r="G28" s="5"/>
      <c r="H28" s="5"/>
      <c r="I28" s="4">
        <v>1000</v>
      </c>
      <c r="J28" s="5"/>
      <c r="K28" s="5"/>
      <c r="L28" s="4">
        <v>1400</v>
      </c>
      <c r="M28" s="5"/>
      <c r="N28" s="5"/>
      <c r="O28" s="4">
        <v>1500</v>
      </c>
      <c r="P28" s="5"/>
      <c r="Q28" s="5"/>
      <c r="R28" s="4">
        <v>1300</v>
      </c>
      <c r="S28" s="5"/>
      <c r="T28" s="4">
        <v>1000</v>
      </c>
      <c r="U28" s="5"/>
      <c r="V28" s="5"/>
      <c r="W28" s="5"/>
      <c r="X28" s="5"/>
      <c r="Y28" s="2" t="e">
        <v>#REF!</v>
      </c>
      <c r="Z28" s="4">
        <v>6200</v>
      </c>
      <c r="AA28" s="5"/>
    </row>
    <row r="29" spans="1:27" ht="11.55" customHeight="1" x14ac:dyDescent="0.3">
      <c r="A29" s="6">
        <v>26</v>
      </c>
      <c r="B29" s="7" t="s">
        <v>79</v>
      </c>
      <c r="C29" s="7" t="s">
        <v>77</v>
      </c>
      <c r="D29" s="7" t="s">
        <v>80</v>
      </c>
      <c r="E29" s="6" t="s">
        <v>81</v>
      </c>
      <c r="F29" s="8">
        <v>1000</v>
      </c>
      <c r="G29" s="8">
        <v>800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8">
        <v>700.04</v>
      </c>
      <c r="T29" s="9"/>
      <c r="U29" s="9"/>
      <c r="V29" s="9"/>
      <c r="W29" s="9"/>
      <c r="X29" s="9"/>
      <c r="Y29" s="8">
        <v>-500.04</v>
      </c>
      <c r="Z29" s="8">
        <v>1500.04</v>
      </c>
      <c r="AA29" s="9"/>
    </row>
    <row r="30" spans="1:27" ht="11.55" customHeight="1" x14ac:dyDescent="0.3">
      <c r="A30" s="2">
        <v>27</v>
      </c>
      <c r="B30" s="3"/>
      <c r="C30" s="3"/>
      <c r="D30" s="3" t="s">
        <v>82</v>
      </c>
      <c r="E30" s="2"/>
      <c r="F30" s="4">
        <v>500</v>
      </c>
      <c r="G30" s="4">
        <v>500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4">
        <v>0</v>
      </c>
      <c r="Z30" s="4">
        <v>500</v>
      </c>
      <c r="AA30" s="5"/>
    </row>
    <row r="31" spans="1:27" ht="11.55" customHeight="1" x14ac:dyDescent="0.3">
      <c r="A31" s="6">
        <v>28</v>
      </c>
      <c r="B31" s="7"/>
      <c r="C31" s="7"/>
      <c r="D31" s="7" t="s">
        <v>82</v>
      </c>
      <c r="E31" s="6"/>
      <c r="F31" s="8">
        <v>500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8">
        <v>500</v>
      </c>
      <c r="Z31" s="8">
        <v>0</v>
      </c>
      <c r="AA31" s="9"/>
    </row>
    <row r="32" spans="1:27" ht="11.55" customHeight="1" x14ac:dyDescent="0.3">
      <c r="A32" s="2">
        <v>29</v>
      </c>
      <c r="B32" s="3" t="s">
        <v>83</v>
      </c>
      <c r="C32" s="3"/>
      <c r="D32" s="3"/>
      <c r="E32" s="2" t="s">
        <v>84</v>
      </c>
      <c r="F32" s="4">
        <v>800</v>
      </c>
      <c r="G32" s="4">
        <v>800</v>
      </c>
      <c r="H32" s="5"/>
      <c r="I32" s="5"/>
      <c r="J32" s="5"/>
      <c r="K32" s="5"/>
      <c r="L32" s="5"/>
      <c r="M32" s="5"/>
      <c r="N32" s="5"/>
      <c r="O32" s="5"/>
      <c r="P32" s="4">
        <v>1000</v>
      </c>
      <c r="Q32" s="5"/>
      <c r="R32" s="5"/>
      <c r="S32" s="5"/>
      <c r="T32" s="5"/>
      <c r="U32" s="5"/>
      <c r="V32" s="5"/>
      <c r="W32" s="5"/>
      <c r="X32" s="5"/>
      <c r="Y32" s="4">
        <v>-1000</v>
      </c>
      <c r="Z32" s="4">
        <v>1800</v>
      </c>
      <c r="AA32" s="5"/>
    </row>
    <row r="33" spans="1:27" ht="11.55" customHeight="1" x14ac:dyDescent="0.3">
      <c r="A33" s="6">
        <v>30</v>
      </c>
      <c r="B33" s="7"/>
      <c r="C33" s="7"/>
      <c r="D33" s="7" t="s">
        <v>23</v>
      </c>
      <c r="E33" s="6"/>
      <c r="F33" s="9"/>
      <c r="G33" s="9"/>
      <c r="H33" s="9"/>
      <c r="I33" s="9"/>
      <c r="J33" s="9"/>
      <c r="K33" s="9"/>
      <c r="L33" s="9"/>
      <c r="M33" s="9"/>
      <c r="N33" s="9"/>
      <c r="O33" s="9"/>
      <c r="P33" s="8">
        <v>300</v>
      </c>
      <c r="Q33" s="9"/>
      <c r="R33" s="9"/>
      <c r="S33" s="9"/>
      <c r="T33" s="9"/>
      <c r="U33" s="9"/>
      <c r="V33" s="9"/>
      <c r="W33" s="9"/>
      <c r="X33" s="9"/>
      <c r="Y33" s="8">
        <v>-300</v>
      </c>
      <c r="Z33" s="8">
        <v>300</v>
      </c>
      <c r="AA33" s="9"/>
    </row>
    <row r="34" spans="1:27" ht="11.55" customHeight="1" x14ac:dyDescent="0.3">
      <c r="A34" s="2"/>
      <c r="B34" s="3" t="s">
        <v>85</v>
      </c>
      <c r="C34" s="3"/>
      <c r="D34" s="3"/>
      <c r="E34" s="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4">
        <v>890.82</v>
      </c>
      <c r="V34" s="5"/>
      <c r="W34" s="5"/>
      <c r="X34" s="5"/>
      <c r="Y34" s="5"/>
      <c r="Z34" s="5"/>
      <c r="AA34" s="5"/>
    </row>
    <row r="35" spans="1:27" ht="11.55" customHeight="1" x14ac:dyDescent="0.3">
      <c r="A35" s="6">
        <v>31</v>
      </c>
      <c r="B35" s="7" t="s">
        <v>86</v>
      </c>
      <c r="C35" s="7"/>
      <c r="D35" s="7" t="s">
        <v>87</v>
      </c>
      <c r="E35" s="6" t="s">
        <v>88</v>
      </c>
      <c r="F35" s="8">
        <v>3000</v>
      </c>
      <c r="G35" s="9"/>
      <c r="H35" s="8">
        <v>1000</v>
      </c>
      <c r="I35" s="9"/>
      <c r="J35" s="9"/>
      <c r="K35" s="9"/>
      <c r="L35" s="9"/>
      <c r="M35" s="9"/>
      <c r="N35" s="8">
        <v>1000</v>
      </c>
      <c r="O35" s="9"/>
      <c r="P35" s="9"/>
      <c r="Q35" s="9"/>
      <c r="R35" s="9"/>
      <c r="S35" s="9"/>
      <c r="T35" s="8">
        <v>1000</v>
      </c>
      <c r="U35" s="9"/>
      <c r="V35" s="9"/>
      <c r="W35" s="9"/>
      <c r="X35" s="9"/>
      <c r="Y35" s="8">
        <v>0</v>
      </c>
      <c r="Z35" s="8">
        <v>3000</v>
      </c>
      <c r="AA35" s="9"/>
    </row>
    <row r="36" spans="1:27" ht="21" customHeight="1" x14ac:dyDescent="0.3">
      <c r="A36" s="16" t="s">
        <v>89</v>
      </c>
      <c r="B36" s="17"/>
      <c r="C36" s="17"/>
      <c r="D36" s="17"/>
      <c r="E36" s="17"/>
      <c r="F36" s="10">
        <f t="shared" ref="F36:AA36" si="0">SUM(F4:F35)</f>
        <v>46700</v>
      </c>
      <c r="G36" s="10">
        <f t="shared" si="0"/>
        <v>7573.84</v>
      </c>
      <c r="H36" s="10">
        <f t="shared" si="0"/>
        <v>5000</v>
      </c>
      <c r="I36" s="10">
        <f t="shared" si="0"/>
        <v>1000</v>
      </c>
      <c r="J36" s="10">
        <f t="shared" si="0"/>
        <v>7140.76</v>
      </c>
      <c r="K36" s="10">
        <f t="shared" si="0"/>
        <v>0</v>
      </c>
      <c r="L36" s="10">
        <f t="shared" si="0"/>
        <v>1400</v>
      </c>
      <c r="M36" s="10">
        <f t="shared" si="0"/>
        <v>3032.1</v>
      </c>
      <c r="N36" s="10">
        <f t="shared" si="0"/>
        <v>2500</v>
      </c>
      <c r="O36" s="10">
        <f t="shared" si="0"/>
        <v>1500</v>
      </c>
      <c r="P36" s="10">
        <f t="shared" si="0"/>
        <v>3200</v>
      </c>
      <c r="Q36" s="10">
        <f t="shared" si="0"/>
        <v>1500</v>
      </c>
      <c r="R36" s="10">
        <f t="shared" si="0"/>
        <v>3300</v>
      </c>
      <c r="S36" s="10">
        <f t="shared" si="0"/>
        <v>6751.9</v>
      </c>
      <c r="T36" s="10">
        <f t="shared" si="0"/>
        <v>2000</v>
      </c>
      <c r="U36" s="10">
        <f t="shared" si="0"/>
        <v>890.82</v>
      </c>
      <c r="V36" s="10">
        <f t="shared" si="0"/>
        <v>500</v>
      </c>
      <c r="W36" s="10">
        <f t="shared" si="0"/>
        <v>2500</v>
      </c>
      <c r="X36" s="10">
        <f t="shared" si="0"/>
        <v>0</v>
      </c>
      <c r="Y36" s="10"/>
      <c r="Z36" s="10">
        <f t="shared" si="0"/>
        <v>48898.6</v>
      </c>
      <c r="AA36" s="10">
        <f t="shared" si="0"/>
        <v>16973.84</v>
      </c>
    </row>
    <row r="37" spans="1:27" ht="6" customHeight="1" x14ac:dyDescent="0.3"/>
    <row r="38" spans="1:27" ht="16.95" customHeight="1" x14ac:dyDescent="0.3">
      <c r="A38" s="23" t="s">
        <v>90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3.95" customHeight="1" x14ac:dyDescent="0.3">
      <c r="A39" s="14" t="s">
        <v>1</v>
      </c>
      <c r="B39" s="14" t="s">
        <v>2</v>
      </c>
      <c r="C39" s="14" t="s">
        <v>3</v>
      </c>
      <c r="D39" s="14" t="s">
        <v>4</v>
      </c>
      <c r="E39" s="14" t="s">
        <v>5</v>
      </c>
      <c r="F39" s="14" t="s">
        <v>6</v>
      </c>
      <c r="G39" s="18" t="s">
        <v>7</v>
      </c>
      <c r="H39" s="19"/>
      <c r="I39" s="19"/>
      <c r="J39" s="18" t="s">
        <v>8</v>
      </c>
      <c r="K39" s="19"/>
      <c r="L39" s="19"/>
      <c r="M39" s="18" t="s">
        <v>9</v>
      </c>
      <c r="N39" s="19"/>
      <c r="O39" s="19"/>
      <c r="P39" s="18" t="s">
        <v>10</v>
      </c>
      <c r="Q39" s="19"/>
      <c r="R39" s="19"/>
      <c r="S39" s="18" t="s">
        <v>11</v>
      </c>
      <c r="T39" s="19"/>
      <c r="U39" s="19"/>
      <c r="V39" s="18" t="s">
        <v>12</v>
      </c>
      <c r="W39" s="19"/>
      <c r="X39" s="19"/>
      <c r="Y39" s="18" t="s">
        <v>13</v>
      </c>
      <c r="Z39" s="20" t="s">
        <v>14</v>
      </c>
      <c r="AA39" s="14" t="s">
        <v>15</v>
      </c>
    </row>
    <row r="40" spans="1:27" ht="13.05" customHeight="1" x14ac:dyDescent="0.3">
      <c r="A40" s="15"/>
      <c r="B40" s="15"/>
      <c r="C40" s="15"/>
      <c r="D40" s="15"/>
      <c r="E40" s="15"/>
      <c r="F40" s="15"/>
      <c r="G40" s="1" t="s">
        <v>16</v>
      </c>
      <c r="H40" s="1" t="s">
        <v>17</v>
      </c>
      <c r="I40" s="1" t="s">
        <v>18</v>
      </c>
      <c r="J40" s="1" t="s">
        <v>16</v>
      </c>
      <c r="K40" s="1" t="s">
        <v>17</v>
      </c>
      <c r="L40" s="1" t="s">
        <v>18</v>
      </c>
      <c r="M40" s="1" t="s">
        <v>16</v>
      </c>
      <c r="N40" s="1" t="s">
        <v>17</v>
      </c>
      <c r="O40" s="1" t="s">
        <v>18</v>
      </c>
      <c r="P40" s="1" t="s">
        <v>16</v>
      </c>
      <c r="Q40" s="1" t="s">
        <v>17</v>
      </c>
      <c r="R40" s="1" t="s">
        <v>18</v>
      </c>
      <c r="S40" s="1" t="s">
        <v>16</v>
      </c>
      <c r="T40" s="1" t="s">
        <v>17</v>
      </c>
      <c r="U40" s="1" t="s">
        <v>18</v>
      </c>
      <c r="V40" s="1" t="s">
        <v>16</v>
      </c>
      <c r="W40" s="1" t="s">
        <v>17</v>
      </c>
      <c r="X40" s="1" t="s">
        <v>18</v>
      </c>
      <c r="Y40" s="1"/>
      <c r="Z40" s="19"/>
      <c r="AA40" s="15"/>
    </row>
    <row r="41" spans="1:27" ht="11.55" customHeight="1" x14ac:dyDescent="0.3">
      <c r="A41" s="2">
        <v>1</v>
      </c>
      <c r="B41" s="3" t="s">
        <v>91</v>
      </c>
      <c r="C41" s="3" t="s">
        <v>92</v>
      </c>
      <c r="D41" s="3" t="s">
        <v>93</v>
      </c>
      <c r="E41" s="2" t="s">
        <v>94</v>
      </c>
      <c r="F41" s="4">
        <v>2500</v>
      </c>
      <c r="G41" s="5"/>
      <c r="H41" s="5"/>
      <c r="I41" s="5"/>
      <c r="J41" s="5"/>
      <c r="K41" s="5"/>
      <c r="L41" s="5"/>
      <c r="M41" s="4">
        <v>2010.26</v>
      </c>
      <c r="N41" s="5"/>
      <c r="O41" s="5"/>
      <c r="P41" s="4">
        <v>386.67</v>
      </c>
      <c r="Q41" s="5"/>
      <c r="R41" s="5"/>
      <c r="S41" s="5"/>
      <c r="T41" s="5"/>
      <c r="U41" s="5"/>
      <c r="V41" s="5"/>
      <c r="W41" s="5"/>
      <c r="X41" s="5"/>
      <c r="Y41" s="4">
        <v>103.07</v>
      </c>
      <c r="Z41" s="4">
        <v>2396.9299999999998</v>
      </c>
      <c r="AA41" s="5"/>
    </row>
    <row r="42" spans="1:27" ht="11.55" customHeight="1" x14ac:dyDescent="0.3">
      <c r="A42" s="6">
        <v>2</v>
      </c>
      <c r="B42" s="7" t="s">
        <v>95</v>
      </c>
      <c r="C42" s="7" t="s">
        <v>92</v>
      </c>
      <c r="D42" s="7" t="s">
        <v>87</v>
      </c>
      <c r="E42" s="6" t="s">
        <v>96</v>
      </c>
      <c r="F42" s="8">
        <v>1500</v>
      </c>
      <c r="G42" s="9"/>
      <c r="H42" s="9"/>
      <c r="I42" s="9"/>
      <c r="J42" s="8">
        <v>1700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8">
        <v>-200</v>
      </c>
      <c r="Z42" s="8">
        <v>1700</v>
      </c>
      <c r="AA42" s="9"/>
    </row>
    <row r="43" spans="1:27" ht="11.55" customHeight="1" x14ac:dyDescent="0.3">
      <c r="A43" s="2">
        <v>3</v>
      </c>
      <c r="B43" s="3" t="s">
        <v>97</v>
      </c>
      <c r="C43" s="3" t="s">
        <v>92</v>
      </c>
      <c r="D43" s="3" t="s">
        <v>98</v>
      </c>
      <c r="E43" s="2" t="s">
        <v>22</v>
      </c>
      <c r="F43" s="4">
        <v>2000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4">
        <v>2000</v>
      </c>
      <c r="Z43" s="4">
        <v>0</v>
      </c>
      <c r="AA43" s="5"/>
    </row>
    <row r="44" spans="1:27" ht="11.55" customHeight="1" x14ac:dyDescent="0.3">
      <c r="A44" s="6"/>
      <c r="B44" s="7"/>
      <c r="C44" s="7"/>
      <c r="D44" s="7" t="s">
        <v>23</v>
      </c>
      <c r="E44" s="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8">
        <v>0</v>
      </c>
      <c r="Z44" s="8">
        <v>0</v>
      </c>
      <c r="AA44" s="9"/>
    </row>
    <row r="45" spans="1:27" ht="11.55" customHeight="1" x14ac:dyDescent="0.3">
      <c r="A45" s="2">
        <v>4</v>
      </c>
      <c r="B45" s="3" t="s">
        <v>99</v>
      </c>
      <c r="C45" s="3" t="s">
        <v>100</v>
      </c>
      <c r="D45" s="3" t="s">
        <v>87</v>
      </c>
      <c r="E45" s="2" t="s">
        <v>101</v>
      </c>
      <c r="F45" s="4">
        <v>1500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4">
        <v>1500</v>
      </c>
      <c r="Z45" s="4">
        <v>0</v>
      </c>
      <c r="AA45" s="5"/>
    </row>
    <row r="46" spans="1:27" ht="11.55" customHeight="1" x14ac:dyDescent="0.3">
      <c r="A46" s="6">
        <v>5</v>
      </c>
      <c r="B46" s="7" t="s">
        <v>102</v>
      </c>
      <c r="C46" s="7" t="s">
        <v>100</v>
      </c>
      <c r="D46" s="7" t="s">
        <v>87</v>
      </c>
      <c r="E46" s="6" t="s">
        <v>103</v>
      </c>
      <c r="F46" s="8">
        <v>1500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8">
        <v>1500</v>
      </c>
      <c r="Z46" s="8">
        <v>0</v>
      </c>
      <c r="AA46" s="9"/>
    </row>
    <row r="47" spans="1:27" ht="11.55" customHeight="1" x14ac:dyDescent="0.3">
      <c r="A47" s="2">
        <v>6</v>
      </c>
      <c r="B47" s="3" t="s">
        <v>104</v>
      </c>
      <c r="C47" s="3" t="s">
        <v>105</v>
      </c>
      <c r="D47" s="3" t="s">
        <v>98</v>
      </c>
      <c r="E47" s="2" t="s">
        <v>106</v>
      </c>
      <c r="F47" s="4">
        <v>2000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4">
        <v>2000</v>
      </c>
      <c r="Z47" s="4">
        <v>0</v>
      </c>
      <c r="AA47" s="5"/>
    </row>
    <row r="48" spans="1:27" ht="13.5" customHeight="1" x14ac:dyDescent="0.3">
      <c r="A48" s="16" t="s">
        <v>107</v>
      </c>
      <c r="B48" s="17"/>
      <c r="C48" s="17"/>
      <c r="D48" s="17"/>
      <c r="E48" s="17"/>
      <c r="F48" s="10">
        <f t="shared" ref="F48:AA48" si="1">SUM(F41:F47)</f>
        <v>11000</v>
      </c>
      <c r="G48" s="10">
        <f t="shared" si="1"/>
        <v>0</v>
      </c>
      <c r="H48" s="10">
        <f t="shared" si="1"/>
        <v>0</v>
      </c>
      <c r="I48" s="10">
        <f t="shared" si="1"/>
        <v>0</v>
      </c>
      <c r="J48" s="10">
        <f t="shared" si="1"/>
        <v>1700</v>
      </c>
      <c r="K48" s="10">
        <f t="shared" si="1"/>
        <v>0</v>
      </c>
      <c r="L48" s="10">
        <f t="shared" si="1"/>
        <v>0</v>
      </c>
      <c r="M48" s="10">
        <f t="shared" si="1"/>
        <v>2010.26</v>
      </c>
      <c r="N48" s="10">
        <f t="shared" si="1"/>
        <v>0</v>
      </c>
      <c r="O48" s="10">
        <f t="shared" si="1"/>
        <v>0</v>
      </c>
      <c r="P48" s="10">
        <f t="shared" si="1"/>
        <v>386.67</v>
      </c>
      <c r="Q48" s="10">
        <f t="shared" si="1"/>
        <v>0</v>
      </c>
      <c r="R48" s="10">
        <f t="shared" si="1"/>
        <v>0</v>
      </c>
      <c r="S48" s="10">
        <f t="shared" si="1"/>
        <v>0</v>
      </c>
      <c r="T48" s="10">
        <f t="shared" si="1"/>
        <v>0</v>
      </c>
      <c r="U48" s="10">
        <f t="shared" si="1"/>
        <v>0</v>
      </c>
      <c r="V48" s="10">
        <f t="shared" si="1"/>
        <v>0</v>
      </c>
      <c r="W48" s="10">
        <f t="shared" si="1"/>
        <v>0</v>
      </c>
      <c r="X48" s="10">
        <f t="shared" si="1"/>
        <v>0</v>
      </c>
      <c r="Y48" s="10">
        <f t="shared" si="1"/>
        <v>6903.07</v>
      </c>
      <c r="Z48" s="10">
        <f t="shared" si="1"/>
        <v>4096.93</v>
      </c>
      <c r="AA48" s="10">
        <f t="shared" si="1"/>
        <v>0</v>
      </c>
    </row>
    <row r="49" ht="14.4" customHeight="1" x14ac:dyDescent="0.3"/>
  </sheetData>
  <mergeCells count="34">
    <mergeCell ref="A1:AA1"/>
    <mergeCell ref="M2:O2"/>
    <mergeCell ref="S2:U2"/>
    <mergeCell ref="J2:L2"/>
    <mergeCell ref="Z39:Z40"/>
    <mergeCell ref="Y39"/>
    <mergeCell ref="A38:AA38"/>
    <mergeCell ref="J39:L39"/>
    <mergeCell ref="F39:F40"/>
    <mergeCell ref="AA2:AA3"/>
    <mergeCell ref="C39:C40"/>
    <mergeCell ref="Y2"/>
    <mergeCell ref="V2:X2"/>
    <mergeCell ref="D39:D40"/>
    <mergeCell ref="G2:I2"/>
    <mergeCell ref="A39:A40"/>
    <mergeCell ref="G39:I39"/>
    <mergeCell ref="M39:O39"/>
    <mergeCell ref="V39:X39"/>
    <mergeCell ref="F2:F3"/>
    <mergeCell ref="B39:B40"/>
    <mergeCell ref="AA39:AA40"/>
    <mergeCell ref="Z2:Z3"/>
    <mergeCell ref="C2:C3"/>
    <mergeCell ref="E2:E3"/>
    <mergeCell ref="S39:U39"/>
    <mergeCell ref="E39:E40"/>
    <mergeCell ref="A48:E48"/>
    <mergeCell ref="P2:R2"/>
    <mergeCell ref="B2:B3"/>
    <mergeCell ref="A36:E36"/>
    <mergeCell ref="P39:R39"/>
    <mergeCell ref="D2:D3"/>
    <mergeCell ref="A2:A3"/>
  </mergeCells>
  <pageMargins left="0.25" right="0.25" top="0.75" bottom="0.75" header="0.3" footer="0.3"/>
  <pageSetup paperSize="5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2"/>
  <sheetViews>
    <sheetView workbookViewId="0">
      <selection activeCell="A53" sqref="A53:XFD53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23.44140625" bestFit="1" customWidth="1"/>
    <col min="5" max="5" width="7.77734375" customWidth="1"/>
    <col min="6" max="6" width="10" customWidth="1"/>
    <col min="7" max="7" width="7.88671875" bestFit="1" customWidth="1"/>
    <col min="8" max="8" width="7.109375" bestFit="1" customWidth="1"/>
    <col min="9" max="9" width="8.109375" bestFit="1" customWidth="1"/>
    <col min="10" max="11" width="6.21875" customWidth="1"/>
    <col min="12" max="14" width="7.109375" bestFit="1" customWidth="1"/>
    <col min="15" max="15" width="6.21875" customWidth="1"/>
    <col min="16" max="16" width="7.109375" bestFit="1" customWidth="1"/>
    <col min="17" max="19" width="6.21875" customWidth="1"/>
    <col min="20" max="20" width="7.109375" bestFit="1" customWidth="1"/>
    <col min="21" max="24" width="6.21875" customWidth="1"/>
    <col min="25" max="25" width="9.6640625" customWidth="1"/>
    <col min="26" max="26" width="8.44140625" customWidth="1"/>
  </cols>
  <sheetData>
    <row r="1" spans="1:26" ht="18" customHeight="1" x14ac:dyDescent="0.3">
      <c r="A1" s="23" t="s">
        <v>109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110</v>
      </c>
      <c r="H2" s="19"/>
      <c r="I2" s="19"/>
      <c r="J2" s="18" t="s">
        <v>111</v>
      </c>
      <c r="K2" s="19"/>
      <c r="L2" s="19"/>
      <c r="M2" s="18" t="s">
        <v>112</v>
      </c>
      <c r="N2" s="19"/>
      <c r="O2" s="19"/>
      <c r="P2" s="18" t="s">
        <v>113</v>
      </c>
      <c r="Q2" s="19"/>
      <c r="R2" s="19"/>
      <c r="S2" s="18" t="s">
        <v>114</v>
      </c>
      <c r="T2" s="19"/>
      <c r="U2" s="19"/>
      <c r="V2" s="18" t="s">
        <v>115</v>
      </c>
      <c r="W2" s="19"/>
      <c r="X2" s="19"/>
      <c r="Y2" s="20" t="s">
        <v>14</v>
      </c>
      <c r="Z2" s="14" t="s">
        <v>15</v>
      </c>
    </row>
    <row r="3" spans="1:26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18</v>
      </c>
      <c r="J3" s="1" t="s">
        <v>16</v>
      </c>
      <c r="K3" s="1" t="s">
        <v>17</v>
      </c>
      <c r="L3" s="1" t="s">
        <v>18</v>
      </c>
      <c r="M3" s="1" t="s">
        <v>16</v>
      </c>
      <c r="N3" s="1" t="s">
        <v>17</v>
      </c>
      <c r="O3" s="1" t="s">
        <v>18</v>
      </c>
      <c r="P3" s="1" t="s">
        <v>16</v>
      </c>
      <c r="Q3" s="1" t="s">
        <v>17</v>
      </c>
      <c r="R3" s="1" t="s">
        <v>18</v>
      </c>
      <c r="S3" s="1" t="s">
        <v>16</v>
      </c>
      <c r="T3" s="1" t="s">
        <v>17</v>
      </c>
      <c r="U3" s="1" t="s">
        <v>18</v>
      </c>
      <c r="V3" s="1" t="s">
        <v>16</v>
      </c>
      <c r="W3" s="1" t="s">
        <v>17</v>
      </c>
      <c r="X3" s="1" t="s">
        <v>18</v>
      </c>
      <c r="Y3" s="19"/>
      <c r="Z3" s="15"/>
    </row>
    <row r="4" spans="1:26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4">
        <v>1200</v>
      </c>
      <c r="Z4" s="4">
        <v>0</v>
      </c>
    </row>
    <row r="5" spans="1:26" ht="11.55" customHeight="1" x14ac:dyDescent="0.3">
      <c r="A5" s="6">
        <v>2</v>
      </c>
      <c r="B5" s="7"/>
      <c r="C5" s="7"/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8">
        <v>500</v>
      </c>
      <c r="Z5" s="8">
        <v>0</v>
      </c>
    </row>
    <row r="6" spans="1:26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4">
        <v>1572.82</v>
      </c>
      <c r="H6" s="5"/>
      <c r="I6" s="5"/>
      <c r="J6" s="5"/>
      <c r="K6" s="5"/>
      <c r="L6" s="5"/>
      <c r="M6" s="4">
        <v>1345.15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2">
        <v>-417.97</v>
      </c>
      <c r="Z6" s="4">
        <v>2917.97</v>
      </c>
    </row>
    <row r="7" spans="1:26" ht="11.55" customHeight="1" x14ac:dyDescent="0.3">
      <c r="A7" s="6">
        <v>4</v>
      </c>
      <c r="B7" s="7"/>
      <c r="C7" s="7"/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8">
        <v>500</v>
      </c>
      <c r="Z7" s="8">
        <v>0</v>
      </c>
    </row>
    <row r="8" spans="1:26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2500</v>
      </c>
      <c r="G8" s="4">
        <v>1167.5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4">
        <v>1332.5</v>
      </c>
      <c r="Z8" s="4">
        <v>1167.5</v>
      </c>
    </row>
    <row r="9" spans="1:26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9"/>
      <c r="H9" s="9"/>
      <c r="I9" s="9"/>
      <c r="J9" s="9"/>
      <c r="K9" s="9"/>
      <c r="L9" s="9"/>
      <c r="M9" s="8">
        <v>759.56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8">
        <v>740.44</v>
      </c>
      <c r="Z9" s="8">
        <v>759.56</v>
      </c>
    </row>
    <row r="10" spans="1:26" ht="11.55" customHeight="1" x14ac:dyDescent="0.3">
      <c r="A10" s="2">
        <v>7</v>
      </c>
      <c r="B10" s="3" t="s">
        <v>33</v>
      </c>
      <c r="C10" s="3" t="s">
        <v>25</v>
      </c>
      <c r="D10" s="3"/>
      <c r="E10" s="2"/>
      <c r="F10" s="4">
        <v>1500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4">
        <v>1500</v>
      </c>
      <c r="Z10" s="4">
        <v>0</v>
      </c>
    </row>
    <row r="11" spans="1:26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8">
        <v>700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8">
        <v>0</v>
      </c>
      <c r="Z11" s="8">
        <v>700</v>
      </c>
    </row>
    <row r="12" spans="1:26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4">
        <v>1581.3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2">
        <v>-81.3</v>
      </c>
      <c r="Z12" s="4">
        <v>1581.3</v>
      </c>
    </row>
    <row r="13" spans="1:26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9"/>
      <c r="H13" s="9"/>
      <c r="I13" s="9"/>
      <c r="J13" s="9"/>
      <c r="K13" s="9"/>
      <c r="L13" s="9"/>
      <c r="M13" s="8">
        <v>1500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8">
        <v>0</v>
      </c>
      <c r="Z13" s="8">
        <v>1500</v>
      </c>
    </row>
    <row r="14" spans="1:26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4">
        <v>400</v>
      </c>
      <c r="H14" s="5"/>
      <c r="I14" s="5"/>
      <c r="J14" s="5"/>
      <c r="K14" s="5"/>
      <c r="L14" s="5"/>
      <c r="M14" s="5"/>
      <c r="N14" s="5"/>
      <c r="O14" s="5"/>
      <c r="P14" s="4">
        <v>500</v>
      </c>
      <c r="Q14" s="5"/>
      <c r="R14" s="5"/>
      <c r="S14" s="5"/>
      <c r="T14" s="5"/>
      <c r="U14" s="5"/>
      <c r="V14" s="5"/>
      <c r="W14" s="5"/>
      <c r="X14" s="5"/>
      <c r="Y14" s="12">
        <v>-400</v>
      </c>
      <c r="Z14" s="4">
        <v>900</v>
      </c>
    </row>
    <row r="15" spans="1:26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8">
        <v>1500</v>
      </c>
      <c r="H15" s="9"/>
      <c r="I15" s="9"/>
      <c r="J15" s="9"/>
      <c r="K15" s="9"/>
      <c r="L15" s="9"/>
      <c r="M15" s="9"/>
      <c r="N15" s="9"/>
      <c r="O15" s="9"/>
      <c r="P15" s="8">
        <v>2000</v>
      </c>
      <c r="Q15" s="9"/>
      <c r="R15" s="9"/>
      <c r="S15" s="9"/>
      <c r="T15" s="9"/>
      <c r="U15" s="9"/>
      <c r="V15" s="9"/>
      <c r="W15" s="9"/>
      <c r="X15" s="9"/>
      <c r="Y15" s="13">
        <v>-2000</v>
      </c>
      <c r="Z15" s="8">
        <v>3500</v>
      </c>
    </row>
    <row r="16" spans="1:26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2500</v>
      </c>
      <c r="G16" s="5"/>
      <c r="H16" s="4">
        <v>1001.17</v>
      </c>
      <c r="I16" s="2" t="s">
        <v>118</v>
      </c>
      <c r="J16" s="5"/>
      <c r="K16" s="5"/>
      <c r="L16" s="5"/>
      <c r="M16" s="5"/>
      <c r="N16" s="4">
        <v>947.87</v>
      </c>
      <c r="O16" s="2" t="s">
        <v>119</v>
      </c>
      <c r="P16" s="5"/>
      <c r="Q16" s="5"/>
      <c r="R16" s="5"/>
      <c r="S16" s="5"/>
      <c r="T16" s="5"/>
      <c r="U16" s="5"/>
      <c r="V16" s="5"/>
      <c r="W16" s="4">
        <v>551</v>
      </c>
      <c r="X16" s="2" t="s">
        <v>120</v>
      </c>
      <c r="Y16" s="2"/>
      <c r="Z16" s="4">
        <v>2500.04</v>
      </c>
    </row>
    <row r="17" spans="1:26" ht="11.55" customHeight="1" x14ac:dyDescent="0.3">
      <c r="A17" s="6"/>
      <c r="B17" s="7"/>
      <c r="C17" s="7" t="s">
        <v>51</v>
      </c>
      <c r="D17" s="7" t="s">
        <v>23</v>
      </c>
      <c r="E17" s="6"/>
      <c r="F17" s="8">
        <v>300</v>
      </c>
      <c r="G17" s="9"/>
      <c r="H17" s="9"/>
      <c r="I17" s="9"/>
      <c r="J17" s="9"/>
      <c r="K17" s="9"/>
      <c r="L17" s="9"/>
      <c r="M17" s="9"/>
      <c r="N17" s="8">
        <v>300</v>
      </c>
      <c r="O17" s="6" t="s">
        <v>121</v>
      </c>
      <c r="P17" s="9"/>
      <c r="Q17" s="9"/>
      <c r="R17" s="9"/>
      <c r="S17" s="9"/>
      <c r="T17" s="8">
        <v>600</v>
      </c>
      <c r="U17" s="6" t="s">
        <v>122</v>
      </c>
      <c r="V17" s="9"/>
      <c r="W17" s="9"/>
      <c r="X17" s="9"/>
      <c r="Y17" s="6"/>
      <c r="Z17" s="9"/>
    </row>
    <row r="18" spans="1:26" ht="11.55" customHeight="1" x14ac:dyDescent="0.3">
      <c r="A18" s="2">
        <v>14</v>
      </c>
      <c r="B18" s="3" t="s">
        <v>54</v>
      </c>
      <c r="C18" s="3" t="s">
        <v>51</v>
      </c>
      <c r="D18" s="3" t="s">
        <v>55</v>
      </c>
      <c r="E18" s="2" t="s">
        <v>56</v>
      </c>
      <c r="F18" s="4">
        <v>2500</v>
      </c>
      <c r="G18" s="5"/>
      <c r="H18" s="4">
        <v>920.03</v>
      </c>
      <c r="I18" s="2" t="s">
        <v>123</v>
      </c>
      <c r="J18" s="5"/>
      <c r="K18" s="5"/>
      <c r="L18" s="5"/>
      <c r="M18" s="5"/>
      <c r="N18" s="4">
        <v>1580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2"/>
      <c r="Z18" s="4">
        <v>2500.0300000000002</v>
      </c>
    </row>
    <row r="19" spans="1:26" ht="11.55" customHeight="1" x14ac:dyDescent="0.3">
      <c r="A19" s="6">
        <v>15</v>
      </c>
      <c r="B19" s="7" t="s">
        <v>57</v>
      </c>
      <c r="C19" s="7" t="s">
        <v>51</v>
      </c>
      <c r="D19" s="7" t="s">
        <v>48</v>
      </c>
      <c r="E19" s="6" t="s">
        <v>58</v>
      </c>
      <c r="F19" s="8">
        <v>4000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8">
        <v>2300.2600000000002</v>
      </c>
      <c r="U19" s="6" t="s">
        <v>124</v>
      </c>
      <c r="V19" s="9"/>
      <c r="W19" s="9"/>
      <c r="X19" s="9"/>
      <c r="Y19" s="6"/>
      <c r="Z19" s="8">
        <v>2300.2600000000002</v>
      </c>
    </row>
    <row r="20" spans="1:26" ht="11.55" customHeight="1" x14ac:dyDescent="0.3">
      <c r="A20" s="2">
        <v>16</v>
      </c>
      <c r="B20" s="3" t="s">
        <v>59</v>
      </c>
      <c r="C20" s="3" t="s">
        <v>60</v>
      </c>
      <c r="D20" s="3" t="s">
        <v>52</v>
      </c>
      <c r="E20" s="2" t="s">
        <v>61</v>
      </c>
      <c r="F20" s="4">
        <v>2500</v>
      </c>
      <c r="G20" s="4">
        <v>1457.73</v>
      </c>
      <c r="H20" s="5"/>
      <c r="I20" s="5"/>
      <c r="J20" s="5"/>
      <c r="K20" s="5"/>
      <c r="L20" s="5"/>
      <c r="M20" s="5"/>
      <c r="N20" s="5"/>
      <c r="O20" s="5"/>
      <c r="P20" s="4">
        <v>1042</v>
      </c>
      <c r="Q20" s="5"/>
      <c r="R20" s="5"/>
      <c r="S20" s="5"/>
      <c r="T20" s="5"/>
      <c r="U20" s="5"/>
      <c r="V20" s="5"/>
      <c r="W20" s="5"/>
      <c r="X20" s="5"/>
      <c r="Y20" s="4">
        <v>0.27</v>
      </c>
      <c r="Z20" s="4">
        <v>2499.73</v>
      </c>
    </row>
    <row r="21" spans="1:26" ht="11.55" customHeight="1" x14ac:dyDescent="0.3">
      <c r="A21" s="6">
        <v>17</v>
      </c>
      <c r="B21" s="7"/>
      <c r="C21" s="7"/>
      <c r="D21" s="7" t="s">
        <v>62</v>
      </c>
      <c r="E21" s="6"/>
      <c r="F21" s="8">
        <v>1000</v>
      </c>
      <c r="G21" s="8">
        <v>1000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8">
        <v>0</v>
      </c>
      <c r="Z21" s="8">
        <v>1000</v>
      </c>
    </row>
    <row r="22" spans="1:26" ht="11.55" customHeight="1" x14ac:dyDescent="0.3">
      <c r="A22" s="2">
        <v>18</v>
      </c>
      <c r="B22" s="3"/>
      <c r="C22" s="3"/>
      <c r="D22" s="3" t="s">
        <v>63</v>
      </c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4">
        <v>0</v>
      </c>
      <c r="Z22" s="4">
        <v>0</v>
      </c>
    </row>
    <row r="23" spans="1:26" ht="11.55" customHeight="1" x14ac:dyDescent="0.3">
      <c r="A23" s="6">
        <v>19</v>
      </c>
      <c r="B23" s="7"/>
      <c r="C23" s="7"/>
      <c r="D23" s="7" t="s">
        <v>64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8">
        <v>0</v>
      </c>
      <c r="Z23" s="8">
        <v>0</v>
      </c>
    </row>
    <row r="24" spans="1:26" ht="11.55" customHeight="1" x14ac:dyDescent="0.3">
      <c r="A24" s="2">
        <v>20</v>
      </c>
      <c r="B24" s="3" t="s">
        <v>65</v>
      </c>
      <c r="C24" s="3" t="s">
        <v>60</v>
      </c>
      <c r="D24" s="3" t="s">
        <v>52</v>
      </c>
      <c r="E24" s="2" t="s">
        <v>66</v>
      </c>
      <c r="F24" s="4">
        <v>1500</v>
      </c>
      <c r="G24" s="5"/>
      <c r="H24" s="5"/>
      <c r="I24" s="5"/>
      <c r="J24" s="5"/>
      <c r="K24" s="5"/>
      <c r="L24" s="5"/>
      <c r="M24" s="4">
        <v>1500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4">
        <v>0</v>
      </c>
      <c r="Z24" s="4">
        <v>1500</v>
      </c>
    </row>
    <row r="25" spans="1:26" ht="11.55" customHeight="1" x14ac:dyDescent="0.3">
      <c r="A25" s="6">
        <v>21</v>
      </c>
      <c r="B25" s="7" t="s">
        <v>67</v>
      </c>
      <c r="C25" s="7" t="s">
        <v>60</v>
      </c>
      <c r="D25" s="7" t="s">
        <v>48</v>
      </c>
      <c r="E25" s="6" t="s">
        <v>68</v>
      </c>
      <c r="F25" s="8">
        <v>3000</v>
      </c>
      <c r="G25" s="8">
        <v>3000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8">
        <v>0</v>
      </c>
      <c r="Z25" s="8">
        <v>3000</v>
      </c>
    </row>
    <row r="26" spans="1:26" ht="11.55" customHeight="1" x14ac:dyDescent="0.3">
      <c r="A26" s="2">
        <v>22</v>
      </c>
      <c r="B26" s="3" t="s">
        <v>69</v>
      </c>
      <c r="C26" s="3" t="s">
        <v>60</v>
      </c>
      <c r="D26" s="3" t="s">
        <v>55</v>
      </c>
      <c r="E26" s="2" t="s">
        <v>70</v>
      </c>
      <c r="F26" s="4">
        <v>2500</v>
      </c>
      <c r="G26" s="4">
        <v>944.69</v>
      </c>
      <c r="H26" s="5"/>
      <c r="I26" s="5"/>
      <c r="J26" s="5"/>
      <c r="K26" s="5"/>
      <c r="L26" s="5"/>
      <c r="M26" s="5"/>
      <c r="N26" s="5"/>
      <c r="O26" s="5"/>
      <c r="P26" s="4">
        <v>1555.31</v>
      </c>
      <c r="Q26" s="5"/>
      <c r="R26" s="5"/>
      <c r="S26" s="5"/>
      <c r="T26" s="5"/>
      <c r="U26" s="5"/>
      <c r="V26" s="5"/>
      <c r="W26" s="5"/>
      <c r="X26" s="5"/>
      <c r="Y26" s="4">
        <v>0</v>
      </c>
      <c r="Z26" s="4">
        <v>2500</v>
      </c>
    </row>
    <row r="27" spans="1:26" ht="11.55" customHeight="1" x14ac:dyDescent="0.3">
      <c r="A27" s="6">
        <v>23</v>
      </c>
      <c r="B27" s="7" t="s">
        <v>71</v>
      </c>
      <c r="C27" s="7" t="s">
        <v>72</v>
      </c>
      <c r="D27" s="7" t="s">
        <v>73</v>
      </c>
      <c r="E27" s="6" t="s">
        <v>74</v>
      </c>
      <c r="F27" s="8">
        <v>2500</v>
      </c>
      <c r="G27" s="9"/>
      <c r="H27" s="9"/>
      <c r="I27" s="6" t="s">
        <v>125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8">
        <v>1000</v>
      </c>
      <c r="U27" s="6" t="s">
        <v>126</v>
      </c>
      <c r="V27" s="9"/>
      <c r="W27" s="9"/>
      <c r="X27" s="9"/>
      <c r="Y27" s="6"/>
      <c r="Z27" s="8">
        <v>1000</v>
      </c>
    </row>
    <row r="28" spans="1:26" ht="11.55" customHeight="1" x14ac:dyDescent="0.3">
      <c r="A28" s="2">
        <v>24</v>
      </c>
      <c r="B28" s="3" t="s">
        <v>75</v>
      </c>
      <c r="C28" s="3"/>
      <c r="D28" s="3" t="s">
        <v>23</v>
      </c>
      <c r="E28" s="2"/>
      <c r="F28" s="4">
        <v>1000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4">
        <v>1000</v>
      </c>
      <c r="Z28" s="4">
        <v>0</v>
      </c>
    </row>
    <row r="29" spans="1:26" ht="11.55" customHeight="1" x14ac:dyDescent="0.3">
      <c r="A29" s="6">
        <v>25</v>
      </c>
      <c r="B29" s="7" t="s">
        <v>76</v>
      </c>
      <c r="C29" s="7" t="s">
        <v>77</v>
      </c>
      <c r="D29" s="7" t="s">
        <v>26</v>
      </c>
      <c r="E29" s="6" t="s">
        <v>78</v>
      </c>
      <c r="F29" s="8">
        <v>2500</v>
      </c>
      <c r="G29" s="8">
        <v>2157.8000000000002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8">
        <v>1000</v>
      </c>
      <c r="U29" s="6" t="s">
        <v>127</v>
      </c>
      <c r="V29" s="9"/>
      <c r="W29" s="9"/>
      <c r="X29" s="9"/>
      <c r="Y29" s="6"/>
      <c r="Z29" s="8">
        <v>3157.8</v>
      </c>
    </row>
    <row r="30" spans="1:26" ht="11.55" customHeight="1" x14ac:dyDescent="0.3">
      <c r="A30" s="2">
        <v>26</v>
      </c>
      <c r="B30" s="3" t="s">
        <v>79</v>
      </c>
      <c r="C30" s="3" t="s">
        <v>77</v>
      </c>
      <c r="D30" s="3" t="s">
        <v>80</v>
      </c>
      <c r="E30" s="2" t="s">
        <v>81</v>
      </c>
      <c r="F30" s="4">
        <v>1000</v>
      </c>
      <c r="G30" s="4">
        <v>800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>
        <v>200</v>
      </c>
      <c r="T30" s="5"/>
      <c r="U30" s="5"/>
      <c r="V30" s="5"/>
      <c r="W30" s="5"/>
      <c r="X30" s="5"/>
      <c r="Y30" s="4">
        <v>0</v>
      </c>
      <c r="Z30" s="4">
        <v>1000</v>
      </c>
    </row>
    <row r="31" spans="1:26" ht="11.55" customHeight="1" x14ac:dyDescent="0.3">
      <c r="A31" s="6">
        <v>27</v>
      </c>
      <c r="B31" s="7"/>
      <c r="C31" s="7"/>
      <c r="D31" s="7" t="s">
        <v>82</v>
      </c>
      <c r="E31" s="6"/>
      <c r="F31" s="8">
        <v>500</v>
      </c>
      <c r="G31" s="8">
        <v>500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8">
        <v>500</v>
      </c>
      <c r="T31" s="9"/>
      <c r="U31" s="9"/>
      <c r="V31" s="9"/>
      <c r="W31" s="9"/>
      <c r="X31" s="9"/>
      <c r="Y31" s="13">
        <v>-500</v>
      </c>
      <c r="Z31" s="8">
        <v>1000</v>
      </c>
    </row>
    <row r="32" spans="1:26" ht="11.55" customHeight="1" x14ac:dyDescent="0.3">
      <c r="A32" s="2">
        <v>28</v>
      </c>
      <c r="B32" s="3"/>
      <c r="C32" s="3"/>
      <c r="D32" s="3" t="s">
        <v>82</v>
      </c>
      <c r="E32" s="2"/>
      <c r="F32" s="4">
        <v>500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4">
        <v>500</v>
      </c>
      <c r="Z32" s="4">
        <v>0</v>
      </c>
    </row>
    <row r="33" spans="1:26" ht="11.55" customHeight="1" x14ac:dyDescent="0.3">
      <c r="A33" s="6">
        <v>29</v>
      </c>
      <c r="B33" s="7" t="s">
        <v>83</v>
      </c>
      <c r="C33" s="7"/>
      <c r="D33" s="7"/>
      <c r="E33" s="6" t="s">
        <v>84</v>
      </c>
      <c r="F33" s="8">
        <v>1000</v>
      </c>
      <c r="G33" s="8">
        <v>800</v>
      </c>
      <c r="H33" s="9"/>
      <c r="I33" s="9"/>
      <c r="J33" s="9"/>
      <c r="K33" s="9"/>
      <c r="L33" s="9"/>
      <c r="M33" s="9"/>
      <c r="N33" s="9"/>
      <c r="O33" s="9"/>
      <c r="P33" s="8">
        <v>800</v>
      </c>
      <c r="Q33" s="9"/>
      <c r="R33" s="9"/>
      <c r="S33" s="9"/>
      <c r="T33" s="9"/>
      <c r="U33" s="9"/>
      <c r="V33" s="9"/>
      <c r="W33" s="9"/>
      <c r="X33" s="9"/>
      <c r="Y33" s="13">
        <v>-600</v>
      </c>
      <c r="Z33" s="8">
        <v>1600</v>
      </c>
    </row>
    <row r="34" spans="1:26" ht="11.55" customHeight="1" x14ac:dyDescent="0.3">
      <c r="A34" s="2">
        <v>30</v>
      </c>
      <c r="B34" s="3"/>
      <c r="C34" s="3"/>
      <c r="D34" s="3" t="s">
        <v>23</v>
      </c>
      <c r="E34" s="2"/>
      <c r="F34" s="4">
        <v>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4">
        <v>500</v>
      </c>
      <c r="Z34" s="4">
        <v>0</v>
      </c>
    </row>
    <row r="35" spans="1:26" ht="11.55" customHeight="1" x14ac:dyDescent="0.3">
      <c r="A35" s="6">
        <v>31</v>
      </c>
      <c r="B35" s="7" t="s">
        <v>128</v>
      </c>
      <c r="C35" s="7" t="s">
        <v>129</v>
      </c>
      <c r="D35" s="7"/>
      <c r="E35" s="6" t="s">
        <v>130</v>
      </c>
      <c r="F35" s="8">
        <v>1500</v>
      </c>
      <c r="G35" s="8">
        <v>747.24</v>
      </c>
      <c r="H35" s="9"/>
      <c r="I35" s="9"/>
      <c r="J35" s="9"/>
      <c r="K35" s="9"/>
      <c r="L35" s="9"/>
      <c r="M35" s="9"/>
      <c r="N35" s="9"/>
      <c r="O35" s="9"/>
      <c r="P35" s="8">
        <v>700</v>
      </c>
      <c r="Q35" s="9"/>
      <c r="R35" s="9"/>
      <c r="S35" s="9"/>
      <c r="T35" s="9"/>
      <c r="U35" s="9"/>
      <c r="V35" s="9"/>
      <c r="W35" s="9"/>
      <c r="X35" s="9"/>
      <c r="Y35" s="8">
        <v>52.76</v>
      </c>
      <c r="Z35" s="9"/>
    </row>
    <row r="36" spans="1:26" ht="11.55" customHeight="1" x14ac:dyDescent="0.3">
      <c r="A36" s="2">
        <v>32</v>
      </c>
      <c r="B36" s="3" t="s">
        <v>131</v>
      </c>
      <c r="C36" s="3" t="s">
        <v>132</v>
      </c>
      <c r="D36" s="3" t="s">
        <v>26</v>
      </c>
      <c r="E36" s="2" t="s">
        <v>133</v>
      </c>
      <c r="F36" s="4">
        <v>1500</v>
      </c>
      <c r="G36" s="4">
        <v>950.35</v>
      </c>
      <c r="H36" s="5"/>
      <c r="I36" s="5"/>
      <c r="J36" s="5"/>
      <c r="K36" s="5"/>
      <c r="L36" s="4">
        <v>1100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12">
        <v>-550.35</v>
      </c>
      <c r="Z36" s="5"/>
    </row>
    <row r="37" spans="1:26" ht="11.55" customHeight="1" x14ac:dyDescent="0.3">
      <c r="A37" s="6"/>
      <c r="B37" s="7" t="s">
        <v>134</v>
      </c>
      <c r="C37" s="7" t="s">
        <v>135</v>
      </c>
      <c r="D37" s="7" t="s">
        <v>37</v>
      </c>
      <c r="E37" s="6"/>
      <c r="F37" s="8">
        <v>700</v>
      </c>
      <c r="G37" s="8">
        <v>700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8">
        <v>0</v>
      </c>
      <c r="Z37" s="9"/>
    </row>
    <row r="38" spans="1:26" ht="11.55" customHeight="1" x14ac:dyDescent="0.3">
      <c r="A38" s="2">
        <v>33</v>
      </c>
      <c r="B38" s="3" t="s">
        <v>86</v>
      </c>
      <c r="C38" s="3"/>
      <c r="D38" s="3" t="s">
        <v>87</v>
      </c>
      <c r="E38" s="2" t="s">
        <v>88</v>
      </c>
      <c r="F38" s="4">
        <v>3000</v>
      </c>
      <c r="G38" s="5"/>
      <c r="H38" s="4">
        <v>1200</v>
      </c>
      <c r="I38" s="2" t="s">
        <v>136</v>
      </c>
      <c r="J38" s="5"/>
      <c r="K38" s="5"/>
      <c r="L38" s="5"/>
      <c r="M38" s="5"/>
      <c r="N38" s="4">
        <v>1200</v>
      </c>
      <c r="O38" s="2" t="s">
        <v>137</v>
      </c>
      <c r="P38" s="5"/>
      <c r="Q38" s="4">
        <v>600</v>
      </c>
      <c r="R38" s="2" t="s">
        <v>138</v>
      </c>
      <c r="S38" s="5"/>
      <c r="T38" s="5"/>
      <c r="U38" s="5"/>
      <c r="V38" s="5"/>
      <c r="W38" s="5"/>
      <c r="X38" s="5"/>
      <c r="Y38" s="2"/>
      <c r="Z38" s="4">
        <v>3000</v>
      </c>
    </row>
    <row r="39" spans="1:26" ht="13.5" customHeight="1" x14ac:dyDescent="0.3">
      <c r="A39" s="16" t="s">
        <v>89</v>
      </c>
      <c r="B39" s="17"/>
      <c r="C39" s="17"/>
      <c r="D39" s="17"/>
      <c r="E39" s="17"/>
      <c r="F39" s="10">
        <f t="shared" ref="F39:Z39" si="0">SUM(F4:F38)</f>
        <v>51900</v>
      </c>
      <c r="G39" s="10">
        <f t="shared" si="0"/>
        <v>17698.13</v>
      </c>
      <c r="H39" s="10">
        <f t="shared" si="0"/>
        <v>3121.2</v>
      </c>
      <c r="I39" s="10">
        <f t="shared" si="0"/>
        <v>1581.3</v>
      </c>
      <c r="J39" s="10">
        <f t="shared" si="0"/>
        <v>0</v>
      </c>
      <c r="K39" s="10">
        <f t="shared" si="0"/>
        <v>0</v>
      </c>
      <c r="L39" s="10">
        <f t="shared" si="0"/>
        <v>1800</v>
      </c>
      <c r="M39" s="10">
        <f t="shared" si="0"/>
        <v>5104.71</v>
      </c>
      <c r="N39" s="10">
        <f t="shared" si="0"/>
        <v>4027.87</v>
      </c>
      <c r="O39" s="10">
        <f t="shared" si="0"/>
        <v>0</v>
      </c>
      <c r="P39" s="10">
        <f t="shared" si="0"/>
        <v>6597.3099999999995</v>
      </c>
      <c r="Q39" s="10">
        <f t="shared" si="0"/>
        <v>600</v>
      </c>
      <c r="R39" s="10">
        <f t="shared" si="0"/>
        <v>0</v>
      </c>
      <c r="S39" s="10">
        <f t="shared" si="0"/>
        <v>700</v>
      </c>
      <c r="T39" s="10">
        <f t="shared" si="0"/>
        <v>4900.26</v>
      </c>
      <c r="U39" s="10">
        <f t="shared" si="0"/>
        <v>0</v>
      </c>
      <c r="V39" s="10">
        <f t="shared" si="0"/>
        <v>0</v>
      </c>
      <c r="W39" s="10">
        <f t="shared" si="0"/>
        <v>551</v>
      </c>
      <c r="X39" s="10">
        <f t="shared" si="0"/>
        <v>0</v>
      </c>
      <c r="Y39" s="10"/>
      <c r="Z39" s="10">
        <f t="shared" si="0"/>
        <v>41584.189999999995</v>
      </c>
    </row>
    <row r="40" spans="1:26" ht="6" customHeight="1" x14ac:dyDescent="0.3"/>
    <row r="41" spans="1:26" ht="16.95" customHeight="1" x14ac:dyDescent="0.3">
      <c r="A41" s="23" t="s">
        <v>139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95" customHeight="1" x14ac:dyDescent="0.3">
      <c r="A42" s="14" t="s">
        <v>1</v>
      </c>
      <c r="B42" s="14" t="s">
        <v>2</v>
      </c>
      <c r="C42" s="14" t="s">
        <v>3</v>
      </c>
      <c r="D42" s="14" t="s">
        <v>4</v>
      </c>
      <c r="E42" s="14" t="s">
        <v>5</v>
      </c>
      <c r="F42" s="14" t="s">
        <v>6</v>
      </c>
      <c r="G42" s="18" t="s">
        <v>110</v>
      </c>
      <c r="H42" s="19"/>
      <c r="I42" s="19"/>
      <c r="J42" s="18" t="s">
        <v>111</v>
      </c>
      <c r="K42" s="19"/>
      <c r="L42" s="19"/>
      <c r="M42" s="18" t="s">
        <v>112</v>
      </c>
      <c r="N42" s="19"/>
      <c r="O42" s="19"/>
      <c r="P42" s="18" t="s">
        <v>113</v>
      </c>
      <c r="Q42" s="19"/>
      <c r="R42" s="19"/>
      <c r="S42" s="18" t="s">
        <v>114</v>
      </c>
      <c r="T42" s="19"/>
      <c r="U42" s="19"/>
      <c r="V42" s="18" t="s">
        <v>115</v>
      </c>
      <c r="W42" s="19"/>
      <c r="X42" s="19"/>
      <c r="Y42" s="20" t="s">
        <v>14</v>
      </c>
      <c r="Z42" s="14" t="s">
        <v>15</v>
      </c>
    </row>
    <row r="43" spans="1:26" ht="13.05" customHeight="1" x14ac:dyDescent="0.3">
      <c r="A43" s="15"/>
      <c r="B43" s="15"/>
      <c r="C43" s="15"/>
      <c r="D43" s="15"/>
      <c r="E43" s="15"/>
      <c r="F43" s="15"/>
      <c r="G43" s="1" t="s">
        <v>16</v>
      </c>
      <c r="H43" s="1" t="s">
        <v>17</v>
      </c>
      <c r="I43" s="1" t="s">
        <v>18</v>
      </c>
      <c r="J43" s="1" t="s">
        <v>16</v>
      </c>
      <c r="K43" s="1" t="s">
        <v>17</v>
      </c>
      <c r="L43" s="1" t="s">
        <v>18</v>
      </c>
      <c r="M43" s="1" t="s">
        <v>16</v>
      </c>
      <c r="N43" s="1" t="s">
        <v>17</v>
      </c>
      <c r="O43" s="1" t="s">
        <v>18</v>
      </c>
      <c r="P43" s="1" t="s">
        <v>16</v>
      </c>
      <c r="Q43" s="1" t="s">
        <v>17</v>
      </c>
      <c r="R43" s="1" t="s">
        <v>18</v>
      </c>
      <c r="S43" s="1" t="s">
        <v>16</v>
      </c>
      <c r="T43" s="1" t="s">
        <v>17</v>
      </c>
      <c r="U43" s="1" t="s">
        <v>18</v>
      </c>
      <c r="V43" s="1" t="s">
        <v>16</v>
      </c>
      <c r="W43" s="1" t="s">
        <v>17</v>
      </c>
      <c r="X43" s="1" t="s">
        <v>18</v>
      </c>
      <c r="Y43" s="19"/>
      <c r="Z43" s="15"/>
    </row>
    <row r="44" spans="1:26" ht="11.55" customHeight="1" x14ac:dyDescent="0.3">
      <c r="A44" s="2">
        <v>1</v>
      </c>
      <c r="B44" s="3" t="s">
        <v>91</v>
      </c>
      <c r="C44" s="3" t="s">
        <v>92</v>
      </c>
      <c r="D44" s="3" t="s">
        <v>93</v>
      </c>
      <c r="E44" s="2" t="s">
        <v>94</v>
      </c>
      <c r="F44" s="4">
        <v>2500</v>
      </c>
      <c r="G44" s="5"/>
      <c r="H44" s="5"/>
      <c r="I44" s="5"/>
      <c r="J44" s="5"/>
      <c r="K44" s="5"/>
      <c r="L44" s="5"/>
      <c r="M44" s="4">
        <v>500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4">
        <v>2000</v>
      </c>
      <c r="Z44" s="4">
        <v>500</v>
      </c>
    </row>
    <row r="45" spans="1:26" ht="11.55" customHeight="1" x14ac:dyDescent="0.3">
      <c r="A45" s="6">
        <v>2</v>
      </c>
      <c r="B45" s="7" t="s">
        <v>95</v>
      </c>
      <c r="C45" s="7" t="s">
        <v>92</v>
      </c>
      <c r="D45" s="7" t="s">
        <v>87</v>
      </c>
      <c r="E45" s="6" t="s">
        <v>96</v>
      </c>
      <c r="F45" s="8">
        <v>1500</v>
      </c>
      <c r="G45" s="9"/>
      <c r="H45" s="9"/>
      <c r="I45" s="9"/>
      <c r="J45" s="8">
        <v>1700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3">
        <v>-200</v>
      </c>
      <c r="Z45" s="8">
        <v>1700</v>
      </c>
    </row>
    <row r="46" spans="1:26" ht="11.55" customHeight="1" x14ac:dyDescent="0.3">
      <c r="A46" s="2">
        <v>3</v>
      </c>
      <c r="B46" s="3" t="s">
        <v>97</v>
      </c>
      <c r="C46" s="3" t="s">
        <v>92</v>
      </c>
      <c r="D46" s="3" t="s">
        <v>98</v>
      </c>
      <c r="E46" s="2" t="s">
        <v>22</v>
      </c>
      <c r="F46" s="4">
        <v>2000</v>
      </c>
      <c r="G46" s="5"/>
      <c r="H46" s="5"/>
      <c r="I46" s="5"/>
      <c r="J46" s="5"/>
      <c r="K46" s="5"/>
      <c r="L46" s="5"/>
      <c r="M46" s="4">
        <v>1370.08</v>
      </c>
      <c r="N46" s="5"/>
      <c r="O46" s="5"/>
      <c r="P46" s="4">
        <v>600</v>
      </c>
      <c r="Q46" s="5"/>
      <c r="R46" s="5"/>
      <c r="S46" s="5"/>
      <c r="T46" s="5"/>
      <c r="U46" s="5"/>
      <c r="V46" s="5"/>
      <c r="W46" s="5"/>
      <c r="X46" s="5"/>
      <c r="Y46" s="4">
        <v>29.92</v>
      </c>
      <c r="Z46" s="4">
        <v>1970.08</v>
      </c>
    </row>
    <row r="47" spans="1:26" ht="11.55" customHeight="1" x14ac:dyDescent="0.3">
      <c r="A47" s="6"/>
      <c r="B47" s="7"/>
      <c r="C47" s="7"/>
      <c r="D47" s="7" t="s">
        <v>23</v>
      </c>
      <c r="E47" s="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8">
        <v>0</v>
      </c>
      <c r="Z47" s="8">
        <v>0</v>
      </c>
    </row>
    <row r="48" spans="1:26" ht="11.55" customHeight="1" x14ac:dyDescent="0.3">
      <c r="A48" s="2">
        <v>4</v>
      </c>
      <c r="B48" s="3" t="s">
        <v>99</v>
      </c>
      <c r="C48" s="3" t="s">
        <v>100</v>
      </c>
      <c r="D48" s="3" t="s">
        <v>87</v>
      </c>
      <c r="E48" s="2" t="s">
        <v>101</v>
      </c>
      <c r="F48" s="4">
        <v>1500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4">
        <v>1500</v>
      </c>
      <c r="Z48" s="4">
        <v>0</v>
      </c>
    </row>
    <row r="49" spans="1:26" ht="11.55" customHeight="1" x14ac:dyDescent="0.3">
      <c r="A49" s="6">
        <v>5</v>
      </c>
      <c r="B49" s="7" t="s">
        <v>102</v>
      </c>
      <c r="C49" s="7" t="s">
        <v>100</v>
      </c>
      <c r="D49" s="7" t="s">
        <v>87</v>
      </c>
      <c r="E49" s="6" t="s">
        <v>103</v>
      </c>
      <c r="F49" s="8">
        <v>1500</v>
      </c>
      <c r="G49" s="9"/>
      <c r="H49" s="9"/>
      <c r="I49" s="9"/>
      <c r="J49" s="9"/>
      <c r="K49" s="9"/>
      <c r="L49" s="9"/>
      <c r="M49" s="8">
        <v>921.16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6"/>
      <c r="Z49" s="6" t="e">
        <v>#REF!</v>
      </c>
    </row>
    <row r="50" spans="1:26" ht="11.55" customHeight="1" x14ac:dyDescent="0.3">
      <c r="A50" s="2">
        <v>6</v>
      </c>
      <c r="B50" s="3" t="s">
        <v>104</v>
      </c>
      <c r="C50" s="3" t="s">
        <v>105</v>
      </c>
      <c r="D50" s="3" t="s">
        <v>98</v>
      </c>
      <c r="E50" s="2" t="s">
        <v>106</v>
      </c>
      <c r="F50" s="4">
        <v>2000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4">
        <v>2000</v>
      </c>
      <c r="Z50" s="4">
        <v>0</v>
      </c>
    </row>
    <row r="51" spans="1:26" ht="13.5" customHeight="1" x14ac:dyDescent="0.3">
      <c r="A51" s="16" t="s">
        <v>107</v>
      </c>
      <c r="B51" s="17"/>
      <c r="C51" s="17"/>
      <c r="D51" s="17"/>
      <c r="E51" s="17"/>
      <c r="F51" s="10">
        <f t="shared" ref="F51:Z51" si="1">SUM(F44:F50)</f>
        <v>11000</v>
      </c>
      <c r="G51" s="10">
        <f t="shared" si="1"/>
        <v>0</v>
      </c>
      <c r="H51" s="10">
        <f t="shared" si="1"/>
        <v>0</v>
      </c>
      <c r="I51" s="10">
        <f t="shared" si="1"/>
        <v>0</v>
      </c>
      <c r="J51" s="10">
        <f t="shared" si="1"/>
        <v>1700</v>
      </c>
      <c r="K51" s="10">
        <f t="shared" si="1"/>
        <v>0</v>
      </c>
      <c r="L51" s="10">
        <f t="shared" si="1"/>
        <v>0</v>
      </c>
      <c r="M51" s="10">
        <f t="shared" si="1"/>
        <v>2791.24</v>
      </c>
      <c r="N51" s="10">
        <f t="shared" si="1"/>
        <v>0</v>
      </c>
      <c r="O51" s="10">
        <f t="shared" si="1"/>
        <v>0</v>
      </c>
      <c r="P51" s="10">
        <f t="shared" si="1"/>
        <v>600</v>
      </c>
      <c r="Q51" s="10">
        <f t="shared" si="1"/>
        <v>0</v>
      </c>
      <c r="R51" s="10">
        <f t="shared" si="1"/>
        <v>0</v>
      </c>
      <c r="S51" s="10">
        <f t="shared" si="1"/>
        <v>0</v>
      </c>
      <c r="T51" s="10">
        <f t="shared" si="1"/>
        <v>0</v>
      </c>
      <c r="U51" s="10">
        <f t="shared" si="1"/>
        <v>0</v>
      </c>
      <c r="V51" s="10">
        <f t="shared" si="1"/>
        <v>0</v>
      </c>
      <c r="W51" s="10">
        <f t="shared" si="1"/>
        <v>0</v>
      </c>
      <c r="X51" s="10">
        <f t="shared" si="1"/>
        <v>0</v>
      </c>
      <c r="Y51" s="10">
        <f t="shared" si="1"/>
        <v>5329.92</v>
      </c>
      <c r="Z51" s="10" t="e">
        <f t="shared" si="1"/>
        <v>#REF!</v>
      </c>
    </row>
    <row r="52" spans="1:26" ht="4.95" customHeight="1" x14ac:dyDescent="0.3"/>
  </sheetData>
  <mergeCells count="32">
    <mergeCell ref="G2:I2"/>
    <mergeCell ref="V42:X42"/>
    <mergeCell ref="G42:I42"/>
    <mergeCell ref="Y42:Y43"/>
    <mergeCell ref="S42:U42"/>
    <mergeCell ref="M2:O2"/>
    <mergeCell ref="S2:U2"/>
    <mergeCell ref="Y2:Y3"/>
    <mergeCell ref="A1:Z1"/>
    <mergeCell ref="M42:O42"/>
    <mergeCell ref="F42:F43"/>
    <mergeCell ref="Z2:Z3"/>
    <mergeCell ref="A2:A3"/>
    <mergeCell ref="C2:C3"/>
    <mergeCell ref="E2:E3"/>
    <mergeCell ref="A41:Z41"/>
    <mergeCell ref="Z42:Z43"/>
    <mergeCell ref="J2:L2"/>
    <mergeCell ref="J42:L42"/>
    <mergeCell ref="P42:R42"/>
    <mergeCell ref="A42:A43"/>
    <mergeCell ref="D42:D43"/>
    <mergeCell ref="V2:X2"/>
    <mergeCell ref="A39:E39"/>
    <mergeCell ref="P2:R2"/>
    <mergeCell ref="C42:C43"/>
    <mergeCell ref="E42:E43"/>
    <mergeCell ref="A51:E51"/>
    <mergeCell ref="B2:B3"/>
    <mergeCell ref="D2:D3"/>
    <mergeCell ref="B42:B43"/>
    <mergeCell ref="F2:F3"/>
  </mergeCells>
  <pageMargins left="0.2" right="0.2" top="0.25" bottom="0.25" header="0.1" footer="0.1"/>
  <pageSetup paperSize="5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55"/>
  <sheetViews>
    <sheetView workbookViewId="0">
      <selection activeCell="A56" sqref="A56:XFD56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23.44140625" bestFit="1" customWidth="1"/>
    <col min="5" max="5" width="7.77734375" customWidth="1"/>
    <col min="6" max="6" width="10.6640625" customWidth="1"/>
    <col min="7" max="7" width="7.88671875" bestFit="1" customWidth="1"/>
    <col min="8" max="8" width="7.109375" bestFit="1" customWidth="1"/>
    <col min="9" max="9" width="6.77734375" bestFit="1" customWidth="1"/>
    <col min="10" max="11" width="7.109375" bestFit="1" customWidth="1"/>
    <col min="12" max="12" width="6.77734375" bestFit="1" customWidth="1"/>
    <col min="13" max="17" width="7.109375" bestFit="1" customWidth="1"/>
    <col min="18" max="18" width="6.77734375" customWidth="1"/>
    <col min="19" max="21" width="7.109375" bestFit="1" customWidth="1"/>
    <col min="22" max="23" width="6.21875" customWidth="1"/>
    <col min="24" max="24" width="6.77734375" bestFit="1" customWidth="1"/>
    <col min="25" max="27" width="6.21875" customWidth="1"/>
    <col min="28" max="28" width="8.21875" customWidth="1"/>
    <col min="29" max="29" width="8.44140625" customWidth="1"/>
  </cols>
  <sheetData>
    <row r="1" spans="1:29" ht="18" customHeight="1" x14ac:dyDescent="0.3">
      <c r="A1" s="23" t="s">
        <v>140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141</v>
      </c>
      <c r="H2" s="19"/>
      <c r="I2" s="19"/>
      <c r="J2" s="18" t="s">
        <v>142</v>
      </c>
      <c r="K2" s="19"/>
      <c r="L2" s="19"/>
      <c r="M2" s="18" t="s">
        <v>143</v>
      </c>
      <c r="N2" s="19"/>
      <c r="O2" s="19"/>
      <c r="P2" s="18" t="s">
        <v>144</v>
      </c>
      <c r="Q2" s="19"/>
      <c r="R2" s="19"/>
      <c r="S2" s="18" t="s">
        <v>145</v>
      </c>
      <c r="T2" s="19"/>
      <c r="U2" s="19"/>
      <c r="V2" s="18" t="s">
        <v>146</v>
      </c>
      <c r="W2" s="19"/>
      <c r="X2" s="19"/>
      <c r="Y2" s="18" t="s">
        <v>147</v>
      </c>
      <c r="Z2" s="19"/>
      <c r="AA2" s="19"/>
      <c r="AB2" s="20" t="s">
        <v>14</v>
      </c>
      <c r="AC2" s="14" t="s">
        <v>15</v>
      </c>
    </row>
    <row r="3" spans="1:29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18</v>
      </c>
      <c r="J3" s="1" t="s">
        <v>16</v>
      </c>
      <c r="K3" s="1" t="s">
        <v>17</v>
      </c>
      <c r="L3" s="1" t="s">
        <v>18</v>
      </c>
      <c r="M3" s="1" t="s">
        <v>16</v>
      </c>
      <c r="N3" s="1" t="s">
        <v>17</v>
      </c>
      <c r="O3" s="1" t="s">
        <v>18</v>
      </c>
      <c r="P3" s="1" t="s">
        <v>16</v>
      </c>
      <c r="Q3" s="1" t="s">
        <v>17</v>
      </c>
      <c r="R3" s="1" t="s">
        <v>18</v>
      </c>
      <c r="S3" s="1" t="s">
        <v>16</v>
      </c>
      <c r="T3" s="1" t="s">
        <v>17</v>
      </c>
      <c r="U3" s="1" t="s">
        <v>18</v>
      </c>
      <c r="V3" s="1" t="s">
        <v>16</v>
      </c>
      <c r="W3" s="1" t="s">
        <v>17</v>
      </c>
      <c r="X3" s="1" t="s">
        <v>18</v>
      </c>
      <c r="Y3" s="1" t="s">
        <v>16</v>
      </c>
      <c r="Z3" s="1" t="s">
        <v>17</v>
      </c>
      <c r="AA3" s="1" t="s">
        <v>18</v>
      </c>
      <c r="AB3" s="19"/>
      <c r="AC3" s="15"/>
    </row>
    <row r="4" spans="1:29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>
        <v>1200</v>
      </c>
      <c r="AC4" s="4">
        <v>0</v>
      </c>
    </row>
    <row r="5" spans="1:29" ht="11.55" customHeight="1" x14ac:dyDescent="0.3">
      <c r="A5" s="6">
        <v>2</v>
      </c>
      <c r="B5" s="7"/>
      <c r="C5" s="7"/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8">
        <v>500</v>
      </c>
      <c r="AC5" s="8">
        <v>0</v>
      </c>
    </row>
    <row r="6" spans="1:29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4">
        <v>1500.51</v>
      </c>
      <c r="H6" s="5"/>
      <c r="I6" s="5"/>
      <c r="J6" s="5"/>
      <c r="K6" s="5"/>
      <c r="L6" s="5"/>
      <c r="M6" s="5"/>
      <c r="N6" s="5"/>
      <c r="O6" s="5"/>
      <c r="P6" s="4">
        <v>1000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2">
        <v>-0.51</v>
      </c>
      <c r="AC6" s="4">
        <v>2500.5100000000002</v>
      </c>
    </row>
    <row r="7" spans="1:29" ht="11.55" customHeight="1" x14ac:dyDescent="0.3">
      <c r="A7" s="6">
        <v>4</v>
      </c>
      <c r="B7" s="7"/>
      <c r="C7" s="7"/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>
        <v>500</v>
      </c>
      <c r="AC7" s="8">
        <v>0</v>
      </c>
    </row>
    <row r="8" spans="1:29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1500</v>
      </c>
      <c r="G8" s="5"/>
      <c r="H8" s="5"/>
      <c r="I8" s="5"/>
      <c r="J8" s="4">
        <v>1500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>
        <v>0</v>
      </c>
      <c r="AC8" s="4">
        <v>1500</v>
      </c>
    </row>
    <row r="9" spans="1:29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8">
        <v>1113.8499999999999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8">
        <v>386.15</v>
      </c>
      <c r="AC9" s="8">
        <v>1113.8499999999999</v>
      </c>
    </row>
    <row r="10" spans="1:29" ht="11.55" customHeight="1" x14ac:dyDescent="0.3">
      <c r="A10" s="2">
        <v>7</v>
      </c>
      <c r="B10" s="3" t="s">
        <v>33</v>
      </c>
      <c r="C10" s="3" t="s">
        <v>25</v>
      </c>
      <c r="D10" s="3"/>
      <c r="E10" s="2"/>
      <c r="F10" s="4">
        <v>1500</v>
      </c>
      <c r="G10" s="4">
        <v>1381.48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4">
        <v>118.52</v>
      </c>
      <c r="AC10" s="4">
        <v>1381.48</v>
      </c>
    </row>
    <row r="11" spans="1:29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8">
        <v>440</v>
      </c>
      <c r="J11" s="9"/>
      <c r="K11" s="9"/>
      <c r="L11" s="9"/>
      <c r="M11" s="9"/>
      <c r="N11" s="9"/>
      <c r="O11" s="9"/>
      <c r="P11" s="9"/>
      <c r="Q11" s="9"/>
      <c r="R11" s="8">
        <v>800</v>
      </c>
      <c r="S11" s="9"/>
      <c r="T11" s="9"/>
      <c r="U11" s="9"/>
      <c r="V11" s="9"/>
      <c r="W11" s="9"/>
      <c r="X11" s="9"/>
      <c r="Y11" s="9"/>
      <c r="Z11" s="9"/>
      <c r="AA11" s="9"/>
      <c r="AB11" s="13">
        <v>-540</v>
      </c>
      <c r="AC11" s="8">
        <v>1240</v>
      </c>
    </row>
    <row r="12" spans="1:29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4">
        <v>1068.47</v>
      </c>
      <c r="V12" s="5"/>
      <c r="W12" s="5"/>
      <c r="X12" s="5"/>
      <c r="Y12" s="5"/>
      <c r="Z12" s="5"/>
      <c r="AA12" s="5"/>
      <c r="AB12" s="4">
        <v>431.53</v>
      </c>
      <c r="AC12" s="4">
        <v>1068.47</v>
      </c>
    </row>
    <row r="13" spans="1:29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9"/>
      <c r="H13" s="9"/>
      <c r="I13" s="9"/>
      <c r="J13" s="8">
        <v>1500</v>
      </c>
      <c r="K13" s="9"/>
      <c r="L13" s="9"/>
      <c r="M13" s="9"/>
      <c r="N13" s="9"/>
      <c r="O13" s="9"/>
      <c r="P13" s="8">
        <v>1000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3">
        <v>-1000</v>
      </c>
      <c r="AC13" s="8">
        <v>2500</v>
      </c>
    </row>
    <row r="14" spans="1:29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5"/>
      <c r="H14" s="5"/>
      <c r="I14" s="5"/>
      <c r="J14" s="4">
        <v>500</v>
      </c>
      <c r="K14" s="5"/>
      <c r="L14" s="5"/>
      <c r="M14" s="5"/>
      <c r="N14" s="5"/>
      <c r="O14" s="5"/>
      <c r="P14" s="5"/>
      <c r="Q14" s="5"/>
      <c r="R14" s="5"/>
      <c r="S14" s="4">
        <v>500</v>
      </c>
      <c r="T14" s="5"/>
      <c r="U14" s="5"/>
      <c r="V14" s="5"/>
      <c r="W14" s="5"/>
      <c r="X14" s="5"/>
      <c r="Y14" s="5"/>
      <c r="Z14" s="5"/>
      <c r="AA14" s="5"/>
      <c r="AB14" s="12">
        <v>-500</v>
      </c>
      <c r="AC14" s="4">
        <v>1000</v>
      </c>
    </row>
    <row r="15" spans="1:29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9"/>
      <c r="H15" s="9"/>
      <c r="I15" s="9"/>
      <c r="J15" s="8">
        <v>1500</v>
      </c>
      <c r="K15" s="9"/>
      <c r="L15" s="9"/>
      <c r="M15" s="9"/>
      <c r="N15" s="9"/>
      <c r="O15" s="9"/>
      <c r="P15" s="9"/>
      <c r="Q15" s="9"/>
      <c r="R15" s="9"/>
      <c r="S15" s="8">
        <v>2000</v>
      </c>
      <c r="T15" s="9"/>
      <c r="U15" s="9"/>
      <c r="V15" s="9"/>
      <c r="W15" s="9"/>
      <c r="X15" s="9"/>
      <c r="Y15" s="9"/>
      <c r="Z15" s="9"/>
      <c r="AA15" s="9"/>
      <c r="AB15" s="13">
        <v>-2000</v>
      </c>
      <c r="AC15" s="8">
        <v>3500</v>
      </c>
    </row>
    <row r="16" spans="1:29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2500</v>
      </c>
      <c r="G16" s="4">
        <v>1501.58</v>
      </c>
      <c r="H16" s="5"/>
      <c r="I16" s="5"/>
      <c r="J16" s="5"/>
      <c r="K16" s="5"/>
      <c r="L16" s="5"/>
      <c r="M16" s="5"/>
      <c r="N16" s="5"/>
      <c r="O16" s="5"/>
      <c r="P16" s="4">
        <v>1308.94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2">
        <v>-310.52</v>
      </c>
      <c r="AC16" s="4">
        <v>2810.52</v>
      </c>
    </row>
    <row r="17" spans="1:29" ht="11.55" customHeight="1" x14ac:dyDescent="0.3">
      <c r="A17" s="6"/>
      <c r="B17" s="7"/>
      <c r="C17" s="7" t="s">
        <v>51</v>
      </c>
      <c r="D17" s="7" t="s">
        <v>23</v>
      </c>
      <c r="E17" s="6"/>
      <c r="F17" s="8">
        <v>300</v>
      </c>
      <c r="G17" s="9"/>
      <c r="H17" s="8">
        <v>400</v>
      </c>
      <c r="I17" s="6" t="s">
        <v>148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6"/>
      <c r="AC17" s="9"/>
    </row>
    <row r="18" spans="1:29" ht="11.55" customHeight="1" x14ac:dyDescent="0.3">
      <c r="A18" s="2">
        <v>14</v>
      </c>
      <c r="B18" s="3" t="s">
        <v>54</v>
      </c>
      <c r="C18" s="3" t="s">
        <v>51</v>
      </c>
      <c r="D18" s="3" t="s">
        <v>55</v>
      </c>
      <c r="E18" s="2" t="s">
        <v>56</v>
      </c>
      <c r="F18" s="4">
        <v>2500</v>
      </c>
      <c r="G18" s="5"/>
      <c r="H18" s="4">
        <v>1712</v>
      </c>
      <c r="I18" s="5"/>
      <c r="J18" s="5"/>
      <c r="K18" s="5"/>
      <c r="L18" s="5"/>
      <c r="M18" s="5"/>
      <c r="N18" s="4">
        <v>788</v>
      </c>
      <c r="O18" s="2" t="s">
        <v>149</v>
      </c>
      <c r="P18" s="5"/>
      <c r="Q18" s="5"/>
      <c r="R18" s="5"/>
      <c r="S18" s="5"/>
      <c r="T18" s="4">
        <v>800</v>
      </c>
      <c r="U18" s="2" t="s">
        <v>150</v>
      </c>
      <c r="V18" s="5"/>
      <c r="W18" s="5"/>
      <c r="X18" s="5"/>
      <c r="Y18" s="5"/>
      <c r="Z18" s="5"/>
      <c r="AA18" s="5"/>
      <c r="AB18" s="2"/>
      <c r="AC18" s="4">
        <v>3300</v>
      </c>
    </row>
    <row r="19" spans="1:29" ht="11.55" customHeight="1" x14ac:dyDescent="0.3">
      <c r="A19" s="6">
        <v>15</v>
      </c>
      <c r="B19" s="7" t="s">
        <v>57</v>
      </c>
      <c r="C19" s="7" t="s">
        <v>51</v>
      </c>
      <c r="D19" s="7" t="s">
        <v>48</v>
      </c>
      <c r="E19" s="6" t="s">
        <v>58</v>
      </c>
      <c r="F19" s="8">
        <v>4000</v>
      </c>
      <c r="G19" s="9"/>
      <c r="H19" s="9"/>
      <c r="I19" s="9"/>
      <c r="J19" s="9"/>
      <c r="K19" s="9"/>
      <c r="L19" s="9"/>
      <c r="M19" s="9"/>
      <c r="N19" s="8">
        <v>2500.11</v>
      </c>
      <c r="O19" s="6" t="s">
        <v>151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8">
        <v>2500.11</v>
      </c>
    </row>
    <row r="20" spans="1:29" ht="11.55" customHeight="1" x14ac:dyDescent="0.3">
      <c r="A20" s="2">
        <v>16</v>
      </c>
      <c r="B20" s="3" t="s">
        <v>59</v>
      </c>
      <c r="C20" s="3" t="s">
        <v>60</v>
      </c>
      <c r="D20" s="3" t="s">
        <v>52</v>
      </c>
      <c r="E20" s="2" t="s">
        <v>61</v>
      </c>
      <c r="F20" s="4">
        <v>2500</v>
      </c>
      <c r="G20" s="4">
        <v>1299.56</v>
      </c>
      <c r="H20" s="5"/>
      <c r="I20" s="5"/>
      <c r="J20" s="5"/>
      <c r="K20" s="5"/>
      <c r="L20" s="5"/>
      <c r="M20" s="5"/>
      <c r="N20" s="5"/>
      <c r="O20" s="5"/>
      <c r="P20" s="4">
        <v>720.35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4">
        <v>480.09</v>
      </c>
      <c r="AC20" s="4">
        <v>2019.91</v>
      </c>
    </row>
    <row r="21" spans="1:29" ht="11.55" customHeight="1" x14ac:dyDescent="0.3">
      <c r="A21" s="6">
        <v>17</v>
      </c>
      <c r="B21" s="7"/>
      <c r="C21" s="7"/>
      <c r="D21" s="7" t="s">
        <v>62</v>
      </c>
      <c r="E21" s="6"/>
      <c r="F21" s="8">
        <v>1000</v>
      </c>
      <c r="G21" s="8">
        <v>1000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>
        <v>0</v>
      </c>
      <c r="AC21" s="8">
        <v>1000</v>
      </c>
    </row>
    <row r="22" spans="1:29" ht="11.55" customHeight="1" x14ac:dyDescent="0.3">
      <c r="A22" s="2">
        <v>18</v>
      </c>
      <c r="B22" s="3"/>
      <c r="C22" s="3"/>
      <c r="D22" s="3" t="s">
        <v>63</v>
      </c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4">
        <v>0</v>
      </c>
      <c r="AC22" s="4">
        <v>0</v>
      </c>
    </row>
    <row r="23" spans="1:29" ht="11.55" customHeight="1" x14ac:dyDescent="0.3">
      <c r="A23" s="6">
        <v>19</v>
      </c>
      <c r="B23" s="7"/>
      <c r="C23" s="7"/>
      <c r="D23" s="7" t="s">
        <v>64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8">
        <v>0</v>
      </c>
      <c r="AC23" s="8">
        <v>0</v>
      </c>
    </row>
    <row r="24" spans="1:29" ht="11.55" customHeight="1" x14ac:dyDescent="0.3">
      <c r="A24" s="2">
        <v>20</v>
      </c>
      <c r="B24" s="3" t="s">
        <v>65</v>
      </c>
      <c r="C24" s="3" t="s">
        <v>60</v>
      </c>
      <c r="D24" s="3" t="s">
        <v>52</v>
      </c>
      <c r="E24" s="2" t="s">
        <v>66</v>
      </c>
      <c r="F24" s="4">
        <v>1500</v>
      </c>
      <c r="G24" s="5"/>
      <c r="H24" s="5"/>
      <c r="I24" s="5"/>
      <c r="J24" s="5"/>
      <c r="K24" s="5"/>
      <c r="L24" s="5"/>
      <c r="M24" s="4">
        <v>1167.53</v>
      </c>
      <c r="N24" s="5"/>
      <c r="O24" s="5"/>
      <c r="P24" s="4">
        <v>332.47</v>
      </c>
      <c r="Q24" s="5"/>
      <c r="R24" s="5"/>
      <c r="S24" s="5"/>
      <c r="T24" s="5"/>
      <c r="U24" s="5"/>
      <c r="V24" s="5"/>
      <c r="W24" s="4">
        <v>500</v>
      </c>
      <c r="X24" s="2" t="s">
        <v>152</v>
      </c>
      <c r="Y24" s="5"/>
      <c r="Z24" s="5"/>
      <c r="AA24" s="5"/>
      <c r="AB24" s="2"/>
      <c r="AC24" s="4">
        <v>2000</v>
      </c>
    </row>
    <row r="25" spans="1:29" ht="11.55" customHeight="1" x14ac:dyDescent="0.3">
      <c r="A25" s="6">
        <v>21</v>
      </c>
      <c r="B25" s="7" t="s">
        <v>67</v>
      </c>
      <c r="C25" s="7" t="s">
        <v>60</v>
      </c>
      <c r="D25" s="7" t="s">
        <v>48</v>
      </c>
      <c r="E25" s="6" t="s">
        <v>68</v>
      </c>
      <c r="F25" s="8">
        <v>3000</v>
      </c>
      <c r="G25" s="9"/>
      <c r="H25" s="9"/>
      <c r="I25" s="9"/>
      <c r="J25" s="8">
        <v>3000</v>
      </c>
      <c r="K25" s="9"/>
      <c r="L25" s="9"/>
      <c r="M25" s="9"/>
      <c r="N25" s="9"/>
      <c r="O25" s="9"/>
      <c r="P25" s="8">
        <v>1000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3">
        <v>-1000</v>
      </c>
      <c r="AC25" s="8">
        <v>4000</v>
      </c>
    </row>
    <row r="26" spans="1:29" ht="11.55" customHeight="1" x14ac:dyDescent="0.3">
      <c r="A26" s="2">
        <v>22</v>
      </c>
      <c r="B26" s="3" t="s">
        <v>69</v>
      </c>
      <c r="C26" s="3" t="s">
        <v>60</v>
      </c>
      <c r="D26" s="3" t="s">
        <v>55</v>
      </c>
      <c r="E26" s="2" t="s">
        <v>70</v>
      </c>
      <c r="F26" s="4">
        <v>2500</v>
      </c>
      <c r="G26" s="4">
        <v>1254.83</v>
      </c>
      <c r="H26" s="5"/>
      <c r="I26" s="5"/>
      <c r="J26" s="5"/>
      <c r="K26" s="5"/>
      <c r="L26" s="5"/>
      <c r="M26" s="4">
        <v>1246</v>
      </c>
      <c r="N26" s="5"/>
      <c r="O26" s="5"/>
      <c r="P26" s="5"/>
      <c r="Q26" s="5"/>
      <c r="R26" s="5"/>
      <c r="S26" s="5"/>
      <c r="T26" s="5"/>
      <c r="U26" s="5"/>
      <c r="V26" s="5"/>
      <c r="W26" s="4">
        <v>800</v>
      </c>
      <c r="X26" s="2" t="s">
        <v>153</v>
      </c>
      <c r="Y26" s="5"/>
      <c r="Z26" s="5"/>
      <c r="AA26" s="5"/>
      <c r="AB26" s="2"/>
      <c r="AC26" s="4">
        <v>3300.83</v>
      </c>
    </row>
    <row r="27" spans="1:29" ht="11.55" customHeight="1" x14ac:dyDescent="0.3">
      <c r="A27" s="6">
        <v>23</v>
      </c>
      <c r="B27" s="7" t="s">
        <v>71</v>
      </c>
      <c r="C27" s="7" t="s">
        <v>72</v>
      </c>
      <c r="D27" s="7" t="s">
        <v>73</v>
      </c>
      <c r="E27" s="6" t="s">
        <v>74</v>
      </c>
      <c r="F27" s="8">
        <v>2500</v>
      </c>
      <c r="G27" s="9"/>
      <c r="H27" s="9"/>
      <c r="I27" s="9"/>
      <c r="J27" s="9"/>
      <c r="K27" s="9"/>
      <c r="L27" s="9"/>
      <c r="M27" s="9"/>
      <c r="N27" s="8">
        <v>1000</v>
      </c>
      <c r="O27" s="6" t="s">
        <v>154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6"/>
      <c r="AC27" s="8">
        <v>1000</v>
      </c>
    </row>
    <row r="28" spans="1:29" ht="11.55" customHeight="1" x14ac:dyDescent="0.3">
      <c r="A28" s="2">
        <v>24</v>
      </c>
      <c r="B28" s="3" t="s">
        <v>75</v>
      </c>
      <c r="C28" s="3"/>
      <c r="D28" s="3" t="s">
        <v>23</v>
      </c>
      <c r="E28" s="2"/>
      <c r="F28" s="4">
        <v>1000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4">
        <v>1000</v>
      </c>
      <c r="AC28" s="4">
        <v>0</v>
      </c>
    </row>
    <row r="29" spans="1:29" ht="11.55" customHeight="1" x14ac:dyDescent="0.3">
      <c r="A29" s="6">
        <v>25</v>
      </c>
      <c r="B29" s="7" t="s">
        <v>76</v>
      </c>
      <c r="C29" s="7" t="s">
        <v>77</v>
      </c>
      <c r="D29" s="7" t="s">
        <v>26</v>
      </c>
      <c r="E29" s="6" t="s">
        <v>78</v>
      </c>
      <c r="F29" s="8">
        <v>2500</v>
      </c>
      <c r="G29" s="8">
        <v>1664.06</v>
      </c>
      <c r="H29" s="9"/>
      <c r="I29" s="9"/>
      <c r="J29" s="9"/>
      <c r="K29" s="9"/>
      <c r="L29" s="9"/>
      <c r="M29" s="9"/>
      <c r="N29" s="9"/>
      <c r="O29" s="8">
        <v>2000</v>
      </c>
      <c r="P29" s="9"/>
      <c r="Q29" s="9"/>
      <c r="R29" s="9"/>
      <c r="S29" s="9"/>
      <c r="T29" s="9"/>
      <c r="U29" s="9"/>
      <c r="V29" s="9"/>
      <c r="W29" s="8">
        <v>1000</v>
      </c>
      <c r="X29" s="6" t="s">
        <v>155</v>
      </c>
      <c r="Y29" s="9"/>
      <c r="Z29" s="9"/>
      <c r="AA29" s="9"/>
      <c r="AB29" s="6"/>
      <c r="AC29" s="8">
        <v>4664.0600000000004</v>
      </c>
    </row>
    <row r="30" spans="1:29" ht="11.55" customHeight="1" x14ac:dyDescent="0.3">
      <c r="A30" s="2">
        <v>26</v>
      </c>
      <c r="B30" s="3" t="s">
        <v>79</v>
      </c>
      <c r="C30" s="3" t="s">
        <v>77</v>
      </c>
      <c r="D30" s="3" t="s">
        <v>80</v>
      </c>
      <c r="E30" s="2" t="s">
        <v>81</v>
      </c>
      <c r="F30" s="4">
        <v>1000</v>
      </c>
      <c r="G30" s="4">
        <v>1000</v>
      </c>
      <c r="H30" s="5"/>
      <c r="I30" s="5"/>
      <c r="J30" s="5"/>
      <c r="K30" s="5"/>
      <c r="L30" s="5"/>
      <c r="M30" s="5"/>
      <c r="N30" s="5"/>
      <c r="O30" s="5"/>
      <c r="P30" s="4">
        <v>500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2">
        <v>-500</v>
      </c>
      <c r="AC30" s="4">
        <v>1500</v>
      </c>
    </row>
    <row r="31" spans="1:29" ht="11.55" customHeight="1" x14ac:dyDescent="0.3">
      <c r="A31" s="6">
        <v>27</v>
      </c>
      <c r="B31" s="7"/>
      <c r="C31" s="7"/>
      <c r="D31" s="7" t="s">
        <v>82</v>
      </c>
      <c r="E31" s="6"/>
      <c r="F31" s="8">
        <v>500</v>
      </c>
      <c r="G31" s="8">
        <v>500</v>
      </c>
      <c r="H31" s="9"/>
      <c r="I31" s="9"/>
      <c r="J31" s="9"/>
      <c r="K31" s="9"/>
      <c r="L31" s="9"/>
      <c r="M31" s="9"/>
      <c r="N31" s="9"/>
      <c r="O31" s="9"/>
      <c r="P31" s="8">
        <v>228.9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3">
        <v>-228.9</v>
      </c>
      <c r="AC31" s="8">
        <v>728.9</v>
      </c>
    </row>
    <row r="32" spans="1:29" ht="11.55" customHeight="1" x14ac:dyDescent="0.3">
      <c r="A32" s="2">
        <v>28</v>
      </c>
      <c r="B32" s="3"/>
      <c r="C32" s="3"/>
      <c r="D32" s="3" t="s">
        <v>82</v>
      </c>
      <c r="E32" s="2"/>
      <c r="F32" s="4">
        <v>500</v>
      </c>
      <c r="G32" s="5"/>
      <c r="H32" s="5"/>
      <c r="I32" s="5"/>
      <c r="J32" s="5"/>
      <c r="K32" s="5"/>
      <c r="L32" s="5"/>
      <c r="M32" s="5"/>
      <c r="N32" s="5"/>
      <c r="O32" s="5"/>
      <c r="P32" s="4">
        <v>400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4">
        <v>100</v>
      </c>
      <c r="AC32" s="4">
        <v>400</v>
      </c>
    </row>
    <row r="33" spans="1:29" ht="11.55" customHeight="1" x14ac:dyDescent="0.3">
      <c r="A33" s="6">
        <v>29</v>
      </c>
      <c r="B33" s="7" t="s">
        <v>83</v>
      </c>
      <c r="C33" s="7"/>
      <c r="D33" s="7"/>
      <c r="E33" s="6" t="s">
        <v>84</v>
      </c>
      <c r="F33" s="8">
        <v>800</v>
      </c>
      <c r="G33" s="8">
        <v>800</v>
      </c>
      <c r="H33" s="9"/>
      <c r="I33" s="9"/>
      <c r="J33" s="9"/>
      <c r="K33" s="9"/>
      <c r="L33" s="9"/>
      <c r="M33" s="9"/>
      <c r="N33" s="9"/>
      <c r="O33" s="9"/>
      <c r="P33" s="8">
        <v>500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3">
        <v>-500</v>
      </c>
      <c r="AC33" s="8">
        <v>1300</v>
      </c>
    </row>
    <row r="34" spans="1:29" ht="11.55" customHeight="1" x14ac:dyDescent="0.3">
      <c r="A34" s="2">
        <v>30</v>
      </c>
      <c r="B34" s="3"/>
      <c r="C34" s="3"/>
      <c r="D34" s="3" t="s">
        <v>23</v>
      </c>
      <c r="E34" s="2"/>
      <c r="F34" s="4">
        <v>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4">
        <v>500</v>
      </c>
      <c r="AC34" s="4">
        <v>0</v>
      </c>
    </row>
    <row r="35" spans="1:29" ht="11.55" customHeight="1" x14ac:dyDescent="0.3">
      <c r="A35" s="6">
        <v>31</v>
      </c>
      <c r="B35" s="7" t="s">
        <v>128</v>
      </c>
      <c r="C35" s="7" t="s">
        <v>129</v>
      </c>
      <c r="D35" s="7"/>
      <c r="E35" s="6" t="s">
        <v>130</v>
      </c>
      <c r="F35" s="8">
        <v>1500</v>
      </c>
      <c r="G35" s="8">
        <v>586.12</v>
      </c>
      <c r="H35" s="9"/>
      <c r="I35" s="9"/>
      <c r="J35" s="9"/>
      <c r="K35" s="9"/>
      <c r="L35" s="9"/>
      <c r="M35" s="9"/>
      <c r="N35" s="9"/>
      <c r="O35" s="9"/>
      <c r="P35" s="8">
        <v>737.52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8">
        <v>176.36</v>
      </c>
      <c r="AC35" s="8">
        <v>1323.64</v>
      </c>
    </row>
    <row r="36" spans="1:29" ht="11.55" customHeight="1" x14ac:dyDescent="0.3">
      <c r="A36" s="2">
        <v>32</v>
      </c>
      <c r="B36" s="3" t="s">
        <v>131</v>
      </c>
      <c r="C36" s="3" t="s">
        <v>132</v>
      </c>
      <c r="D36" s="3" t="s">
        <v>26</v>
      </c>
      <c r="E36" s="2" t="s">
        <v>133</v>
      </c>
      <c r="F36" s="4">
        <v>1500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4">
        <v>1500</v>
      </c>
      <c r="AC36" s="4">
        <v>0</v>
      </c>
    </row>
    <row r="37" spans="1:29" ht="11.55" customHeight="1" x14ac:dyDescent="0.3">
      <c r="A37" s="6">
        <v>33</v>
      </c>
      <c r="B37" s="7" t="s">
        <v>134</v>
      </c>
      <c r="C37" s="7" t="s">
        <v>135</v>
      </c>
      <c r="D37" s="7" t="s">
        <v>37</v>
      </c>
      <c r="E37" s="6"/>
      <c r="F37" s="8">
        <v>700</v>
      </c>
      <c r="G37" s="8">
        <v>574.47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8">
        <v>800</v>
      </c>
      <c r="T37" s="9"/>
      <c r="U37" s="9"/>
      <c r="V37" s="9"/>
      <c r="W37" s="9"/>
      <c r="X37" s="9"/>
      <c r="Y37" s="9"/>
      <c r="Z37" s="9"/>
      <c r="AA37" s="9"/>
      <c r="AB37" s="13">
        <v>-674.47</v>
      </c>
      <c r="AC37" s="8">
        <v>1374.47</v>
      </c>
    </row>
    <row r="38" spans="1:29" ht="11.55" customHeight="1" x14ac:dyDescent="0.3">
      <c r="A38" s="2">
        <v>34</v>
      </c>
      <c r="B38" s="3" t="s">
        <v>86</v>
      </c>
      <c r="C38" s="3"/>
      <c r="D38" s="3" t="s">
        <v>87</v>
      </c>
      <c r="E38" s="2" t="s">
        <v>88</v>
      </c>
      <c r="F38" s="4">
        <v>3000</v>
      </c>
      <c r="G38" s="5"/>
      <c r="H38" s="4">
        <v>1200</v>
      </c>
      <c r="I38" s="2" t="s">
        <v>156</v>
      </c>
      <c r="J38" s="5"/>
      <c r="K38" s="2" t="s">
        <v>157</v>
      </c>
      <c r="L38" s="5"/>
      <c r="M38" s="5"/>
      <c r="N38" s="4">
        <v>800</v>
      </c>
      <c r="O38" s="2" t="s">
        <v>158</v>
      </c>
      <c r="P38" s="5"/>
      <c r="Q38" s="4">
        <v>1000</v>
      </c>
      <c r="R38" s="2"/>
      <c r="S38" s="5"/>
      <c r="T38" s="5"/>
      <c r="U38" s="5"/>
      <c r="V38" s="5"/>
      <c r="W38" s="5"/>
      <c r="X38" s="5"/>
      <c r="Y38" s="5"/>
      <c r="Z38" s="5"/>
      <c r="AA38" s="5"/>
      <c r="AB38" s="2"/>
      <c r="AC38" s="4">
        <v>3000</v>
      </c>
    </row>
    <row r="39" spans="1:29" ht="11.55" customHeight="1" x14ac:dyDescent="0.3">
      <c r="A39" s="6"/>
      <c r="B39" s="7" t="s">
        <v>159</v>
      </c>
      <c r="C39" s="7"/>
      <c r="D39" s="7" t="s">
        <v>26</v>
      </c>
      <c r="E39" s="6" t="s">
        <v>160</v>
      </c>
      <c r="F39" s="8">
        <v>1500</v>
      </c>
      <c r="G39" s="9"/>
      <c r="H39" s="9"/>
      <c r="I39" s="9"/>
      <c r="J39" s="9"/>
      <c r="K39" s="8">
        <v>1000</v>
      </c>
      <c r="L39" s="8">
        <v>200</v>
      </c>
      <c r="M39" s="9"/>
      <c r="N39" s="9"/>
      <c r="O39" s="9"/>
      <c r="P39" s="8">
        <v>800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3">
        <v>-500</v>
      </c>
      <c r="AC39" s="8">
        <v>2000</v>
      </c>
    </row>
    <row r="40" spans="1:29" ht="11.55" customHeight="1" x14ac:dyDescent="0.3">
      <c r="A40" s="2"/>
      <c r="B40" s="3"/>
      <c r="C40" s="3"/>
      <c r="D40" s="3" t="s">
        <v>26</v>
      </c>
      <c r="E40" s="2" t="s">
        <v>161</v>
      </c>
      <c r="F40" s="4">
        <v>1500</v>
      </c>
      <c r="G40" s="5"/>
      <c r="H40" s="5"/>
      <c r="I40" s="5"/>
      <c r="J40" s="5"/>
      <c r="K40" s="4">
        <v>1000</v>
      </c>
      <c r="L40" s="4">
        <v>200</v>
      </c>
      <c r="M40" s="5"/>
      <c r="N40" s="5"/>
      <c r="O40" s="5"/>
      <c r="P40" s="5"/>
      <c r="Q40" s="5"/>
      <c r="R40" s="5"/>
      <c r="S40" s="5"/>
      <c r="T40" s="4">
        <v>800</v>
      </c>
      <c r="U40" s="2" t="s">
        <v>162</v>
      </c>
      <c r="V40" s="5"/>
      <c r="W40" s="5"/>
      <c r="X40" s="5"/>
      <c r="Y40" s="5"/>
      <c r="Z40" s="5"/>
      <c r="AA40" s="5"/>
      <c r="AB40" s="2"/>
      <c r="AC40" s="4">
        <v>2000</v>
      </c>
    </row>
    <row r="41" spans="1:29" ht="11.55" customHeight="1" x14ac:dyDescent="0.3">
      <c r="A41" s="6"/>
      <c r="B41" s="7"/>
      <c r="C41" s="7"/>
      <c r="D41" s="7" t="s">
        <v>26</v>
      </c>
      <c r="E41" s="6" t="s">
        <v>163</v>
      </c>
      <c r="F41" s="8">
        <v>1500</v>
      </c>
      <c r="G41" s="9"/>
      <c r="H41" s="9"/>
      <c r="I41" s="9"/>
      <c r="J41" s="9"/>
      <c r="K41" s="8">
        <v>1000</v>
      </c>
      <c r="L41" s="8">
        <v>200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8">
        <v>300</v>
      </c>
      <c r="AC41" s="8">
        <v>1200</v>
      </c>
    </row>
    <row r="42" spans="1:29" ht="13.5" customHeight="1" x14ac:dyDescent="0.3">
      <c r="A42" s="16" t="s">
        <v>89</v>
      </c>
      <c r="B42" s="17"/>
      <c r="C42" s="17"/>
      <c r="D42" s="17"/>
      <c r="E42" s="17"/>
      <c r="F42" s="10">
        <f t="shared" ref="F42:AC42" si="0">SUM(F4:F41)</f>
        <v>55200</v>
      </c>
      <c r="G42" s="10">
        <f t="shared" si="0"/>
        <v>14176.46</v>
      </c>
      <c r="H42" s="10">
        <f t="shared" si="0"/>
        <v>3312</v>
      </c>
      <c r="I42" s="10">
        <f t="shared" si="0"/>
        <v>440</v>
      </c>
      <c r="J42" s="10">
        <f t="shared" si="0"/>
        <v>8000</v>
      </c>
      <c r="K42" s="10">
        <f t="shared" si="0"/>
        <v>3000</v>
      </c>
      <c r="L42" s="10">
        <f t="shared" si="0"/>
        <v>600</v>
      </c>
      <c r="M42" s="10">
        <f t="shared" si="0"/>
        <v>2413.5299999999997</v>
      </c>
      <c r="N42" s="10">
        <f t="shared" si="0"/>
        <v>5088.1100000000006</v>
      </c>
      <c r="O42" s="10">
        <f t="shared" si="0"/>
        <v>2000</v>
      </c>
      <c r="P42" s="10">
        <f t="shared" si="0"/>
        <v>8528.18</v>
      </c>
      <c r="Q42" s="10">
        <f t="shared" si="0"/>
        <v>1000</v>
      </c>
      <c r="R42" s="10">
        <f t="shared" si="0"/>
        <v>800</v>
      </c>
      <c r="S42" s="10">
        <f t="shared" si="0"/>
        <v>3300</v>
      </c>
      <c r="T42" s="10">
        <f t="shared" si="0"/>
        <v>1600</v>
      </c>
      <c r="U42" s="10">
        <f t="shared" si="0"/>
        <v>1068.47</v>
      </c>
      <c r="V42" s="10">
        <f t="shared" si="0"/>
        <v>0</v>
      </c>
      <c r="W42" s="10">
        <f t="shared" si="0"/>
        <v>2300</v>
      </c>
      <c r="X42" s="10">
        <f t="shared" si="0"/>
        <v>0</v>
      </c>
      <c r="Y42" s="10">
        <f t="shared" si="0"/>
        <v>0</v>
      </c>
      <c r="Z42" s="10">
        <f t="shared" si="0"/>
        <v>0</v>
      </c>
      <c r="AA42" s="10">
        <f t="shared" si="0"/>
        <v>0</v>
      </c>
      <c r="AB42" s="10">
        <f t="shared" si="0"/>
        <v>-561.75000000000068</v>
      </c>
      <c r="AC42" s="10">
        <f t="shared" si="0"/>
        <v>57226.75</v>
      </c>
    </row>
    <row r="43" spans="1:29" ht="6" customHeight="1" x14ac:dyDescent="0.3"/>
    <row r="44" spans="1:29" ht="16.95" customHeight="1" x14ac:dyDescent="0.3">
      <c r="A44" s="23" t="s">
        <v>164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3.95" customHeight="1" x14ac:dyDescent="0.3">
      <c r="A45" s="14" t="s">
        <v>1</v>
      </c>
      <c r="B45" s="14" t="s">
        <v>2</v>
      </c>
      <c r="C45" s="14" t="s">
        <v>3</v>
      </c>
      <c r="D45" s="14" t="s">
        <v>4</v>
      </c>
      <c r="E45" s="14" t="s">
        <v>5</v>
      </c>
      <c r="F45" s="14" t="s">
        <v>6</v>
      </c>
      <c r="G45" s="18" t="s">
        <v>141</v>
      </c>
      <c r="H45" s="19"/>
      <c r="I45" s="19"/>
      <c r="J45" s="18" t="s">
        <v>142</v>
      </c>
      <c r="K45" s="19"/>
      <c r="L45" s="19"/>
      <c r="M45" s="18" t="s">
        <v>143</v>
      </c>
      <c r="N45" s="19"/>
      <c r="O45" s="19"/>
      <c r="P45" s="18" t="s">
        <v>144</v>
      </c>
      <c r="Q45" s="19"/>
      <c r="R45" s="19"/>
      <c r="S45" s="18" t="s">
        <v>145</v>
      </c>
      <c r="T45" s="19"/>
      <c r="U45" s="19"/>
      <c r="V45" s="18" t="s">
        <v>146</v>
      </c>
      <c r="W45" s="19"/>
      <c r="X45" s="19"/>
      <c r="Y45" s="18" t="s">
        <v>147</v>
      </c>
      <c r="Z45" s="19"/>
      <c r="AA45" s="19"/>
      <c r="AB45" s="20" t="s">
        <v>14</v>
      </c>
      <c r="AC45" s="14" t="s">
        <v>15</v>
      </c>
    </row>
    <row r="46" spans="1:29" ht="13.05" customHeight="1" x14ac:dyDescent="0.3">
      <c r="A46" s="15"/>
      <c r="B46" s="15"/>
      <c r="C46" s="15"/>
      <c r="D46" s="15"/>
      <c r="E46" s="15"/>
      <c r="F46" s="15"/>
      <c r="G46" s="1" t="s">
        <v>16</v>
      </c>
      <c r="H46" s="1" t="s">
        <v>17</v>
      </c>
      <c r="I46" s="1" t="s">
        <v>18</v>
      </c>
      <c r="J46" s="1" t="s">
        <v>16</v>
      </c>
      <c r="K46" s="1" t="s">
        <v>17</v>
      </c>
      <c r="L46" s="1" t="s">
        <v>18</v>
      </c>
      <c r="M46" s="1" t="s">
        <v>16</v>
      </c>
      <c r="N46" s="1" t="s">
        <v>17</v>
      </c>
      <c r="O46" s="1" t="s">
        <v>18</v>
      </c>
      <c r="P46" s="1" t="s">
        <v>16</v>
      </c>
      <c r="Q46" s="1" t="s">
        <v>17</v>
      </c>
      <c r="R46" s="1" t="s">
        <v>18</v>
      </c>
      <c r="S46" s="1" t="s">
        <v>16</v>
      </c>
      <c r="T46" s="1" t="s">
        <v>17</v>
      </c>
      <c r="U46" s="1" t="s">
        <v>18</v>
      </c>
      <c r="V46" s="1" t="s">
        <v>16</v>
      </c>
      <c r="W46" s="1" t="s">
        <v>17</v>
      </c>
      <c r="X46" s="1" t="s">
        <v>18</v>
      </c>
      <c r="Y46" s="1" t="s">
        <v>16</v>
      </c>
      <c r="Z46" s="1" t="s">
        <v>17</v>
      </c>
      <c r="AA46" s="1" t="s">
        <v>18</v>
      </c>
      <c r="AB46" s="19"/>
      <c r="AC46" s="15"/>
    </row>
    <row r="47" spans="1:29" ht="11.55" customHeight="1" x14ac:dyDescent="0.3">
      <c r="A47" s="2">
        <v>1</v>
      </c>
      <c r="B47" s="3" t="s">
        <v>91</v>
      </c>
      <c r="C47" s="3" t="s">
        <v>92</v>
      </c>
      <c r="D47" s="3" t="s">
        <v>93</v>
      </c>
      <c r="E47" s="2" t="s">
        <v>94</v>
      </c>
      <c r="F47" s="4">
        <v>2500</v>
      </c>
      <c r="G47" s="4">
        <v>2250.33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4">
        <v>500</v>
      </c>
      <c r="X47" s="2" t="s">
        <v>165</v>
      </c>
      <c r="Y47" s="5"/>
      <c r="Z47" s="5"/>
      <c r="AA47" s="5"/>
      <c r="AB47" s="12">
        <v>-250.33</v>
      </c>
      <c r="AC47" s="4">
        <v>2750.33</v>
      </c>
    </row>
    <row r="48" spans="1:29" ht="11.55" customHeight="1" x14ac:dyDescent="0.3">
      <c r="A48" s="6">
        <v>2</v>
      </c>
      <c r="B48" s="7" t="s">
        <v>95</v>
      </c>
      <c r="C48" s="7" t="s">
        <v>92</v>
      </c>
      <c r="D48" s="7" t="s">
        <v>87</v>
      </c>
      <c r="E48" s="6" t="s">
        <v>96</v>
      </c>
      <c r="F48" s="8">
        <v>1500</v>
      </c>
      <c r="G48" s="9"/>
      <c r="H48" s="9"/>
      <c r="I48" s="9"/>
      <c r="J48" s="8">
        <v>1500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8">
        <v>0</v>
      </c>
      <c r="AC48" s="8">
        <v>1500</v>
      </c>
    </row>
    <row r="49" spans="1:29" ht="11.55" customHeight="1" x14ac:dyDescent="0.3">
      <c r="A49" s="2">
        <v>3</v>
      </c>
      <c r="B49" s="3" t="s">
        <v>97</v>
      </c>
      <c r="C49" s="3" t="s">
        <v>92</v>
      </c>
      <c r="D49" s="3" t="s">
        <v>98</v>
      </c>
      <c r="E49" s="2" t="s">
        <v>22</v>
      </c>
      <c r="F49" s="4">
        <v>2000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4">
        <v>2000</v>
      </c>
      <c r="AC49" s="4">
        <v>0</v>
      </c>
    </row>
    <row r="50" spans="1:29" ht="11.55" customHeight="1" x14ac:dyDescent="0.3">
      <c r="A50" s="6"/>
      <c r="B50" s="7"/>
      <c r="C50" s="7"/>
      <c r="D50" s="7" t="s">
        <v>23</v>
      </c>
      <c r="E50" s="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8">
        <v>0</v>
      </c>
      <c r="AC50" s="8">
        <v>0</v>
      </c>
    </row>
    <row r="51" spans="1:29" ht="11.55" customHeight="1" x14ac:dyDescent="0.3">
      <c r="A51" s="2">
        <v>4</v>
      </c>
      <c r="B51" s="3" t="s">
        <v>99</v>
      </c>
      <c r="C51" s="3" t="s">
        <v>100</v>
      </c>
      <c r="D51" s="3" t="s">
        <v>87</v>
      </c>
      <c r="E51" s="2" t="s">
        <v>101</v>
      </c>
      <c r="F51" s="4">
        <v>1500</v>
      </c>
      <c r="G51" s="4">
        <v>1500</v>
      </c>
      <c r="H51" s="5"/>
      <c r="I51" s="5"/>
      <c r="J51" s="5"/>
      <c r="K51" s="5"/>
      <c r="L51" s="5"/>
      <c r="M51" s="4">
        <v>461.03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12">
        <v>-461.03</v>
      </c>
      <c r="AC51" s="4">
        <v>1961.03</v>
      </c>
    </row>
    <row r="52" spans="1:29" ht="11.55" customHeight="1" x14ac:dyDescent="0.3">
      <c r="A52" s="6">
        <v>5</v>
      </c>
      <c r="B52" s="7" t="s">
        <v>102</v>
      </c>
      <c r="C52" s="7" t="s">
        <v>100</v>
      </c>
      <c r="D52" s="7" t="s">
        <v>87</v>
      </c>
      <c r="E52" s="6" t="s">
        <v>103</v>
      </c>
      <c r="F52" s="8">
        <v>1500</v>
      </c>
      <c r="G52" s="8">
        <v>1500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6"/>
      <c r="AC52" s="6" t="e">
        <v>#REF!</v>
      </c>
    </row>
    <row r="53" spans="1:29" ht="11.55" customHeight="1" x14ac:dyDescent="0.3">
      <c r="A53" s="2">
        <v>6</v>
      </c>
      <c r="B53" s="3" t="s">
        <v>104</v>
      </c>
      <c r="C53" s="3" t="s">
        <v>105</v>
      </c>
      <c r="D53" s="3" t="s">
        <v>98</v>
      </c>
      <c r="E53" s="2" t="s">
        <v>106</v>
      </c>
      <c r="F53" s="4">
        <v>2000</v>
      </c>
      <c r="G53" s="4">
        <v>1292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4">
        <v>708</v>
      </c>
      <c r="AC53" s="4">
        <v>1292</v>
      </c>
    </row>
    <row r="54" spans="1:29" ht="13.5" customHeight="1" x14ac:dyDescent="0.3">
      <c r="A54" s="16" t="s">
        <v>107</v>
      </c>
      <c r="B54" s="17"/>
      <c r="C54" s="17"/>
      <c r="D54" s="17"/>
      <c r="E54" s="17"/>
      <c r="F54" s="10">
        <f t="shared" ref="F54:AC54" si="1">SUM(F47:F53)</f>
        <v>11000</v>
      </c>
      <c r="G54" s="10">
        <f t="shared" si="1"/>
        <v>6542.33</v>
      </c>
      <c r="H54" s="10">
        <f t="shared" si="1"/>
        <v>0</v>
      </c>
      <c r="I54" s="10">
        <f t="shared" si="1"/>
        <v>0</v>
      </c>
      <c r="J54" s="10">
        <f t="shared" si="1"/>
        <v>1500</v>
      </c>
      <c r="K54" s="10">
        <f t="shared" si="1"/>
        <v>0</v>
      </c>
      <c r="L54" s="10">
        <f t="shared" si="1"/>
        <v>0</v>
      </c>
      <c r="M54" s="10">
        <f t="shared" si="1"/>
        <v>461.03</v>
      </c>
      <c r="N54" s="10">
        <f t="shared" si="1"/>
        <v>0</v>
      </c>
      <c r="O54" s="10">
        <f t="shared" si="1"/>
        <v>0</v>
      </c>
      <c r="P54" s="10">
        <f t="shared" si="1"/>
        <v>0</v>
      </c>
      <c r="Q54" s="10">
        <f t="shared" si="1"/>
        <v>0</v>
      </c>
      <c r="R54" s="10">
        <f t="shared" si="1"/>
        <v>0</v>
      </c>
      <c r="S54" s="10">
        <f t="shared" si="1"/>
        <v>0</v>
      </c>
      <c r="T54" s="10">
        <f t="shared" si="1"/>
        <v>0</v>
      </c>
      <c r="U54" s="10">
        <f t="shared" si="1"/>
        <v>0</v>
      </c>
      <c r="V54" s="10">
        <f t="shared" si="1"/>
        <v>0</v>
      </c>
      <c r="W54" s="10">
        <f t="shared" si="1"/>
        <v>500</v>
      </c>
      <c r="X54" s="10">
        <f t="shared" si="1"/>
        <v>0</v>
      </c>
      <c r="Y54" s="10">
        <f t="shared" si="1"/>
        <v>0</v>
      </c>
      <c r="Z54" s="10">
        <f t="shared" si="1"/>
        <v>0</v>
      </c>
      <c r="AA54" s="10">
        <f t="shared" si="1"/>
        <v>0</v>
      </c>
      <c r="AB54" s="10">
        <f t="shared" si="1"/>
        <v>1996.64</v>
      </c>
      <c r="AC54" s="10" t="e">
        <f t="shared" si="1"/>
        <v>#REF!</v>
      </c>
    </row>
    <row r="55" spans="1:29" ht="4.95" customHeight="1" x14ac:dyDescent="0.3"/>
  </sheetData>
  <mergeCells count="34">
    <mergeCell ref="J2:L2"/>
    <mergeCell ref="A42:E42"/>
    <mergeCell ref="E45:E46"/>
    <mergeCell ref="P45:R45"/>
    <mergeCell ref="B45:B46"/>
    <mergeCell ref="G2:I2"/>
    <mergeCell ref="M2:O2"/>
    <mergeCell ref="A1:AC1"/>
    <mergeCell ref="A54:E54"/>
    <mergeCell ref="V45:X45"/>
    <mergeCell ref="G45:I45"/>
    <mergeCell ref="M45:O45"/>
    <mergeCell ref="Y45:AA45"/>
    <mergeCell ref="A2:A3"/>
    <mergeCell ref="AB2:AB3"/>
    <mergeCell ref="S45:U45"/>
    <mergeCell ref="C2:C3"/>
    <mergeCell ref="E2:E3"/>
    <mergeCell ref="AC2:AC3"/>
    <mergeCell ref="AC45:AC46"/>
    <mergeCell ref="V2:X2"/>
    <mergeCell ref="S2:U2"/>
    <mergeCell ref="AB45:AB46"/>
    <mergeCell ref="A44:AC44"/>
    <mergeCell ref="Y2:AA2"/>
    <mergeCell ref="P2:R2"/>
    <mergeCell ref="J45:L45"/>
    <mergeCell ref="A45:A46"/>
    <mergeCell ref="C45:C46"/>
    <mergeCell ref="B2:B3"/>
    <mergeCell ref="D2:D3"/>
    <mergeCell ref="F2:F3"/>
    <mergeCell ref="D45:D46"/>
    <mergeCell ref="F45:F46"/>
  </mergeCells>
  <pageMargins left="0.2" right="0.2" top="0.25" bottom="0.25" header="0.1" footer="0.1"/>
  <pageSetup paperSize="5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55"/>
  <sheetViews>
    <sheetView topLeftCell="A28" workbookViewId="0">
      <selection activeCell="A56" sqref="A56:XFD56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13" customWidth="1"/>
    <col min="5" max="5" width="7.77734375" customWidth="1"/>
    <col min="6" max="6" width="10.88671875" customWidth="1"/>
    <col min="7" max="7" width="7.88671875" bestFit="1" customWidth="1"/>
    <col min="8" max="8" width="7.109375" bestFit="1" customWidth="1"/>
    <col min="9" max="9" width="7" bestFit="1" customWidth="1"/>
    <col min="10" max="10" width="7.109375" bestFit="1" customWidth="1"/>
    <col min="11" max="11" width="6.6640625" bestFit="1" customWidth="1"/>
    <col min="12" max="12" width="6.77734375" bestFit="1" customWidth="1"/>
    <col min="13" max="14" width="7.109375" bestFit="1" customWidth="1"/>
    <col min="15" max="15" width="6.77734375" bestFit="1" customWidth="1"/>
    <col min="16" max="17" width="7.109375" bestFit="1" customWidth="1"/>
    <col min="18" max="18" width="7" bestFit="1" customWidth="1"/>
    <col min="19" max="20" width="7.109375" bestFit="1" customWidth="1"/>
    <col min="21" max="21" width="6.77734375" bestFit="1" customWidth="1"/>
    <col min="22" max="22" width="7.109375" bestFit="1" customWidth="1"/>
    <col min="23" max="23" width="6.6640625" bestFit="1" customWidth="1"/>
    <col min="24" max="24" width="6.77734375" bestFit="1" customWidth="1"/>
    <col min="25" max="25" width="5.88671875" bestFit="1" customWidth="1"/>
    <col min="26" max="26" width="6.6640625" bestFit="1" customWidth="1"/>
    <col min="27" max="27" width="6.21875" customWidth="1"/>
    <col min="28" max="28" width="10" customWidth="1"/>
    <col min="29" max="29" width="8.44140625" customWidth="1"/>
  </cols>
  <sheetData>
    <row r="1" spans="1:29" ht="18" customHeight="1" x14ac:dyDescent="0.3">
      <c r="A1" s="23" t="s">
        <v>166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167</v>
      </c>
      <c r="H2" s="19"/>
      <c r="I2" s="19"/>
      <c r="J2" s="18" t="s">
        <v>168</v>
      </c>
      <c r="K2" s="19"/>
      <c r="L2" s="19"/>
      <c r="M2" s="18" t="s">
        <v>169</v>
      </c>
      <c r="N2" s="19"/>
      <c r="O2" s="19"/>
      <c r="P2" s="18" t="s">
        <v>170</v>
      </c>
      <c r="Q2" s="19"/>
      <c r="R2" s="19"/>
      <c r="S2" s="18" t="s">
        <v>171</v>
      </c>
      <c r="T2" s="19"/>
      <c r="U2" s="19"/>
      <c r="V2" s="18" t="s">
        <v>172</v>
      </c>
      <c r="W2" s="19"/>
      <c r="X2" s="19"/>
      <c r="Y2" s="18" t="s">
        <v>173</v>
      </c>
      <c r="Z2" s="19"/>
      <c r="AA2" s="19"/>
      <c r="AB2" s="20" t="s">
        <v>14</v>
      </c>
      <c r="AC2" s="14" t="s">
        <v>15</v>
      </c>
    </row>
    <row r="3" spans="1:29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18</v>
      </c>
      <c r="J3" s="1" t="s">
        <v>16</v>
      </c>
      <c r="K3" s="1" t="s">
        <v>17</v>
      </c>
      <c r="L3" s="1" t="s">
        <v>18</v>
      </c>
      <c r="M3" s="1" t="s">
        <v>16</v>
      </c>
      <c r="N3" s="1" t="s">
        <v>17</v>
      </c>
      <c r="O3" s="1" t="s">
        <v>18</v>
      </c>
      <c r="P3" s="1" t="s">
        <v>16</v>
      </c>
      <c r="Q3" s="1" t="s">
        <v>17</v>
      </c>
      <c r="R3" s="1" t="s">
        <v>18</v>
      </c>
      <c r="S3" s="1" t="s">
        <v>16</v>
      </c>
      <c r="T3" s="1" t="s">
        <v>17</v>
      </c>
      <c r="U3" s="1" t="s">
        <v>18</v>
      </c>
      <c r="V3" s="1" t="s">
        <v>16</v>
      </c>
      <c r="W3" s="1" t="s">
        <v>17</v>
      </c>
      <c r="X3" s="1" t="s">
        <v>18</v>
      </c>
      <c r="Y3" s="1" t="s">
        <v>16</v>
      </c>
      <c r="Z3" s="1" t="s">
        <v>17</v>
      </c>
      <c r="AA3" s="1" t="s">
        <v>18</v>
      </c>
      <c r="AB3" s="19"/>
      <c r="AC3" s="15"/>
    </row>
    <row r="4" spans="1:29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>
        <v>1200</v>
      </c>
      <c r="AC4" s="4">
        <v>0</v>
      </c>
    </row>
    <row r="5" spans="1:29" ht="11.55" customHeight="1" x14ac:dyDescent="0.3">
      <c r="A5" s="6">
        <v>2</v>
      </c>
      <c r="B5" s="7"/>
      <c r="C5" s="7"/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8">
        <v>500</v>
      </c>
      <c r="AC5" s="8">
        <v>0</v>
      </c>
    </row>
    <row r="6" spans="1:29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5"/>
      <c r="H6" s="5"/>
      <c r="I6" s="5"/>
      <c r="J6" s="4">
        <v>2072.34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4">
        <v>427.66</v>
      </c>
      <c r="AC6" s="4">
        <v>2072.34</v>
      </c>
    </row>
    <row r="7" spans="1:29" ht="11.55" customHeight="1" x14ac:dyDescent="0.3">
      <c r="A7" s="6">
        <v>4</v>
      </c>
      <c r="B7" s="7"/>
      <c r="C7" s="7"/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>
        <v>500</v>
      </c>
      <c r="AC7" s="8">
        <v>0</v>
      </c>
    </row>
    <row r="8" spans="1:29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1500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>
        <v>1500</v>
      </c>
      <c r="AC8" s="4">
        <v>0</v>
      </c>
    </row>
    <row r="9" spans="1:29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8">
        <v>1250.07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8">
        <v>249.93</v>
      </c>
      <c r="AC9" s="8">
        <v>1250.07</v>
      </c>
    </row>
    <row r="10" spans="1:29" ht="11.55" customHeight="1" x14ac:dyDescent="0.3">
      <c r="A10" s="2">
        <v>7</v>
      </c>
      <c r="B10" s="3" t="s">
        <v>33</v>
      </c>
      <c r="C10" s="3" t="s">
        <v>25</v>
      </c>
      <c r="D10" s="3"/>
      <c r="E10" s="2"/>
      <c r="F10" s="4">
        <v>1500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4">
        <v>1500</v>
      </c>
      <c r="AC10" s="4">
        <v>0</v>
      </c>
    </row>
    <row r="11" spans="1:29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8">
        <v>700</v>
      </c>
      <c r="AC11" s="8">
        <v>0</v>
      </c>
    </row>
    <row r="12" spans="1:29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4">
        <v>1500</v>
      </c>
      <c r="AC12" s="4">
        <v>0</v>
      </c>
    </row>
    <row r="13" spans="1:29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8">
        <v>1500</v>
      </c>
      <c r="H13" s="9"/>
      <c r="I13" s="9"/>
      <c r="J13" s="9"/>
      <c r="K13" s="9"/>
      <c r="L13" s="9"/>
      <c r="M13" s="9"/>
      <c r="N13" s="9"/>
      <c r="O13" s="9"/>
      <c r="P13" s="8">
        <v>600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3">
        <v>-600</v>
      </c>
      <c r="AC13" s="8">
        <v>2100</v>
      </c>
    </row>
    <row r="14" spans="1:29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5"/>
      <c r="H14" s="5"/>
      <c r="I14" s="5"/>
      <c r="J14" s="5"/>
      <c r="K14" s="5"/>
      <c r="L14" s="5"/>
      <c r="M14" s="5"/>
      <c r="N14" s="5"/>
      <c r="O14" s="5"/>
      <c r="P14" s="4">
        <v>318.38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4">
        <v>181.62</v>
      </c>
      <c r="AC14" s="4">
        <v>318.38</v>
      </c>
    </row>
    <row r="15" spans="1:29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9"/>
      <c r="H15" s="8">
        <v>1500</v>
      </c>
      <c r="I15" s="6" t="s">
        <v>174</v>
      </c>
      <c r="J15" s="9"/>
      <c r="K15" s="9"/>
      <c r="L15" s="9"/>
      <c r="M15" s="9"/>
      <c r="N15" s="8">
        <v>1500</v>
      </c>
      <c r="O15" s="6" t="s">
        <v>175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6"/>
      <c r="AC15" s="8">
        <v>3000</v>
      </c>
    </row>
    <row r="16" spans="1:29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2500</v>
      </c>
      <c r="G16" s="4">
        <v>1374.06</v>
      </c>
      <c r="H16" s="5"/>
      <c r="I16" s="5"/>
      <c r="J16" s="5"/>
      <c r="K16" s="5"/>
      <c r="L16" s="5"/>
      <c r="M16" s="5"/>
      <c r="N16" s="5"/>
      <c r="O16" s="5"/>
      <c r="P16" s="4">
        <v>1600.22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2">
        <v>-474.28</v>
      </c>
      <c r="AC16" s="4">
        <v>2974.28</v>
      </c>
    </row>
    <row r="17" spans="1:29" ht="11.55" customHeight="1" x14ac:dyDescent="0.3">
      <c r="A17" s="6"/>
      <c r="B17" s="7"/>
      <c r="C17" s="7" t="s">
        <v>51</v>
      </c>
      <c r="D17" s="7" t="s">
        <v>23</v>
      </c>
      <c r="E17" s="6"/>
      <c r="F17" s="8">
        <v>300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8">
        <v>300</v>
      </c>
      <c r="AC17" s="9"/>
    </row>
    <row r="18" spans="1:29" ht="11.55" customHeight="1" x14ac:dyDescent="0.3">
      <c r="A18" s="2">
        <v>14</v>
      </c>
      <c r="B18" s="3" t="s">
        <v>54</v>
      </c>
      <c r="C18" s="3" t="s">
        <v>51</v>
      </c>
      <c r="D18" s="3" t="s">
        <v>55</v>
      </c>
      <c r="E18" s="2" t="s">
        <v>56</v>
      </c>
      <c r="F18" s="4">
        <v>2500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4">
        <v>2500</v>
      </c>
      <c r="AC18" s="4">
        <v>0</v>
      </c>
    </row>
    <row r="19" spans="1:29" ht="11.55" customHeight="1" x14ac:dyDescent="0.3">
      <c r="A19" s="6">
        <v>15</v>
      </c>
      <c r="B19" s="7" t="s">
        <v>57</v>
      </c>
      <c r="C19" s="7" t="s">
        <v>51</v>
      </c>
      <c r="D19" s="7" t="s">
        <v>48</v>
      </c>
      <c r="E19" s="6" t="s">
        <v>58</v>
      </c>
      <c r="F19" s="8">
        <v>4000</v>
      </c>
      <c r="G19" s="8">
        <v>2920.37</v>
      </c>
      <c r="H19" s="9"/>
      <c r="I19" s="9"/>
      <c r="J19" s="9"/>
      <c r="K19" s="9"/>
      <c r="L19" s="9"/>
      <c r="M19" s="9"/>
      <c r="N19" s="9"/>
      <c r="O19" s="9"/>
      <c r="P19" s="9"/>
      <c r="Q19" s="8">
        <v>1500</v>
      </c>
      <c r="R19" s="6" t="s">
        <v>176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8">
        <v>4420.37</v>
      </c>
    </row>
    <row r="20" spans="1:29" ht="11.55" customHeight="1" x14ac:dyDescent="0.3">
      <c r="A20" s="2">
        <v>16</v>
      </c>
      <c r="B20" s="3" t="s">
        <v>59</v>
      </c>
      <c r="C20" s="3" t="s">
        <v>60</v>
      </c>
      <c r="D20" s="3" t="s">
        <v>52</v>
      </c>
      <c r="E20" s="2" t="s">
        <v>61</v>
      </c>
      <c r="F20" s="4">
        <v>2500</v>
      </c>
      <c r="G20" s="4">
        <v>1388.51</v>
      </c>
      <c r="H20" s="5"/>
      <c r="I20" s="5"/>
      <c r="J20" s="5"/>
      <c r="K20" s="5"/>
      <c r="L20" s="5"/>
      <c r="M20" s="5"/>
      <c r="N20" s="5"/>
      <c r="O20" s="5"/>
      <c r="P20" s="4">
        <v>1111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4">
        <v>0.49</v>
      </c>
      <c r="AC20" s="4">
        <v>2499.5100000000002</v>
      </c>
    </row>
    <row r="21" spans="1:29" ht="11.55" customHeight="1" x14ac:dyDescent="0.3">
      <c r="A21" s="6">
        <v>17</v>
      </c>
      <c r="B21" s="7"/>
      <c r="C21" s="7"/>
      <c r="D21" s="7" t="s">
        <v>62</v>
      </c>
      <c r="E21" s="6"/>
      <c r="F21" s="8">
        <v>1000</v>
      </c>
      <c r="G21" s="8">
        <v>1000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8">
        <v>500</v>
      </c>
      <c r="T21" s="9"/>
      <c r="U21" s="9"/>
      <c r="V21" s="9"/>
      <c r="W21" s="9"/>
      <c r="X21" s="9"/>
      <c r="Y21" s="9"/>
      <c r="Z21" s="9"/>
      <c r="AA21" s="9"/>
      <c r="AB21" s="13">
        <v>-500</v>
      </c>
      <c r="AC21" s="8">
        <v>1500</v>
      </c>
    </row>
    <row r="22" spans="1:29" ht="11.55" customHeight="1" x14ac:dyDescent="0.3">
      <c r="A22" s="2">
        <v>18</v>
      </c>
      <c r="B22" s="3"/>
      <c r="C22" s="3"/>
      <c r="D22" s="3" t="s">
        <v>63</v>
      </c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4">
        <v>0</v>
      </c>
      <c r="AC22" s="4">
        <v>0</v>
      </c>
    </row>
    <row r="23" spans="1:29" ht="11.55" customHeight="1" x14ac:dyDescent="0.3">
      <c r="A23" s="6">
        <v>19</v>
      </c>
      <c r="B23" s="7"/>
      <c r="C23" s="7"/>
      <c r="D23" s="7" t="s">
        <v>64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8">
        <v>0</v>
      </c>
      <c r="AC23" s="8">
        <v>0</v>
      </c>
    </row>
    <row r="24" spans="1:29" ht="11.55" customHeight="1" x14ac:dyDescent="0.3">
      <c r="A24" s="2">
        <v>20</v>
      </c>
      <c r="B24" s="3" t="s">
        <v>65</v>
      </c>
      <c r="C24" s="3" t="s">
        <v>60</v>
      </c>
      <c r="D24" s="3" t="s">
        <v>52</v>
      </c>
      <c r="E24" s="2" t="s">
        <v>66</v>
      </c>
      <c r="F24" s="4">
        <v>1500</v>
      </c>
      <c r="G24" s="5"/>
      <c r="H24" s="5"/>
      <c r="I24" s="5"/>
      <c r="J24" s="4">
        <v>1500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4">
        <v>0</v>
      </c>
      <c r="AC24" s="4">
        <v>1500</v>
      </c>
    </row>
    <row r="25" spans="1:29" ht="11.55" customHeight="1" x14ac:dyDescent="0.3">
      <c r="A25" s="6">
        <v>21</v>
      </c>
      <c r="B25" s="7" t="s">
        <v>67</v>
      </c>
      <c r="C25" s="7" t="s">
        <v>60</v>
      </c>
      <c r="D25" s="7" t="s">
        <v>48</v>
      </c>
      <c r="E25" s="6" t="s">
        <v>68</v>
      </c>
      <c r="F25" s="8">
        <v>3000</v>
      </c>
      <c r="G25" s="9"/>
      <c r="H25" s="8">
        <v>3000</v>
      </c>
      <c r="I25" s="6" t="s">
        <v>177</v>
      </c>
      <c r="J25" s="9"/>
      <c r="K25" s="9"/>
      <c r="L25" s="9"/>
      <c r="M25" s="9"/>
      <c r="N25" s="9"/>
      <c r="O25" s="9"/>
      <c r="P25" s="8">
        <v>700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6"/>
      <c r="AC25" s="8">
        <v>3700</v>
      </c>
    </row>
    <row r="26" spans="1:29" ht="11.55" customHeight="1" x14ac:dyDescent="0.3">
      <c r="A26" s="2">
        <v>22</v>
      </c>
      <c r="B26" s="3" t="s">
        <v>69</v>
      </c>
      <c r="C26" s="3" t="s">
        <v>60</v>
      </c>
      <c r="D26" s="3" t="s">
        <v>55</v>
      </c>
      <c r="E26" s="2" t="s">
        <v>70</v>
      </c>
      <c r="F26" s="4">
        <v>2500</v>
      </c>
      <c r="G26" s="4">
        <v>932.79</v>
      </c>
      <c r="H26" s="5"/>
      <c r="I26" s="5"/>
      <c r="J26" s="5"/>
      <c r="K26" s="5"/>
      <c r="L26" s="5"/>
      <c r="M26" s="5"/>
      <c r="N26" s="5"/>
      <c r="O26" s="5"/>
      <c r="P26" s="4">
        <v>1217.3399999999999</v>
      </c>
      <c r="Q26" s="5"/>
      <c r="R26" s="5"/>
      <c r="S26" s="4">
        <v>500</v>
      </c>
      <c r="T26" s="5"/>
      <c r="U26" s="5"/>
      <c r="V26" s="5"/>
      <c r="W26" s="5"/>
      <c r="X26" s="5"/>
      <c r="Y26" s="5"/>
      <c r="Z26" s="5"/>
      <c r="AA26" s="5"/>
      <c r="AB26" s="2"/>
      <c r="AC26" s="4">
        <v>2650.13</v>
      </c>
    </row>
    <row r="27" spans="1:29" ht="11.55" customHeight="1" x14ac:dyDescent="0.3">
      <c r="A27" s="6">
        <v>23</v>
      </c>
      <c r="B27" s="7" t="s">
        <v>71</v>
      </c>
      <c r="C27" s="7" t="s">
        <v>72</v>
      </c>
      <c r="D27" s="7" t="s">
        <v>73</v>
      </c>
      <c r="E27" s="6" t="s">
        <v>74</v>
      </c>
      <c r="F27" s="8">
        <v>2500</v>
      </c>
      <c r="G27" s="9"/>
      <c r="H27" s="8">
        <v>1500</v>
      </c>
      <c r="I27" s="6" t="s">
        <v>178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8">
        <v>800</v>
      </c>
      <c r="U27" s="6" t="s">
        <v>179</v>
      </c>
      <c r="V27" s="9"/>
      <c r="W27" s="9"/>
      <c r="X27" s="9"/>
      <c r="Y27" s="9"/>
      <c r="Z27" s="9"/>
      <c r="AA27" s="9"/>
      <c r="AB27" s="6"/>
      <c r="AC27" s="8">
        <v>2300</v>
      </c>
    </row>
    <row r="28" spans="1:29" ht="11.55" customHeight="1" x14ac:dyDescent="0.3">
      <c r="A28" s="2">
        <v>24</v>
      </c>
      <c r="B28" s="3" t="s">
        <v>75</v>
      </c>
      <c r="C28" s="3"/>
      <c r="D28" s="3" t="s">
        <v>23</v>
      </c>
      <c r="E28" s="2"/>
      <c r="F28" s="4">
        <v>1000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4">
        <v>500</v>
      </c>
      <c r="U28" s="2" t="s">
        <v>180</v>
      </c>
      <c r="V28" s="5"/>
      <c r="W28" s="5"/>
      <c r="X28" s="5"/>
      <c r="Y28" s="5"/>
      <c r="Z28" s="5"/>
      <c r="AA28" s="5"/>
      <c r="AB28" s="2"/>
      <c r="AC28" s="4">
        <v>500</v>
      </c>
    </row>
    <row r="29" spans="1:29" ht="11.55" customHeight="1" x14ac:dyDescent="0.3">
      <c r="A29" s="6">
        <v>25</v>
      </c>
      <c r="B29" s="7" t="s">
        <v>76</v>
      </c>
      <c r="C29" s="7" t="s">
        <v>77</v>
      </c>
      <c r="D29" s="7" t="s">
        <v>26</v>
      </c>
      <c r="E29" s="6" t="s">
        <v>78</v>
      </c>
      <c r="F29" s="8">
        <v>2500</v>
      </c>
      <c r="G29" s="8">
        <v>1980.44</v>
      </c>
      <c r="H29" s="9"/>
      <c r="I29" s="9"/>
      <c r="J29" s="9"/>
      <c r="K29" s="9"/>
      <c r="L29" s="9"/>
      <c r="M29" s="9"/>
      <c r="N29" s="9"/>
      <c r="O29" s="9"/>
      <c r="P29" s="9"/>
      <c r="Q29" s="8">
        <v>1800.02</v>
      </c>
      <c r="R29" s="6" t="s">
        <v>181</v>
      </c>
      <c r="S29" s="9"/>
      <c r="T29" s="9"/>
      <c r="U29" s="9"/>
      <c r="V29" s="9"/>
      <c r="W29" s="9"/>
      <c r="X29" s="9"/>
      <c r="Y29" s="9"/>
      <c r="Z29" s="9"/>
      <c r="AA29" s="9"/>
      <c r="AB29" s="6"/>
      <c r="AC29" s="8">
        <v>3780.46</v>
      </c>
    </row>
    <row r="30" spans="1:29" ht="11.55" customHeight="1" x14ac:dyDescent="0.3">
      <c r="A30" s="2">
        <v>26</v>
      </c>
      <c r="B30" s="3" t="s">
        <v>79</v>
      </c>
      <c r="C30" s="3" t="s">
        <v>77</v>
      </c>
      <c r="D30" s="3" t="s">
        <v>80</v>
      </c>
      <c r="E30" s="2" t="s">
        <v>81</v>
      </c>
      <c r="F30" s="4">
        <v>1000</v>
      </c>
      <c r="G30" s="4">
        <v>1000</v>
      </c>
      <c r="H30" s="5"/>
      <c r="I30" s="5"/>
      <c r="J30" s="5"/>
      <c r="K30" s="5"/>
      <c r="L30" s="5"/>
      <c r="M30" s="5"/>
      <c r="N30" s="5"/>
      <c r="O30" s="5"/>
      <c r="P30" s="4">
        <v>200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2">
        <v>-200</v>
      </c>
      <c r="AC30" s="4">
        <v>1200</v>
      </c>
    </row>
    <row r="31" spans="1:29" ht="11.55" customHeight="1" x14ac:dyDescent="0.3">
      <c r="A31" s="6">
        <v>27</v>
      </c>
      <c r="B31" s="7"/>
      <c r="C31" s="7"/>
      <c r="D31" s="7" t="s">
        <v>82</v>
      </c>
      <c r="E31" s="6"/>
      <c r="F31" s="8">
        <v>500</v>
      </c>
      <c r="G31" s="8">
        <v>500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8">
        <v>0</v>
      </c>
      <c r="AC31" s="8">
        <v>500</v>
      </c>
    </row>
    <row r="32" spans="1:29" ht="11.55" customHeight="1" x14ac:dyDescent="0.3">
      <c r="A32" s="2">
        <v>28</v>
      </c>
      <c r="B32" s="3"/>
      <c r="C32" s="3"/>
      <c r="D32" s="3" t="s">
        <v>82</v>
      </c>
      <c r="E32" s="2"/>
      <c r="F32" s="4">
        <v>500</v>
      </c>
      <c r="G32" s="5"/>
      <c r="H32" s="5"/>
      <c r="I32" s="5"/>
      <c r="J32" s="5"/>
      <c r="K32" s="5"/>
      <c r="L32" s="5"/>
      <c r="M32" s="4">
        <v>228.9</v>
      </c>
      <c r="N32" s="5"/>
      <c r="O32" s="5"/>
      <c r="P32" s="4">
        <v>500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12">
        <v>-228.9</v>
      </c>
      <c r="AC32" s="4">
        <v>728.9</v>
      </c>
    </row>
    <row r="33" spans="1:29" ht="11.55" customHeight="1" x14ac:dyDescent="0.3">
      <c r="A33" s="6">
        <v>29</v>
      </c>
      <c r="B33" s="7" t="s">
        <v>83</v>
      </c>
      <c r="C33" s="7"/>
      <c r="D33" s="7"/>
      <c r="E33" s="6" t="s">
        <v>84</v>
      </c>
      <c r="F33" s="8">
        <v>800</v>
      </c>
      <c r="G33" s="8">
        <v>800</v>
      </c>
      <c r="H33" s="9"/>
      <c r="I33" s="9"/>
      <c r="J33" s="9"/>
      <c r="K33" s="9"/>
      <c r="L33" s="9"/>
      <c r="M33" s="9"/>
      <c r="N33" s="9"/>
      <c r="O33" s="9"/>
      <c r="P33" s="8">
        <v>500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3">
        <v>-500</v>
      </c>
      <c r="AC33" s="8">
        <v>1300</v>
      </c>
    </row>
    <row r="34" spans="1:29" ht="11.55" customHeight="1" x14ac:dyDescent="0.3">
      <c r="A34" s="2">
        <v>30</v>
      </c>
      <c r="B34" s="3"/>
      <c r="C34" s="3"/>
      <c r="D34" s="3" t="s">
        <v>23</v>
      </c>
      <c r="E34" s="2"/>
      <c r="F34" s="4">
        <v>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4">
        <v>500</v>
      </c>
      <c r="AC34" s="4">
        <v>0</v>
      </c>
    </row>
    <row r="35" spans="1:29" ht="11.55" customHeight="1" x14ac:dyDescent="0.3">
      <c r="A35" s="6">
        <v>31</v>
      </c>
      <c r="B35" s="7" t="s">
        <v>128</v>
      </c>
      <c r="C35" s="7" t="s">
        <v>129</v>
      </c>
      <c r="D35" s="7"/>
      <c r="E35" s="6" t="s">
        <v>130</v>
      </c>
      <c r="F35" s="8">
        <v>1500</v>
      </c>
      <c r="G35" s="9"/>
      <c r="H35" s="9"/>
      <c r="I35" s="9"/>
      <c r="J35" s="9"/>
      <c r="K35" s="9"/>
      <c r="L35" s="9"/>
      <c r="M35" s="8">
        <v>806.41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8">
        <v>693.59</v>
      </c>
      <c r="AC35" s="8">
        <v>806.41</v>
      </c>
    </row>
    <row r="36" spans="1:29" ht="11.55" customHeight="1" x14ac:dyDescent="0.3">
      <c r="A36" s="2">
        <v>32</v>
      </c>
      <c r="B36" s="3" t="s">
        <v>131</v>
      </c>
      <c r="C36" s="3" t="s">
        <v>132</v>
      </c>
      <c r="D36" s="3" t="s">
        <v>26</v>
      </c>
      <c r="E36" s="2" t="s">
        <v>133</v>
      </c>
      <c r="F36" s="4">
        <v>1500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4">
        <v>1500</v>
      </c>
      <c r="AC36" s="4">
        <v>0</v>
      </c>
    </row>
    <row r="37" spans="1:29" ht="11.55" customHeight="1" x14ac:dyDescent="0.3">
      <c r="A37" s="6">
        <v>33</v>
      </c>
      <c r="B37" s="7" t="s">
        <v>134</v>
      </c>
      <c r="C37" s="7" t="s">
        <v>135</v>
      </c>
      <c r="D37" s="7" t="s">
        <v>37</v>
      </c>
      <c r="E37" s="6"/>
      <c r="F37" s="8">
        <v>700</v>
      </c>
      <c r="G37" s="8">
        <v>800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3">
        <v>-100</v>
      </c>
      <c r="AC37" s="8">
        <v>800</v>
      </c>
    </row>
    <row r="38" spans="1:29" ht="11.55" customHeight="1" x14ac:dyDescent="0.3">
      <c r="A38" s="2">
        <v>34</v>
      </c>
      <c r="B38" s="3" t="s">
        <v>86</v>
      </c>
      <c r="C38" s="3"/>
      <c r="D38" s="3" t="s">
        <v>87</v>
      </c>
      <c r="E38" s="2" t="s">
        <v>88</v>
      </c>
      <c r="F38" s="4">
        <v>3000</v>
      </c>
      <c r="G38" s="5"/>
      <c r="H38" s="4">
        <v>1200</v>
      </c>
      <c r="I38" s="2" t="s">
        <v>182</v>
      </c>
      <c r="J38" s="5"/>
      <c r="K38" s="5"/>
      <c r="L38" s="5"/>
      <c r="M38" s="5"/>
      <c r="N38" s="4">
        <v>1000</v>
      </c>
      <c r="O38" s="2" t="s">
        <v>183</v>
      </c>
      <c r="P38" s="5"/>
      <c r="Q38" s="4">
        <v>800</v>
      </c>
      <c r="R38" s="2" t="s">
        <v>184</v>
      </c>
      <c r="S38" s="5"/>
      <c r="T38" s="5"/>
      <c r="U38" s="5"/>
      <c r="V38" s="5"/>
      <c r="W38" s="5"/>
      <c r="X38" s="5"/>
      <c r="Y38" s="5"/>
      <c r="Z38" s="5"/>
      <c r="AA38" s="5"/>
      <c r="AB38" s="2"/>
      <c r="AC38" s="4">
        <v>3000</v>
      </c>
    </row>
    <row r="39" spans="1:29" ht="11.55" customHeight="1" x14ac:dyDescent="0.3">
      <c r="A39" s="6">
        <v>35</v>
      </c>
      <c r="B39" s="7" t="s">
        <v>159</v>
      </c>
      <c r="C39" s="7"/>
      <c r="D39" s="7" t="s">
        <v>26</v>
      </c>
      <c r="E39" s="6" t="s">
        <v>160</v>
      </c>
      <c r="F39" s="8">
        <v>1500</v>
      </c>
      <c r="G39" s="9"/>
      <c r="H39" s="9"/>
      <c r="I39" s="9"/>
      <c r="J39" s="8">
        <v>1500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8">
        <v>0</v>
      </c>
      <c r="AC39" s="8">
        <v>1500</v>
      </c>
    </row>
    <row r="40" spans="1:29" ht="11.55" customHeight="1" x14ac:dyDescent="0.3">
      <c r="A40" s="2"/>
      <c r="B40" s="3"/>
      <c r="C40" s="3"/>
      <c r="D40" s="3" t="s">
        <v>26</v>
      </c>
      <c r="E40" s="2" t="s">
        <v>161</v>
      </c>
      <c r="F40" s="4">
        <v>1500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2"/>
      <c r="AC40" s="4">
        <v>0</v>
      </c>
    </row>
    <row r="41" spans="1:29" ht="11.55" customHeight="1" x14ac:dyDescent="0.3">
      <c r="A41" s="6"/>
      <c r="B41" s="7"/>
      <c r="C41" s="7"/>
      <c r="D41" s="7" t="s">
        <v>26</v>
      </c>
      <c r="E41" s="6" t="s">
        <v>163</v>
      </c>
      <c r="F41" s="8">
        <v>1500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8">
        <v>1500</v>
      </c>
      <c r="AC41" s="8">
        <v>0</v>
      </c>
    </row>
    <row r="42" spans="1:29" ht="13.5" customHeight="1" x14ac:dyDescent="0.3">
      <c r="A42" s="16" t="s">
        <v>89</v>
      </c>
      <c r="B42" s="17"/>
      <c r="C42" s="17"/>
      <c r="D42" s="17"/>
      <c r="E42" s="17"/>
      <c r="F42" s="10">
        <f t="shared" ref="F42:AC42" si="0">SUM(F4:F41)</f>
        <v>55200</v>
      </c>
      <c r="G42" s="10">
        <f t="shared" si="0"/>
        <v>15446.24</v>
      </c>
      <c r="H42" s="10">
        <f t="shared" si="0"/>
        <v>7200</v>
      </c>
      <c r="I42" s="10">
        <f t="shared" si="0"/>
        <v>0</v>
      </c>
      <c r="J42" s="10">
        <f t="shared" si="0"/>
        <v>5072.34</v>
      </c>
      <c r="K42" s="10">
        <f t="shared" si="0"/>
        <v>0</v>
      </c>
      <c r="L42" s="10">
        <f t="shared" si="0"/>
        <v>0</v>
      </c>
      <c r="M42" s="10">
        <f t="shared" si="0"/>
        <v>1035.31</v>
      </c>
      <c r="N42" s="10">
        <f t="shared" si="0"/>
        <v>2500</v>
      </c>
      <c r="O42" s="10">
        <f t="shared" si="0"/>
        <v>0</v>
      </c>
      <c r="P42" s="10">
        <f t="shared" si="0"/>
        <v>6746.9400000000005</v>
      </c>
      <c r="Q42" s="10">
        <f t="shared" si="0"/>
        <v>4100.0200000000004</v>
      </c>
      <c r="R42" s="10">
        <f t="shared" si="0"/>
        <v>0</v>
      </c>
      <c r="S42" s="10">
        <f t="shared" si="0"/>
        <v>1000</v>
      </c>
      <c r="T42" s="10">
        <f t="shared" si="0"/>
        <v>1300</v>
      </c>
      <c r="U42" s="10">
        <f t="shared" si="0"/>
        <v>0</v>
      </c>
      <c r="V42" s="10">
        <f t="shared" si="0"/>
        <v>0</v>
      </c>
      <c r="W42" s="10">
        <f t="shared" si="0"/>
        <v>0</v>
      </c>
      <c r="X42" s="10">
        <f t="shared" si="0"/>
        <v>0</v>
      </c>
      <c r="Y42" s="10">
        <f t="shared" si="0"/>
        <v>0</v>
      </c>
      <c r="Z42" s="10">
        <f t="shared" si="0"/>
        <v>0</v>
      </c>
      <c r="AA42" s="10">
        <f t="shared" si="0"/>
        <v>0</v>
      </c>
      <c r="AB42" s="10">
        <f t="shared" si="0"/>
        <v>12650.11</v>
      </c>
      <c r="AC42" s="10">
        <f t="shared" si="0"/>
        <v>44400.850000000013</v>
      </c>
    </row>
    <row r="43" spans="1:29" ht="6" customHeight="1" x14ac:dyDescent="0.3"/>
    <row r="44" spans="1:29" ht="16.95" customHeight="1" x14ac:dyDescent="0.3">
      <c r="A44" s="23" t="s">
        <v>185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3.95" customHeight="1" x14ac:dyDescent="0.3">
      <c r="A45" s="14" t="s">
        <v>1</v>
      </c>
      <c r="B45" s="14" t="s">
        <v>2</v>
      </c>
      <c r="C45" s="14" t="s">
        <v>3</v>
      </c>
      <c r="D45" s="14" t="s">
        <v>4</v>
      </c>
      <c r="E45" s="14" t="s">
        <v>5</v>
      </c>
      <c r="F45" s="14" t="s">
        <v>6</v>
      </c>
      <c r="G45" s="18" t="s">
        <v>167</v>
      </c>
      <c r="H45" s="19"/>
      <c r="I45" s="19"/>
      <c r="J45" s="18" t="s">
        <v>168</v>
      </c>
      <c r="K45" s="19"/>
      <c r="L45" s="19"/>
      <c r="M45" s="18" t="s">
        <v>169</v>
      </c>
      <c r="N45" s="19"/>
      <c r="O45" s="19"/>
      <c r="P45" s="18" t="s">
        <v>170</v>
      </c>
      <c r="Q45" s="19"/>
      <c r="R45" s="19"/>
      <c r="S45" s="18" t="s">
        <v>171</v>
      </c>
      <c r="T45" s="19"/>
      <c r="U45" s="19"/>
      <c r="V45" s="18" t="s">
        <v>172</v>
      </c>
      <c r="W45" s="19"/>
      <c r="X45" s="19"/>
      <c r="Y45" s="18" t="s">
        <v>173</v>
      </c>
      <c r="Z45" s="19"/>
      <c r="AA45" s="19"/>
      <c r="AB45" s="20" t="s">
        <v>14</v>
      </c>
      <c r="AC45" s="14" t="s">
        <v>15</v>
      </c>
    </row>
    <row r="46" spans="1:29" ht="13.05" customHeight="1" x14ac:dyDescent="0.3">
      <c r="A46" s="15"/>
      <c r="B46" s="15"/>
      <c r="C46" s="15"/>
      <c r="D46" s="15"/>
      <c r="E46" s="15"/>
      <c r="F46" s="15"/>
      <c r="G46" s="1" t="s">
        <v>16</v>
      </c>
      <c r="H46" s="1" t="s">
        <v>17</v>
      </c>
      <c r="I46" s="1" t="s">
        <v>18</v>
      </c>
      <c r="J46" s="1" t="s">
        <v>16</v>
      </c>
      <c r="K46" s="1" t="s">
        <v>17</v>
      </c>
      <c r="L46" s="1" t="s">
        <v>18</v>
      </c>
      <c r="M46" s="1" t="s">
        <v>16</v>
      </c>
      <c r="N46" s="1" t="s">
        <v>17</v>
      </c>
      <c r="O46" s="1" t="s">
        <v>18</v>
      </c>
      <c r="P46" s="1" t="s">
        <v>16</v>
      </c>
      <c r="Q46" s="1" t="s">
        <v>17</v>
      </c>
      <c r="R46" s="1" t="s">
        <v>18</v>
      </c>
      <c r="S46" s="1" t="s">
        <v>16</v>
      </c>
      <c r="T46" s="1" t="s">
        <v>17</v>
      </c>
      <c r="U46" s="1" t="s">
        <v>18</v>
      </c>
      <c r="V46" s="1" t="s">
        <v>16</v>
      </c>
      <c r="W46" s="1" t="s">
        <v>17</v>
      </c>
      <c r="X46" s="1" t="s">
        <v>18</v>
      </c>
      <c r="Y46" s="1" t="s">
        <v>16</v>
      </c>
      <c r="Z46" s="1" t="s">
        <v>17</v>
      </c>
      <c r="AA46" s="1" t="s">
        <v>18</v>
      </c>
      <c r="AB46" s="19"/>
      <c r="AC46" s="15"/>
    </row>
    <row r="47" spans="1:29" ht="11.55" customHeight="1" x14ac:dyDescent="0.3">
      <c r="A47" s="2">
        <v>1</v>
      </c>
      <c r="B47" s="3" t="s">
        <v>91</v>
      </c>
      <c r="C47" s="3" t="s">
        <v>92</v>
      </c>
      <c r="D47" s="3" t="s">
        <v>93</v>
      </c>
      <c r="E47" s="2" t="s">
        <v>94</v>
      </c>
      <c r="F47" s="4">
        <v>2500</v>
      </c>
      <c r="G47" s="4">
        <v>1919.56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4">
        <v>580.44000000000005</v>
      </c>
      <c r="AC47" s="4">
        <v>1919.56</v>
      </c>
    </row>
    <row r="48" spans="1:29" ht="11.55" customHeight="1" x14ac:dyDescent="0.3">
      <c r="A48" s="6">
        <v>2</v>
      </c>
      <c r="B48" s="7" t="s">
        <v>95</v>
      </c>
      <c r="C48" s="7" t="s">
        <v>92</v>
      </c>
      <c r="D48" s="7" t="s">
        <v>87</v>
      </c>
      <c r="E48" s="6" t="s">
        <v>96</v>
      </c>
      <c r="F48" s="8">
        <v>1500</v>
      </c>
      <c r="G48" s="9"/>
      <c r="H48" s="9"/>
      <c r="I48" s="9"/>
      <c r="J48" s="9"/>
      <c r="K48" s="9"/>
      <c r="L48" s="9"/>
      <c r="M48" s="8">
        <v>1500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8">
        <v>0</v>
      </c>
      <c r="AC48" s="8">
        <v>1500</v>
      </c>
    </row>
    <row r="49" spans="1:29" ht="11.55" customHeight="1" x14ac:dyDescent="0.3">
      <c r="A49" s="2">
        <v>3</v>
      </c>
      <c r="B49" s="3" t="s">
        <v>97</v>
      </c>
      <c r="C49" s="3" t="s">
        <v>92</v>
      </c>
      <c r="D49" s="3" t="s">
        <v>98</v>
      </c>
      <c r="E49" s="2" t="s">
        <v>22</v>
      </c>
      <c r="F49" s="4">
        <v>2000</v>
      </c>
      <c r="G49" s="5"/>
      <c r="H49" s="5"/>
      <c r="I49" s="5"/>
      <c r="J49" s="4">
        <v>1316.66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4">
        <v>683.34</v>
      </c>
      <c r="AC49" s="4">
        <v>1316.66</v>
      </c>
    </row>
    <row r="50" spans="1:29" ht="11.55" customHeight="1" x14ac:dyDescent="0.3">
      <c r="A50" s="6"/>
      <c r="B50" s="7"/>
      <c r="C50" s="7"/>
      <c r="D50" s="7" t="s">
        <v>23</v>
      </c>
      <c r="E50" s="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8">
        <v>0</v>
      </c>
      <c r="AC50" s="8">
        <v>0</v>
      </c>
    </row>
    <row r="51" spans="1:29" ht="11.55" customHeight="1" x14ac:dyDescent="0.3">
      <c r="A51" s="2">
        <v>4</v>
      </c>
      <c r="B51" s="3" t="s">
        <v>99</v>
      </c>
      <c r="C51" s="3" t="s">
        <v>100</v>
      </c>
      <c r="D51" s="3" t="s">
        <v>87</v>
      </c>
      <c r="E51" s="2" t="s">
        <v>101</v>
      </c>
      <c r="F51" s="4">
        <v>1500</v>
      </c>
      <c r="G51" s="4">
        <v>1500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4">
        <v>0</v>
      </c>
      <c r="AC51" s="4">
        <v>1500</v>
      </c>
    </row>
    <row r="52" spans="1:29" ht="11.55" customHeight="1" x14ac:dyDescent="0.3">
      <c r="A52" s="6">
        <v>5</v>
      </c>
      <c r="B52" s="7" t="s">
        <v>102</v>
      </c>
      <c r="C52" s="7" t="s">
        <v>100</v>
      </c>
      <c r="D52" s="7" t="s">
        <v>87</v>
      </c>
      <c r="E52" s="6" t="s">
        <v>103</v>
      </c>
      <c r="F52" s="8">
        <v>1500</v>
      </c>
      <c r="G52" s="8">
        <v>1500</v>
      </c>
      <c r="H52" s="9"/>
      <c r="I52" s="9"/>
      <c r="J52" s="8">
        <v>300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6"/>
      <c r="AC52" s="6" t="e">
        <v>#REF!</v>
      </c>
    </row>
    <row r="53" spans="1:29" ht="11.55" customHeight="1" x14ac:dyDescent="0.3">
      <c r="A53" s="2">
        <v>6</v>
      </c>
      <c r="B53" s="3" t="s">
        <v>104</v>
      </c>
      <c r="C53" s="3" t="s">
        <v>105</v>
      </c>
      <c r="D53" s="3" t="s">
        <v>98</v>
      </c>
      <c r="E53" s="2" t="s">
        <v>106</v>
      </c>
      <c r="F53" s="4">
        <v>2000</v>
      </c>
      <c r="G53" s="4">
        <v>1981.36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4">
        <v>1400.23</v>
      </c>
      <c r="W53" s="5"/>
      <c r="X53" s="5"/>
      <c r="Y53" s="5"/>
      <c r="Z53" s="5"/>
      <c r="AA53" s="5"/>
      <c r="AB53" s="12">
        <v>-1381.59</v>
      </c>
      <c r="AC53" s="4">
        <v>3381.59</v>
      </c>
    </row>
    <row r="54" spans="1:29" ht="13.5" customHeight="1" x14ac:dyDescent="0.3">
      <c r="A54" s="16" t="s">
        <v>107</v>
      </c>
      <c r="B54" s="17"/>
      <c r="C54" s="17"/>
      <c r="D54" s="17"/>
      <c r="E54" s="17"/>
      <c r="F54" s="10">
        <f t="shared" ref="F54:AC54" si="1">SUM(F47:F53)</f>
        <v>11000</v>
      </c>
      <c r="G54" s="10">
        <f t="shared" si="1"/>
        <v>6900.9199999999992</v>
      </c>
      <c r="H54" s="10">
        <f t="shared" si="1"/>
        <v>0</v>
      </c>
      <c r="I54" s="10">
        <f t="shared" si="1"/>
        <v>0</v>
      </c>
      <c r="J54" s="10">
        <f t="shared" si="1"/>
        <v>1616.66</v>
      </c>
      <c r="K54" s="10">
        <f t="shared" si="1"/>
        <v>0</v>
      </c>
      <c r="L54" s="10">
        <f t="shared" si="1"/>
        <v>0</v>
      </c>
      <c r="M54" s="10">
        <f t="shared" si="1"/>
        <v>1500</v>
      </c>
      <c r="N54" s="10">
        <f t="shared" si="1"/>
        <v>0</v>
      </c>
      <c r="O54" s="10">
        <f t="shared" si="1"/>
        <v>0</v>
      </c>
      <c r="P54" s="10">
        <f t="shared" si="1"/>
        <v>0</v>
      </c>
      <c r="Q54" s="10">
        <f t="shared" si="1"/>
        <v>0</v>
      </c>
      <c r="R54" s="10">
        <f t="shared" si="1"/>
        <v>0</v>
      </c>
      <c r="S54" s="10">
        <f t="shared" si="1"/>
        <v>0</v>
      </c>
      <c r="T54" s="10">
        <f t="shared" si="1"/>
        <v>0</v>
      </c>
      <c r="U54" s="10">
        <f t="shared" si="1"/>
        <v>0</v>
      </c>
      <c r="V54" s="10">
        <f t="shared" si="1"/>
        <v>1400.23</v>
      </c>
      <c r="W54" s="10">
        <f t="shared" si="1"/>
        <v>0</v>
      </c>
      <c r="X54" s="10">
        <f t="shared" si="1"/>
        <v>0</v>
      </c>
      <c r="Y54" s="10">
        <f t="shared" si="1"/>
        <v>0</v>
      </c>
      <c r="Z54" s="10">
        <f t="shared" si="1"/>
        <v>0</v>
      </c>
      <c r="AA54" s="10">
        <f t="shared" si="1"/>
        <v>0</v>
      </c>
      <c r="AB54" s="10">
        <f t="shared" si="1"/>
        <v>-117.80999999999972</v>
      </c>
      <c r="AC54" s="10" t="e">
        <f t="shared" si="1"/>
        <v>#REF!</v>
      </c>
    </row>
    <row r="55" spans="1:29" ht="4.95" customHeight="1" x14ac:dyDescent="0.3"/>
  </sheetData>
  <mergeCells count="34">
    <mergeCell ref="J2:L2"/>
    <mergeCell ref="A42:E42"/>
    <mergeCell ref="E45:E46"/>
    <mergeCell ref="P45:R45"/>
    <mergeCell ref="B45:B46"/>
    <mergeCell ref="G2:I2"/>
    <mergeCell ref="M2:O2"/>
    <mergeCell ref="A1:AC1"/>
    <mergeCell ref="A54:E54"/>
    <mergeCell ref="V45:X45"/>
    <mergeCell ref="G45:I45"/>
    <mergeCell ref="M45:O45"/>
    <mergeCell ref="Y45:AA45"/>
    <mergeCell ref="A2:A3"/>
    <mergeCell ref="AB2:AB3"/>
    <mergeCell ref="S45:U45"/>
    <mergeCell ref="C2:C3"/>
    <mergeCell ref="E2:E3"/>
    <mergeCell ref="AC2:AC3"/>
    <mergeCell ref="AC45:AC46"/>
    <mergeCell ref="V2:X2"/>
    <mergeCell ref="S2:U2"/>
    <mergeCell ref="AB45:AB46"/>
    <mergeCell ref="A44:AC44"/>
    <mergeCell ref="Y2:AA2"/>
    <mergeCell ref="P2:R2"/>
    <mergeCell ref="J45:L45"/>
    <mergeCell ref="A45:A46"/>
    <mergeCell ref="C45:C46"/>
    <mergeCell ref="B2:B3"/>
    <mergeCell ref="D2:D3"/>
    <mergeCell ref="F2:F3"/>
    <mergeCell ref="D45:D46"/>
    <mergeCell ref="F45:F46"/>
  </mergeCells>
  <pageMargins left="0.2" right="0.2" top="0.25" bottom="0.25" header="0.1" footer="0.1"/>
  <pageSetup paperSize="5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58"/>
  <sheetViews>
    <sheetView topLeftCell="A30" workbookViewId="0">
      <selection activeCell="A59" sqref="A59:XFD59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23.44140625" bestFit="1" customWidth="1"/>
    <col min="5" max="5" width="7.77734375" customWidth="1"/>
    <col min="6" max="6" width="11" customWidth="1"/>
    <col min="7" max="7" width="7.88671875" bestFit="1" customWidth="1"/>
    <col min="8" max="8" width="7.109375" bestFit="1" customWidth="1"/>
    <col min="9" max="9" width="6.77734375" bestFit="1" customWidth="1"/>
    <col min="10" max="10" width="7.109375" bestFit="1" customWidth="1"/>
    <col min="11" max="11" width="6.6640625" bestFit="1" customWidth="1"/>
    <col min="12" max="12" width="6.77734375" bestFit="1" customWidth="1"/>
    <col min="13" max="14" width="7.109375" bestFit="1" customWidth="1"/>
    <col min="15" max="15" width="6.77734375" bestFit="1" customWidth="1"/>
    <col min="16" max="17" width="7.109375" bestFit="1" customWidth="1"/>
    <col min="18" max="18" width="6.77734375" bestFit="1" customWidth="1"/>
    <col min="19" max="20" width="7.109375" bestFit="1" customWidth="1"/>
    <col min="21" max="21" width="6.77734375" bestFit="1" customWidth="1"/>
    <col min="22" max="22" width="7.109375" bestFit="1" customWidth="1"/>
    <col min="23" max="23" width="6.6640625" bestFit="1" customWidth="1"/>
    <col min="24" max="24" width="6.77734375" bestFit="1" customWidth="1"/>
    <col min="25" max="25" width="5.88671875" bestFit="1" customWidth="1"/>
    <col min="26" max="26" width="6.6640625" bestFit="1" customWidth="1"/>
    <col min="27" max="27" width="6.77734375" bestFit="1" customWidth="1"/>
    <col min="28" max="28" width="10.21875" customWidth="1"/>
    <col min="29" max="29" width="8.44140625" customWidth="1"/>
  </cols>
  <sheetData>
    <row r="1" spans="1:29" ht="18" customHeight="1" x14ac:dyDescent="0.3">
      <c r="A1" s="23" t="s">
        <v>186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187</v>
      </c>
      <c r="H2" s="19"/>
      <c r="I2" s="19"/>
      <c r="J2" s="18" t="s">
        <v>188</v>
      </c>
      <c r="K2" s="19"/>
      <c r="L2" s="19"/>
      <c r="M2" s="18" t="s">
        <v>189</v>
      </c>
      <c r="N2" s="19"/>
      <c r="O2" s="19"/>
      <c r="P2" s="18" t="s">
        <v>190</v>
      </c>
      <c r="Q2" s="19"/>
      <c r="R2" s="19"/>
      <c r="S2" s="18" t="s">
        <v>191</v>
      </c>
      <c r="T2" s="19"/>
      <c r="U2" s="19"/>
      <c r="V2" s="18" t="s">
        <v>192</v>
      </c>
      <c r="W2" s="19"/>
      <c r="X2" s="19"/>
      <c r="Y2" s="18" t="s">
        <v>193</v>
      </c>
      <c r="Z2" s="19"/>
      <c r="AA2" s="19"/>
      <c r="AB2" s="20" t="s">
        <v>14</v>
      </c>
      <c r="AC2" s="14" t="s">
        <v>15</v>
      </c>
    </row>
    <row r="3" spans="1:29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18</v>
      </c>
      <c r="J3" s="1" t="s">
        <v>16</v>
      </c>
      <c r="K3" s="1" t="s">
        <v>17</v>
      </c>
      <c r="L3" s="1" t="s">
        <v>18</v>
      </c>
      <c r="M3" s="1" t="s">
        <v>16</v>
      </c>
      <c r="N3" s="1" t="s">
        <v>17</v>
      </c>
      <c r="O3" s="1" t="s">
        <v>18</v>
      </c>
      <c r="P3" s="1" t="s">
        <v>16</v>
      </c>
      <c r="Q3" s="1" t="s">
        <v>17</v>
      </c>
      <c r="R3" s="1" t="s">
        <v>18</v>
      </c>
      <c r="S3" s="1" t="s">
        <v>16</v>
      </c>
      <c r="T3" s="1" t="s">
        <v>17</v>
      </c>
      <c r="U3" s="1" t="s">
        <v>18</v>
      </c>
      <c r="V3" s="1" t="s">
        <v>16</v>
      </c>
      <c r="W3" s="1" t="s">
        <v>17</v>
      </c>
      <c r="X3" s="1" t="s">
        <v>18</v>
      </c>
      <c r="Y3" s="1" t="s">
        <v>16</v>
      </c>
      <c r="Z3" s="1" t="s">
        <v>17</v>
      </c>
      <c r="AA3" s="1" t="s">
        <v>18</v>
      </c>
      <c r="AB3" s="19"/>
      <c r="AC3" s="15"/>
    </row>
    <row r="4" spans="1:29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>
        <v>1200</v>
      </c>
      <c r="AC4" s="4">
        <v>0</v>
      </c>
    </row>
    <row r="5" spans="1:29" ht="11.55" customHeight="1" x14ac:dyDescent="0.3">
      <c r="A5" s="6">
        <v>2</v>
      </c>
      <c r="B5" s="7"/>
      <c r="C5" s="7"/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8">
        <v>500</v>
      </c>
      <c r="AC5" s="8">
        <v>0</v>
      </c>
    </row>
    <row r="6" spans="1:29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5"/>
      <c r="H6" s="5"/>
      <c r="I6" s="5"/>
      <c r="J6" s="5"/>
      <c r="K6" s="5"/>
      <c r="L6" s="5"/>
      <c r="M6" s="4">
        <v>1984.99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4">
        <v>515.01</v>
      </c>
      <c r="AC6" s="4">
        <v>1984.99</v>
      </c>
    </row>
    <row r="7" spans="1:29" ht="11.55" customHeight="1" x14ac:dyDescent="0.3">
      <c r="A7" s="6">
        <v>4</v>
      </c>
      <c r="B7" s="7"/>
      <c r="C7" s="7"/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>
        <v>500</v>
      </c>
      <c r="AC7" s="8">
        <v>0</v>
      </c>
    </row>
    <row r="8" spans="1:29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1500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>
        <v>1500</v>
      </c>
      <c r="AC8" s="4">
        <v>0</v>
      </c>
    </row>
    <row r="9" spans="1:29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9"/>
      <c r="H9" s="9"/>
      <c r="I9" s="9"/>
      <c r="J9" s="8">
        <v>1158.1199999999999</v>
      </c>
      <c r="K9" s="9"/>
      <c r="L9" s="9"/>
      <c r="M9" s="9"/>
      <c r="N9" s="9"/>
      <c r="O9" s="9"/>
      <c r="P9" s="8">
        <v>350</v>
      </c>
      <c r="Q9" s="9"/>
      <c r="R9" s="9"/>
      <c r="S9" s="8">
        <v>500</v>
      </c>
      <c r="T9" s="9"/>
      <c r="U9" s="9"/>
      <c r="V9" s="9"/>
      <c r="W9" s="9"/>
      <c r="X9" s="9"/>
      <c r="Y9" s="9"/>
      <c r="Z9" s="9"/>
      <c r="AA9" s="9"/>
      <c r="AB9" s="13">
        <v>-508.12</v>
      </c>
      <c r="AC9" s="8">
        <v>2008.12</v>
      </c>
    </row>
    <row r="10" spans="1:29" ht="11.55" customHeight="1" x14ac:dyDescent="0.3">
      <c r="A10" s="2">
        <v>7</v>
      </c>
      <c r="B10" s="3" t="s">
        <v>33</v>
      </c>
      <c r="C10" s="3" t="s">
        <v>25</v>
      </c>
      <c r="D10" s="3"/>
      <c r="E10" s="2" t="s">
        <v>194</v>
      </c>
      <c r="F10" s="4">
        <v>1500</v>
      </c>
      <c r="G10" s="5"/>
      <c r="H10" s="5"/>
      <c r="I10" s="5"/>
      <c r="J10" s="4">
        <v>1500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4">
        <v>0</v>
      </c>
      <c r="AC10" s="4">
        <v>1500</v>
      </c>
    </row>
    <row r="11" spans="1:29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8">
        <v>700</v>
      </c>
      <c r="AC11" s="8">
        <v>0</v>
      </c>
    </row>
    <row r="12" spans="1:29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4">
        <v>1500</v>
      </c>
      <c r="AC12" s="4">
        <v>0</v>
      </c>
    </row>
    <row r="13" spans="1:29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8">
        <v>1500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8">
        <v>922.74</v>
      </c>
      <c r="W13" s="9"/>
      <c r="X13" s="9"/>
      <c r="Y13" s="9"/>
      <c r="Z13" s="9"/>
      <c r="AA13" s="9"/>
      <c r="AB13" s="13">
        <v>-922.74</v>
      </c>
      <c r="AC13" s="8">
        <v>2422.7399999999998</v>
      </c>
    </row>
    <row r="14" spans="1:29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4">
        <v>500</v>
      </c>
      <c r="AC14" s="4">
        <v>0</v>
      </c>
    </row>
    <row r="15" spans="1:29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9"/>
      <c r="H15" s="8">
        <v>2000</v>
      </c>
      <c r="I15" s="6" t="s">
        <v>195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8">
        <v>1500</v>
      </c>
      <c r="W15" s="9"/>
      <c r="X15" s="9"/>
      <c r="Y15" s="9"/>
      <c r="Z15" s="9"/>
      <c r="AA15" s="9"/>
      <c r="AB15" s="13">
        <v>-2000</v>
      </c>
      <c r="AC15" s="8">
        <v>3500</v>
      </c>
    </row>
    <row r="16" spans="1:29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2500</v>
      </c>
      <c r="G16" s="4">
        <v>1510.08</v>
      </c>
      <c r="H16" s="5"/>
      <c r="I16" s="5"/>
      <c r="J16" s="5"/>
      <c r="K16" s="5"/>
      <c r="L16" s="5"/>
      <c r="M16" s="4">
        <v>1084.02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2">
        <v>-94.1</v>
      </c>
      <c r="AC16" s="4">
        <v>2594.1</v>
      </c>
    </row>
    <row r="17" spans="1:29" ht="11.55" customHeight="1" x14ac:dyDescent="0.3">
      <c r="A17" s="6"/>
      <c r="B17" s="7"/>
      <c r="C17" s="7"/>
      <c r="D17" s="7"/>
      <c r="E17" s="6" t="s">
        <v>196</v>
      </c>
      <c r="F17" s="8">
        <v>1500</v>
      </c>
      <c r="G17" s="9"/>
      <c r="H17" s="9"/>
      <c r="I17" s="9"/>
      <c r="J17" s="9"/>
      <c r="K17" s="9"/>
      <c r="L17" s="9"/>
      <c r="M17" s="8">
        <v>860.27</v>
      </c>
      <c r="N17" s="9"/>
      <c r="O17" s="9"/>
      <c r="P17" s="9"/>
      <c r="Q17" s="9"/>
      <c r="R17" s="9"/>
      <c r="S17" s="9"/>
      <c r="T17" s="9"/>
      <c r="U17" s="9"/>
      <c r="V17" s="8">
        <v>500</v>
      </c>
      <c r="W17" s="9"/>
      <c r="X17" s="9"/>
      <c r="Y17" s="9"/>
      <c r="Z17" s="9"/>
      <c r="AA17" s="9"/>
      <c r="AB17" s="8">
        <v>139.72999999999999</v>
      </c>
      <c r="AC17" s="9"/>
    </row>
    <row r="18" spans="1:29" ht="11.55" customHeight="1" x14ac:dyDescent="0.3">
      <c r="A18" s="2"/>
      <c r="B18" s="3"/>
      <c r="C18" s="3" t="s">
        <v>51</v>
      </c>
      <c r="D18" s="3" t="s">
        <v>23</v>
      </c>
      <c r="E18" s="2"/>
      <c r="F18" s="4">
        <v>300</v>
      </c>
      <c r="G18" s="5"/>
      <c r="H18" s="5"/>
      <c r="I18" s="5"/>
      <c r="J18" s="5"/>
      <c r="K18" s="5"/>
      <c r="L18" s="5"/>
      <c r="M18" s="4">
        <v>300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4">
        <v>0</v>
      </c>
      <c r="AC18" s="5"/>
    </row>
    <row r="19" spans="1:29" ht="11.55" customHeight="1" x14ac:dyDescent="0.3">
      <c r="A19" s="6">
        <v>14</v>
      </c>
      <c r="B19" s="7" t="s">
        <v>54</v>
      </c>
      <c r="C19" s="7" t="s">
        <v>51</v>
      </c>
      <c r="D19" s="7" t="s">
        <v>55</v>
      </c>
      <c r="E19" s="6" t="s">
        <v>56</v>
      </c>
      <c r="F19" s="8">
        <v>2500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8">
        <v>2500</v>
      </c>
      <c r="AC19" s="8">
        <v>0</v>
      </c>
    </row>
    <row r="20" spans="1:29" ht="11.55" customHeight="1" x14ac:dyDescent="0.3">
      <c r="A20" s="2">
        <v>15</v>
      </c>
      <c r="B20" s="3" t="s">
        <v>57</v>
      </c>
      <c r="C20" s="3" t="s">
        <v>51</v>
      </c>
      <c r="D20" s="3" t="s">
        <v>48</v>
      </c>
      <c r="E20" s="2" t="s">
        <v>58</v>
      </c>
      <c r="F20" s="4">
        <v>4000</v>
      </c>
      <c r="G20" s="5"/>
      <c r="H20" s="4">
        <v>2500</v>
      </c>
      <c r="I20" s="2" t="s">
        <v>197</v>
      </c>
      <c r="J20" s="5"/>
      <c r="K20" s="5"/>
      <c r="L20" s="5"/>
      <c r="M20" s="5"/>
      <c r="N20" s="5"/>
      <c r="O20" s="5"/>
      <c r="P20" s="5"/>
      <c r="Q20" s="4">
        <v>1500</v>
      </c>
      <c r="R20" s="2" t="s">
        <v>198</v>
      </c>
      <c r="S20" s="5"/>
      <c r="T20" s="5"/>
      <c r="U20" s="5"/>
      <c r="V20" s="5"/>
      <c r="W20" s="5"/>
      <c r="X20" s="5"/>
      <c r="Y20" s="5"/>
      <c r="Z20" s="5"/>
      <c r="AA20" s="5"/>
      <c r="AB20" s="4">
        <v>0</v>
      </c>
      <c r="AC20" s="4">
        <v>4000</v>
      </c>
    </row>
    <row r="21" spans="1:29" ht="11.55" customHeight="1" x14ac:dyDescent="0.3">
      <c r="A21" s="6">
        <v>16</v>
      </c>
      <c r="B21" s="7" t="s">
        <v>59</v>
      </c>
      <c r="C21" s="7" t="s">
        <v>60</v>
      </c>
      <c r="D21" s="7" t="s">
        <v>52</v>
      </c>
      <c r="E21" s="6" t="s">
        <v>61</v>
      </c>
      <c r="F21" s="8">
        <v>2500</v>
      </c>
      <c r="G21" s="8">
        <v>1397.66</v>
      </c>
      <c r="H21" s="9"/>
      <c r="I21" s="9"/>
      <c r="J21" s="9"/>
      <c r="K21" s="9"/>
      <c r="L21" s="9"/>
      <c r="M21" s="9"/>
      <c r="N21" s="9"/>
      <c r="O21" s="9"/>
      <c r="P21" s="8">
        <v>1102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8">
        <v>0.34</v>
      </c>
      <c r="AC21" s="8">
        <v>2499.66</v>
      </c>
    </row>
    <row r="22" spans="1:29" ht="11.55" customHeight="1" x14ac:dyDescent="0.3">
      <c r="A22" s="2">
        <v>17</v>
      </c>
      <c r="B22" s="3"/>
      <c r="C22" s="3"/>
      <c r="D22" s="3" t="s">
        <v>62</v>
      </c>
      <c r="E22" s="2"/>
      <c r="F22" s="4">
        <v>1000</v>
      </c>
      <c r="G22" s="4">
        <v>1000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4">
        <v>0</v>
      </c>
      <c r="AC22" s="4">
        <v>1000</v>
      </c>
    </row>
    <row r="23" spans="1:29" ht="11.55" customHeight="1" x14ac:dyDescent="0.3">
      <c r="A23" s="6">
        <v>18</v>
      </c>
      <c r="B23" s="7"/>
      <c r="C23" s="7"/>
      <c r="D23" s="7" t="s">
        <v>63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8">
        <v>0</v>
      </c>
      <c r="AC23" s="8">
        <v>0</v>
      </c>
    </row>
    <row r="24" spans="1:29" ht="11.55" customHeight="1" x14ac:dyDescent="0.3">
      <c r="A24" s="2">
        <v>19</v>
      </c>
      <c r="B24" s="3"/>
      <c r="C24" s="3"/>
      <c r="D24" s="3" t="s">
        <v>64</v>
      </c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4">
        <v>0</v>
      </c>
      <c r="AC24" s="4">
        <v>0</v>
      </c>
    </row>
    <row r="25" spans="1:29" ht="11.55" customHeight="1" x14ac:dyDescent="0.3">
      <c r="A25" s="6">
        <v>20</v>
      </c>
      <c r="B25" s="7" t="s">
        <v>65</v>
      </c>
      <c r="C25" s="7" t="s">
        <v>60</v>
      </c>
      <c r="D25" s="7" t="s">
        <v>52</v>
      </c>
      <c r="E25" s="6" t="s">
        <v>66</v>
      </c>
      <c r="F25" s="8">
        <v>1500</v>
      </c>
      <c r="G25" s="8">
        <v>1487.74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8">
        <v>12.26</v>
      </c>
      <c r="AC25" s="8">
        <v>1487.74</v>
      </c>
    </row>
    <row r="26" spans="1:29" ht="11.55" customHeight="1" x14ac:dyDescent="0.3">
      <c r="A26" s="2">
        <v>21</v>
      </c>
      <c r="B26" s="3" t="s">
        <v>67</v>
      </c>
      <c r="C26" s="3" t="s">
        <v>60</v>
      </c>
      <c r="D26" s="3" t="s">
        <v>48</v>
      </c>
      <c r="E26" s="2" t="s">
        <v>68</v>
      </c>
      <c r="F26" s="4">
        <v>3000</v>
      </c>
      <c r="G26" s="4">
        <v>3000</v>
      </c>
      <c r="H26" s="5"/>
      <c r="I26" s="5"/>
      <c r="J26" s="5"/>
      <c r="K26" s="5"/>
      <c r="L26" s="5"/>
      <c r="M26" s="5"/>
      <c r="N26" s="5"/>
      <c r="O26" s="5"/>
      <c r="P26" s="4">
        <v>1000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12">
        <v>-1000</v>
      </c>
      <c r="AC26" s="4">
        <v>4000</v>
      </c>
    </row>
    <row r="27" spans="1:29" ht="11.55" customHeight="1" x14ac:dyDescent="0.3">
      <c r="A27" s="6">
        <v>22</v>
      </c>
      <c r="B27" s="7" t="s">
        <v>69</v>
      </c>
      <c r="C27" s="7" t="s">
        <v>60</v>
      </c>
      <c r="D27" s="7" t="s">
        <v>55</v>
      </c>
      <c r="E27" s="6" t="s">
        <v>70</v>
      </c>
      <c r="F27" s="8">
        <v>2500</v>
      </c>
      <c r="G27" s="8">
        <v>1262.22</v>
      </c>
      <c r="H27" s="9"/>
      <c r="I27" s="9"/>
      <c r="J27" s="9"/>
      <c r="K27" s="9"/>
      <c r="L27" s="9"/>
      <c r="M27" s="9"/>
      <c r="N27" s="9"/>
      <c r="O27" s="9"/>
      <c r="P27" s="8">
        <v>847.04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8">
        <v>390.74</v>
      </c>
      <c r="AC27" s="8">
        <v>2109.2600000000002</v>
      </c>
    </row>
    <row r="28" spans="1:29" ht="11.55" customHeight="1" x14ac:dyDescent="0.3">
      <c r="A28" s="2">
        <v>23</v>
      </c>
      <c r="B28" s="3" t="s">
        <v>71</v>
      </c>
      <c r="C28" s="3" t="s">
        <v>72</v>
      </c>
      <c r="D28" s="3" t="s">
        <v>73</v>
      </c>
      <c r="E28" s="2" t="s">
        <v>74</v>
      </c>
      <c r="F28" s="4">
        <v>2500</v>
      </c>
      <c r="G28" s="5"/>
      <c r="H28" s="5"/>
      <c r="I28" s="5"/>
      <c r="J28" s="5"/>
      <c r="K28" s="5"/>
      <c r="L28" s="5"/>
      <c r="M28" s="5"/>
      <c r="N28" s="4">
        <v>1000</v>
      </c>
      <c r="O28" s="2" t="s">
        <v>199</v>
      </c>
      <c r="P28" s="5"/>
      <c r="Q28" s="5"/>
      <c r="R28" s="5"/>
      <c r="S28" s="5"/>
      <c r="T28" s="4">
        <v>500</v>
      </c>
      <c r="U28" s="2" t="s">
        <v>200</v>
      </c>
      <c r="V28" s="5"/>
      <c r="W28" s="5"/>
      <c r="X28" s="5"/>
      <c r="Y28" s="5"/>
      <c r="Z28" s="5"/>
      <c r="AA28" s="5"/>
      <c r="AB28" s="4">
        <v>1000</v>
      </c>
      <c r="AC28" s="4">
        <v>1500</v>
      </c>
    </row>
    <row r="29" spans="1:29" ht="11.55" customHeight="1" x14ac:dyDescent="0.3">
      <c r="A29" s="6">
        <v>24</v>
      </c>
      <c r="B29" s="7" t="s">
        <v>75</v>
      </c>
      <c r="C29" s="7"/>
      <c r="D29" s="7" t="s">
        <v>23</v>
      </c>
      <c r="E29" s="6"/>
      <c r="F29" s="8">
        <v>1000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8">
        <v>1000</v>
      </c>
      <c r="AC29" s="8">
        <v>0</v>
      </c>
    </row>
    <row r="30" spans="1:29" ht="11.55" customHeight="1" x14ac:dyDescent="0.3">
      <c r="A30" s="2">
        <v>25</v>
      </c>
      <c r="B30" s="3" t="s">
        <v>76</v>
      </c>
      <c r="C30" s="3" t="s">
        <v>77</v>
      </c>
      <c r="D30" s="3" t="s">
        <v>26</v>
      </c>
      <c r="E30" s="2" t="s">
        <v>78</v>
      </c>
      <c r="F30" s="4">
        <v>2500</v>
      </c>
      <c r="G30" s="4">
        <v>2109.96</v>
      </c>
      <c r="H30" s="5"/>
      <c r="I30" s="5"/>
      <c r="J30" s="5"/>
      <c r="K30" s="5"/>
      <c r="L30" s="5"/>
      <c r="M30" s="4">
        <v>1924.49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2">
        <v>-1534.45</v>
      </c>
      <c r="AC30" s="4">
        <v>4034.45</v>
      </c>
    </row>
    <row r="31" spans="1:29" ht="11.55" customHeight="1" x14ac:dyDescent="0.3">
      <c r="A31" s="6">
        <v>26</v>
      </c>
      <c r="B31" s="7" t="s">
        <v>79</v>
      </c>
      <c r="C31" s="7" t="s">
        <v>77</v>
      </c>
      <c r="D31" s="7" t="s">
        <v>80</v>
      </c>
      <c r="E31" s="6" t="s">
        <v>81</v>
      </c>
      <c r="F31" s="8">
        <v>1000</v>
      </c>
      <c r="G31" s="8">
        <v>1000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8">
        <v>200</v>
      </c>
      <c r="T31" s="9"/>
      <c r="U31" s="9"/>
      <c r="V31" s="9"/>
      <c r="W31" s="9"/>
      <c r="X31" s="9"/>
      <c r="Y31" s="9"/>
      <c r="Z31" s="9"/>
      <c r="AA31" s="9"/>
      <c r="AB31" s="13">
        <v>-200</v>
      </c>
      <c r="AC31" s="8">
        <v>1200</v>
      </c>
    </row>
    <row r="32" spans="1:29" ht="11.55" customHeight="1" x14ac:dyDescent="0.3">
      <c r="A32" s="2">
        <v>27</v>
      </c>
      <c r="B32" s="3"/>
      <c r="C32" s="3"/>
      <c r="D32" s="3" t="s">
        <v>82</v>
      </c>
      <c r="E32" s="2"/>
      <c r="F32" s="4">
        <v>500</v>
      </c>
      <c r="G32" s="4">
        <v>500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4">
        <v>0</v>
      </c>
      <c r="AC32" s="4">
        <v>500</v>
      </c>
    </row>
    <row r="33" spans="1:29" ht="11.55" customHeight="1" x14ac:dyDescent="0.3">
      <c r="A33" s="6">
        <v>28</v>
      </c>
      <c r="B33" s="7"/>
      <c r="C33" s="7"/>
      <c r="D33" s="7" t="s">
        <v>82</v>
      </c>
      <c r="E33" s="6"/>
      <c r="F33" s="8">
        <v>500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8">
        <v>500</v>
      </c>
      <c r="AC33" s="8">
        <v>0</v>
      </c>
    </row>
    <row r="34" spans="1:29" ht="11.55" customHeight="1" x14ac:dyDescent="0.3">
      <c r="A34" s="2">
        <v>29</v>
      </c>
      <c r="B34" s="3" t="s">
        <v>83</v>
      </c>
      <c r="C34" s="3"/>
      <c r="D34" s="3"/>
      <c r="E34" s="2" t="s">
        <v>84</v>
      </c>
      <c r="F34" s="4">
        <v>800</v>
      </c>
      <c r="G34" s="4">
        <v>800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4">
        <v>0</v>
      </c>
      <c r="AC34" s="4">
        <v>800</v>
      </c>
    </row>
    <row r="35" spans="1:29" ht="11.55" customHeight="1" x14ac:dyDescent="0.3">
      <c r="A35" s="6">
        <v>30</v>
      </c>
      <c r="B35" s="7"/>
      <c r="C35" s="7"/>
      <c r="D35" s="7" t="s">
        <v>23</v>
      </c>
      <c r="E35" s="6"/>
      <c r="F35" s="8">
        <v>500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8">
        <v>500</v>
      </c>
      <c r="AC35" s="8">
        <v>0</v>
      </c>
    </row>
    <row r="36" spans="1:29" ht="11.55" customHeight="1" x14ac:dyDescent="0.3">
      <c r="A36" s="2">
        <v>31</v>
      </c>
      <c r="B36" s="3" t="s">
        <v>128</v>
      </c>
      <c r="C36" s="3" t="s">
        <v>129</v>
      </c>
      <c r="D36" s="3"/>
      <c r="E36" s="2" t="s">
        <v>130</v>
      </c>
      <c r="F36" s="4">
        <v>1500</v>
      </c>
      <c r="G36" s="5"/>
      <c r="H36" s="5"/>
      <c r="I36" s="5"/>
      <c r="J36" s="4">
        <v>850.82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4">
        <v>650</v>
      </c>
      <c r="W36" s="5"/>
      <c r="X36" s="5"/>
      <c r="Y36" s="5"/>
      <c r="Z36" s="5"/>
      <c r="AA36" s="5"/>
      <c r="AB36" s="12">
        <v>-0.82</v>
      </c>
      <c r="AC36" s="4">
        <v>1500.82</v>
      </c>
    </row>
    <row r="37" spans="1:29" ht="11.55" customHeight="1" x14ac:dyDescent="0.3">
      <c r="A37" s="6">
        <v>32</v>
      </c>
      <c r="B37" s="7" t="s">
        <v>131</v>
      </c>
      <c r="C37" s="7" t="s">
        <v>132</v>
      </c>
      <c r="D37" s="7" t="s">
        <v>26</v>
      </c>
      <c r="E37" s="6" t="s">
        <v>133</v>
      </c>
      <c r="F37" s="8">
        <v>1500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8">
        <v>1500</v>
      </c>
      <c r="AC37" s="8">
        <v>0</v>
      </c>
    </row>
    <row r="38" spans="1:29" ht="11.55" customHeight="1" x14ac:dyDescent="0.3">
      <c r="A38" s="2">
        <v>33</v>
      </c>
      <c r="B38" s="3" t="s">
        <v>134</v>
      </c>
      <c r="C38" s="3" t="s">
        <v>135</v>
      </c>
      <c r="D38" s="3" t="s">
        <v>37</v>
      </c>
      <c r="E38" s="2"/>
      <c r="F38" s="4">
        <v>700</v>
      </c>
      <c r="G38" s="5"/>
      <c r="H38" s="5"/>
      <c r="I38" s="5"/>
      <c r="J38" s="5"/>
      <c r="K38" s="5"/>
      <c r="L38" s="5"/>
      <c r="M38" s="4">
        <v>700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4">
        <v>0</v>
      </c>
      <c r="AC38" s="4">
        <v>700</v>
      </c>
    </row>
    <row r="39" spans="1:29" ht="11.55" customHeight="1" x14ac:dyDescent="0.3">
      <c r="A39" s="6">
        <v>34</v>
      </c>
      <c r="B39" s="7" t="s">
        <v>86</v>
      </c>
      <c r="C39" s="7"/>
      <c r="D39" s="7" t="s">
        <v>87</v>
      </c>
      <c r="E39" s="6" t="s">
        <v>88</v>
      </c>
      <c r="F39" s="8">
        <v>3000</v>
      </c>
      <c r="G39" s="9"/>
      <c r="H39" s="8">
        <v>1200</v>
      </c>
      <c r="I39" s="6" t="s">
        <v>201</v>
      </c>
      <c r="J39" s="9"/>
      <c r="K39" s="9"/>
      <c r="L39" s="9"/>
      <c r="M39" s="9"/>
      <c r="N39" s="8">
        <v>800</v>
      </c>
      <c r="O39" s="6" t="s">
        <v>202</v>
      </c>
      <c r="P39" s="9"/>
      <c r="Q39" s="8">
        <v>1000</v>
      </c>
      <c r="R39" s="6" t="s">
        <v>203</v>
      </c>
      <c r="S39" s="9"/>
      <c r="T39" s="9"/>
      <c r="U39" s="9"/>
      <c r="V39" s="9"/>
      <c r="W39" s="9"/>
      <c r="X39" s="9"/>
      <c r="Y39" s="9"/>
      <c r="Z39" s="9"/>
      <c r="AA39" s="9"/>
      <c r="AB39" s="8">
        <v>0</v>
      </c>
      <c r="AC39" s="8">
        <v>3000</v>
      </c>
    </row>
    <row r="40" spans="1:29" ht="11.55" customHeight="1" x14ac:dyDescent="0.3">
      <c r="A40" s="2"/>
      <c r="B40" s="3" t="s">
        <v>159</v>
      </c>
      <c r="C40" s="3"/>
      <c r="D40" s="3" t="s">
        <v>26</v>
      </c>
      <c r="E40" s="2" t="s">
        <v>160</v>
      </c>
      <c r="F40" s="4">
        <v>1500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4">
        <v>1500</v>
      </c>
      <c r="AC40" s="4">
        <v>0</v>
      </c>
    </row>
    <row r="41" spans="1:29" ht="11.55" customHeight="1" x14ac:dyDescent="0.3">
      <c r="A41" s="6"/>
      <c r="B41" s="7"/>
      <c r="C41" s="7"/>
      <c r="D41" s="7" t="s">
        <v>26</v>
      </c>
      <c r="E41" s="6" t="s">
        <v>161</v>
      </c>
      <c r="F41" s="8">
        <v>1500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8">
        <v>1500</v>
      </c>
      <c r="U41" s="6" t="s">
        <v>204</v>
      </c>
      <c r="V41" s="9"/>
      <c r="W41" s="9"/>
      <c r="X41" s="9"/>
      <c r="Y41" s="9"/>
      <c r="Z41" s="9"/>
      <c r="AA41" s="9"/>
      <c r="AB41" s="8">
        <v>0</v>
      </c>
      <c r="AC41" s="8">
        <v>1500</v>
      </c>
    </row>
    <row r="42" spans="1:29" ht="11.55" customHeight="1" x14ac:dyDescent="0.3">
      <c r="A42" s="2"/>
      <c r="B42" s="3"/>
      <c r="C42" s="3"/>
      <c r="D42" s="3" t="s">
        <v>26</v>
      </c>
      <c r="E42" s="2" t="s">
        <v>163</v>
      </c>
      <c r="F42" s="4">
        <v>1500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4">
        <v>1500</v>
      </c>
      <c r="AC42" s="4">
        <v>0</v>
      </c>
    </row>
    <row r="43" spans="1:29" ht="11.55" customHeight="1" x14ac:dyDescent="0.3">
      <c r="A43" s="6"/>
      <c r="B43" s="7" t="s">
        <v>205</v>
      </c>
      <c r="C43" s="7"/>
      <c r="D43" s="7"/>
      <c r="E43" s="6" t="s">
        <v>30</v>
      </c>
      <c r="F43" s="8">
        <v>800</v>
      </c>
      <c r="G43" s="9"/>
      <c r="H43" s="9"/>
      <c r="I43" s="9"/>
      <c r="J43" s="9"/>
      <c r="K43" s="9"/>
      <c r="L43" s="9"/>
      <c r="M43" s="8">
        <v>800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8">
        <v>0</v>
      </c>
      <c r="AC43" s="8">
        <v>800</v>
      </c>
    </row>
    <row r="44" spans="1:29" ht="13.5" customHeight="1" x14ac:dyDescent="0.3">
      <c r="A44" s="16" t="s">
        <v>89</v>
      </c>
      <c r="B44" s="17"/>
      <c r="C44" s="17"/>
      <c r="D44" s="17"/>
      <c r="E44" s="17"/>
      <c r="F44" s="10">
        <f t="shared" ref="F44:AC44" si="0">SUM(F4:F43)</f>
        <v>57500</v>
      </c>
      <c r="G44" s="10">
        <f t="shared" si="0"/>
        <v>15567.66</v>
      </c>
      <c r="H44" s="10">
        <f t="shared" si="0"/>
        <v>5700</v>
      </c>
      <c r="I44" s="10">
        <f t="shared" si="0"/>
        <v>0</v>
      </c>
      <c r="J44" s="10">
        <f t="shared" si="0"/>
        <v>3508.94</v>
      </c>
      <c r="K44" s="10">
        <f t="shared" si="0"/>
        <v>0</v>
      </c>
      <c r="L44" s="10">
        <f t="shared" si="0"/>
        <v>0</v>
      </c>
      <c r="M44" s="10">
        <f t="shared" si="0"/>
        <v>7653.77</v>
      </c>
      <c r="N44" s="10">
        <f t="shared" si="0"/>
        <v>1800</v>
      </c>
      <c r="O44" s="10">
        <f t="shared" si="0"/>
        <v>0</v>
      </c>
      <c r="P44" s="10">
        <f t="shared" si="0"/>
        <v>3299.04</v>
      </c>
      <c r="Q44" s="10">
        <f t="shared" si="0"/>
        <v>2500</v>
      </c>
      <c r="R44" s="10">
        <f t="shared" si="0"/>
        <v>0</v>
      </c>
      <c r="S44" s="10">
        <f t="shared" si="0"/>
        <v>700</v>
      </c>
      <c r="T44" s="10">
        <f t="shared" si="0"/>
        <v>2000</v>
      </c>
      <c r="U44" s="10">
        <f t="shared" si="0"/>
        <v>0</v>
      </c>
      <c r="V44" s="10">
        <f t="shared" si="0"/>
        <v>3572.74</v>
      </c>
      <c r="W44" s="10">
        <f t="shared" si="0"/>
        <v>0</v>
      </c>
      <c r="X44" s="10">
        <f t="shared" si="0"/>
        <v>0</v>
      </c>
      <c r="Y44" s="10">
        <f t="shared" si="0"/>
        <v>0</v>
      </c>
      <c r="Z44" s="10">
        <f t="shared" si="0"/>
        <v>0</v>
      </c>
      <c r="AA44" s="10">
        <f t="shared" si="0"/>
        <v>0</v>
      </c>
      <c r="AB44" s="10">
        <f t="shared" si="0"/>
        <v>11197.850000000002</v>
      </c>
      <c r="AC44" s="10">
        <f t="shared" si="0"/>
        <v>44641.88</v>
      </c>
    </row>
    <row r="45" spans="1:29" ht="6" customHeight="1" x14ac:dyDescent="0.3"/>
    <row r="46" spans="1:29" ht="16.95" customHeight="1" x14ac:dyDescent="0.3">
      <c r="A46" s="23" t="s">
        <v>206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3.95" customHeight="1" x14ac:dyDescent="0.3">
      <c r="A47" s="14" t="s">
        <v>1</v>
      </c>
      <c r="B47" s="14" t="s">
        <v>2</v>
      </c>
      <c r="C47" s="14" t="s">
        <v>3</v>
      </c>
      <c r="D47" s="14" t="s">
        <v>4</v>
      </c>
      <c r="E47" s="14" t="s">
        <v>5</v>
      </c>
      <c r="F47" s="14" t="s">
        <v>6</v>
      </c>
      <c r="G47" s="18" t="s">
        <v>187</v>
      </c>
      <c r="H47" s="19"/>
      <c r="I47" s="19"/>
      <c r="J47" s="18" t="s">
        <v>188</v>
      </c>
      <c r="K47" s="19"/>
      <c r="L47" s="19"/>
      <c r="M47" s="18" t="s">
        <v>189</v>
      </c>
      <c r="N47" s="19"/>
      <c r="O47" s="19"/>
      <c r="P47" s="18" t="s">
        <v>190</v>
      </c>
      <c r="Q47" s="19"/>
      <c r="R47" s="19"/>
      <c r="S47" s="18" t="s">
        <v>191</v>
      </c>
      <c r="T47" s="19"/>
      <c r="U47" s="19"/>
      <c r="V47" s="18" t="s">
        <v>192</v>
      </c>
      <c r="W47" s="19"/>
      <c r="X47" s="19"/>
      <c r="Y47" s="18" t="s">
        <v>193</v>
      </c>
      <c r="Z47" s="19"/>
      <c r="AA47" s="19"/>
      <c r="AB47" s="20" t="s">
        <v>14</v>
      </c>
      <c r="AC47" s="14" t="s">
        <v>15</v>
      </c>
    </row>
    <row r="48" spans="1:29" ht="13.05" customHeight="1" x14ac:dyDescent="0.3">
      <c r="A48" s="15"/>
      <c r="B48" s="15"/>
      <c r="C48" s="15"/>
      <c r="D48" s="15"/>
      <c r="E48" s="15"/>
      <c r="F48" s="15"/>
      <c r="G48" s="1" t="s">
        <v>16</v>
      </c>
      <c r="H48" s="1" t="s">
        <v>17</v>
      </c>
      <c r="I48" s="1" t="s">
        <v>18</v>
      </c>
      <c r="J48" s="1" t="s">
        <v>16</v>
      </c>
      <c r="K48" s="1" t="s">
        <v>17</v>
      </c>
      <c r="L48" s="1" t="s">
        <v>18</v>
      </c>
      <c r="M48" s="1" t="s">
        <v>16</v>
      </c>
      <c r="N48" s="1" t="s">
        <v>17</v>
      </c>
      <c r="O48" s="1" t="s">
        <v>18</v>
      </c>
      <c r="P48" s="1" t="s">
        <v>16</v>
      </c>
      <c r="Q48" s="1" t="s">
        <v>17</v>
      </c>
      <c r="R48" s="1" t="s">
        <v>18</v>
      </c>
      <c r="S48" s="1" t="s">
        <v>16</v>
      </c>
      <c r="T48" s="1" t="s">
        <v>17</v>
      </c>
      <c r="U48" s="1" t="s">
        <v>18</v>
      </c>
      <c r="V48" s="1" t="s">
        <v>16</v>
      </c>
      <c r="W48" s="1" t="s">
        <v>17</v>
      </c>
      <c r="X48" s="1" t="s">
        <v>18</v>
      </c>
      <c r="Y48" s="1" t="s">
        <v>16</v>
      </c>
      <c r="Z48" s="1" t="s">
        <v>17</v>
      </c>
      <c r="AA48" s="1" t="s">
        <v>18</v>
      </c>
      <c r="AB48" s="19"/>
      <c r="AC48" s="15"/>
    </row>
    <row r="49" spans="1:29" ht="11.55" customHeight="1" x14ac:dyDescent="0.3">
      <c r="A49" s="2">
        <v>1</v>
      </c>
      <c r="B49" s="3" t="s">
        <v>91</v>
      </c>
      <c r="C49" s="3" t="s">
        <v>92</v>
      </c>
      <c r="D49" s="3" t="s">
        <v>93</v>
      </c>
      <c r="E49" s="2" t="s">
        <v>94</v>
      </c>
      <c r="F49" s="4">
        <v>2500</v>
      </c>
      <c r="G49" s="4">
        <v>2149.96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>
        <v>386.67</v>
      </c>
      <c r="T49" s="5"/>
      <c r="U49" s="5"/>
      <c r="V49" s="5"/>
      <c r="W49" s="5"/>
      <c r="X49" s="5"/>
      <c r="Y49" s="5"/>
      <c r="Z49" s="5"/>
      <c r="AA49" s="5"/>
      <c r="AB49" s="12">
        <v>-36.630000000000003</v>
      </c>
      <c r="AC49" s="4">
        <v>2536.63</v>
      </c>
    </row>
    <row r="50" spans="1:29" ht="11.55" customHeight="1" x14ac:dyDescent="0.3">
      <c r="A50" s="6">
        <v>2</v>
      </c>
      <c r="B50" s="7" t="s">
        <v>95</v>
      </c>
      <c r="C50" s="7" t="s">
        <v>92</v>
      </c>
      <c r="D50" s="7" t="s">
        <v>87</v>
      </c>
      <c r="E50" s="6" t="s">
        <v>96</v>
      </c>
      <c r="F50" s="8">
        <v>1500</v>
      </c>
      <c r="G50" s="9"/>
      <c r="H50" s="9"/>
      <c r="I50" s="9"/>
      <c r="J50" s="9"/>
      <c r="K50" s="9"/>
      <c r="L50" s="9"/>
      <c r="M50" s="8">
        <v>1500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8">
        <v>0</v>
      </c>
      <c r="AC50" s="8">
        <v>1500</v>
      </c>
    </row>
    <row r="51" spans="1:29" ht="11.55" customHeight="1" x14ac:dyDescent="0.3">
      <c r="A51" s="2">
        <v>3</v>
      </c>
      <c r="B51" s="3" t="s">
        <v>97</v>
      </c>
      <c r="C51" s="3" t="s">
        <v>92</v>
      </c>
      <c r="D51" s="3" t="s">
        <v>98</v>
      </c>
      <c r="E51" s="2" t="s">
        <v>22</v>
      </c>
      <c r="F51" s="4">
        <v>2000</v>
      </c>
      <c r="G51" s="5"/>
      <c r="H51" s="5"/>
      <c r="I51" s="5"/>
      <c r="J51" s="4">
        <v>1121.3399999999999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4">
        <v>878.66</v>
      </c>
      <c r="AC51" s="4">
        <v>1121.3399999999999</v>
      </c>
    </row>
    <row r="52" spans="1:29" ht="11.55" customHeight="1" x14ac:dyDescent="0.3">
      <c r="A52" s="6"/>
      <c r="B52" s="7" t="s">
        <v>97</v>
      </c>
      <c r="C52" s="7" t="s">
        <v>92</v>
      </c>
      <c r="D52" s="7" t="s">
        <v>23</v>
      </c>
      <c r="E52" s="6"/>
      <c r="F52" s="8">
        <v>300</v>
      </c>
      <c r="G52" s="9"/>
      <c r="H52" s="9"/>
      <c r="I52" s="9"/>
      <c r="J52" s="8">
        <v>228.9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8">
        <v>71.099999999999994</v>
      </c>
      <c r="AC52" s="8">
        <v>228.9</v>
      </c>
    </row>
    <row r="53" spans="1:29" ht="11.55" customHeight="1" x14ac:dyDescent="0.3">
      <c r="A53" s="2">
        <v>4</v>
      </c>
      <c r="B53" s="3" t="s">
        <v>99</v>
      </c>
      <c r="C53" s="3" t="s">
        <v>100</v>
      </c>
      <c r="D53" s="3" t="s">
        <v>87</v>
      </c>
      <c r="E53" s="2" t="s">
        <v>101</v>
      </c>
      <c r="F53" s="4">
        <v>1500</v>
      </c>
      <c r="G53" s="4">
        <v>1500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4">
        <v>0</v>
      </c>
      <c r="AC53" s="4">
        <v>1500</v>
      </c>
    </row>
    <row r="54" spans="1:29" ht="11.55" customHeight="1" x14ac:dyDescent="0.3">
      <c r="A54" s="6">
        <v>5</v>
      </c>
      <c r="B54" s="7" t="s">
        <v>102</v>
      </c>
      <c r="C54" s="7" t="s">
        <v>100</v>
      </c>
      <c r="D54" s="7" t="s">
        <v>87</v>
      </c>
      <c r="E54" s="6" t="s">
        <v>103</v>
      </c>
      <c r="F54" s="8">
        <v>1500</v>
      </c>
      <c r="G54" s="8">
        <v>1500.28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3">
        <v>-0.28000000000000003</v>
      </c>
      <c r="AC54" s="8">
        <v>1500.28</v>
      </c>
    </row>
    <row r="55" spans="1:29" ht="11.55" customHeight="1" x14ac:dyDescent="0.3">
      <c r="A55" s="2">
        <v>6</v>
      </c>
      <c r="B55" s="3" t="s">
        <v>104</v>
      </c>
      <c r="C55" s="3" t="s">
        <v>105</v>
      </c>
      <c r="D55" s="3" t="s">
        <v>98</v>
      </c>
      <c r="E55" s="2" t="s">
        <v>106</v>
      </c>
      <c r="F55" s="4">
        <v>2000</v>
      </c>
      <c r="G55" s="5"/>
      <c r="H55" s="5"/>
      <c r="I55" s="5"/>
      <c r="J55" s="4">
        <v>1300.06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4">
        <v>699.94</v>
      </c>
      <c r="AC55" s="4">
        <v>1300.06</v>
      </c>
    </row>
    <row r="56" spans="1:29" ht="11.55" customHeight="1" x14ac:dyDescent="0.3">
      <c r="A56" s="6"/>
      <c r="B56" s="7" t="s">
        <v>92</v>
      </c>
      <c r="C56" s="7"/>
      <c r="D56" s="7" t="s">
        <v>23</v>
      </c>
      <c r="E56" s="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8">
        <v>0</v>
      </c>
      <c r="AC56" s="8">
        <v>0</v>
      </c>
    </row>
    <row r="57" spans="1:29" ht="13.5" customHeight="1" x14ac:dyDescent="0.3">
      <c r="A57" s="16" t="s">
        <v>107</v>
      </c>
      <c r="B57" s="17"/>
      <c r="C57" s="17"/>
      <c r="D57" s="17"/>
      <c r="E57" s="17"/>
      <c r="F57" s="10">
        <f t="shared" ref="F57:AC57" si="1">SUM(F49:F56)</f>
        <v>11300</v>
      </c>
      <c r="G57" s="10">
        <f t="shared" si="1"/>
        <v>5150.24</v>
      </c>
      <c r="H57" s="10">
        <f t="shared" si="1"/>
        <v>0</v>
      </c>
      <c r="I57" s="10">
        <f t="shared" si="1"/>
        <v>0</v>
      </c>
      <c r="J57" s="10">
        <f t="shared" si="1"/>
        <v>2650.3</v>
      </c>
      <c r="K57" s="10">
        <f t="shared" si="1"/>
        <v>0</v>
      </c>
      <c r="L57" s="10">
        <f t="shared" si="1"/>
        <v>0</v>
      </c>
      <c r="M57" s="10">
        <f t="shared" si="1"/>
        <v>1500</v>
      </c>
      <c r="N57" s="10">
        <f t="shared" si="1"/>
        <v>0</v>
      </c>
      <c r="O57" s="10">
        <f t="shared" si="1"/>
        <v>0</v>
      </c>
      <c r="P57" s="10">
        <f t="shared" si="1"/>
        <v>0</v>
      </c>
      <c r="Q57" s="10">
        <f t="shared" si="1"/>
        <v>0</v>
      </c>
      <c r="R57" s="10">
        <f t="shared" si="1"/>
        <v>0</v>
      </c>
      <c r="S57" s="10">
        <f t="shared" si="1"/>
        <v>386.67</v>
      </c>
      <c r="T57" s="10">
        <f t="shared" si="1"/>
        <v>0</v>
      </c>
      <c r="U57" s="10">
        <f t="shared" si="1"/>
        <v>0</v>
      </c>
      <c r="V57" s="10">
        <f t="shared" si="1"/>
        <v>0</v>
      </c>
      <c r="W57" s="10">
        <f t="shared" si="1"/>
        <v>0</v>
      </c>
      <c r="X57" s="10">
        <f t="shared" si="1"/>
        <v>0</v>
      </c>
      <c r="Y57" s="10">
        <f t="shared" si="1"/>
        <v>0</v>
      </c>
      <c r="Z57" s="10">
        <f t="shared" si="1"/>
        <v>0</v>
      </c>
      <c r="AA57" s="10">
        <f t="shared" si="1"/>
        <v>0</v>
      </c>
      <c r="AB57" s="10">
        <f t="shared" si="1"/>
        <v>1612.79</v>
      </c>
      <c r="AC57" s="10">
        <f t="shared" si="1"/>
        <v>9687.2099999999991</v>
      </c>
    </row>
    <row r="58" spans="1:29" ht="4.95" customHeight="1" x14ac:dyDescent="0.3"/>
  </sheetData>
  <mergeCells count="34">
    <mergeCell ref="A44:E44"/>
    <mergeCell ref="M2:O2"/>
    <mergeCell ref="S2:U2"/>
    <mergeCell ref="A1:AC1"/>
    <mergeCell ref="C47:C48"/>
    <mergeCell ref="AB47:AB48"/>
    <mergeCell ref="D47:D48"/>
    <mergeCell ref="J47:L47"/>
    <mergeCell ref="A2:A3"/>
    <mergeCell ref="AB2:AB3"/>
    <mergeCell ref="F47:F48"/>
    <mergeCell ref="C2:C3"/>
    <mergeCell ref="P47:R47"/>
    <mergeCell ref="E2:E3"/>
    <mergeCell ref="G47:I47"/>
    <mergeCell ref="M47:O47"/>
    <mergeCell ref="J2:L2"/>
    <mergeCell ref="A46:AC46"/>
    <mergeCell ref="V47:X47"/>
    <mergeCell ref="Y2:AA2"/>
    <mergeCell ref="B47:B48"/>
    <mergeCell ref="P2:R2"/>
    <mergeCell ref="AC47:AC48"/>
    <mergeCell ref="B2:B3"/>
    <mergeCell ref="D2:D3"/>
    <mergeCell ref="F2:F3"/>
    <mergeCell ref="A57:E57"/>
    <mergeCell ref="A47:A48"/>
    <mergeCell ref="AC2:AC3"/>
    <mergeCell ref="S47:U47"/>
    <mergeCell ref="Y47:AA47"/>
    <mergeCell ref="V2:X2"/>
    <mergeCell ref="G2:I2"/>
    <mergeCell ref="E47:E48"/>
  </mergeCells>
  <pageMargins left="0.2" right="0.2" top="0.25" bottom="0.25" header="0.1" footer="0.1"/>
  <pageSetup paperSize="5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58"/>
  <sheetViews>
    <sheetView topLeftCell="F34" workbookViewId="0">
      <selection activeCell="F59" sqref="A59:XFD59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23.44140625" bestFit="1" customWidth="1"/>
    <col min="5" max="5" width="7.77734375" customWidth="1"/>
    <col min="6" max="6" width="8.44140625" customWidth="1"/>
    <col min="7" max="7" width="7.88671875" bestFit="1" customWidth="1"/>
    <col min="8" max="8" width="7.109375" bestFit="1" customWidth="1"/>
    <col min="9" max="9" width="6.44140625" bestFit="1" customWidth="1"/>
    <col min="10" max="10" width="6.77734375" bestFit="1" customWidth="1"/>
    <col min="11" max="11" width="7.88671875" bestFit="1" customWidth="1"/>
    <col min="12" max="12" width="6.6640625" bestFit="1" customWidth="1"/>
    <col min="13" max="13" width="6.44140625" bestFit="1" customWidth="1"/>
    <col min="14" max="14" width="6.77734375" bestFit="1" customWidth="1"/>
    <col min="15" max="16" width="7.109375" bestFit="1" customWidth="1"/>
    <col min="17" max="17" width="6.44140625" bestFit="1" customWidth="1"/>
    <col min="18" max="18" width="6.77734375" bestFit="1" customWidth="1"/>
    <col min="19" max="20" width="7.109375" bestFit="1" customWidth="1"/>
    <col min="21" max="21" width="9.109375" bestFit="1" customWidth="1"/>
    <col min="22" max="22" width="6.77734375" bestFit="1" customWidth="1"/>
    <col min="23" max="24" width="7.109375" bestFit="1" customWidth="1"/>
    <col min="25" max="25" width="6.44140625" bestFit="1" customWidth="1"/>
    <col min="26" max="26" width="6.77734375" bestFit="1" customWidth="1"/>
    <col min="27" max="27" width="5.88671875" bestFit="1" customWidth="1"/>
    <col min="28" max="28" width="6.6640625" bestFit="1" customWidth="1"/>
    <col min="29" max="29" width="6.77734375" bestFit="1" customWidth="1"/>
    <col min="30" max="30" width="5.88671875" bestFit="1" customWidth="1"/>
    <col min="31" max="31" width="6.6640625" bestFit="1" customWidth="1"/>
    <col min="32" max="32" width="6.77734375" bestFit="1" customWidth="1"/>
    <col min="33" max="33" width="9.6640625" customWidth="1"/>
    <col min="34" max="34" width="8.44140625" customWidth="1"/>
  </cols>
  <sheetData>
    <row r="1" spans="1:34" ht="18" customHeight="1" x14ac:dyDescent="0.3">
      <c r="A1" s="23" t="s">
        <v>207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208</v>
      </c>
      <c r="H2" s="19"/>
      <c r="I2" s="19"/>
      <c r="J2" s="19"/>
      <c r="K2" s="18" t="s">
        <v>209</v>
      </c>
      <c r="L2" s="19"/>
      <c r="M2" s="19"/>
      <c r="N2" s="19"/>
      <c r="O2" s="18" t="s">
        <v>210</v>
      </c>
      <c r="P2" s="19"/>
      <c r="Q2" s="19"/>
      <c r="R2" s="19"/>
      <c r="S2" s="18" t="s">
        <v>211</v>
      </c>
      <c r="T2" s="19"/>
      <c r="U2" s="19"/>
      <c r="V2" s="19"/>
      <c r="W2" s="18" t="s">
        <v>212</v>
      </c>
      <c r="X2" s="19"/>
      <c r="Y2" s="19"/>
      <c r="Z2" s="19"/>
      <c r="AA2" s="18" t="s">
        <v>213</v>
      </c>
      <c r="AB2" s="19"/>
      <c r="AC2" s="19"/>
      <c r="AD2" s="18" t="s">
        <v>214</v>
      </c>
      <c r="AE2" s="19"/>
      <c r="AF2" s="19"/>
      <c r="AG2" s="20" t="s">
        <v>14</v>
      </c>
      <c r="AH2" s="14" t="s">
        <v>15</v>
      </c>
    </row>
    <row r="3" spans="1:34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  <c r="AG3" s="19"/>
      <c r="AH3" s="15"/>
    </row>
    <row r="4" spans="1:34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>
        <v>1200</v>
      </c>
      <c r="AH4" s="4">
        <v>0</v>
      </c>
    </row>
    <row r="5" spans="1:34" ht="11.55" customHeight="1" x14ac:dyDescent="0.3">
      <c r="A5" s="6">
        <v>2</v>
      </c>
      <c r="B5" s="7"/>
      <c r="C5" s="7"/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8">
        <v>500</v>
      </c>
      <c r="AH5" s="8">
        <v>0</v>
      </c>
    </row>
    <row r="6" spans="1:34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5"/>
      <c r="H6" s="4">
        <v>1904.88</v>
      </c>
      <c r="I6" s="2" t="s">
        <v>216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>
        <v>595.12</v>
      </c>
      <c r="AH6" s="4">
        <v>1904.88</v>
      </c>
    </row>
    <row r="7" spans="1:34" ht="11.55" customHeight="1" x14ac:dyDescent="0.3">
      <c r="A7" s="6">
        <v>4</v>
      </c>
      <c r="B7" s="7"/>
      <c r="C7" s="7"/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8">
        <v>500</v>
      </c>
      <c r="AH7" s="8">
        <v>0</v>
      </c>
    </row>
    <row r="8" spans="1:34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1500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>
        <v>1500</v>
      </c>
      <c r="AH8" s="4">
        <v>0</v>
      </c>
    </row>
    <row r="9" spans="1:34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9"/>
      <c r="H9" s="9"/>
      <c r="I9" s="9"/>
      <c r="J9" s="9"/>
      <c r="K9" s="8">
        <v>1167.6500000000001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8">
        <v>332.35</v>
      </c>
      <c r="AH9" s="8">
        <v>1167.6500000000001</v>
      </c>
    </row>
    <row r="10" spans="1:34" ht="11.55" customHeight="1" x14ac:dyDescent="0.3">
      <c r="A10" s="2">
        <v>7</v>
      </c>
      <c r="B10" s="3" t="s">
        <v>33</v>
      </c>
      <c r="C10" s="3" t="s">
        <v>25</v>
      </c>
      <c r="D10" s="3"/>
      <c r="E10" s="2" t="s">
        <v>32</v>
      </c>
      <c r="F10" s="4">
        <v>1500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>
        <v>1500</v>
      </c>
      <c r="AH10" s="4">
        <v>0</v>
      </c>
    </row>
    <row r="11" spans="1:34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8">
        <v>700</v>
      </c>
      <c r="AH11" s="8">
        <v>0</v>
      </c>
    </row>
    <row r="12" spans="1:34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>
        <v>1500</v>
      </c>
      <c r="AH12" s="4">
        <v>0</v>
      </c>
    </row>
    <row r="13" spans="1:34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8">
        <v>1488.35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8">
        <v>11.65</v>
      </c>
      <c r="AH13" s="8">
        <v>1488.35</v>
      </c>
    </row>
    <row r="14" spans="1:34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>
        <v>500</v>
      </c>
      <c r="AH14" s="4">
        <v>0</v>
      </c>
    </row>
    <row r="15" spans="1:34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9"/>
      <c r="H15" s="9"/>
      <c r="I15" s="9"/>
      <c r="J15" s="9"/>
      <c r="K15" s="8">
        <v>1500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8">
        <v>1500</v>
      </c>
      <c r="X15" s="9"/>
      <c r="Y15" s="9"/>
      <c r="Z15" s="9"/>
      <c r="AA15" s="9"/>
      <c r="AB15" s="9"/>
      <c r="AC15" s="9"/>
      <c r="AD15" s="9"/>
      <c r="AE15" s="9"/>
      <c r="AF15" s="9"/>
      <c r="AG15" s="13">
        <v>-1500</v>
      </c>
      <c r="AH15" s="8">
        <v>3000</v>
      </c>
    </row>
    <row r="16" spans="1:34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1500</v>
      </c>
      <c r="G16" s="4">
        <v>1500.35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>
        <v>1000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12">
        <v>-1000.35</v>
      </c>
      <c r="AH16" s="4">
        <v>2500.35</v>
      </c>
    </row>
    <row r="17" spans="1:34" ht="11.55" customHeight="1" x14ac:dyDescent="0.3">
      <c r="A17" s="6"/>
      <c r="B17" s="7" t="s">
        <v>50</v>
      </c>
      <c r="C17" s="7" t="s">
        <v>51</v>
      </c>
      <c r="D17" s="7"/>
      <c r="E17" s="6" t="s">
        <v>196</v>
      </c>
      <c r="F17" s="8">
        <v>2500</v>
      </c>
      <c r="G17" s="8">
        <v>1500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8">
        <v>1203.21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">
        <v>-203.21</v>
      </c>
      <c r="AH17" s="8">
        <v>2703.21</v>
      </c>
    </row>
    <row r="18" spans="1:34" ht="11.55" customHeight="1" x14ac:dyDescent="0.3">
      <c r="A18" s="2"/>
      <c r="B18" s="3" t="s">
        <v>50</v>
      </c>
      <c r="C18" s="3" t="s">
        <v>51</v>
      </c>
      <c r="D18" s="3" t="s">
        <v>23</v>
      </c>
      <c r="E18" s="2"/>
      <c r="F18" s="4">
        <v>300</v>
      </c>
      <c r="G18" s="5"/>
      <c r="H18" s="5"/>
      <c r="I18" s="5"/>
      <c r="J18" s="5"/>
      <c r="K18" s="5"/>
      <c r="L18" s="5"/>
      <c r="M18" s="5"/>
      <c r="N18" s="5"/>
      <c r="O18" s="4">
        <v>300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>
        <v>0</v>
      </c>
      <c r="AH18" s="4">
        <v>300</v>
      </c>
    </row>
    <row r="19" spans="1:34" ht="11.55" customHeight="1" x14ac:dyDescent="0.3">
      <c r="A19" s="6">
        <v>14</v>
      </c>
      <c r="B19" s="7" t="s">
        <v>54</v>
      </c>
      <c r="C19" s="7" t="s">
        <v>51</v>
      </c>
      <c r="D19" s="7" t="s">
        <v>55</v>
      </c>
      <c r="E19" s="6" t="s">
        <v>56</v>
      </c>
      <c r="F19" s="8">
        <v>2500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8">
        <v>2500</v>
      </c>
      <c r="AH19" s="8">
        <v>0</v>
      </c>
    </row>
    <row r="20" spans="1:34" ht="11.55" customHeight="1" x14ac:dyDescent="0.3">
      <c r="A20" s="2">
        <v>15</v>
      </c>
      <c r="B20" s="3" t="s">
        <v>57</v>
      </c>
      <c r="C20" s="3" t="s">
        <v>51</v>
      </c>
      <c r="D20" s="3" t="s">
        <v>48</v>
      </c>
      <c r="E20" s="2" t="s">
        <v>58</v>
      </c>
      <c r="F20" s="4">
        <v>4000</v>
      </c>
      <c r="G20" s="5"/>
      <c r="H20" s="4">
        <v>3511.75</v>
      </c>
      <c r="I20" s="2" t="s">
        <v>217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4">
        <v>1488.06</v>
      </c>
      <c r="U20" s="2" t="s">
        <v>218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12">
        <v>-999.81</v>
      </c>
      <c r="AH20" s="4">
        <v>4999.8100000000004</v>
      </c>
    </row>
    <row r="21" spans="1:34" ht="11.55" customHeight="1" x14ac:dyDescent="0.3">
      <c r="A21" s="6">
        <v>16</v>
      </c>
      <c r="B21" s="7" t="s">
        <v>59</v>
      </c>
      <c r="C21" s="7" t="s">
        <v>60</v>
      </c>
      <c r="D21" s="7" t="s">
        <v>52</v>
      </c>
      <c r="E21" s="6" t="s">
        <v>61</v>
      </c>
      <c r="F21" s="8">
        <v>2500</v>
      </c>
      <c r="G21" s="9"/>
      <c r="H21" s="9"/>
      <c r="I21" s="9"/>
      <c r="J21" s="9"/>
      <c r="K21" s="8">
        <v>1502.5</v>
      </c>
      <c r="L21" s="9"/>
      <c r="M21" s="9"/>
      <c r="N21" s="9"/>
      <c r="O21" s="9"/>
      <c r="P21" s="9"/>
      <c r="Q21" s="9"/>
      <c r="R21" s="9"/>
      <c r="S21" s="8">
        <v>807.51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8">
        <v>189.99</v>
      </c>
      <c r="AH21" s="8">
        <v>2310.0100000000002</v>
      </c>
    </row>
    <row r="22" spans="1:34" ht="11.55" customHeight="1" x14ac:dyDescent="0.3">
      <c r="A22" s="2">
        <v>17</v>
      </c>
      <c r="B22" s="3"/>
      <c r="C22" s="3"/>
      <c r="D22" s="3" t="s">
        <v>62</v>
      </c>
      <c r="E22" s="2"/>
      <c r="F22" s="4">
        <v>1000</v>
      </c>
      <c r="G22" s="4">
        <v>1000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>
        <v>0</v>
      </c>
      <c r="AH22" s="4">
        <v>1000</v>
      </c>
    </row>
    <row r="23" spans="1:34" ht="11.55" customHeight="1" x14ac:dyDescent="0.3">
      <c r="A23" s="6">
        <v>18</v>
      </c>
      <c r="B23" s="7"/>
      <c r="C23" s="7"/>
      <c r="D23" s="7" t="s">
        <v>63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8">
        <v>0</v>
      </c>
      <c r="AH23" s="8">
        <v>0</v>
      </c>
    </row>
    <row r="24" spans="1:34" ht="11.55" customHeight="1" x14ac:dyDescent="0.3">
      <c r="A24" s="2">
        <v>19</v>
      </c>
      <c r="B24" s="3"/>
      <c r="C24" s="3"/>
      <c r="D24" s="3" t="s">
        <v>64</v>
      </c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>
        <v>0</v>
      </c>
      <c r="AH24" s="4">
        <v>0</v>
      </c>
    </row>
    <row r="25" spans="1:34" ht="11.55" customHeight="1" x14ac:dyDescent="0.3">
      <c r="A25" s="6">
        <v>20</v>
      </c>
      <c r="B25" s="7" t="s">
        <v>65</v>
      </c>
      <c r="C25" s="7" t="s">
        <v>60</v>
      </c>
      <c r="D25" s="7" t="s">
        <v>52</v>
      </c>
      <c r="E25" s="6" t="s">
        <v>66</v>
      </c>
      <c r="F25" s="8">
        <v>1500</v>
      </c>
      <c r="G25" s="9"/>
      <c r="H25" s="9"/>
      <c r="I25" s="9"/>
      <c r="J25" s="9"/>
      <c r="K25" s="8">
        <v>1460.68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8">
        <v>39.32</v>
      </c>
      <c r="AH25" s="8">
        <v>1460.68</v>
      </c>
    </row>
    <row r="26" spans="1:34" ht="11.55" customHeight="1" x14ac:dyDescent="0.3">
      <c r="A26" s="2">
        <v>21</v>
      </c>
      <c r="B26" s="3" t="s">
        <v>67</v>
      </c>
      <c r="C26" s="3" t="s">
        <v>60</v>
      </c>
      <c r="D26" s="3" t="s">
        <v>48</v>
      </c>
      <c r="E26" s="2" t="s">
        <v>68</v>
      </c>
      <c r="F26" s="4">
        <v>3000</v>
      </c>
      <c r="G26" s="5"/>
      <c r="H26" s="5"/>
      <c r="I26" s="5"/>
      <c r="J26" s="5"/>
      <c r="K26" s="4">
        <v>3000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4">
        <v>500</v>
      </c>
      <c r="X26" s="5"/>
      <c r="Y26" s="5"/>
      <c r="Z26" s="5"/>
      <c r="AA26" s="5"/>
      <c r="AB26" s="5"/>
      <c r="AC26" s="5"/>
      <c r="AD26" s="5"/>
      <c r="AE26" s="5"/>
      <c r="AF26" s="5"/>
      <c r="AG26" s="12">
        <v>-500</v>
      </c>
      <c r="AH26" s="4">
        <v>3500</v>
      </c>
    </row>
    <row r="27" spans="1:34" ht="11.55" customHeight="1" x14ac:dyDescent="0.3">
      <c r="A27" s="6">
        <v>22</v>
      </c>
      <c r="B27" s="7" t="s">
        <v>69</v>
      </c>
      <c r="C27" s="7" t="s">
        <v>60</v>
      </c>
      <c r="D27" s="7" t="s">
        <v>55</v>
      </c>
      <c r="E27" s="6" t="s">
        <v>70</v>
      </c>
      <c r="F27" s="8">
        <v>2500</v>
      </c>
      <c r="G27" s="9"/>
      <c r="H27" s="9"/>
      <c r="I27" s="9"/>
      <c r="J27" s="9"/>
      <c r="K27" s="9"/>
      <c r="L27" s="9"/>
      <c r="M27" s="9"/>
      <c r="N27" s="9"/>
      <c r="O27" s="8">
        <v>1185.27</v>
      </c>
      <c r="P27" s="9"/>
      <c r="Q27" s="9"/>
      <c r="R27" s="9"/>
      <c r="S27" s="8">
        <v>614.44000000000005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8">
        <v>700.29</v>
      </c>
      <c r="AH27" s="8">
        <v>1799.71</v>
      </c>
    </row>
    <row r="28" spans="1:34" ht="11.55" customHeight="1" x14ac:dyDescent="0.3">
      <c r="A28" s="2">
        <v>23</v>
      </c>
      <c r="B28" s="3" t="s">
        <v>71</v>
      </c>
      <c r="C28" s="3" t="s">
        <v>72</v>
      </c>
      <c r="D28" s="3" t="s">
        <v>73</v>
      </c>
      <c r="E28" s="2" t="s">
        <v>74</v>
      </c>
      <c r="F28" s="4">
        <v>2500</v>
      </c>
      <c r="G28" s="5"/>
      <c r="H28" s="4">
        <v>1000</v>
      </c>
      <c r="I28" s="2" t="s">
        <v>219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4">
        <v>1500</v>
      </c>
      <c r="U28" s="2" t="s">
        <v>220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>
        <v>0</v>
      </c>
      <c r="AH28" s="4">
        <v>2500</v>
      </c>
    </row>
    <row r="29" spans="1:34" ht="11.55" customHeight="1" x14ac:dyDescent="0.3">
      <c r="A29" s="6">
        <v>24</v>
      </c>
      <c r="B29" s="7" t="s">
        <v>75</v>
      </c>
      <c r="C29" s="7"/>
      <c r="D29" s="7" t="s">
        <v>23</v>
      </c>
      <c r="E29" s="6"/>
      <c r="F29" s="8">
        <v>1000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8">
        <v>836.5</v>
      </c>
      <c r="U29" s="6" t="s">
        <v>221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8">
        <v>163.5</v>
      </c>
      <c r="AH29" s="8">
        <v>836.5</v>
      </c>
    </row>
    <row r="30" spans="1:34" ht="11.55" customHeight="1" x14ac:dyDescent="0.3">
      <c r="A30" s="2">
        <v>25</v>
      </c>
      <c r="B30" s="3" t="s">
        <v>76</v>
      </c>
      <c r="C30" s="3" t="s">
        <v>77</v>
      </c>
      <c r="D30" s="3" t="s">
        <v>26</v>
      </c>
      <c r="E30" s="2" t="s">
        <v>78</v>
      </c>
      <c r="F30" s="4">
        <v>2500</v>
      </c>
      <c r="G30" s="4">
        <v>2075.38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>
        <v>1500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12">
        <v>-1075.3800000000001</v>
      </c>
      <c r="AH30" s="4">
        <v>3575.38</v>
      </c>
    </row>
    <row r="31" spans="1:34" ht="11.55" customHeight="1" x14ac:dyDescent="0.3">
      <c r="A31" s="6">
        <v>26</v>
      </c>
      <c r="B31" s="7" t="s">
        <v>79</v>
      </c>
      <c r="C31" s="7" t="s">
        <v>77</v>
      </c>
      <c r="D31" s="7" t="s">
        <v>80</v>
      </c>
      <c r="E31" s="6" t="s">
        <v>81</v>
      </c>
      <c r="F31" s="8">
        <v>1000</v>
      </c>
      <c r="G31" s="8">
        <v>1000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8">
        <v>500</v>
      </c>
      <c r="X31" s="9"/>
      <c r="Y31" s="9"/>
      <c r="Z31" s="9"/>
      <c r="AA31" s="9"/>
      <c r="AB31" s="9"/>
      <c r="AC31" s="9"/>
      <c r="AD31" s="9"/>
      <c r="AE31" s="9"/>
      <c r="AF31" s="9"/>
      <c r="AG31" s="13">
        <v>-500</v>
      </c>
      <c r="AH31" s="8">
        <v>1500</v>
      </c>
    </row>
    <row r="32" spans="1:34" ht="11.55" customHeight="1" x14ac:dyDescent="0.3">
      <c r="A32" s="2">
        <v>27</v>
      </c>
      <c r="B32" s="3"/>
      <c r="C32" s="3"/>
      <c r="D32" s="3" t="s">
        <v>82</v>
      </c>
      <c r="E32" s="2"/>
      <c r="F32" s="4">
        <v>500</v>
      </c>
      <c r="G32" s="4">
        <v>500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>
        <v>0</v>
      </c>
      <c r="AH32" s="4">
        <v>500</v>
      </c>
    </row>
    <row r="33" spans="1:34" ht="11.55" customHeight="1" x14ac:dyDescent="0.3">
      <c r="A33" s="6">
        <v>28</v>
      </c>
      <c r="B33" s="7"/>
      <c r="C33" s="7"/>
      <c r="D33" s="7" t="s">
        <v>82</v>
      </c>
      <c r="E33" s="6"/>
      <c r="F33" s="8">
        <v>500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8">
        <v>500</v>
      </c>
      <c r="AH33" s="8">
        <v>0</v>
      </c>
    </row>
    <row r="34" spans="1:34" ht="11.55" customHeight="1" x14ac:dyDescent="0.3">
      <c r="A34" s="2">
        <v>29</v>
      </c>
      <c r="B34" s="3" t="s">
        <v>83</v>
      </c>
      <c r="C34" s="3"/>
      <c r="D34" s="3"/>
      <c r="E34" s="2" t="s">
        <v>84</v>
      </c>
      <c r="F34" s="4">
        <v>800</v>
      </c>
      <c r="G34" s="4">
        <v>800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>
        <v>0</v>
      </c>
      <c r="AH34" s="4">
        <v>800</v>
      </c>
    </row>
    <row r="35" spans="1:34" ht="11.55" customHeight="1" x14ac:dyDescent="0.3">
      <c r="A35" s="6">
        <v>30</v>
      </c>
      <c r="B35" s="7"/>
      <c r="C35" s="7"/>
      <c r="D35" s="7" t="s">
        <v>23</v>
      </c>
      <c r="E35" s="6"/>
      <c r="F35" s="8">
        <v>500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8">
        <v>500</v>
      </c>
      <c r="AB35" s="9"/>
      <c r="AC35" s="9"/>
      <c r="AD35" s="9"/>
      <c r="AE35" s="9"/>
      <c r="AF35" s="9"/>
      <c r="AG35" s="8">
        <v>0</v>
      </c>
      <c r="AH35" s="8">
        <v>500</v>
      </c>
    </row>
    <row r="36" spans="1:34" ht="11.55" customHeight="1" x14ac:dyDescent="0.3">
      <c r="A36" s="2">
        <v>31</v>
      </c>
      <c r="B36" s="3" t="s">
        <v>128</v>
      </c>
      <c r="C36" s="3" t="s">
        <v>129</v>
      </c>
      <c r="D36" s="3"/>
      <c r="E36" s="2" t="s">
        <v>130</v>
      </c>
      <c r="F36" s="4">
        <v>1500</v>
      </c>
      <c r="G36" s="5"/>
      <c r="H36" s="5"/>
      <c r="I36" s="5"/>
      <c r="J36" s="5"/>
      <c r="K36" s="4">
        <v>675.07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>
        <v>824.93</v>
      </c>
      <c r="AH36" s="4">
        <v>675.07</v>
      </c>
    </row>
    <row r="37" spans="1:34" ht="11.55" customHeight="1" x14ac:dyDescent="0.3">
      <c r="A37" s="6">
        <v>32</v>
      </c>
      <c r="B37" s="7" t="s">
        <v>131</v>
      </c>
      <c r="C37" s="7" t="s">
        <v>132</v>
      </c>
      <c r="D37" s="7" t="s">
        <v>26</v>
      </c>
      <c r="E37" s="6" t="s">
        <v>133</v>
      </c>
      <c r="F37" s="8">
        <v>1500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8">
        <v>1500</v>
      </c>
      <c r="AH37" s="8">
        <v>0</v>
      </c>
    </row>
    <row r="38" spans="1:34" ht="11.55" customHeight="1" x14ac:dyDescent="0.3">
      <c r="A38" s="2">
        <v>33</v>
      </c>
      <c r="B38" s="3" t="s">
        <v>134</v>
      </c>
      <c r="C38" s="3" t="s">
        <v>135</v>
      </c>
      <c r="D38" s="3" t="s">
        <v>37</v>
      </c>
      <c r="E38" s="2"/>
      <c r="F38" s="4">
        <v>700</v>
      </c>
      <c r="G38" s="4">
        <v>700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>
        <v>0</v>
      </c>
      <c r="AH38" s="4">
        <v>700</v>
      </c>
    </row>
    <row r="39" spans="1:34" ht="11.55" customHeight="1" x14ac:dyDescent="0.3">
      <c r="A39" s="6">
        <v>34</v>
      </c>
      <c r="B39" s="7" t="s">
        <v>86</v>
      </c>
      <c r="C39" s="7"/>
      <c r="D39" s="7" t="s">
        <v>87</v>
      </c>
      <c r="E39" s="6" t="s">
        <v>88</v>
      </c>
      <c r="F39" s="8">
        <v>3000</v>
      </c>
      <c r="G39" s="9"/>
      <c r="H39" s="9"/>
      <c r="I39" s="9"/>
      <c r="J39" s="9"/>
      <c r="K39" s="9"/>
      <c r="L39" s="9"/>
      <c r="M39" s="9"/>
      <c r="N39" s="9"/>
      <c r="O39" s="9"/>
      <c r="P39" s="8">
        <v>1000</v>
      </c>
      <c r="Q39" s="6" t="s">
        <v>222</v>
      </c>
      <c r="R39" s="9"/>
      <c r="S39" s="9"/>
      <c r="T39" s="8">
        <v>1000</v>
      </c>
      <c r="U39" s="6" t="s">
        <v>223</v>
      </c>
      <c r="V39" s="9"/>
      <c r="W39" s="9"/>
      <c r="X39" s="8">
        <v>1000</v>
      </c>
      <c r="Y39" s="6" t="s">
        <v>224</v>
      </c>
      <c r="Z39" s="9"/>
      <c r="AA39" s="9"/>
      <c r="AB39" s="9"/>
      <c r="AC39" s="9"/>
      <c r="AD39" s="9"/>
      <c r="AE39" s="9"/>
      <c r="AF39" s="9"/>
      <c r="AG39" s="8">
        <v>0</v>
      </c>
      <c r="AH39" s="8">
        <v>3000</v>
      </c>
    </row>
    <row r="40" spans="1:34" ht="11.55" customHeight="1" x14ac:dyDescent="0.3">
      <c r="A40" s="2"/>
      <c r="B40" s="3" t="s">
        <v>159</v>
      </c>
      <c r="C40" s="3"/>
      <c r="D40" s="3" t="s">
        <v>26</v>
      </c>
      <c r="E40" s="2" t="s">
        <v>160</v>
      </c>
      <c r="F40" s="4">
        <v>1500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>
        <v>1500</v>
      </c>
      <c r="AH40" s="4">
        <v>0</v>
      </c>
    </row>
    <row r="41" spans="1:34" ht="11.55" customHeight="1" x14ac:dyDescent="0.3">
      <c r="A41" s="6"/>
      <c r="B41" s="7"/>
      <c r="C41" s="7"/>
      <c r="D41" s="7" t="s">
        <v>26</v>
      </c>
      <c r="E41" s="6" t="s">
        <v>161</v>
      </c>
      <c r="F41" s="8">
        <v>1500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8">
        <v>1500</v>
      </c>
      <c r="AH41" s="8">
        <v>0</v>
      </c>
    </row>
    <row r="42" spans="1:34" ht="11.55" customHeight="1" x14ac:dyDescent="0.3">
      <c r="A42" s="2"/>
      <c r="B42" s="3"/>
      <c r="C42" s="3"/>
      <c r="D42" s="3" t="s">
        <v>26</v>
      </c>
      <c r="E42" s="2" t="s">
        <v>163</v>
      </c>
      <c r="F42" s="4">
        <v>1500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>
        <v>1500</v>
      </c>
      <c r="AH42" s="4">
        <v>0</v>
      </c>
    </row>
    <row r="43" spans="1:34" ht="11.55" customHeight="1" x14ac:dyDescent="0.3">
      <c r="A43" s="6"/>
      <c r="B43" s="7" t="s">
        <v>205</v>
      </c>
      <c r="C43" s="7"/>
      <c r="D43" s="7"/>
      <c r="E43" s="6" t="s">
        <v>30</v>
      </c>
      <c r="F43" s="8">
        <v>800</v>
      </c>
      <c r="G43" s="8">
        <v>800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8">
        <v>0</v>
      </c>
      <c r="AH43" s="8">
        <v>800</v>
      </c>
    </row>
    <row r="44" spans="1:34" ht="13.5" customHeight="1" x14ac:dyDescent="0.3">
      <c r="A44" s="16" t="s">
        <v>89</v>
      </c>
      <c r="B44" s="17"/>
      <c r="C44" s="17"/>
      <c r="D44" s="17"/>
      <c r="E44" s="17"/>
      <c r="F44" s="10">
        <f t="shared" ref="F44:AH44" si="0">SUM(F4:F43)</f>
        <v>57500</v>
      </c>
      <c r="G44" s="10">
        <f t="shared" si="0"/>
        <v>9875.73</v>
      </c>
      <c r="H44" s="10">
        <f t="shared" si="0"/>
        <v>6416.63</v>
      </c>
      <c r="I44" s="10">
        <f t="shared" si="0"/>
        <v>0</v>
      </c>
      <c r="J44" s="10">
        <f t="shared" si="0"/>
        <v>0</v>
      </c>
      <c r="K44" s="10">
        <f t="shared" si="0"/>
        <v>9305.9</v>
      </c>
      <c r="L44" s="10">
        <f t="shared" si="0"/>
        <v>0</v>
      </c>
      <c r="M44" s="10">
        <f t="shared" si="0"/>
        <v>0</v>
      </c>
      <c r="N44" s="10">
        <f t="shared" si="0"/>
        <v>0</v>
      </c>
      <c r="O44" s="10">
        <f t="shared" si="0"/>
        <v>1485.27</v>
      </c>
      <c r="P44" s="10">
        <f t="shared" si="0"/>
        <v>1000</v>
      </c>
      <c r="Q44" s="10">
        <f t="shared" si="0"/>
        <v>0</v>
      </c>
      <c r="R44" s="10">
        <f t="shared" si="0"/>
        <v>0</v>
      </c>
      <c r="S44" s="10">
        <f t="shared" si="0"/>
        <v>6613.51</v>
      </c>
      <c r="T44" s="10">
        <f t="shared" si="0"/>
        <v>4824.5599999999995</v>
      </c>
      <c r="U44" s="10">
        <f t="shared" si="0"/>
        <v>0</v>
      </c>
      <c r="V44" s="10">
        <f t="shared" si="0"/>
        <v>0</v>
      </c>
      <c r="W44" s="10">
        <f t="shared" si="0"/>
        <v>2500</v>
      </c>
      <c r="X44" s="10">
        <f t="shared" si="0"/>
        <v>1000</v>
      </c>
      <c r="Y44" s="10">
        <f t="shared" si="0"/>
        <v>0</v>
      </c>
      <c r="Z44" s="10">
        <f t="shared" si="0"/>
        <v>0</v>
      </c>
      <c r="AA44" s="10">
        <f t="shared" si="0"/>
        <v>500</v>
      </c>
      <c r="AB44" s="10">
        <f t="shared" si="0"/>
        <v>0</v>
      </c>
      <c r="AC44" s="10">
        <f t="shared" si="0"/>
        <v>0</v>
      </c>
      <c r="AD44" s="10">
        <f t="shared" si="0"/>
        <v>0</v>
      </c>
      <c r="AE44" s="10">
        <f t="shared" si="0"/>
        <v>0</v>
      </c>
      <c r="AF44" s="10">
        <f t="shared" si="0"/>
        <v>0</v>
      </c>
      <c r="AG44" s="10">
        <f t="shared" si="0"/>
        <v>13978.400000000001</v>
      </c>
      <c r="AH44" s="10">
        <f t="shared" si="0"/>
        <v>43521.599999999999</v>
      </c>
    </row>
    <row r="45" spans="1:34" ht="6" customHeight="1" x14ac:dyDescent="0.3"/>
    <row r="46" spans="1:34" ht="16.95" customHeight="1" x14ac:dyDescent="0.3">
      <c r="A46" s="23" t="s">
        <v>225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13.95" customHeight="1" x14ac:dyDescent="0.3">
      <c r="A47" s="14" t="s">
        <v>1</v>
      </c>
      <c r="B47" s="14" t="s">
        <v>2</v>
      </c>
      <c r="C47" s="14" t="s">
        <v>3</v>
      </c>
      <c r="D47" s="14" t="s">
        <v>4</v>
      </c>
      <c r="E47" s="14" t="s">
        <v>5</v>
      </c>
      <c r="F47" s="14" t="s">
        <v>6</v>
      </c>
      <c r="G47" s="18" t="s">
        <v>208</v>
      </c>
      <c r="H47" s="19"/>
      <c r="I47" s="19"/>
      <c r="J47" s="19"/>
      <c r="K47" s="18" t="s">
        <v>209</v>
      </c>
      <c r="L47" s="19"/>
      <c r="M47" s="19"/>
      <c r="N47" s="19"/>
      <c r="O47" s="18" t="s">
        <v>210</v>
      </c>
      <c r="P47" s="19"/>
      <c r="Q47" s="19"/>
      <c r="R47" s="19"/>
      <c r="S47" s="18" t="s">
        <v>211</v>
      </c>
      <c r="T47" s="19"/>
      <c r="U47" s="19"/>
      <c r="V47" s="19"/>
      <c r="W47" s="18" t="s">
        <v>212</v>
      </c>
      <c r="X47" s="19"/>
      <c r="Y47" s="19"/>
      <c r="Z47" s="19"/>
      <c r="AA47" s="18" t="s">
        <v>213</v>
      </c>
      <c r="AB47" s="19"/>
      <c r="AC47" s="19"/>
      <c r="AD47" s="18" t="s">
        <v>214</v>
      </c>
      <c r="AE47" s="19"/>
      <c r="AF47" s="19"/>
      <c r="AG47" s="20" t="s">
        <v>14</v>
      </c>
      <c r="AH47" s="14" t="s">
        <v>15</v>
      </c>
    </row>
    <row r="48" spans="1:34" ht="13.05" customHeight="1" x14ac:dyDescent="0.3">
      <c r="A48" s="15"/>
      <c r="B48" s="15"/>
      <c r="C48" s="15"/>
      <c r="D48" s="15"/>
      <c r="E48" s="15"/>
      <c r="F48" s="15"/>
      <c r="G48" s="1" t="s">
        <v>16</v>
      </c>
      <c r="H48" s="1" t="s">
        <v>17</v>
      </c>
      <c r="I48" s="1" t="s">
        <v>215</v>
      </c>
      <c r="J48" s="1" t="s">
        <v>18</v>
      </c>
      <c r="K48" s="1" t="s">
        <v>16</v>
      </c>
      <c r="L48" s="1" t="s">
        <v>17</v>
      </c>
      <c r="M48" s="1" t="s">
        <v>215</v>
      </c>
      <c r="N48" s="1" t="s">
        <v>18</v>
      </c>
      <c r="O48" s="1" t="s">
        <v>16</v>
      </c>
      <c r="P48" s="1" t="s">
        <v>17</v>
      </c>
      <c r="Q48" s="1" t="s">
        <v>215</v>
      </c>
      <c r="R48" s="1" t="s">
        <v>18</v>
      </c>
      <c r="S48" s="1" t="s">
        <v>16</v>
      </c>
      <c r="T48" s="1" t="s">
        <v>17</v>
      </c>
      <c r="U48" s="1" t="s">
        <v>215</v>
      </c>
      <c r="V48" s="1" t="s">
        <v>18</v>
      </c>
      <c r="W48" s="1" t="s">
        <v>16</v>
      </c>
      <c r="X48" s="1" t="s">
        <v>17</v>
      </c>
      <c r="Y48" s="1" t="s">
        <v>215</v>
      </c>
      <c r="Z48" s="1" t="s">
        <v>18</v>
      </c>
      <c r="AA48" s="1" t="s">
        <v>16</v>
      </c>
      <c r="AB48" s="1" t="s">
        <v>17</v>
      </c>
      <c r="AC48" s="1" t="s">
        <v>18</v>
      </c>
      <c r="AD48" s="1" t="s">
        <v>16</v>
      </c>
      <c r="AE48" s="1" t="s">
        <v>17</v>
      </c>
      <c r="AF48" s="1" t="s">
        <v>18</v>
      </c>
      <c r="AG48" s="19"/>
      <c r="AH48" s="15"/>
    </row>
    <row r="49" spans="1:34" ht="11.55" customHeight="1" x14ac:dyDescent="0.3">
      <c r="A49" s="2">
        <v>1</v>
      </c>
      <c r="B49" s="3" t="s">
        <v>91</v>
      </c>
      <c r="C49" s="3" t="s">
        <v>92</v>
      </c>
      <c r="D49" s="3" t="s">
        <v>93</v>
      </c>
      <c r="E49" s="2" t="s">
        <v>94</v>
      </c>
      <c r="F49" s="4">
        <v>2500</v>
      </c>
      <c r="G49" s="4">
        <v>1299.98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>
        <v>1000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>
        <v>200.02</v>
      </c>
      <c r="AH49" s="4">
        <v>2299.98</v>
      </c>
    </row>
    <row r="50" spans="1:34" ht="11.55" customHeight="1" x14ac:dyDescent="0.3">
      <c r="A50" s="6">
        <v>2</v>
      </c>
      <c r="B50" s="7" t="s">
        <v>95</v>
      </c>
      <c r="C50" s="7" t="s">
        <v>92</v>
      </c>
      <c r="D50" s="7" t="s">
        <v>87</v>
      </c>
      <c r="E50" s="6" t="s">
        <v>96</v>
      </c>
      <c r="F50" s="8">
        <v>1500</v>
      </c>
      <c r="G50" s="9"/>
      <c r="H50" s="9"/>
      <c r="I50" s="9"/>
      <c r="J50" s="9"/>
      <c r="K50" s="8">
        <v>1500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8">
        <v>0</v>
      </c>
      <c r="AH50" s="8">
        <v>1500</v>
      </c>
    </row>
    <row r="51" spans="1:34" ht="11.55" customHeight="1" x14ac:dyDescent="0.3">
      <c r="A51" s="2">
        <v>3</v>
      </c>
      <c r="B51" s="3" t="s">
        <v>97</v>
      </c>
      <c r="C51" s="3" t="s">
        <v>92</v>
      </c>
      <c r="D51" s="3" t="s">
        <v>98</v>
      </c>
      <c r="E51" s="2" t="s">
        <v>22</v>
      </c>
      <c r="F51" s="4">
        <v>2000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>
        <v>1000.22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>
        <v>999.78</v>
      </c>
      <c r="AH51" s="4">
        <v>1000.22</v>
      </c>
    </row>
    <row r="52" spans="1:34" ht="11.55" customHeight="1" x14ac:dyDescent="0.3">
      <c r="A52" s="6"/>
      <c r="B52" s="7" t="s">
        <v>97</v>
      </c>
      <c r="C52" s="7" t="s">
        <v>92</v>
      </c>
      <c r="D52" s="7" t="s">
        <v>23</v>
      </c>
      <c r="E52" s="6"/>
      <c r="F52" s="8">
        <v>300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8">
        <v>228.9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8">
        <v>71.099999999999994</v>
      </c>
      <c r="AH52" s="8">
        <v>228.9</v>
      </c>
    </row>
    <row r="53" spans="1:34" ht="11.55" customHeight="1" x14ac:dyDescent="0.3">
      <c r="A53" s="2">
        <v>4</v>
      </c>
      <c r="B53" s="3" t="s">
        <v>99</v>
      </c>
      <c r="C53" s="3" t="s">
        <v>100</v>
      </c>
      <c r="D53" s="3" t="s">
        <v>87</v>
      </c>
      <c r="E53" s="2" t="s">
        <v>101</v>
      </c>
      <c r="F53" s="4">
        <v>1500</v>
      </c>
      <c r="G53" s="4">
        <v>1478.63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>
        <v>21.37</v>
      </c>
      <c r="AH53" s="4">
        <v>1478.63</v>
      </c>
    </row>
    <row r="54" spans="1:34" ht="11.55" customHeight="1" x14ac:dyDescent="0.3">
      <c r="A54" s="6">
        <v>5</v>
      </c>
      <c r="B54" s="7" t="s">
        <v>102</v>
      </c>
      <c r="C54" s="7" t="s">
        <v>100</v>
      </c>
      <c r="D54" s="7" t="s">
        <v>87</v>
      </c>
      <c r="E54" s="6" t="s">
        <v>103</v>
      </c>
      <c r="F54" s="8">
        <v>1500</v>
      </c>
      <c r="G54" s="8">
        <v>1500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8">
        <v>0</v>
      </c>
      <c r="AH54" s="8">
        <v>1500</v>
      </c>
    </row>
    <row r="55" spans="1:34" ht="11.55" customHeight="1" x14ac:dyDescent="0.3">
      <c r="A55" s="2">
        <v>6</v>
      </c>
      <c r="B55" s="3" t="s">
        <v>104</v>
      </c>
      <c r="C55" s="3" t="s">
        <v>105</v>
      </c>
      <c r="D55" s="3" t="s">
        <v>98</v>
      </c>
      <c r="E55" s="2" t="s">
        <v>106</v>
      </c>
      <c r="F55" s="4">
        <v>2000</v>
      </c>
      <c r="G55" s="4">
        <v>2000</v>
      </c>
      <c r="H55" s="5"/>
      <c r="I55" s="5"/>
      <c r="J55" s="5"/>
      <c r="K55" s="5"/>
      <c r="L55" s="5"/>
      <c r="M55" s="5"/>
      <c r="N55" s="5"/>
      <c r="O55" s="4">
        <v>1223.3599999999999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12">
        <v>-1223.3599999999999</v>
      </c>
      <c r="AH55" s="4">
        <v>3223.36</v>
      </c>
    </row>
    <row r="56" spans="1:34" ht="11.55" customHeight="1" x14ac:dyDescent="0.3">
      <c r="A56" s="6">
        <v>7</v>
      </c>
      <c r="B56" s="7" t="s">
        <v>226</v>
      </c>
      <c r="C56" s="7" t="s">
        <v>100</v>
      </c>
      <c r="D56" s="7" t="s">
        <v>23</v>
      </c>
      <c r="E56" s="6"/>
      <c r="F56" s="8">
        <v>500</v>
      </c>
      <c r="G56" s="8">
        <v>457.8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8">
        <v>42.2</v>
      </c>
      <c r="AH56" s="8">
        <v>457.8</v>
      </c>
    </row>
    <row r="57" spans="1:34" ht="13.5" customHeight="1" x14ac:dyDescent="0.3">
      <c r="A57" s="16" t="s">
        <v>107</v>
      </c>
      <c r="B57" s="17"/>
      <c r="C57" s="17"/>
      <c r="D57" s="17"/>
      <c r="E57" s="17"/>
      <c r="F57" s="10">
        <f t="shared" ref="F57:AH57" si="1">SUM(F49:F56)</f>
        <v>11800</v>
      </c>
      <c r="G57" s="10">
        <f t="shared" si="1"/>
        <v>6736.4100000000008</v>
      </c>
      <c r="H57" s="10">
        <f t="shared" si="1"/>
        <v>0</v>
      </c>
      <c r="I57" s="10">
        <f t="shared" si="1"/>
        <v>0</v>
      </c>
      <c r="J57" s="10">
        <f t="shared" si="1"/>
        <v>0</v>
      </c>
      <c r="K57" s="10">
        <f t="shared" si="1"/>
        <v>1500</v>
      </c>
      <c r="L57" s="10">
        <f t="shared" si="1"/>
        <v>0</v>
      </c>
      <c r="M57" s="10">
        <f t="shared" si="1"/>
        <v>0</v>
      </c>
      <c r="N57" s="10">
        <f t="shared" si="1"/>
        <v>0</v>
      </c>
      <c r="O57" s="10">
        <f t="shared" si="1"/>
        <v>1223.3599999999999</v>
      </c>
      <c r="P57" s="10">
        <f t="shared" si="1"/>
        <v>0</v>
      </c>
      <c r="Q57" s="10">
        <f t="shared" si="1"/>
        <v>0</v>
      </c>
      <c r="R57" s="10">
        <f t="shared" si="1"/>
        <v>0</v>
      </c>
      <c r="S57" s="10">
        <f t="shared" si="1"/>
        <v>2229.12</v>
      </c>
      <c r="T57" s="10">
        <f t="shared" si="1"/>
        <v>0</v>
      </c>
      <c r="U57" s="10">
        <f t="shared" si="1"/>
        <v>0</v>
      </c>
      <c r="V57" s="10">
        <f t="shared" si="1"/>
        <v>0</v>
      </c>
      <c r="W57" s="10">
        <f t="shared" si="1"/>
        <v>0</v>
      </c>
      <c r="X57" s="10">
        <f t="shared" si="1"/>
        <v>0</v>
      </c>
      <c r="Y57" s="10">
        <f t="shared" si="1"/>
        <v>0</v>
      </c>
      <c r="Z57" s="10">
        <f t="shared" si="1"/>
        <v>0</v>
      </c>
      <c r="AA57" s="10">
        <f t="shared" si="1"/>
        <v>0</v>
      </c>
      <c r="AB57" s="10">
        <f t="shared" si="1"/>
        <v>0</v>
      </c>
      <c r="AC57" s="10">
        <f t="shared" si="1"/>
        <v>0</v>
      </c>
      <c r="AD57" s="10">
        <f t="shared" si="1"/>
        <v>0</v>
      </c>
      <c r="AE57" s="10">
        <f t="shared" si="1"/>
        <v>0</v>
      </c>
      <c r="AF57" s="10">
        <f t="shared" si="1"/>
        <v>0</v>
      </c>
      <c r="AG57" s="10">
        <f t="shared" si="1"/>
        <v>111.10999999999986</v>
      </c>
      <c r="AH57" s="10">
        <f t="shared" si="1"/>
        <v>11688.89</v>
      </c>
    </row>
    <row r="58" spans="1:34" ht="4.95" customHeight="1" x14ac:dyDescent="0.3"/>
  </sheetData>
  <mergeCells count="34">
    <mergeCell ref="A1:AH1"/>
    <mergeCell ref="K47:N47"/>
    <mergeCell ref="W47:Z47"/>
    <mergeCell ref="E47:E48"/>
    <mergeCell ref="AH47:AH48"/>
    <mergeCell ref="A46:AH46"/>
    <mergeCell ref="K2:N2"/>
    <mergeCell ref="A44:E44"/>
    <mergeCell ref="AH2:AH3"/>
    <mergeCell ref="AA2:AC2"/>
    <mergeCell ref="AG47:AG48"/>
    <mergeCell ref="AA47:AC47"/>
    <mergeCell ref="A57:E57"/>
    <mergeCell ref="S2:V2"/>
    <mergeCell ref="A47:A48"/>
    <mergeCell ref="AD47:AF47"/>
    <mergeCell ref="AG2:AG3"/>
    <mergeCell ref="F2:F3"/>
    <mergeCell ref="AD2:AF2"/>
    <mergeCell ref="C47:C48"/>
    <mergeCell ref="S47:V47"/>
    <mergeCell ref="D47:D48"/>
    <mergeCell ref="G2:J2"/>
    <mergeCell ref="F47:F48"/>
    <mergeCell ref="C2:C3"/>
    <mergeCell ref="E2:E3"/>
    <mergeCell ref="O47:R47"/>
    <mergeCell ref="B47:B48"/>
    <mergeCell ref="W2:Z2"/>
    <mergeCell ref="G47:J47"/>
    <mergeCell ref="O2:R2"/>
    <mergeCell ref="B2:B3"/>
    <mergeCell ref="D2:D3"/>
    <mergeCell ref="A2:A3"/>
  </mergeCells>
  <pageMargins left="0.2" right="0.2" top="0.25" bottom="0.25" header="0.1" footer="0.1"/>
  <pageSetup paperSize="5"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H59"/>
  <sheetViews>
    <sheetView topLeftCell="D34" workbookViewId="0">
      <selection sqref="A1:AH1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23.44140625" bestFit="1" customWidth="1"/>
    <col min="5" max="5" width="7.77734375" customWidth="1"/>
    <col min="6" max="6" width="10.109375" customWidth="1"/>
    <col min="7" max="7" width="7.88671875" bestFit="1" customWidth="1"/>
    <col min="8" max="8" width="7.109375" bestFit="1" customWidth="1"/>
    <col min="9" max="9" width="6.44140625" bestFit="1" customWidth="1"/>
    <col min="10" max="10" width="6.77734375" bestFit="1" customWidth="1"/>
    <col min="11" max="12" width="7.109375" bestFit="1" customWidth="1"/>
    <col min="13" max="13" width="6.44140625" bestFit="1" customWidth="1"/>
    <col min="14" max="14" width="6.77734375" bestFit="1" customWidth="1"/>
    <col min="15" max="16" width="7.109375" bestFit="1" customWidth="1"/>
    <col min="17" max="17" width="6.44140625" bestFit="1" customWidth="1"/>
    <col min="18" max="18" width="6.77734375" bestFit="1" customWidth="1"/>
    <col min="19" max="20" width="7.109375" bestFit="1" customWidth="1"/>
    <col min="21" max="21" width="6.44140625" bestFit="1" customWidth="1"/>
    <col min="22" max="22" width="6.77734375" bestFit="1" customWidth="1"/>
    <col min="23" max="24" width="7.109375" bestFit="1" customWidth="1"/>
    <col min="25" max="25" width="6.44140625" bestFit="1" customWidth="1"/>
    <col min="26" max="26" width="6.77734375" bestFit="1" customWidth="1"/>
    <col min="27" max="27" width="7.109375" bestFit="1" customWidth="1"/>
    <col min="28" max="28" width="6.6640625" bestFit="1" customWidth="1"/>
    <col min="29" max="29" width="6.77734375" bestFit="1" customWidth="1"/>
    <col min="30" max="30" width="5.88671875" bestFit="1" customWidth="1"/>
    <col min="31" max="32" width="6.21875" customWidth="1"/>
    <col min="33" max="33" width="8.21875" customWidth="1"/>
    <col min="34" max="34" width="8.44140625" customWidth="1"/>
  </cols>
  <sheetData>
    <row r="1" spans="1:34" ht="18" customHeight="1" x14ac:dyDescent="0.3">
      <c r="A1" s="23" t="s">
        <v>227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228</v>
      </c>
      <c r="H2" s="19"/>
      <c r="I2" s="19"/>
      <c r="J2" s="19"/>
      <c r="K2" s="18" t="s">
        <v>229</v>
      </c>
      <c r="L2" s="19"/>
      <c r="M2" s="19"/>
      <c r="N2" s="19"/>
      <c r="O2" s="18" t="s">
        <v>230</v>
      </c>
      <c r="P2" s="19"/>
      <c r="Q2" s="19"/>
      <c r="R2" s="19"/>
      <c r="S2" s="18" t="s">
        <v>231</v>
      </c>
      <c r="T2" s="19"/>
      <c r="U2" s="19"/>
      <c r="V2" s="19"/>
      <c r="W2" s="18" t="s">
        <v>232</v>
      </c>
      <c r="X2" s="19"/>
      <c r="Y2" s="19"/>
      <c r="Z2" s="19"/>
      <c r="AA2" s="18" t="s">
        <v>233</v>
      </c>
      <c r="AB2" s="19"/>
      <c r="AC2" s="19"/>
      <c r="AD2" s="18" t="s">
        <v>214</v>
      </c>
      <c r="AE2" s="19"/>
      <c r="AF2" s="19"/>
      <c r="AG2" s="20" t="s">
        <v>14</v>
      </c>
      <c r="AH2" s="14" t="s">
        <v>15</v>
      </c>
    </row>
    <row r="3" spans="1:34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  <c r="AG3" s="19"/>
      <c r="AH3" s="15"/>
    </row>
    <row r="4" spans="1:34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>
        <v>1200</v>
      </c>
      <c r="AH4" s="4">
        <v>0</v>
      </c>
    </row>
    <row r="5" spans="1:34" ht="11.55" customHeight="1" x14ac:dyDescent="0.3">
      <c r="A5" s="6">
        <v>2</v>
      </c>
      <c r="B5" s="7" t="s">
        <v>19</v>
      </c>
      <c r="C5" s="7" t="s">
        <v>20</v>
      </c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8">
        <v>500</v>
      </c>
      <c r="AH5" s="8">
        <v>0</v>
      </c>
    </row>
    <row r="6" spans="1:34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5"/>
      <c r="H6" s="5"/>
      <c r="I6" s="5"/>
      <c r="J6" s="5"/>
      <c r="K6" s="4">
        <v>1504.72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>
        <v>995.28</v>
      </c>
      <c r="AH6" s="4">
        <v>1504.72</v>
      </c>
    </row>
    <row r="7" spans="1:34" ht="11.55" customHeight="1" x14ac:dyDescent="0.3">
      <c r="A7" s="6">
        <v>4</v>
      </c>
      <c r="B7" s="7" t="s">
        <v>24</v>
      </c>
      <c r="C7" s="7" t="s">
        <v>25</v>
      </c>
      <c r="D7" s="7" t="s">
        <v>23</v>
      </c>
      <c r="E7" s="6"/>
      <c r="F7" s="8">
        <v>500</v>
      </c>
      <c r="G7" s="9"/>
      <c r="H7" s="9"/>
      <c r="I7" s="9"/>
      <c r="J7" s="9"/>
      <c r="K7" s="8">
        <v>686.7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3">
        <v>-186.7</v>
      </c>
      <c r="AH7" s="8">
        <v>686.7</v>
      </c>
    </row>
    <row r="8" spans="1:34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1500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>
        <v>1500</v>
      </c>
      <c r="AH8" s="4">
        <v>0</v>
      </c>
    </row>
    <row r="9" spans="1:34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8">
        <v>1087.94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8">
        <v>412</v>
      </c>
      <c r="X9" s="9"/>
      <c r="Y9" s="9"/>
      <c r="Z9" s="9"/>
      <c r="AA9" s="8">
        <v>1000</v>
      </c>
      <c r="AB9" s="9"/>
      <c r="AC9" s="9"/>
      <c r="AD9" s="9"/>
      <c r="AE9" s="9"/>
      <c r="AF9" s="9"/>
      <c r="AG9" s="13">
        <v>-999.94</v>
      </c>
      <c r="AH9" s="8">
        <v>2499.94</v>
      </c>
    </row>
    <row r="10" spans="1:34" ht="11.55" customHeight="1" x14ac:dyDescent="0.3">
      <c r="A10" s="2">
        <v>7</v>
      </c>
      <c r="B10" s="3" t="s">
        <v>33</v>
      </c>
      <c r="C10" s="3" t="s">
        <v>25</v>
      </c>
      <c r="D10" s="3"/>
      <c r="E10" s="2" t="s">
        <v>32</v>
      </c>
      <c r="F10" s="4">
        <v>1500</v>
      </c>
      <c r="G10" s="5"/>
      <c r="H10" s="5"/>
      <c r="I10" s="5"/>
      <c r="J10" s="5"/>
      <c r="K10" s="4">
        <v>1500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>
        <v>0</v>
      </c>
      <c r="AH10" s="4">
        <v>1500</v>
      </c>
    </row>
    <row r="11" spans="1:34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8">
        <v>700</v>
      </c>
      <c r="AH11" s="8">
        <v>0</v>
      </c>
    </row>
    <row r="12" spans="1:34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>
        <v>1500</v>
      </c>
      <c r="AH12" s="4">
        <v>0</v>
      </c>
    </row>
    <row r="13" spans="1:34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8">
        <v>1500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8">
        <v>657.33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3">
        <v>-657.33</v>
      </c>
      <c r="AH13" s="8">
        <v>2157.33</v>
      </c>
    </row>
    <row r="14" spans="1:34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>
        <v>500</v>
      </c>
      <c r="AH14" s="4">
        <v>0</v>
      </c>
    </row>
    <row r="15" spans="1:34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8">
        <v>1500</v>
      </c>
      <c r="H15" s="9"/>
      <c r="I15" s="9"/>
      <c r="J15" s="9"/>
      <c r="K15" s="9"/>
      <c r="L15" s="9"/>
      <c r="M15" s="9"/>
      <c r="N15" s="9"/>
      <c r="O15" s="8">
        <v>1500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3">
        <v>-1500</v>
      </c>
      <c r="AH15" s="8">
        <v>3000</v>
      </c>
    </row>
    <row r="16" spans="1:34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1500</v>
      </c>
      <c r="G16" s="4">
        <v>1375.55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>
        <v>1124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12">
        <v>-999.55</v>
      </c>
      <c r="AH16" s="4">
        <v>2499.5500000000002</v>
      </c>
    </row>
    <row r="17" spans="1:34" ht="11.55" customHeight="1" x14ac:dyDescent="0.3">
      <c r="A17" s="6"/>
      <c r="B17" s="7" t="s">
        <v>50</v>
      </c>
      <c r="C17" s="7" t="s">
        <v>51</v>
      </c>
      <c r="D17" s="7"/>
      <c r="E17" s="6" t="s">
        <v>196</v>
      </c>
      <c r="F17" s="8">
        <v>2500</v>
      </c>
      <c r="G17" s="8">
        <v>1500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8">
        <v>1060.47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">
        <v>-60.47</v>
      </c>
      <c r="AH17" s="8">
        <v>2560.4699999999998</v>
      </c>
    </row>
    <row r="18" spans="1:34" ht="11.55" customHeight="1" x14ac:dyDescent="0.3">
      <c r="A18" s="2"/>
      <c r="B18" s="3" t="s">
        <v>50</v>
      </c>
      <c r="C18" s="3" t="s">
        <v>51</v>
      </c>
      <c r="D18" s="3" t="s">
        <v>23</v>
      </c>
      <c r="E18" s="2"/>
      <c r="F18" s="4">
        <v>300</v>
      </c>
      <c r="G18" s="5"/>
      <c r="H18" s="5"/>
      <c r="I18" s="5"/>
      <c r="J18" s="5"/>
      <c r="K18" s="5"/>
      <c r="L18" s="5"/>
      <c r="M18" s="5"/>
      <c r="N18" s="5"/>
      <c r="O18" s="5"/>
      <c r="P18" s="4">
        <v>300</v>
      </c>
      <c r="Q18" s="2" t="s">
        <v>234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>
        <v>0</v>
      </c>
      <c r="AH18" s="4">
        <v>300</v>
      </c>
    </row>
    <row r="19" spans="1:34" ht="11.55" customHeight="1" x14ac:dyDescent="0.3">
      <c r="A19" s="6">
        <v>14</v>
      </c>
      <c r="B19" s="7" t="s">
        <v>54</v>
      </c>
      <c r="C19" s="7" t="s">
        <v>51</v>
      </c>
      <c r="D19" s="7" t="s">
        <v>55</v>
      </c>
      <c r="E19" s="6" t="s">
        <v>56</v>
      </c>
      <c r="F19" s="8">
        <v>2500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8">
        <v>2500</v>
      </c>
      <c r="AH19" s="8">
        <v>0</v>
      </c>
    </row>
    <row r="20" spans="1:34" ht="11.55" customHeight="1" x14ac:dyDescent="0.3">
      <c r="A20" s="2">
        <v>15</v>
      </c>
      <c r="B20" s="3" t="s">
        <v>57</v>
      </c>
      <c r="C20" s="3" t="s">
        <v>51</v>
      </c>
      <c r="D20" s="3" t="s">
        <v>48</v>
      </c>
      <c r="E20" s="2" t="s">
        <v>58</v>
      </c>
      <c r="F20" s="4">
        <v>4000</v>
      </c>
      <c r="G20" s="5"/>
      <c r="H20" s="4">
        <v>3300.04</v>
      </c>
      <c r="I20" s="2" t="s">
        <v>235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4">
        <v>1500</v>
      </c>
      <c r="U20" s="2" t="s">
        <v>236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12">
        <v>-800.04</v>
      </c>
      <c r="AH20" s="4">
        <v>4800.04</v>
      </c>
    </row>
    <row r="21" spans="1:34" ht="11.55" customHeight="1" x14ac:dyDescent="0.3">
      <c r="A21" s="6">
        <v>16</v>
      </c>
      <c r="B21" s="7" t="s">
        <v>59</v>
      </c>
      <c r="C21" s="7" t="s">
        <v>60</v>
      </c>
      <c r="D21" s="7" t="s">
        <v>52</v>
      </c>
      <c r="E21" s="6" t="s">
        <v>61</v>
      </c>
      <c r="F21" s="8">
        <v>2500</v>
      </c>
      <c r="G21" s="8">
        <v>947.26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8">
        <v>1552.74</v>
      </c>
      <c r="AH21" s="8">
        <v>947.26</v>
      </c>
    </row>
    <row r="22" spans="1:34" ht="11.55" customHeight="1" x14ac:dyDescent="0.3">
      <c r="A22" s="2">
        <v>17</v>
      </c>
      <c r="B22" s="3"/>
      <c r="C22" s="3"/>
      <c r="D22" s="3" t="s">
        <v>62</v>
      </c>
      <c r="E22" s="2"/>
      <c r="F22" s="4">
        <v>1000</v>
      </c>
      <c r="G22" s="4">
        <v>1000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>
        <v>0</v>
      </c>
      <c r="AH22" s="4">
        <v>1000</v>
      </c>
    </row>
    <row r="23" spans="1:34" ht="11.55" customHeight="1" x14ac:dyDescent="0.3">
      <c r="A23" s="6">
        <v>18</v>
      </c>
      <c r="B23" s="7"/>
      <c r="C23" s="7"/>
      <c r="D23" s="7" t="s">
        <v>63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8">
        <v>0</v>
      </c>
      <c r="AH23" s="8">
        <v>0</v>
      </c>
    </row>
    <row r="24" spans="1:34" ht="11.55" customHeight="1" x14ac:dyDescent="0.3">
      <c r="A24" s="2">
        <v>19</v>
      </c>
      <c r="B24" s="3"/>
      <c r="C24" s="3"/>
      <c r="D24" s="3" t="s">
        <v>64</v>
      </c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>
        <v>0</v>
      </c>
      <c r="AH24" s="4">
        <v>0</v>
      </c>
    </row>
    <row r="25" spans="1:34" ht="11.55" customHeight="1" x14ac:dyDescent="0.3">
      <c r="A25" s="6">
        <v>20</v>
      </c>
      <c r="B25" s="7" t="s">
        <v>65</v>
      </c>
      <c r="C25" s="7" t="s">
        <v>60</v>
      </c>
      <c r="D25" s="7" t="s">
        <v>52</v>
      </c>
      <c r="E25" s="6" t="s">
        <v>66</v>
      </c>
      <c r="F25" s="8">
        <v>1500</v>
      </c>
      <c r="G25" s="8">
        <v>1373.08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8">
        <v>126.92</v>
      </c>
      <c r="AH25" s="8">
        <v>1373.08</v>
      </c>
    </row>
    <row r="26" spans="1:34" ht="11.55" customHeight="1" x14ac:dyDescent="0.3">
      <c r="A26" s="2">
        <v>21</v>
      </c>
      <c r="B26" s="3" t="s">
        <v>67</v>
      </c>
      <c r="C26" s="3" t="s">
        <v>60</v>
      </c>
      <c r="D26" s="3" t="s">
        <v>48</v>
      </c>
      <c r="E26" s="2" t="s">
        <v>68</v>
      </c>
      <c r="F26" s="4">
        <v>3000</v>
      </c>
      <c r="G26" s="4">
        <v>3000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>
        <v>1000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12">
        <v>-1000</v>
      </c>
      <c r="AH26" s="4">
        <v>4000</v>
      </c>
    </row>
    <row r="27" spans="1:34" ht="11.55" customHeight="1" x14ac:dyDescent="0.3">
      <c r="A27" s="6">
        <v>22</v>
      </c>
      <c r="B27" s="7" t="s">
        <v>69</v>
      </c>
      <c r="C27" s="7" t="s">
        <v>60</v>
      </c>
      <c r="D27" s="7" t="s">
        <v>55</v>
      </c>
      <c r="E27" s="6" t="s">
        <v>70</v>
      </c>
      <c r="F27" s="8">
        <v>2500</v>
      </c>
      <c r="G27" s="8">
        <v>948.52</v>
      </c>
      <c r="H27" s="9"/>
      <c r="I27" s="9"/>
      <c r="J27" s="9"/>
      <c r="K27" s="9"/>
      <c r="L27" s="9"/>
      <c r="M27" s="9"/>
      <c r="N27" s="9"/>
      <c r="O27" s="8">
        <v>1304.94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8">
        <v>246.54</v>
      </c>
      <c r="AH27" s="8">
        <v>2253.46</v>
      </c>
    </row>
    <row r="28" spans="1:34" ht="11.55" customHeight="1" x14ac:dyDescent="0.3">
      <c r="A28" s="2">
        <v>23</v>
      </c>
      <c r="B28" s="3" t="s">
        <v>71</v>
      </c>
      <c r="C28" s="3" t="s">
        <v>72</v>
      </c>
      <c r="D28" s="3" t="s">
        <v>73</v>
      </c>
      <c r="E28" s="2" t="s">
        <v>74</v>
      </c>
      <c r="F28" s="4">
        <v>2500</v>
      </c>
      <c r="G28" s="5"/>
      <c r="H28" s="5"/>
      <c r="I28" s="5"/>
      <c r="J28" s="5"/>
      <c r="K28" s="5"/>
      <c r="L28" s="4">
        <v>1000</v>
      </c>
      <c r="M28" s="2" t="s">
        <v>237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4">
        <v>1000</v>
      </c>
      <c r="Y28" s="2" t="s">
        <v>238</v>
      </c>
      <c r="Z28" s="5"/>
      <c r="AA28" s="5"/>
      <c r="AB28" s="5"/>
      <c r="AC28" s="5"/>
      <c r="AD28" s="5"/>
      <c r="AE28" s="5"/>
      <c r="AF28" s="5"/>
      <c r="AG28" s="4">
        <v>500</v>
      </c>
      <c r="AH28" s="4">
        <v>2000</v>
      </c>
    </row>
    <row r="29" spans="1:34" ht="11.55" customHeight="1" x14ac:dyDescent="0.3">
      <c r="A29" s="6">
        <v>24</v>
      </c>
      <c r="B29" s="7" t="s">
        <v>75</v>
      </c>
      <c r="C29" s="7"/>
      <c r="D29" s="7" t="s">
        <v>23</v>
      </c>
      <c r="E29" s="6"/>
      <c r="F29" s="8">
        <v>1000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8">
        <v>478</v>
      </c>
      <c r="Y29" s="6" t="s">
        <v>239</v>
      </c>
      <c r="Z29" s="9"/>
      <c r="AA29" s="9"/>
      <c r="AB29" s="9"/>
      <c r="AC29" s="9"/>
      <c r="AD29" s="9"/>
      <c r="AE29" s="9"/>
      <c r="AF29" s="9"/>
      <c r="AG29" s="8">
        <v>522</v>
      </c>
      <c r="AH29" s="8">
        <v>478</v>
      </c>
    </row>
    <row r="30" spans="1:34" ht="11.55" customHeight="1" x14ac:dyDescent="0.3">
      <c r="A30" s="2">
        <v>25</v>
      </c>
      <c r="B30" s="3" t="s">
        <v>76</v>
      </c>
      <c r="C30" s="3" t="s">
        <v>77</v>
      </c>
      <c r="D30" s="3" t="s">
        <v>26</v>
      </c>
      <c r="E30" s="2" t="s">
        <v>78</v>
      </c>
      <c r="F30" s="4">
        <v>2500</v>
      </c>
      <c r="G30" s="4">
        <v>2231.31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4">
        <v>2000</v>
      </c>
      <c r="U30" s="2" t="s">
        <v>240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12">
        <v>-1731.31</v>
      </c>
      <c r="AH30" s="4">
        <v>4231.3100000000004</v>
      </c>
    </row>
    <row r="31" spans="1:34" ht="11.55" customHeight="1" x14ac:dyDescent="0.3">
      <c r="A31" s="6">
        <v>26</v>
      </c>
      <c r="B31" s="7" t="s">
        <v>79</v>
      </c>
      <c r="C31" s="7" t="s">
        <v>77</v>
      </c>
      <c r="D31" s="7" t="s">
        <v>80</v>
      </c>
      <c r="E31" s="6" t="s">
        <v>81</v>
      </c>
      <c r="F31" s="8">
        <v>1000</v>
      </c>
      <c r="G31" s="9"/>
      <c r="H31" s="9"/>
      <c r="I31" s="9"/>
      <c r="J31" s="9"/>
      <c r="K31" s="8">
        <v>1000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8">
        <v>0</v>
      </c>
      <c r="AH31" s="8">
        <v>1000</v>
      </c>
    </row>
    <row r="32" spans="1:34" ht="11.55" customHeight="1" x14ac:dyDescent="0.3">
      <c r="A32" s="2">
        <v>27</v>
      </c>
      <c r="B32" s="3"/>
      <c r="C32" s="3"/>
      <c r="D32" s="3" t="s">
        <v>82</v>
      </c>
      <c r="E32" s="2"/>
      <c r="F32" s="4">
        <v>500</v>
      </c>
      <c r="G32" s="5"/>
      <c r="H32" s="5"/>
      <c r="I32" s="5"/>
      <c r="J32" s="5"/>
      <c r="K32" s="4">
        <v>500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>
        <v>0</v>
      </c>
      <c r="AH32" s="4">
        <v>500</v>
      </c>
    </row>
    <row r="33" spans="1:34" ht="11.55" customHeight="1" x14ac:dyDescent="0.3">
      <c r="A33" s="6">
        <v>28</v>
      </c>
      <c r="B33" s="7"/>
      <c r="C33" s="7"/>
      <c r="D33" s="7" t="s">
        <v>82</v>
      </c>
      <c r="E33" s="6"/>
      <c r="F33" s="8">
        <v>500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8">
        <v>500</v>
      </c>
      <c r="X33" s="9"/>
      <c r="Y33" s="9"/>
      <c r="Z33" s="9"/>
      <c r="AA33" s="9"/>
      <c r="AB33" s="9"/>
      <c r="AC33" s="9"/>
      <c r="AD33" s="9"/>
      <c r="AE33" s="9"/>
      <c r="AF33" s="9"/>
      <c r="AG33" s="8">
        <v>0</v>
      </c>
      <c r="AH33" s="8">
        <v>500</v>
      </c>
    </row>
    <row r="34" spans="1:34" ht="11.55" customHeight="1" x14ac:dyDescent="0.3">
      <c r="A34" s="2">
        <v>29</v>
      </c>
      <c r="B34" s="3" t="s">
        <v>83</v>
      </c>
      <c r="C34" s="3"/>
      <c r="D34" s="3"/>
      <c r="E34" s="2" t="s">
        <v>84</v>
      </c>
      <c r="F34" s="4">
        <v>800</v>
      </c>
      <c r="G34" s="4">
        <v>800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>
        <v>0</v>
      </c>
      <c r="AH34" s="4">
        <v>800</v>
      </c>
    </row>
    <row r="35" spans="1:34" ht="11.55" customHeight="1" x14ac:dyDescent="0.3">
      <c r="A35" s="6">
        <v>30</v>
      </c>
      <c r="B35" s="7"/>
      <c r="C35" s="7"/>
      <c r="D35" s="7" t="s">
        <v>23</v>
      </c>
      <c r="E35" s="6"/>
      <c r="F35" s="8">
        <v>500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8">
        <v>457.8</v>
      </c>
      <c r="X35" s="9"/>
      <c r="Y35" s="9"/>
      <c r="Z35" s="9"/>
      <c r="AA35" s="9"/>
      <c r="AB35" s="9"/>
      <c r="AC35" s="9"/>
      <c r="AD35" s="9"/>
      <c r="AE35" s="9"/>
      <c r="AF35" s="9"/>
      <c r="AG35" s="8">
        <v>42.2</v>
      </c>
      <c r="AH35" s="8">
        <v>457.8</v>
      </c>
    </row>
    <row r="36" spans="1:34" ht="11.55" customHeight="1" x14ac:dyDescent="0.3">
      <c r="A36" s="2">
        <v>31</v>
      </c>
      <c r="B36" s="3" t="s">
        <v>128</v>
      </c>
      <c r="C36" s="3" t="s">
        <v>129</v>
      </c>
      <c r="D36" s="3"/>
      <c r="E36" s="2" t="s">
        <v>130</v>
      </c>
      <c r="F36" s="4">
        <v>1500</v>
      </c>
      <c r="G36" s="4">
        <v>985.07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4">
        <v>806.76</v>
      </c>
      <c r="X36" s="5"/>
      <c r="Y36" s="5"/>
      <c r="Z36" s="5"/>
      <c r="AA36" s="5"/>
      <c r="AB36" s="5"/>
      <c r="AC36" s="5"/>
      <c r="AD36" s="5"/>
      <c r="AE36" s="5"/>
      <c r="AF36" s="5"/>
      <c r="AG36" s="12">
        <v>-291.83</v>
      </c>
      <c r="AH36" s="4">
        <v>1791.83</v>
      </c>
    </row>
    <row r="37" spans="1:34" ht="11.55" customHeight="1" x14ac:dyDescent="0.3">
      <c r="A37" s="6">
        <v>32</v>
      </c>
      <c r="B37" s="7" t="s">
        <v>131</v>
      </c>
      <c r="C37" s="7" t="s">
        <v>132</v>
      </c>
      <c r="D37" s="7" t="s">
        <v>26</v>
      </c>
      <c r="E37" s="6" t="s">
        <v>133</v>
      </c>
      <c r="F37" s="8">
        <v>1500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8">
        <v>1500</v>
      </c>
      <c r="AH37" s="8">
        <v>0</v>
      </c>
    </row>
    <row r="38" spans="1:34" ht="11.55" customHeight="1" x14ac:dyDescent="0.3">
      <c r="A38" s="2">
        <v>33</v>
      </c>
      <c r="B38" s="3" t="s">
        <v>134</v>
      </c>
      <c r="C38" s="3" t="s">
        <v>135</v>
      </c>
      <c r="D38" s="3" t="s">
        <v>37</v>
      </c>
      <c r="E38" s="2" t="s">
        <v>241</v>
      </c>
      <c r="F38" s="4">
        <v>700</v>
      </c>
      <c r="G38" s="4">
        <v>700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>
        <v>0</v>
      </c>
      <c r="AH38" s="4">
        <v>700</v>
      </c>
    </row>
    <row r="39" spans="1:34" ht="11.55" customHeight="1" x14ac:dyDescent="0.3">
      <c r="A39" s="6">
        <v>34</v>
      </c>
      <c r="B39" s="7" t="s">
        <v>86</v>
      </c>
      <c r="C39" s="7"/>
      <c r="D39" s="7" t="s">
        <v>87</v>
      </c>
      <c r="E39" s="6" t="s">
        <v>88</v>
      </c>
      <c r="F39" s="8">
        <v>3000</v>
      </c>
      <c r="G39" s="9"/>
      <c r="H39" s="8">
        <v>1000</v>
      </c>
      <c r="I39" s="6" t="s">
        <v>242</v>
      </c>
      <c r="J39" s="9"/>
      <c r="K39" s="9"/>
      <c r="L39" s="9"/>
      <c r="M39" s="9"/>
      <c r="N39" s="9"/>
      <c r="O39" s="9"/>
      <c r="P39" s="8">
        <v>1000</v>
      </c>
      <c r="Q39" s="6" t="s">
        <v>243</v>
      </c>
      <c r="R39" s="9"/>
      <c r="S39" s="8">
        <v>1000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8">
        <v>0</v>
      </c>
      <c r="AH39" s="8">
        <v>3000</v>
      </c>
    </row>
    <row r="40" spans="1:34" ht="11.55" customHeight="1" x14ac:dyDescent="0.3">
      <c r="A40" s="2"/>
      <c r="B40" s="3" t="s">
        <v>159</v>
      </c>
      <c r="C40" s="3"/>
      <c r="D40" s="3" t="s">
        <v>26</v>
      </c>
      <c r="E40" s="2" t="s">
        <v>160</v>
      </c>
      <c r="F40" s="4">
        <v>1500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>
        <v>1500</v>
      </c>
      <c r="AH40" s="4">
        <v>0</v>
      </c>
    </row>
    <row r="41" spans="1:34" ht="11.55" customHeight="1" x14ac:dyDescent="0.3">
      <c r="A41" s="6"/>
      <c r="B41" s="7" t="s">
        <v>159</v>
      </c>
      <c r="C41" s="7"/>
      <c r="D41" s="7" t="s">
        <v>26</v>
      </c>
      <c r="E41" s="6" t="s">
        <v>161</v>
      </c>
      <c r="F41" s="8">
        <v>1500</v>
      </c>
      <c r="G41" s="8">
        <v>1782.14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3">
        <v>-282.14</v>
      </c>
      <c r="AH41" s="8">
        <v>1782.14</v>
      </c>
    </row>
    <row r="42" spans="1:34" ht="11.55" customHeight="1" x14ac:dyDescent="0.3">
      <c r="A42" s="2"/>
      <c r="B42" s="3"/>
      <c r="C42" s="3"/>
      <c r="D42" s="3" t="s">
        <v>26</v>
      </c>
      <c r="E42" s="2" t="s">
        <v>163</v>
      </c>
      <c r="F42" s="4">
        <v>1500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>
        <v>1500</v>
      </c>
      <c r="AH42" s="4">
        <v>0</v>
      </c>
    </row>
    <row r="43" spans="1:34" ht="11.55" customHeight="1" x14ac:dyDescent="0.3">
      <c r="A43" s="6"/>
      <c r="B43" s="7" t="s">
        <v>205</v>
      </c>
      <c r="C43" s="7"/>
      <c r="D43" s="7"/>
      <c r="E43" s="6" t="s">
        <v>30</v>
      </c>
      <c r="F43" s="8">
        <v>800</v>
      </c>
      <c r="G43" s="8">
        <v>800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8">
        <v>0</v>
      </c>
      <c r="AH43" s="8">
        <v>800</v>
      </c>
    </row>
    <row r="44" spans="1:34" ht="13.5" customHeight="1" x14ac:dyDescent="0.3">
      <c r="A44" s="16" t="s">
        <v>89</v>
      </c>
      <c r="B44" s="17"/>
      <c r="C44" s="17"/>
      <c r="D44" s="17"/>
      <c r="E44" s="17"/>
      <c r="F44" s="10">
        <f t="shared" ref="F44:AH44" si="0">SUM(F4:F43)</f>
        <v>57500</v>
      </c>
      <c r="G44" s="10">
        <f t="shared" si="0"/>
        <v>21530.87</v>
      </c>
      <c r="H44" s="10">
        <f t="shared" si="0"/>
        <v>4300.04</v>
      </c>
      <c r="I44" s="10">
        <f t="shared" si="0"/>
        <v>0</v>
      </c>
      <c r="J44" s="10">
        <f t="shared" si="0"/>
        <v>0</v>
      </c>
      <c r="K44" s="10">
        <f t="shared" si="0"/>
        <v>5191.42</v>
      </c>
      <c r="L44" s="10">
        <f t="shared" si="0"/>
        <v>1000</v>
      </c>
      <c r="M44" s="10">
        <f t="shared" si="0"/>
        <v>0</v>
      </c>
      <c r="N44" s="10">
        <f t="shared" si="0"/>
        <v>0</v>
      </c>
      <c r="O44" s="10">
        <f t="shared" si="0"/>
        <v>2804.94</v>
      </c>
      <c r="P44" s="10">
        <f t="shared" si="0"/>
        <v>1300</v>
      </c>
      <c r="Q44" s="10">
        <f t="shared" si="0"/>
        <v>0</v>
      </c>
      <c r="R44" s="10">
        <f t="shared" si="0"/>
        <v>0</v>
      </c>
      <c r="S44" s="10">
        <f t="shared" si="0"/>
        <v>4841.8</v>
      </c>
      <c r="T44" s="10">
        <f t="shared" si="0"/>
        <v>3500</v>
      </c>
      <c r="U44" s="10">
        <f t="shared" si="0"/>
        <v>0</v>
      </c>
      <c r="V44" s="10">
        <f t="shared" si="0"/>
        <v>0</v>
      </c>
      <c r="W44" s="10">
        <f t="shared" si="0"/>
        <v>2176.56</v>
      </c>
      <c r="X44" s="10">
        <f t="shared" si="0"/>
        <v>1478</v>
      </c>
      <c r="Y44" s="10">
        <f t="shared" si="0"/>
        <v>0</v>
      </c>
      <c r="Z44" s="10">
        <f t="shared" si="0"/>
        <v>0</v>
      </c>
      <c r="AA44" s="10">
        <f t="shared" si="0"/>
        <v>1000</v>
      </c>
      <c r="AB44" s="10">
        <f t="shared" si="0"/>
        <v>0</v>
      </c>
      <c r="AC44" s="10">
        <f t="shared" si="0"/>
        <v>0</v>
      </c>
      <c r="AD44" s="10">
        <f t="shared" si="0"/>
        <v>0</v>
      </c>
      <c r="AE44" s="10">
        <f t="shared" si="0"/>
        <v>0</v>
      </c>
      <c r="AF44" s="10">
        <f t="shared" si="0"/>
        <v>0</v>
      </c>
      <c r="AG44" s="10">
        <f t="shared" si="0"/>
        <v>8376.369999999999</v>
      </c>
      <c r="AH44" s="10">
        <f t="shared" si="0"/>
        <v>49123.630000000005</v>
      </c>
    </row>
    <row r="45" spans="1:34" ht="6" customHeight="1" x14ac:dyDescent="0.3"/>
    <row r="46" spans="1:34" ht="16.95" customHeight="1" x14ac:dyDescent="0.3">
      <c r="A46" s="23" t="s">
        <v>244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13.95" customHeight="1" x14ac:dyDescent="0.3">
      <c r="A47" s="14" t="s">
        <v>1</v>
      </c>
      <c r="B47" s="14" t="s">
        <v>2</v>
      </c>
      <c r="C47" s="14" t="s">
        <v>3</v>
      </c>
      <c r="D47" s="14" t="s">
        <v>4</v>
      </c>
      <c r="E47" s="14" t="s">
        <v>5</v>
      </c>
      <c r="F47" s="14" t="s">
        <v>6</v>
      </c>
      <c r="G47" s="18" t="s">
        <v>228</v>
      </c>
      <c r="H47" s="19"/>
      <c r="I47" s="19"/>
      <c r="J47" s="19"/>
      <c r="K47" s="18" t="s">
        <v>229</v>
      </c>
      <c r="L47" s="19"/>
      <c r="M47" s="19"/>
      <c r="N47" s="19"/>
      <c r="O47" s="18" t="s">
        <v>230</v>
      </c>
      <c r="P47" s="19"/>
      <c r="Q47" s="19"/>
      <c r="R47" s="19"/>
      <c r="S47" s="18" t="s">
        <v>231</v>
      </c>
      <c r="T47" s="19"/>
      <c r="U47" s="19"/>
      <c r="V47" s="19"/>
      <c r="W47" s="18" t="s">
        <v>232</v>
      </c>
      <c r="X47" s="19"/>
      <c r="Y47" s="19"/>
      <c r="Z47" s="19"/>
      <c r="AA47" s="18" t="s">
        <v>233</v>
      </c>
      <c r="AB47" s="19"/>
      <c r="AC47" s="19"/>
      <c r="AD47" s="18" t="s">
        <v>214</v>
      </c>
      <c r="AE47" s="19"/>
      <c r="AF47" s="19"/>
      <c r="AG47" s="20" t="s">
        <v>14</v>
      </c>
      <c r="AH47" s="14" t="s">
        <v>15</v>
      </c>
    </row>
    <row r="48" spans="1:34" ht="13.05" customHeight="1" x14ac:dyDescent="0.3">
      <c r="A48" s="15"/>
      <c r="B48" s="15"/>
      <c r="C48" s="15"/>
      <c r="D48" s="15"/>
      <c r="E48" s="15"/>
      <c r="F48" s="15"/>
      <c r="G48" s="1" t="s">
        <v>16</v>
      </c>
      <c r="H48" s="1" t="s">
        <v>17</v>
      </c>
      <c r="I48" s="1" t="s">
        <v>215</v>
      </c>
      <c r="J48" s="1" t="s">
        <v>18</v>
      </c>
      <c r="K48" s="1" t="s">
        <v>16</v>
      </c>
      <c r="L48" s="1" t="s">
        <v>17</v>
      </c>
      <c r="M48" s="1" t="s">
        <v>215</v>
      </c>
      <c r="N48" s="1" t="s">
        <v>18</v>
      </c>
      <c r="O48" s="1" t="s">
        <v>16</v>
      </c>
      <c r="P48" s="1" t="s">
        <v>17</v>
      </c>
      <c r="Q48" s="1" t="s">
        <v>215</v>
      </c>
      <c r="R48" s="1" t="s">
        <v>18</v>
      </c>
      <c r="S48" s="1" t="s">
        <v>16</v>
      </c>
      <c r="T48" s="1" t="s">
        <v>17</v>
      </c>
      <c r="U48" s="1" t="s">
        <v>215</v>
      </c>
      <c r="V48" s="1" t="s">
        <v>18</v>
      </c>
      <c r="W48" s="1" t="s">
        <v>16</v>
      </c>
      <c r="X48" s="1" t="s">
        <v>17</v>
      </c>
      <c r="Y48" s="1" t="s">
        <v>215</v>
      </c>
      <c r="Z48" s="1" t="s">
        <v>18</v>
      </c>
      <c r="AA48" s="1" t="s">
        <v>16</v>
      </c>
      <c r="AB48" s="1" t="s">
        <v>17</v>
      </c>
      <c r="AC48" s="1" t="s">
        <v>18</v>
      </c>
      <c r="AD48" s="1" t="s">
        <v>16</v>
      </c>
      <c r="AE48" s="1" t="s">
        <v>17</v>
      </c>
      <c r="AF48" s="1" t="s">
        <v>18</v>
      </c>
      <c r="AG48" s="19"/>
      <c r="AH48" s="15"/>
    </row>
    <row r="49" spans="1:34" ht="11.55" customHeight="1" x14ac:dyDescent="0.3">
      <c r="A49" s="2">
        <v>1</v>
      </c>
      <c r="B49" s="3" t="s">
        <v>91</v>
      </c>
      <c r="C49" s="3" t="s">
        <v>92</v>
      </c>
      <c r="D49" s="3" t="s">
        <v>93</v>
      </c>
      <c r="E49" s="2" t="s">
        <v>94</v>
      </c>
      <c r="F49" s="4">
        <v>2500</v>
      </c>
      <c r="G49" s="4">
        <v>1600.38</v>
      </c>
      <c r="H49" s="5"/>
      <c r="I49" s="5"/>
      <c r="J49" s="5"/>
      <c r="K49" s="5"/>
      <c r="L49" s="5"/>
      <c r="M49" s="5"/>
      <c r="N49" s="5"/>
      <c r="O49" s="4">
        <v>1050.2</v>
      </c>
      <c r="P49" s="5"/>
      <c r="Q49" s="5"/>
      <c r="R49" s="5"/>
      <c r="S49" s="5"/>
      <c r="T49" s="5"/>
      <c r="U49" s="5"/>
      <c r="V49" s="5"/>
      <c r="W49" s="4">
        <v>950</v>
      </c>
      <c r="X49" s="5"/>
      <c r="Y49" s="5"/>
      <c r="Z49" s="5"/>
      <c r="AA49" s="5"/>
      <c r="AB49" s="5"/>
      <c r="AC49" s="5"/>
      <c r="AD49" s="5"/>
      <c r="AE49" s="5"/>
      <c r="AF49" s="5"/>
      <c r="AG49" s="12">
        <v>-1100.58</v>
      </c>
      <c r="AH49" s="4">
        <v>3600.58</v>
      </c>
    </row>
    <row r="50" spans="1:34" ht="11.55" customHeight="1" x14ac:dyDescent="0.3">
      <c r="A50" s="6">
        <v>2</v>
      </c>
      <c r="B50" s="7" t="s">
        <v>95</v>
      </c>
      <c r="C50" s="7" t="s">
        <v>92</v>
      </c>
      <c r="D50" s="7" t="s">
        <v>87</v>
      </c>
      <c r="E50" s="6" t="s">
        <v>96</v>
      </c>
      <c r="F50" s="8">
        <v>1500</v>
      </c>
      <c r="G50" s="9"/>
      <c r="H50" s="9"/>
      <c r="I50" s="9"/>
      <c r="J50" s="9"/>
      <c r="K50" s="8">
        <v>1500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8">
        <v>0</v>
      </c>
      <c r="AH50" s="8">
        <v>1500</v>
      </c>
    </row>
    <row r="51" spans="1:34" ht="11.55" customHeight="1" x14ac:dyDescent="0.3">
      <c r="A51" s="2">
        <v>3</v>
      </c>
      <c r="B51" s="3" t="s">
        <v>97</v>
      </c>
      <c r="C51" s="3" t="s">
        <v>92</v>
      </c>
      <c r="D51" s="3" t="s">
        <v>98</v>
      </c>
      <c r="E51" s="2" t="s">
        <v>22</v>
      </c>
      <c r="F51" s="4">
        <v>2000</v>
      </c>
      <c r="G51" s="5"/>
      <c r="H51" s="5"/>
      <c r="I51" s="5"/>
      <c r="J51" s="5"/>
      <c r="K51" s="5"/>
      <c r="L51" s="5"/>
      <c r="M51" s="5"/>
      <c r="N51" s="5"/>
      <c r="O51" s="4">
        <v>457.8</v>
      </c>
      <c r="P51" s="5"/>
      <c r="Q51" s="5"/>
      <c r="R51" s="5"/>
      <c r="S51" s="5"/>
      <c r="T51" s="4">
        <v>1000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>
        <v>542.20000000000005</v>
      </c>
      <c r="AH51" s="4">
        <v>1457.8</v>
      </c>
    </row>
    <row r="52" spans="1:34" ht="11.55" customHeight="1" x14ac:dyDescent="0.3">
      <c r="A52" s="6"/>
      <c r="B52" s="7" t="s">
        <v>97</v>
      </c>
      <c r="C52" s="7" t="s">
        <v>92</v>
      </c>
      <c r="D52" s="7" t="s">
        <v>23</v>
      </c>
      <c r="E52" s="6"/>
      <c r="F52" s="8">
        <v>300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8">
        <v>228.9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8">
        <v>71.099999999999994</v>
      </c>
      <c r="AH52" s="8">
        <v>228.9</v>
      </c>
    </row>
    <row r="53" spans="1:34" ht="11.55" customHeight="1" x14ac:dyDescent="0.3">
      <c r="A53" s="2">
        <v>4</v>
      </c>
      <c r="B53" s="3" t="s">
        <v>99</v>
      </c>
      <c r="C53" s="3" t="s">
        <v>100</v>
      </c>
      <c r="D53" s="3" t="s">
        <v>87</v>
      </c>
      <c r="E53" s="2" t="s">
        <v>101</v>
      </c>
      <c r="F53" s="4">
        <v>1500</v>
      </c>
      <c r="G53" s="4">
        <v>1451.82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>
        <v>48.18</v>
      </c>
      <c r="AH53" s="4">
        <v>1451.82</v>
      </c>
    </row>
    <row r="54" spans="1:34" ht="11.55" customHeight="1" x14ac:dyDescent="0.3">
      <c r="A54" s="6">
        <v>5</v>
      </c>
      <c r="B54" s="7" t="s">
        <v>102</v>
      </c>
      <c r="C54" s="7" t="s">
        <v>100</v>
      </c>
      <c r="D54" s="7" t="s">
        <v>87</v>
      </c>
      <c r="E54" s="6" t="s">
        <v>103</v>
      </c>
      <c r="F54" s="8">
        <v>1500</v>
      </c>
      <c r="G54" s="8">
        <v>1500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8">
        <v>0</v>
      </c>
      <c r="AH54" s="8">
        <v>1500</v>
      </c>
    </row>
    <row r="55" spans="1:34" ht="11.55" customHeight="1" x14ac:dyDescent="0.3">
      <c r="A55" s="2">
        <v>6</v>
      </c>
      <c r="B55" s="3" t="s">
        <v>104</v>
      </c>
      <c r="C55" s="3" t="s">
        <v>105</v>
      </c>
      <c r="D55" s="3" t="s">
        <v>98</v>
      </c>
      <c r="E55" s="2" t="s">
        <v>106</v>
      </c>
      <c r="F55" s="4">
        <v>2000</v>
      </c>
      <c r="G55" s="4">
        <v>2000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>
        <v>0</v>
      </c>
      <c r="AH55" s="4">
        <v>2000</v>
      </c>
    </row>
    <row r="56" spans="1:34" ht="11.55" customHeight="1" x14ac:dyDescent="0.3">
      <c r="A56" s="6">
        <v>7</v>
      </c>
      <c r="B56" s="7" t="s">
        <v>226</v>
      </c>
      <c r="C56" s="7" t="s">
        <v>100</v>
      </c>
      <c r="D56" s="7" t="s">
        <v>23</v>
      </c>
      <c r="E56" s="6"/>
      <c r="F56" s="8">
        <v>500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8">
        <v>500</v>
      </c>
      <c r="AH56" s="8">
        <v>0</v>
      </c>
    </row>
    <row r="57" spans="1:34" ht="13.5" customHeight="1" x14ac:dyDescent="0.3">
      <c r="A57" s="16" t="s">
        <v>107</v>
      </c>
      <c r="B57" s="17"/>
      <c r="C57" s="17"/>
      <c r="D57" s="17"/>
      <c r="E57" s="17"/>
      <c r="F57" s="10">
        <f t="shared" ref="F57:AH57" si="1">SUM(F49:F56)</f>
        <v>11800</v>
      </c>
      <c r="G57" s="10">
        <f t="shared" si="1"/>
        <v>6552.2</v>
      </c>
      <c r="H57" s="10">
        <f t="shared" si="1"/>
        <v>0</v>
      </c>
      <c r="I57" s="10">
        <f t="shared" si="1"/>
        <v>0</v>
      </c>
      <c r="J57" s="10">
        <f t="shared" si="1"/>
        <v>0</v>
      </c>
      <c r="K57" s="10">
        <f t="shared" si="1"/>
        <v>1500</v>
      </c>
      <c r="L57" s="10">
        <f t="shared" si="1"/>
        <v>0</v>
      </c>
      <c r="M57" s="10">
        <f t="shared" si="1"/>
        <v>0</v>
      </c>
      <c r="N57" s="10">
        <f t="shared" si="1"/>
        <v>0</v>
      </c>
      <c r="O57" s="10">
        <f t="shared" si="1"/>
        <v>1508</v>
      </c>
      <c r="P57" s="10">
        <f t="shared" si="1"/>
        <v>0</v>
      </c>
      <c r="Q57" s="10">
        <f t="shared" si="1"/>
        <v>0</v>
      </c>
      <c r="R57" s="10">
        <f t="shared" si="1"/>
        <v>0</v>
      </c>
      <c r="S57" s="10">
        <f t="shared" si="1"/>
        <v>0</v>
      </c>
      <c r="T57" s="10">
        <f t="shared" si="1"/>
        <v>1228.9000000000001</v>
      </c>
      <c r="U57" s="10">
        <f t="shared" si="1"/>
        <v>0</v>
      </c>
      <c r="V57" s="10">
        <f t="shared" si="1"/>
        <v>0</v>
      </c>
      <c r="W57" s="10">
        <f t="shared" si="1"/>
        <v>950</v>
      </c>
      <c r="X57" s="10">
        <f t="shared" si="1"/>
        <v>0</v>
      </c>
      <c r="Y57" s="10">
        <f t="shared" si="1"/>
        <v>0</v>
      </c>
      <c r="Z57" s="10">
        <f t="shared" si="1"/>
        <v>0</v>
      </c>
      <c r="AA57" s="10">
        <f t="shared" si="1"/>
        <v>0</v>
      </c>
      <c r="AB57" s="10">
        <f t="shared" si="1"/>
        <v>0</v>
      </c>
      <c r="AC57" s="10">
        <f t="shared" si="1"/>
        <v>0</v>
      </c>
      <c r="AD57" s="10">
        <f t="shared" si="1"/>
        <v>0</v>
      </c>
      <c r="AE57" s="10">
        <f t="shared" si="1"/>
        <v>0</v>
      </c>
      <c r="AF57" s="10">
        <f t="shared" si="1"/>
        <v>0</v>
      </c>
      <c r="AG57" s="10">
        <f t="shared" si="1"/>
        <v>60.900000000000148</v>
      </c>
      <c r="AH57" s="10">
        <f t="shared" si="1"/>
        <v>11739.1</v>
      </c>
    </row>
    <row r="58" spans="1:34" ht="4.95" customHeight="1" x14ac:dyDescent="0.3"/>
    <row r="59" spans="1:34" ht="14.55" customHeight="1" x14ac:dyDescent="0.3">
      <c r="A59" s="21" t="s">
        <v>108</v>
      </c>
      <c r="B59" s="22"/>
      <c r="C59" s="22"/>
      <c r="D59" s="22"/>
      <c r="E59" s="22"/>
      <c r="F59" s="11">
        <f t="shared" ref="F59:AH59" si="2">F44+F57</f>
        <v>69300</v>
      </c>
      <c r="G59" s="11">
        <f t="shared" si="2"/>
        <v>28083.07</v>
      </c>
      <c r="H59" s="11">
        <f t="shared" si="2"/>
        <v>4300.04</v>
      </c>
      <c r="I59" s="11">
        <f t="shared" si="2"/>
        <v>0</v>
      </c>
      <c r="J59" s="11">
        <f t="shared" si="2"/>
        <v>0</v>
      </c>
      <c r="K59" s="11">
        <f t="shared" si="2"/>
        <v>6691.42</v>
      </c>
      <c r="L59" s="11">
        <f t="shared" si="2"/>
        <v>1000</v>
      </c>
      <c r="M59" s="11">
        <f t="shared" si="2"/>
        <v>0</v>
      </c>
      <c r="N59" s="11">
        <f t="shared" si="2"/>
        <v>0</v>
      </c>
      <c r="O59" s="11">
        <f t="shared" si="2"/>
        <v>4312.9400000000005</v>
      </c>
      <c r="P59" s="11">
        <f t="shared" si="2"/>
        <v>1300</v>
      </c>
      <c r="Q59" s="11">
        <f t="shared" si="2"/>
        <v>0</v>
      </c>
      <c r="R59" s="11">
        <f t="shared" si="2"/>
        <v>0</v>
      </c>
      <c r="S59" s="11">
        <f t="shared" si="2"/>
        <v>4841.8</v>
      </c>
      <c r="T59" s="11">
        <f t="shared" si="2"/>
        <v>4728.8999999999996</v>
      </c>
      <c r="U59" s="11">
        <f t="shared" si="2"/>
        <v>0</v>
      </c>
      <c r="V59" s="11">
        <f t="shared" si="2"/>
        <v>0</v>
      </c>
      <c r="W59" s="11">
        <f t="shared" si="2"/>
        <v>3126.56</v>
      </c>
      <c r="X59" s="11">
        <f t="shared" si="2"/>
        <v>1478</v>
      </c>
      <c r="Y59" s="11">
        <f t="shared" si="2"/>
        <v>0</v>
      </c>
      <c r="Z59" s="11">
        <f t="shared" si="2"/>
        <v>0</v>
      </c>
      <c r="AA59" s="11">
        <f t="shared" si="2"/>
        <v>1000</v>
      </c>
      <c r="AB59" s="11">
        <f t="shared" si="2"/>
        <v>0</v>
      </c>
      <c r="AC59" s="11">
        <f t="shared" si="2"/>
        <v>0</v>
      </c>
      <c r="AD59" s="11">
        <f t="shared" si="2"/>
        <v>0</v>
      </c>
      <c r="AE59" s="11">
        <f t="shared" si="2"/>
        <v>0</v>
      </c>
      <c r="AF59" s="11">
        <f t="shared" si="2"/>
        <v>0</v>
      </c>
      <c r="AG59" s="11">
        <f t="shared" si="2"/>
        <v>8437.2699999999986</v>
      </c>
      <c r="AH59" s="11">
        <f t="shared" si="2"/>
        <v>60862.73</v>
      </c>
    </row>
  </sheetData>
  <mergeCells count="35">
    <mergeCell ref="A1:AH1"/>
    <mergeCell ref="K47:N47"/>
    <mergeCell ref="W47:Z47"/>
    <mergeCell ref="E47:E48"/>
    <mergeCell ref="AH47:AH48"/>
    <mergeCell ref="A46:AH46"/>
    <mergeCell ref="K2:N2"/>
    <mergeCell ref="A44:E44"/>
    <mergeCell ref="AH2:AH3"/>
    <mergeCell ref="AA2:AC2"/>
    <mergeCell ref="AG47:AG48"/>
    <mergeCell ref="AA47:AC47"/>
    <mergeCell ref="A57:E57"/>
    <mergeCell ref="S2:V2"/>
    <mergeCell ref="A47:A48"/>
    <mergeCell ref="AD47:AF47"/>
    <mergeCell ref="AG2:AG3"/>
    <mergeCell ref="F2:F3"/>
    <mergeCell ref="AD2:AF2"/>
    <mergeCell ref="C47:C48"/>
    <mergeCell ref="S47:V47"/>
    <mergeCell ref="D47:D48"/>
    <mergeCell ref="G2:J2"/>
    <mergeCell ref="F47:F48"/>
    <mergeCell ref="C2:C3"/>
    <mergeCell ref="E2:E3"/>
    <mergeCell ref="O47:R47"/>
    <mergeCell ref="B47:B48"/>
    <mergeCell ref="A59:E59"/>
    <mergeCell ref="W2:Z2"/>
    <mergeCell ref="G47:J47"/>
    <mergeCell ref="O2:R2"/>
    <mergeCell ref="B2:B3"/>
    <mergeCell ref="D2:D3"/>
    <mergeCell ref="A2:A3"/>
  </mergeCells>
  <pageMargins left="0.2" right="0.2" top="0.25" bottom="0.25" header="0.1" footer="0.1"/>
  <pageSetup paperSize="5"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59"/>
  <sheetViews>
    <sheetView topLeftCell="A45" workbookViewId="0">
      <selection activeCell="A60" sqref="A60:XFD60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8.77734375" bestFit="1" customWidth="1"/>
    <col min="4" max="4" width="23.44140625" bestFit="1" customWidth="1"/>
    <col min="5" max="5" width="7.77734375" customWidth="1"/>
    <col min="6" max="6" width="10.77734375" customWidth="1"/>
    <col min="7" max="7" width="7.88671875" bestFit="1" customWidth="1"/>
    <col min="8" max="8" width="7.109375" bestFit="1" customWidth="1"/>
    <col min="9" max="9" width="6.44140625" bestFit="1" customWidth="1"/>
    <col min="10" max="10" width="6.77734375" bestFit="1" customWidth="1"/>
    <col min="11" max="12" width="7.109375" bestFit="1" customWidth="1"/>
    <col min="13" max="13" width="6.44140625" bestFit="1" customWidth="1"/>
    <col min="14" max="14" width="6.77734375" bestFit="1" customWidth="1"/>
    <col min="15" max="16" width="7.109375" bestFit="1" customWidth="1"/>
    <col min="17" max="17" width="6.44140625" bestFit="1" customWidth="1"/>
    <col min="18" max="20" width="7.109375" bestFit="1" customWidth="1"/>
    <col min="21" max="22" width="6.21875" customWidth="1"/>
    <col min="23" max="23" width="7.109375" bestFit="1" customWidth="1"/>
    <col min="24" max="30" width="6.21875" customWidth="1"/>
    <col min="31" max="31" width="8.21875" customWidth="1"/>
    <col min="32" max="32" width="8.44140625" customWidth="1"/>
  </cols>
  <sheetData>
    <row r="1" spans="1:32" ht="18" customHeight="1" x14ac:dyDescent="0.3">
      <c r="A1" s="23" t="s">
        <v>245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246</v>
      </c>
      <c r="H2" s="19"/>
      <c r="I2" s="19"/>
      <c r="J2" s="19"/>
      <c r="K2" s="18" t="s">
        <v>247</v>
      </c>
      <c r="L2" s="19"/>
      <c r="M2" s="19"/>
      <c r="N2" s="19"/>
      <c r="O2" s="18" t="s">
        <v>248</v>
      </c>
      <c r="P2" s="19"/>
      <c r="Q2" s="19"/>
      <c r="R2" s="19"/>
      <c r="S2" s="18" t="s">
        <v>249</v>
      </c>
      <c r="T2" s="19"/>
      <c r="U2" s="19"/>
      <c r="V2" s="19"/>
      <c r="W2" s="18" t="s">
        <v>250</v>
      </c>
      <c r="X2" s="19"/>
      <c r="Y2" s="19"/>
      <c r="Z2" s="19"/>
      <c r="AA2" s="18" t="s">
        <v>251</v>
      </c>
      <c r="AB2" s="19"/>
      <c r="AC2" s="19"/>
      <c r="AD2" s="19"/>
      <c r="AE2" s="20" t="s">
        <v>14</v>
      </c>
      <c r="AF2" s="14" t="s">
        <v>15</v>
      </c>
    </row>
    <row r="3" spans="1:32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215</v>
      </c>
      <c r="AD3" s="1" t="s">
        <v>18</v>
      </c>
      <c r="AE3" s="19"/>
      <c r="AF3" s="15"/>
    </row>
    <row r="4" spans="1:32" ht="11.55" customHeight="1" x14ac:dyDescent="0.3">
      <c r="A4" s="2">
        <v>1</v>
      </c>
      <c r="B4" s="3" t="s">
        <v>19</v>
      </c>
      <c r="C4" s="3" t="s">
        <v>20</v>
      </c>
      <c r="D4" s="3" t="s">
        <v>21</v>
      </c>
      <c r="E4" s="2" t="s">
        <v>22</v>
      </c>
      <c r="F4" s="4">
        <v>1200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>
        <v>1200</v>
      </c>
      <c r="AF4" s="4">
        <v>0</v>
      </c>
    </row>
    <row r="5" spans="1:32" ht="11.55" customHeight="1" x14ac:dyDescent="0.3">
      <c r="A5" s="6">
        <v>2</v>
      </c>
      <c r="B5" s="7" t="s">
        <v>19</v>
      </c>
      <c r="C5" s="7" t="s">
        <v>20</v>
      </c>
      <c r="D5" s="7" t="s">
        <v>23</v>
      </c>
      <c r="E5" s="6"/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8">
        <v>500</v>
      </c>
      <c r="AF5" s="8">
        <v>0</v>
      </c>
    </row>
    <row r="6" spans="1:32" ht="11.55" customHeight="1" x14ac:dyDescent="0.3">
      <c r="A6" s="2">
        <v>3</v>
      </c>
      <c r="B6" s="3" t="s">
        <v>24</v>
      </c>
      <c r="C6" s="3" t="s">
        <v>25</v>
      </c>
      <c r="D6" s="3" t="s">
        <v>26</v>
      </c>
      <c r="E6" s="2" t="s">
        <v>27</v>
      </c>
      <c r="F6" s="4">
        <v>2500</v>
      </c>
      <c r="G6" s="4">
        <v>1430.28</v>
      </c>
      <c r="H6" s="5"/>
      <c r="I6" s="5"/>
      <c r="J6" s="5"/>
      <c r="K6" s="5"/>
      <c r="L6" s="5"/>
      <c r="M6" s="5"/>
      <c r="N6" s="5"/>
      <c r="O6" s="4">
        <v>1069.72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4">
        <v>0</v>
      </c>
      <c r="AF6" s="4">
        <v>2500</v>
      </c>
    </row>
    <row r="7" spans="1:32" ht="11.55" customHeight="1" x14ac:dyDescent="0.3">
      <c r="A7" s="6">
        <v>4</v>
      </c>
      <c r="B7" s="7" t="s">
        <v>24</v>
      </c>
      <c r="C7" s="7" t="s">
        <v>25</v>
      </c>
      <c r="D7" s="7" t="s">
        <v>23</v>
      </c>
      <c r="E7" s="6"/>
      <c r="F7" s="8">
        <v>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8">
        <v>500</v>
      </c>
      <c r="AF7" s="8">
        <v>0</v>
      </c>
    </row>
    <row r="8" spans="1:32" ht="11.55" customHeight="1" x14ac:dyDescent="0.3">
      <c r="A8" s="2">
        <v>5</v>
      </c>
      <c r="B8" s="3" t="s">
        <v>28</v>
      </c>
      <c r="C8" s="3" t="s">
        <v>25</v>
      </c>
      <c r="D8" s="3" t="s">
        <v>29</v>
      </c>
      <c r="E8" s="2" t="s">
        <v>116</v>
      </c>
      <c r="F8" s="4">
        <v>1500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>
        <v>1500</v>
      </c>
      <c r="AF8" s="4">
        <v>0</v>
      </c>
    </row>
    <row r="9" spans="1:32" ht="11.55" customHeight="1" x14ac:dyDescent="0.3">
      <c r="A9" s="6">
        <v>6</v>
      </c>
      <c r="B9" s="7" t="s">
        <v>117</v>
      </c>
      <c r="C9" s="7" t="s">
        <v>25</v>
      </c>
      <c r="D9" s="7" t="s">
        <v>29</v>
      </c>
      <c r="E9" s="6" t="s">
        <v>34</v>
      </c>
      <c r="F9" s="8">
        <v>1500</v>
      </c>
      <c r="G9" s="8">
        <v>893.08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8">
        <v>1144.5</v>
      </c>
      <c r="X9" s="9"/>
      <c r="Y9" s="9"/>
      <c r="Z9" s="9"/>
      <c r="AA9" s="9"/>
      <c r="AB9" s="9"/>
      <c r="AC9" s="9"/>
      <c r="AD9" s="9"/>
      <c r="AE9" s="13">
        <v>-537.58000000000004</v>
      </c>
      <c r="AF9" s="8">
        <v>2037.58</v>
      </c>
    </row>
    <row r="10" spans="1:32" ht="11.55" customHeight="1" x14ac:dyDescent="0.3">
      <c r="A10" s="2">
        <v>7</v>
      </c>
      <c r="B10" s="3" t="s">
        <v>33</v>
      </c>
      <c r="C10" s="3" t="s">
        <v>25</v>
      </c>
      <c r="D10" s="3"/>
      <c r="E10" s="2" t="s">
        <v>32</v>
      </c>
      <c r="F10" s="4">
        <v>1500</v>
      </c>
      <c r="G10" s="5"/>
      <c r="H10" s="5"/>
      <c r="I10" s="5"/>
      <c r="J10" s="5"/>
      <c r="K10" s="4">
        <v>1400.48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">
        <v>99.52</v>
      </c>
      <c r="AF10" s="4">
        <v>1400.48</v>
      </c>
    </row>
    <row r="11" spans="1:32" ht="11.55" customHeight="1" x14ac:dyDescent="0.3">
      <c r="A11" s="6">
        <v>8</v>
      </c>
      <c r="B11" s="7" t="s">
        <v>35</v>
      </c>
      <c r="C11" s="7" t="s">
        <v>36</v>
      </c>
      <c r="D11" s="7" t="s">
        <v>37</v>
      </c>
      <c r="E11" s="6" t="s">
        <v>38</v>
      </c>
      <c r="F11" s="8">
        <v>700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8">
        <v>700</v>
      </c>
      <c r="AF11" s="8">
        <v>0</v>
      </c>
    </row>
    <row r="12" spans="1:32" ht="11.55" customHeight="1" x14ac:dyDescent="0.3">
      <c r="A12" s="2">
        <v>9</v>
      </c>
      <c r="B12" s="3" t="s">
        <v>39</v>
      </c>
      <c r="C12" s="3" t="s">
        <v>40</v>
      </c>
      <c r="D12" s="3" t="s">
        <v>41</v>
      </c>
      <c r="E12" s="2" t="s">
        <v>42</v>
      </c>
      <c r="F12" s="4">
        <v>1500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4">
        <v>1500</v>
      </c>
      <c r="AF12" s="4">
        <v>0</v>
      </c>
    </row>
    <row r="13" spans="1:32" ht="11.55" customHeight="1" x14ac:dyDescent="0.3">
      <c r="A13" s="6">
        <v>10</v>
      </c>
      <c r="B13" s="7" t="s">
        <v>43</v>
      </c>
      <c r="C13" s="7" t="s">
        <v>44</v>
      </c>
      <c r="D13" s="7" t="s">
        <v>45</v>
      </c>
      <c r="E13" s="6" t="s">
        <v>46</v>
      </c>
      <c r="F13" s="8">
        <v>1500</v>
      </c>
      <c r="G13" s="9"/>
      <c r="H13" s="9"/>
      <c r="I13" s="9"/>
      <c r="J13" s="9"/>
      <c r="K13" s="8">
        <v>1484.53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8">
        <v>500</v>
      </c>
      <c r="AB13" s="9"/>
      <c r="AC13" s="9"/>
      <c r="AD13" s="9"/>
      <c r="AE13" s="13">
        <v>-484.53</v>
      </c>
      <c r="AF13" s="8">
        <v>1984.53</v>
      </c>
    </row>
    <row r="14" spans="1:32" ht="11.55" customHeight="1" x14ac:dyDescent="0.3">
      <c r="A14" s="2">
        <v>11</v>
      </c>
      <c r="B14" s="3"/>
      <c r="C14" s="3" t="s">
        <v>20</v>
      </c>
      <c r="D14" s="3" t="s">
        <v>23</v>
      </c>
      <c r="E14" s="2"/>
      <c r="F14" s="4">
        <v>500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4">
        <v>500</v>
      </c>
      <c r="AF14" s="4">
        <v>0</v>
      </c>
    </row>
    <row r="15" spans="1:32" ht="11.55" customHeight="1" x14ac:dyDescent="0.3">
      <c r="A15" s="6">
        <v>12</v>
      </c>
      <c r="B15" s="7" t="s">
        <v>47</v>
      </c>
      <c r="C15" s="7" t="s">
        <v>44</v>
      </c>
      <c r="D15" s="7" t="s">
        <v>48</v>
      </c>
      <c r="E15" s="6" t="s">
        <v>49</v>
      </c>
      <c r="F15" s="8">
        <v>1500</v>
      </c>
      <c r="G15" s="8">
        <v>1500</v>
      </c>
      <c r="H15" s="9"/>
      <c r="I15" s="9"/>
      <c r="J15" s="9"/>
      <c r="K15" s="9"/>
      <c r="L15" s="8">
        <v>1500</v>
      </c>
      <c r="M15" s="6" t="s">
        <v>252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3">
        <v>-1500</v>
      </c>
      <c r="AF15" s="8">
        <v>3000</v>
      </c>
    </row>
    <row r="16" spans="1:32" ht="11.55" customHeight="1" x14ac:dyDescent="0.3">
      <c r="A16" s="2">
        <v>13</v>
      </c>
      <c r="B16" s="3" t="s">
        <v>50</v>
      </c>
      <c r="C16" s="3" t="s">
        <v>51</v>
      </c>
      <c r="D16" s="3" t="s">
        <v>52</v>
      </c>
      <c r="E16" s="2" t="s">
        <v>53</v>
      </c>
      <c r="F16" s="4">
        <v>1500</v>
      </c>
      <c r="G16" s="4">
        <v>1369.44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>
        <v>900.02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12">
        <v>-769.46</v>
      </c>
      <c r="AF16" s="4">
        <v>2269.46</v>
      </c>
    </row>
    <row r="17" spans="1:32" ht="11.55" customHeight="1" x14ac:dyDescent="0.3">
      <c r="A17" s="6"/>
      <c r="B17" s="7" t="s">
        <v>50</v>
      </c>
      <c r="C17" s="7" t="s">
        <v>51</v>
      </c>
      <c r="D17" s="7"/>
      <c r="E17" s="6" t="s">
        <v>196</v>
      </c>
      <c r="F17" s="8">
        <v>2500</v>
      </c>
      <c r="G17" s="9"/>
      <c r="H17" s="9"/>
      <c r="I17" s="9"/>
      <c r="J17" s="9"/>
      <c r="K17" s="8">
        <v>1500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8">
        <v>1000</v>
      </c>
      <c r="AF17" s="8">
        <v>1500</v>
      </c>
    </row>
    <row r="18" spans="1:32" ht="11.55" customHeight="1" x14ac:dyDescent="0.3">
      <c r="A18" s="2"/>
      <c r="B18" s="3" t="s">
        <v>50</v>
      </c>
      <c r="C18" s="3" t="s">
        <v>51</v>
      </c>
      <c r="D18" s="3" t="s">
        <v>23</v>
      </c>
      <c r="E18" s="2"/>
      <c r="F18" s="4">
        <v>300</v>
      </c>
      <c r="G18" s="4">
        <v>500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12">
        <v>-200</v>
      </c>
      <c r="AF18" s="4">
        <v>500</v>
      </c>
    </row>
    <row r="19" spans="1:32" ht="11.55" customHeight="1" x14ac:dyDescent="0.3">
      <c r="A19" s="6">
        <v>14</v>
      </c>
      <c r="B19" s="7" t="s">
        <v>54</v>
      </c>
      <c r="C19" s="7" t="s">
        <v>51</v>
      </c>
      <c r="D19" s="7" t="s">
        <v>55</v>
      </c>
      <c r="E19" s="6" t="s">
        <v>56</v>
      </c>
      <c r="F19" s="8">
        <v>2500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8">
        <v>2500</v>
      </c>
      <c r="AF19" s="8">
        <v>0</v>
      </c>
    </row>
    <row r="20" spans="1:32" ht="11.55" customHeight="1" x14ac:dyDescent="0.3">
      <c r="A20" s="2">
        <v>15</v>
      </c>
      <c r="B20" s="3" t="s">
        <v>57</v>
      </c>
      <c r="C20" s="3" t="s">
        <v>51</v>
      </c>
      <c r="D20" s="3" t="s">
        <v>48</v>
      </c>
      <c r="E20" s="2" t="s">
        <v>58</v>
      </c>
      <c r="F20" s="4">
        <v>4000</v>
      </c>
      <c r="G20" s="5"/>
      <c r="H20" s="4">
        <v>2669.44</v>
      </c>
      <c r="I20" s="2" t="s">
        <v>253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4">
        <v>1330</v>
      </c>
      <c r="U20" s="2" t="s">
        <v>254</v>
      </c>
      <c r="V20" s="5"/>
      <c r="W20" s="5"/>
      <c r="X20" s="5"/>
      <c r="Y20" s="5"/>
      <c r="Z20" s="5"/>
      <c r="AA20" s="5"/>
      <c r="AB20" s="5"/>
      <c r="AC20" s="5"/>
      <c r="AD20" s="5"/>
      <c r="AE20" s="4">
        <v>0.56000000000000005</v>
      </c>
      <c r="AF20" s="4">
        <v>3999.44</v>
      </c>
    </row>
    <row r="21" spans="1:32" ht="11.55" customHeight="1" x14ac:dyDescent="0.3">
      <c r="A21" s="6">
        <v>16</v>
      </c>
      <c r="B21" s="7" t="s">
        <v>59</v>
      </c>
      <c r="C21" s="7" t="s">
        <v>60</v>
      </c>
      <c r="D21" s="7" t="s">
        <v>52</v>
      </c>
      <c r="E21" s="6" t="s">
        <v>61</v>
      </c>
      <c r="F21" s="8">
        <v>2500</v>
      </c>
      <c r="G21" s="8">
        <v>1376.65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8">
        <v>1123.3499999999999</v>
      </c>
      <c r="AF21" s="8">
        <v>1376.65</v>
      </c>
    </row>
    <row r="22" spans="1:32" ht="11.55" customHeight="1" x14ac:dyDescent="0.3">
      <c r="A22" s="2">
        <v>17</v>
      </c>
      <c r="B22" s="3"/>
      <c r="C22" s="3"/>
      <c r="D22" s="3" t="s">
        <v>62</v>
      </c>
      <c r="E22" s="2"/>
      <c r="F22" s="4">
        <v>1000</v>
      </c>
      <c r="G22" s="4">
        <v>1000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4">
        <v>0</v>
      </c>
      <c r="AF22" s="4">
        <v>1000</v>
      </c>
    </row>
    <row r="23" spans="1:32" ht="11.55" customHeight="1" x14ac:dyDescent="0.3">
      <c r="A23" s="6">
        <v>18</v>
      </c>
      <c r="B23" s="7"/>
      <c r="C23" s="7"/>
      <c r="D23" s="7" t="s">
        <v>63</v>
      </c>
      <c r="E23" s="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8">
        <v>0</v>
      </c>
      <c r="AF23" s="8">
        <v>0</v>
      </c>
    </row>
    <row r="24" spans="1:32" ht="11.55" customHeight="1" x14ac:dyDescent="0.3">
      <c r="A24" s="2">
        <v>19</v>
      </c>
      <c r="B24" s="3"/>
      <c r="C24" s="3"/>
      <c r="D24" s="3" t="s">
        <v>64</v>
      </c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4">
        <v>0</v>
      </c>
      <c r="AF24" s="4">
        <v>0</v>
      </c>
    </row>
    <row r="25" spans="1:32" ht="11.55" customHeight="1" x14ac:dyDescent="0.3">
      <c r="A25" s="6">
        <v>20</v>
      </c>
      <c r="B25" s="7" t="s">
        <v>65</v>
      </c>
      <c r="C25" s="7" t="s">
        <v>60</v>
      </c>
      <c r="D25" s="7" t="s">
        <v>52</v>
      </c>
      <c r="E25" s="6" t="s">
        <v>66</v>
      </c>
      <c r="F25" s="8">
        <v>1500</v>
      </c>
      <c r="G25" s="8">
        <v>1079.6300000000001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8">
        <v>420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8">
        <v>0.37</v>
      </c>
      <c r="AF25" s="8">
        <v>1499.63</v>
      </c>
    </row>
    <row r="26" spans="1:32" ht="11.55" customHeight="1" x14ac:dyDescent="0.3">
      <c r="A26" s="2">
        <v>21</v>
      </c>
      <c r="B26" s="3" t="s">
        <v>67</v>
      </c>
      <c r="C26" s="3" t="s">
        <v>60</v>
      </c>
      <c r="D26" s="3" t="s">
        <v>48</v>
      </c>
      <c r="E26" s="2" t="s">
        <v>68</v>
      </c>
      <c r="F26" s="4">
        <v>3000</v>
      </c>
      <c r="G26" s="4">
        <v>3000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>
        <v>1000</v>
      </c>
      <c r="T26" s="5"/>
      <c r="U26" s="5"/>
      <c r="V26" s="5"/>
      <c r="W26" s="4">
        <v>500</v>
      </c>
      <c r="X26" s="5"/>
      <c r="Y26" s="5"/>
      <c r="Z26" s="5"/>
      <c r="AA26" s="5"/>
      <c r="AB26" s="5"/>
      <c r="AC26" s="5"/>
      <c r="AD26" s="5"/>
      <c r="AE26" s="12">
        <v>-1500</v>
      </c>
      <c r="AF26" s="4">
        <v>4500</v>
      </c>
    </row>
    <row r="27" spans="1:32" ht="11.55" customHeight="1" x14ac:dyDescent="0.3">
      <c r="A27" s="6">
        <v>22</v>
      </c>
      <c r="B27" s="7" t="s">
        <v>69</v>
      </c>
      <c r="C27" s="7" t="s">
        <v>60</v>
      </c>
      <c r="D27" s="7" t="s">
        <v>55</v>
      </c>
      <c r="E27" s="6" t="s">
        <v>70</v>
      </c>
      <c r="F27" s="8">
        <v>2500</v>
      </c>
      <c r="G27" s="8">
        <v>1214.43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8">
        <v>1285.57</v>
      </c>
      <c r="AF27" s="8">
        <v>1214.43</v>
      </c>
    </row>
    <row r="28" spans="1:32" ht="11.55" customHeight="1" x14ac:dyDescent="0.3">
      <c r="A28" s="2">
        <v>23</v>
      </c>
      <c r="B28" s="3" t="s">
        <v>71</v>
      </c>
      <c r="C28" s="3" t="s">
        <v>72</v>
      </c>
      <c r="D28" s="3" t="s">
        <v>73</v>
      </c>
      <c r="E28" s="2"/>
      <c r="F28" s="4">
        <v>2500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4">
        <v>500</v>
      </c>
      <c r="Y28" s="2" t="s">
        <v>255</v>
      </c>
      <c r="Z28" s="5"/>
      <c r="AA28" s="5"/>
      <c r="AB28" s="4">
        <v>500</v>
      </c>
      <c r="AC28" s="2" t="s">
        <v>256</v>
      </c>
      <c r="AD28" s="5"/>
      <c r="AE28" s="4">
        <v>1500</v>
      </c>
      <c r="AF28" s="4">
        <v>1000</v>
      </c>
    </row>
    <row r="29" spans="1:32" ht="11.55" customHeight="1" x14ac:dyDescent="0.3">
      <c r="A29" s="6">
        <v>24</v>
      </c>
      <c r="B29" s="7" t="s">
        <v>75</v>
      </c>
      <c r="C29" s="7"/>
      <c r="D29" s="7" t="s">
        <v>23</v>
      </c>
      <c r="E29" s="6"/>
      <c r="F29" s="8">
        <v>1000</v>
      </c>
      <c r="G29" s="9"/>
      <c r="H29" s="9"/>
      <c r="I29" s="9"/>
      <c r="J29" s="9"/>
      <c r="K29" s="9"/>
      <c r="L29" s="9"/>
      <c r="M29" s="9"/>
      <c r="N29" s="9"/>
      <c r="O29" s="9"/>
      <c r="P29" s="8">
        <v>300</v>
      </c>
      <c r="Q29" s="6" t="s">
        <v>257</v>
      </c>
      <c r="R29" s="9"/>
      <c r="S29" s="9"/>
      <c r="T29" s="9"/>
      <c r="U29" s="9"/>
      <c r="V29" s="9"/>
      <c r="W29" s="9"/>
      <c r="X29" s="8">
        <v>300</v>
      </c>
      <c r="Y29" s="6" t="s">
        <v>258</v>
      </c>
      <c r="Z29" s="9"/>
      <c r="AA29" s="9"/>
      <c r="AB29" s="9"/>
      <c r="AC29" s="9"/>
      <c r="AD29" s="9"/>
      <c r="AE29" s="8">
        <v>400</v>
      </c>
      <c r="AF29" s="8">
        <v>600</v>
      </c>
    </row>
    <row r="30" spans="1:32" ht="11.55" customHeight="1" x14ac:dyDescent="0.3">
      <c r="A30" s="2">
        <v>25</v>
      </c>
      <c r="B30" s="3" t="s">
        <v>76</v>
      </c>
      <c r="C30" s="3" t="s">
        <v>77</v>
      </c>
      <c r="D30" s="3" t="s">
        <v>26</v>
      </c>
      <c r="E30" s="2" t="s">
        <v>78</v>
      </c>
      <c r="F30" s="4">
        <v>2500</v>
      </c>
      <c r="G30" s="4">
        <v>2000.05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4">
        <v>2000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12">
        <v>-1500.05</v>
      </c>
      <c r="AF30" s="4">
        <v>4000.05</v>
      </c>
    </row>
    <row r="31" spans="1:32" ht="11.55" customHeight="1" x14ac:dyDescent="0.3">
      <c r="A31" s="6">
        <v>26</v>
      </c>
      <c r="B31" s="7" t="s">
        <v>79</v>
      </c>
      <c r="C31" s="7" t="s">
        <v>77</v>
      </c>
      <c r="D31" s="7" t="s">
        <v>80</v>
      </c>
      <c r="E31" s="6" t="s">
        <v>81</v>
      </c>
      <c r="F31" s="8">
        <v>1000</v>
      </c>
      <c r="G31" s="9"/>
      <c r="H31" s="9"/>
      <c r="I31" s="9"/>
      <c r="J31" s="9"/>
      <c r="K31" s="8">
        <v>1000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8">
        <v>300</v>
      </c>
      <c r="X31" s="9"/>
      <c r="Y31" s="9"/>
      <c r="Z31" s="9"/>
      <c r="AA31" s="9"/>
      <c r="AB31" s="9"/>
      <c r="AC31" s="9"/>
      <c r="AD31" s="9"/>
      <c r="AE31" s="13">
        <v>-300</v>
      </c>
      <c r="AF31" s="8">
        <v>1300</v>
      </c>
    </row>
    <row r="32" spans="1:32" ht="11.55" customHeight="1" x14ac:dyDescent="0.3">
      <c r="A32" s="2">
        <v>27</v>
      </c>
      <c r="B32" s="3"/>
      <c r="C32" s="3"/>
      <c r="D32" s="3" t="s">
        <v>82</v>
      </c>
      <c r="E32" s="2"/>
      <c r="F32" s="4">
        <v>500</v>
      </c>
      <c r="G32" s="4">
        <v>500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>
        <v>0</v>
      </c>
      <c r="AF32" s="4">
        <v>500</v>
      </c>
    </row>
    <row r="33" spans="1:32" ht="11.55" customHeight="1" x14ac:dyDescent="0.3">
      <c r="A33" s="6">
        <v>28</v>
      </c>
      <c r="B33" s="7"/>
      <c r="C33" s="7"/>
      <c r="D33" s="7" t="s">
        <v>82</v>
      </c>
      <c r="E33" s="6"/>
      <c r="F33" s="8">
        <v>500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8">
        <v>500</v>
      </c>
      <c r="X33" s="9"/>
      <c r="Y33" s="9"/>
      <c r="Z33" s="9"/>
      <c r="AA33" s="9"/>
      <c r="AB33" s="9"/>
      <c r="AC33" s="9"/>
      <c r="AD33" s="9"/>
      <c r="AE33" s="8">
        <v>0</v>
      </c>
      <c r="AF33" s="8">
        <v>500</v>
      </c>
    </row>
    <row r="34" spans="1:32" ht="11.55" customHeight="1" x14ac:dyDescent="0.3">
      <c r="A34" s="2">
        <v>29</v>
      </c>
      <c r="B34" s="3" t="s">
        <v>83</v>
      </c>
      <c r="C34" s="3"/>
      <c r="D34" s="3"/>
      <c r="E34" s="2" t="s">
        <v>84</v>
      </c>
      <c r="F34" s="4">
        <v>800</v>
      </c>
      <c r="G34" s="4">
        <v>800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>
        <v>700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12">
        <v>-700</v>
      </c>
      <c r="AF34" s="4">
        <v>1500</v>
      </c>
    </row>
    <row r="35" spans="1:32" ht="11.55" customHeight="1" x14ac:dyDescent="0.3">
      <c r="A35" s="6">
        <v>30</v>
      </c>
      <c r="B35" s="7"/>
      <c r="C35" s="7"/>
      <c r="D35" s="7" t="s">
        <v>23</v>
      </c>
      <c r="E35" s="6"/>
      <c r="F35" s="8">
        <v>500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8">
        <v>500</v>
      </c>
      <c r="AF35" s="8">
        <v>0</v>
      </c>
    </row>
    <row r="36" spans="1:32" ht="11.55" customHeight="1" x14ac:dyDescent="0.3">
      <c r="A36" s="2">
        <v>31</v>
      </c>
      <c r="B36" s="3" t="s">
        <v>259</v>
      </c>
      <c r="C36" s="3" t="s">
        <v>260</v>
      </c>
      <c r="D36" s="3"/>
      <c r="E36" s="2" t="s">
        <v>130</v>
      </c>
      <c r="F36" s="4">
        <v>1500</v>
      </c>
      <c r="G36" s="5"/>
      <c r="H36" s="5"/>
      <c r="I36" s="5"/>
      <c r="J36" s="5"/>
      <c r="K36" s="5"/>
      <c r="L36" s="5"/>
      <c r="M36" s="5"/>
      <c r="N36" s="5"/>
      <c r="O36" s="5"/>
      <c r="P36" s="4">
        <v>800</v>
      </c>
      <c r="Q36" s="2" t="s">
        <v>261</v>
      </c>
      <c r="R36" s="5"/>
      <c r="S36" s="5"/>
      <c r="T36" s="4">
        <v>700</v>
      </c>
      <c r="U36" s="2" t="s">
        <v>262</v>
      </c>
      <c r="V36" s="5"/>
      <c r="W36" s="5"/>
      <c r="X36" s="5"/>
      <c r="Y36" s="5"/>
      <c r="Z36" s="5"/>
      <c r="AA36" s="5"/>
      <c r="AB36" s="5"/>
      <c r="AC36" s="5"/>
      <c r="AD36" s="5"/>
      <c r="AE36" s="4">
        <v>0</v>
      </c>
      <c r="AF36" s="4">
        <v>1500</v>
      </c>
    </row>
    <row r="37" spans="1:32" ht="11.55" customHeight="1" x14ac:dyDescent="0.3">
      <c r="A37" s="6">
        <v>32</v>
      </c>
      <c r="B37" s="7" t="s">
        <v>131</v>
      </c>
      <c r="C37" s="7" t="s">
        <v>132</v>
      </c>
      <c r="D37" s="7" t="s">
        <v>26</v>
      </c>
      <c r="E37" s="6" t="s">
        <v>133</v>
      </c>
      <c r="F37" s="8">
        <v>1500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8">
        <v>1500</v>
      </c>
      <c r="AF37" s="8">
        <v>0</v>
      </c>
    </row>
    <row r="38" spans="1:32" ht="11.55" customHeight="1" x14ac:dyDescent="0.3">
      <c r="A38" s="2">
        <v>33</v>
      </c>
      <c r="B38" s="3" t="s">
        <v>134</v>
      </c>
      <c r="C38" s="3" t="s">
        <v>135</v>
      </c>
      <c r="D38" s="3" t="s">
        <v>37</v>
      </c>
      <c r="E38" s="2" t="s">
        <v>241</v>
      </c>
      <c r="F38" s="4">
        <v>700</v>
      </c>
      <c r="G38" s="4">
        <v>700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4">
        <v>0</v>
      </c>
      <c r="AF38" s="4">
        <v>700</v>
      </c>
    </row>
    <row r="39" spans="1:32" ht="11.55" customHeight="1" x14ac:dyDescent="0.3">
      <c r="A39" s="6">
        <v>34</v>
      </c>
      <c r="B39" s="7" t="s">
        <v>86</v>
      </c>
      <c r="C39" s="7"/>
      <c r="D39" s="7" t="s">
        <v>87</v>
      </c>
      <c r="E39" s="6" t="s">
        <v>88</v>
      </c>
      <c r="F39" s="8">
        <v>3000</v>
      </c>
      <c r="G39" s="8">
        <v>1000</v>
      </c>
      <c r="H39" s="9"/>
      <c r="I39" s="9"/>
      <c r="J39" s="9"/>
      <c r="K39" s="9"/>
      <c r="L39" s="8">
        <v>1500</v>
      </c>
      <c r="M39" s="6" t="s">
        <v>263</v>
      </c>
      <c r="N39" s="9"/>
      <c r="O39" s="9"/>
      <c r="P39" s="9"/>
      <c r="Q39" s="9"/>
      <c r="R39" s="9"/>
      <c r="S39" s="9"/>
      <c r="T39" s="8">
        <v>500</v>
      </c>
      <c r="U39" s="6" t="s">
        <v>264</v>
      </c>
      <c r="V39" s="9"/>
      <c r="W39" s="8">
        <v>1000</v>
      </c>
      <c r="X39" s="9"/>
      <c r="Y39" s="9"/>
      <c r="Z39" s="9"/>
      <c r="AA39" s="9"/>
      <c r="AB39" s="9"/>
      <c r="AC39" s="9"/>
      <c r="AD39" s="9"/>
      <c r="AE39" s="13">
        <v>-1000</v>
      </c>
      <c r="AF39" s="8">
        <v>4000</v>
      </c>
    </row>
    <row r="40" spans="1:32" ht="11.55" customHeight="1" x14ac:dyDescent="0.3">
      <c r="A40" s="2">
        <v>35</v>
      </c>
      <c r="B40" s="3" t="s">
        <v>159</v>
      </c>
      <c r="C40" s="3"/>
      <c r="D40" s="3" t="s">
        <v>26</v>
      </c>
      <c r="E40" s="2" t="s">
        <v>160</v>
      </c>
      <c r="F40" s="4">
        <v>1500</v>
      </c>
      <c r="G40" s="4">
        <v>1500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>
        <v>0</v>
      </c>
      <c r="AF40" s="4">
        <v>1500</v>
      </c>
    </row>
    <row r="41" spans="1:32" ht="11.55" customHeight="1" x14ac:dyDescent="0.3">
      <c r="A41" s="6">
        <v>36</v>
      </c>
      <c r="B41" s="7" t="s">
        <v>159</v>
      </c>
      <c r="C41" s="7"/>
      <c r="D41" s="7" t="s">
        <v>26</v>
      </c>
      <c r="E41" s="6" t="s">
        <v>161</v>
      </c>
      <c r="F41" s="8">
        <v>1500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8">
        <v>1500</v>
      </c>
      <c r="AF41" s="8">
        <v>0</v>
      </c>
    </row>
    <row r="42" spans="1:32" ht="11.55" customHeight="1" x14ac:dyDescent="0.3">
      <c r="A42" s="2">
        <v>37</v>
      </c>
      <c r="B42" s="3"/>
      <c r="C42" s="3"/>
      <c r="D42" s="3" t="s">
        <v>26</v>
      </c>
      <c r="E42" s="2" t="s">
        <v>163</v>
      </c>
      <c r="F42" s="4">
        <v>1500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4">
        <v>1500</v>
      </c>
      <c r="AF42" s="4">
        <v>0</v>
      </c>
    </row>
    <row r="43" spans="1:32" ht="11.55" customHeight="1" x14ac:dyDescent="0.3">
      <c r="A43" s="6">
        <v>38</v>
      </c>
      <c r="B43" s="7" t="s">
        <v>205</v>
      </c>
      <c r="C43" s="7"/>
      <c r="D43" s="7"/>
      <c r="E43" s="6" t="s">
        <v>30</v>
      </c>
      <c r="F43" s="8">
        <v>800</v>
      </c>
      <c r="G43" s="8">
        <v>800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8">
        <v>0</v>
      </c>
      <c r="AF43" s="8">
        <v>800</v>
      </c>
    </row>
    <row r="44" spans="1:32" ht="11.55" customHeight="1" x14ac:dyDescent="0.3">
      <c r="A44" s="2">
        <v>39</v>
      </c>
      <c r="B44" s="3" t="s">
        <v>265</v>
      </c>
      <c r="C44" s="3" t="s">
        <v>266</v>
      </c>
      <c r="D44" s="3"/>
      <c r="E44" s="2" t="s">
        <v>22</v>
      </c>
      <c r="F44" s="4">
        <v>1500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>
        <v>1000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4">
        <v>500</v>
      </c>
      <c r="AF44" s="4">
        <v>1000</v>
      </c>
    </row>
    <row r="45" spans="1:32" ht="13.5" customHeight="1" x14ac:dyDescent="0.3">
      <c r="A45" s="16" t="s">
        <v>89</v>
      </c>
      <c r="B45" s="17"/>
      <c r="C45" s="17"/>
      <c r="D45" s="17"/>
      <c r="E45" s="17"/>
      <c r="F45" s="10">
        <f t="shared" ref="F45:AF45" si="0">SUM(F4:F44)</f>
        <v>59000</v>
      </c>
      <c r="G45" s="10">
        <f t="shared" si="0"/>
        <v>20663.560000000001</v>
      </c>
      <c r="H45" s="10">
        <f t="shared" si="0"/>
        <v>2669.44</v>
      </c>
      <c r="I45" s="10">
        <f t="shared" si="0"/>
        <v>0</v>
      </c>
      <c r="J45" s="10">
        <f t="shared" si="0"/>
        <v>0</v>
      </c>
      <c r="K45" s="10">
        <f t="shared" si="0"/>
        <v>5385.01</v>
      </c>
      <c r="L45" s="10">
        <f t="shared" si="0"/>
        <v>3000</v>
      </c>
      <c r="M45" s="10">
        <f t="shared" si="0"/>
        <v>0</v>
      </c>
      <c r="N45" s="10">
        <f t="shared" si="0"/>
        <v>0</v>
      </c>
      <c r="O45" s="10">
        <f t="shared" si="0"/>
        <v>1069.72</v>
      </c>
      <c r="P45" s="10">
        <f t="shared" si="0"/>
        <v>1100</v>
      </c>
      <c r="Q45" s="10">
        <f t="shared" si="0"/>
        <v>0</v>
      </c>
      <c r="R45" s="10">
        <f t="shared" si="0"/>
        <v>2000</v>
      </c>
      <c r="S45" s="10">
        <f t="shared" si="0"/>
        <v>4020.02</v>
      </c>
      <c r="T45" s="10">
        <f t="shared" si="0"/>
        <v>2530</v>
      </c>
      <c r="U45" s="10">
        <f t="shared" si="0"/>
        <v>0</v>
      </c>
      <c r="V45" s="10">
        <f t="shared" si="0"/>
        <v>0</v>
      </c>
      <c r="W45" s="10">
        <f t="shared" si="0"/>
        <v>3444.5</v>
      </c>
      <c r="X45" s="10">
        <f t="shared" si="0"/>
        <v>800</v>
      </c>
      <c r="Y45" s="10">
        <f t="shared" si="0"/>
        <v>0</v>
      </c>
      <c r="Z45" s="10">
        <f t="shared" si="0"/>
        <v>0</v>
      </c>
      <c r="AA45" s="10">
        <f t="shared" si="0"/>
        <v>500</v>
      </c>
      <c r="AB45" s="10">
        <f t="shared" si="0"/>
        <v>500</v>
      </c>
      <c r="AC45" s="10">
        <f t="shared" si="0"/>
        <v>0</v>
      </c>
      <c r="AD45" s="10">
        <f t="shared" si="0"/>
        <v>0</v>
      </c>
      <c r="AE45" s="10">
        <f t="shared" si="0"/>
        <v>11317.75</v>
      </c>
      <c r="AF45" s="10">
        <f t="shared" si="0"/>
        <v>47682.25</v>
      </c>
    </row>
    <row r="46" spans="1:32" ht="6" customHeight="1" x14ac:dyDescent="0.3"/>
    <row r="47" spans="1:32" ht="16.95" customHeight="1" x14ac:dyDescent="0.3">
      <c r="A47" s="23" t="s">
        <v>267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1:32" ht="13.95" customHeight="1" x14ac:dyDescent="0.3">
      <c r="A48" s="14" t="s">
        <v>1</v>
      </c>
      <c r="B48" s="14" t="s">
        <v>2</v>
      </c>
      <c r="C48" s="14" t="s">
        <v>3</v>
      </c>
      <c r="D48" s="14" t="s">
        <v>4</v>
      </c>
      <c r="E48" s="14" t="s">
        <v>5</v>
      </c>
      <c r="F48" s="14" t="s">
        <v>6</v>
      </c>
      <c r="G48" s="18" t="s">
        <v>246</v>
      </c>
      <c r="H48" s="19"/>
      <c r="I48" s="19"/>
      <c r="J48" s="19"/>
      <c r="K48" s="18" t="s">
        <v>247</v>
      </c>
      <c r="L48" s="19"/>
      <c r="M48" s="19"/>
      <c r="N48" s="19"/>
      <c r="O48" s="18" t="s">
        <v>248</v>
      </c>
      <c r="P48" s="19"/>
      <c r="Q48" s="19"/>
      <c r="R48" s="19"/>
      <c r="S48" s="18" t="s">
        <v>249</v>
      </c>
      <c r="T48" s="19"/>
      <c r="U48" s="19"/>
      <c r="V48" s="19"/>
      <c r="W48" s="18" t="s">
        <v>250</v>
      </c>
      <c r="X48" s="19"/>
      <c r="Y48" s="19"/>
      <c r="Z48" s="19"/>
      <c r="AA48" s="18" t="s">
        <v>251</v>
      </c>
      <c r="AB48" s="19"/>
      <c r="AC48" s="19"/>
      <c r="AD48" s="19"/>
      <c r="AE48" s="20" t="s">
        <v>14</v>
      </c>
      <c r="AF48" s="14" t="s">
        <v>15</v>
      </c>
    </row>
    <row r="49" spans="1:32" ht="13.05" customHeight="1" x14ac:dyDescent="0.3">
      <c r="A49" s="15"/>
      <c r="B49" s="15"/>
      <c r="C49" s="15"/>
      <c r="D49" s="15"/>
      <c r="E49" s="15"/>
      <c r="F49" s="15"/>
      <c r="G49" s="1" t="s">
        <v>16</v>
      </c>
      <c r="H49" s="1" t="s">
        <v>17</v>
      </c>
      <c r="I49" s="1" t="s">
        <v>215</v>
      </c>
      <c r="J49" s="1" t="s">
        <v>18</v>
      </c>
      <c r="K49" s="1" t="s">
        <v>16</v>
      </c>
      <c r="L49" s="1" t="s">
        <v>17</v>
      </c>
      <c r="M49" s="1" t="s">
        <v>215</v>
      </c>
      <c r="N49" s="1" t="s">
        <v>18</v>
      </c>
      <c r="O49" s="1" t="s">
        <v>16</v>
      </c>
      <c r="P49" s="1" t="s">
        <v>17</v>
      </c>
      <c r="Q49" s="1" t="s">
        <v>215</v>
      </c>
      <c r="R49" s="1" t="s">
        <v>18</v>
      </c>
      <c r="S49" s="1" t="s">
        <v>16</v>
      </c>
      <c r="T49" s="1" t="s">
        <v>17</v>
      </c>
      <c r="U49" s="1" t="s">
        <v>215</v>
      </c>
      <c r="V49" s="1" t="s">
        <v>18</v>
      </c>
      <c r="W49" s="1" t="s">
        <v>16</v>
      </c>
      <c r="X49" s="1" t="s">
        <v>17</v>
      </c>
      <c r="Y49" s="1" t="s">
        <v>215</v>
      </c>
      <c r="Z49" s="1" t="s">
        <v>18</v>
      </c>
      <c r="AA49" s="1" t="s">
        <v>16</v>
      </c>
      <c r="AB49" s="1" t="s">
        <v>17</v>
      </c>
      <c r="AC49" s="1" t="s">
        <v>215</v>
      </c>
      <c r="AD49" s="1" t="s">
        <v>18</v>
      </c>
      <c r="AE49" s="19"/>
      <c r="AF49" s="15"/>
    </row>
    <row r="50" spans="1:32" ht="11.55" customHeight="1" x14ac:dyDescent="0.3">
      <c r="A50" s="2">
        <v>1</v>
      </c>
      <c r="B50" s="3" t="s">
        <v>91</v>
      </c>
      <c r="C50" s="3" t="s">
        <v>92</v>
      </c>
      <c r="D50" s="3" t="s">
        <v>93</v>
      </c>
      <c r="E50" s="2" t="s">
        <v>94</v>
      </c>
      <c r="F50" s="4">
        <v>2500</v>
      </c>
      <c r="G50" s="4">
        <v>1000.27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4">
        <v>1500</v>
      </c>
      <c r="X50" s="5"/>
      <c r="Y50" s="5"/>
      <c r="Z50" s="5"/>
      <c r="AA50" s="5"/>
      <c r="AB50" s="5"/>
      <c r="AC50" s="5"/>
      <c r="AD50" s="5"/>
      <c r="AE50" s="12">
        <v>-0.27</v>
      </c>
      <c r="AF50" s="4">
        <v>2500.27</v>
      </c>
    </row>
    <row r="51" spans="1:32" ht="11.55" customHeight="1" x14ac:dyDescent="0.3">
      <c r="A51" s="6">
        <v>2</v>
      </c>
      <c r="B51" s="7" t="s">
        <v>95</v>
      </c>
      <c r="C51" s="7" t="s">
        <v>92</v>
      </c>
      <c r="D51" s="7" t="s">
        <v>87</v>
      </c>
      <c r="E51" s="6" t="s">
        <v>96</v>
      </c>
      <c r="F51" s="8">
        <v>1500</v>
      </c>
      <c r="G51" s="9"/>
      <c r="H51" s="9"/>
      <c r="I51" s="9"/>
      <c r="J51" s="9"/>
      <c r="K51" s="9"/>
      <c r="L51" s="9"/>
      <c r="M51" s="9"/>
      <c r="N51" s="9"/>
      <c r="O51" s="8">
        <v>1500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>
        <v>0</v>
      </c>
      <c r="AF51" s="8">
        <v>1500</v>
      </c>
    </row>
    <row r="52" spans="1:32" ht="11.55" customHeight="1" x14ac:dyDescent="0.3">
      <c r="A52" s="2">
        <v>3</v>
      </c>
      <c r="B52" s="3" t="s">
        <v>97</v>
      </c>
      <c r="C52" s="3" t="s">
        <v>92</v>
      </c>
      <c r="D52" s="3" t="s">
        <v>98</v>
      </c>
      <c r="E52" s="2" t="s">
        <v>22</v>
      </c>
      <c r="F52" s="4">
        <v>2000</v>
      </c>
      <c r="G52" s="4">
        <v>1247.28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4">
        <v>700</v>
      </c>
      <c r="X52" s="5"/>
      <c r="Y52" s="5"/>
      <c r="Z52" s="5"/>
      <c r="AA52" s="5"/>
      <c r="AB52" s="5"/>
      <c r="AC52" s="5"/>
      <c r="AD52" s="5"/>
      <c r="AE52" s="4">
        <v>52.72</v>
      </c>
      <c r="AF52" s="4">
        <v>1947.28</v>
      </c>
    </row>
    <row r="53" spans="1:32" ht="11.55" customHeight="1" x14ac:dyDescent="0.3">
      <c r="A53" s="6"/>
      <c r="B53" s="7" t="s">
        <v>97</v>
      </c>
      <c r="C53" s="7" t="s">
        <v>92</v>
      </c>
      <c r="D53" s="7" t="s">
        <v>23</v>
      </c>
      <c r="E53" s="6"/>
      <c r="F53" s="8">
        <v>300</v>
      </c>
      <c r="G53" s="9"/>
      <c r="H53" s="9"/>
      <c r="I53" s="9"/>
      <c r="J53" s="9"/>
      <c r="K53" s="8">
        <v>1144.5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13">
        <v>-844.5</v>
      </c>
      <c r="AF53" s="8">
        <v>1144.5</v>
      </c>
    </row>
    <row r="54" spans="1:32" ht="11.55" customHeight="1" x14ac:dyDescent="0.3">
      <c r="A54" s="2">
        <v>4</v>
      </c>
      <c r="B54" s="3" t="s">
        <v>99</v>
      </c>
      <c r="C54" s="3" t="s">
        <v>100</v>
      </c>
      <c r="D54" s="3" t="s">
        <v>87</v>
      </c>
      <c r="E54" s="2" t="s">
        <v>101</v>
      </c>
      <c r="F54" s="4">
        <v>1500</v>
      </c>
      <c r="G54" s="5"/>
      <c r="H54" s="5"/>
      <c r="I54" s="5"/>
      <c r="J54" s="5"/>
      <c r="K54" s="4">
        <v>1465.97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>
        <v>34.03</v>
      </c>
      <c r="AF54" s="4">
        <v>1465.97</v>
      </c>
    </row>
    <row r="55" spans="1:32" ht="11.55" customHeight="1" x14ac:dyDescent="0.3">
      <c r="A55" s="6">
        <v>5</v>
      </c>
      <c r="B55" s="7" t="s">
        <v>102</v>
      </c>
      <c r="C55" s="7" t="s">
        <v>100</v>
      </c>
      <c r="D55" s="7" t="s">
        <v>87</v>
      </c>
      <c r="E55" s="6" t="s">
        <v>103</v>
      </c>
      <c r="F55" s="8">
        <v>1500</v>
      </c>
      <c r="G55" s="8">
        <v>1500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8">
        <v>400</v>
      </c>
      <c r="AB55" s="9"/>
      <c r="AC55" s="9"/>
      <c r="AD55" s="9"/>
      <c r="AE55" s="13">
        <v>-400</v>
      </c>
      <c r="AF55" s="8">
        <v>1900</v>
      </c>
    </row>
    <row r="56" spans="1:32" ht="11.55" customHeight="1" x14ac:dyDescent="0.3">
      <c r="A56" s="2">
        <v>6</v>
      </c>
      <c r="B56" s="3" t="s">
        <v>104</v>
      </c>
      <c r="C56" s="3" t="s">
        <v>105</v>
      </c>
      <c r="D56" s="3" t="s">
        <v>98</v>
      </c>
      <c r="E56" s="2" t="s">
        <v>106</v>
      </c>
      <c r="F56" s="4">
        <v>2000</v>
      </c>
      <c r="G56" s="5"/>
      <c r="H56" s="5"/>
      <c r="I56" s="5"/>
      <c r="J56" s="5"/>
      <c r="K56" s="4">
        <v>2000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4">
        <v>0</v>
      </c>
      <c r="AF56" s="4">
        <v>2000</v>
      </c>
    </row>
    <row r="57" spans="1:32" ht="11.55" customHeight="1" x14ac:dyDescent="0.3">
      <c r="A57" s="6">
        <v>7</v>
      </c>
      <c r="B57" s="7" t="s">
        <v>226</v>
      </c>
      <c r="C57" s="7" t="s">
        <v>100</v>
      </c>
      <c r="D57" s="7" t="s">
        <v>23</v>
      </c>
      <c r="E57" s="6"/>
      <c r="F57" s="8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8">
        <v>500</v>
      </c>
      <c r="AF57" s="8">
        <v>0</v>
      </c>
    </row>
    <row r="58" spans="1:32" ht="13.5" customHeight="1" x14ac:dyDescent="0.3">
      <c r="A58" s="16" t="s">
        <v>107</v>
      </c>
      <c r="B58" s="17"/>
      <c r="C58" s="17"/>
      <c r="D58" s="17"/>
      <c r="E58" s="17"/>
      <c r="F58" s="10">
        <f t="shared" ref="F58:AF58" si="1">SUM(F50:F57)</f>
        <v>11800</v>
      </c>
      <c r="G58" s="10">
        <f t="shared" si="1"/>
        <v>3747.55</v>
      </c>
      <c r="H58" s="10">
        <f t="shared" si="1"/>
        <v>0</v>
      </c>
      <c r="I58" s="10">
        <f t="shared" si="1"/>
        <v>0</v>
      </c>
      <c r="J58" s="10">
        <f t="shared" si="1"/>
        <v>0</v>
      </c>
      <c r="K58" s="10">
        <f t="shared" si="1"/>
        <v>4610.47</v>
      </c>
      <c r="L58" s="10">
        <f t="shared" si="1"/>
        <v>0</v>
      </c>
      <c r="M58" s="10">
        <f t="shared" si="1"/>
        <v>0</v>
      </c>
      <c r="N58" s="10">
        <f t="shared" si="1"/>
        <v>0</v>
      </c>
      <c r="O58" s="10">
        <f t="shared" si="1"/>
        <v>1500</v>
      </c>
      <c r="P58" s="10">
        <f t="shared" si="1"/>
        <v>0</v>
      </c>
      <c r="Q58" s="10">
        <f t="shared" si="1"/>
        <v>0</v>
      </c>
      <c r="R58" s="10">
        <f t="shared" si="1"/>
        <v>0</v>
      </c>
      <c r="S58" s="10">
        <f t="shared" si="1"/>
        <v>0</v>
      </c>
      <c r="T58" s="10">
        <f t="shared" si="1"/>
        <v>0</v>
      </c>
      <c r="U58" s="10">
        <f t="shared" si="1"/>
        <v>0</v>
      </c>
      <c r="V58" s="10">
        <f t="shared" si="1"/>
        <v>0</v>
      </c>
      <c r="W58" s="10">
        <f t="shared" si="1"/>
        <v>2200</v>
      </c>
      <c r="X58" s="10">
        <f t="shared" si="1"/>
        <v>0</v>
      </c>
      <c r="Y58" s="10">
        <f t="shared" si="1"/>
        <v>0</v>
      </c>
      <c r="Z58" s="10">
        <f t="shared" si="1"/>
        <v>0</v>
      </c>
      <c r="AA58" s="10">
        <f t="shared" si="1"/>
        <v>400</v>
      </c>
      <c r="AB58" s="10">
        <f t="shared" si="1"/>
        <v>0</v>
      </c>
      <c r="AC58" s="10">
        <f t="shared" si="1"/>
        <v>0</v>
      </c>
      <c r="AD58" s="10">
        <f t="shared" si="1"/>
        <v>0</v>
      </c>
      <c r="AE58" s="10">
        <f t="shared" si="1"/>
        <v>-658.02</v>
      </c>
      <c r="AF58" s="10">
        <f t="shared" si="1"/>
        <v>12458.02</v>
      </c>
    </row>
    <row r="59" spans="1:32" ht="4.95" customHeight="1" x14ac:dyDescent="0.3"/>
  </sheetData>
  <mergeCells count="32">
    <mergeCell ref="A1:AF1"/>
    <mergeCell ref="D48:D49"/>
    <mergeCell ref="G2:J2"/>
    <mergeCell ref="A2:A3"/>
    <mergeCell ref="C2:C3"/>
    <mergeCell ref="AF2:AF3"/>
    <mergeCell ref="E2:E3"/>
    <mergeCell ref="G48:J48"/>
    <mergeCell ref="S2:V2"/>
    <mergeCell ref="S48:V48"/>
    <mergeCell ref="AA48:AD48"/>
    <mergeCell ref="C48:C49"/>
    <mergeCell ref="A47:AF47"/>
    <mergeCell ref="F48:F49"/>
    <mergeCell ref="K2:N2"/>
    <mergeCell ref="AA2:AD2"/>
    <mergeCell ref="AE2:AE3"/>
    <mergeCell ref="D2:D3"/>
    <mergeCell ref="F2:F3"/>
    <mergeCell ref="B48:B49"/>
    <mergeCell ref="AE48:AE49"/>
    <mergeCell ref="W2:Z2"/>
    <mergeCell ref="W48:Z48"/>
    <mergeCell ref="A45:E45"/>
    <mergeCell ref="O2:R2"/>
    <mergeCell ref="B2:B3"/>
    <mergeCell ref="A58:E58"/>
    <mergeCell ref="A48:A49"/>
    <mergeCell ref="E48:E49"/>
    <mergeCell ref="K48:N48"/>
    <mergeCell ref="AF48:AF49"/>
    <mergeCell ref="O48:R48"/>
  </mergeCells>
  <pageMargins left="0.2" right="0.2" top="0.25" bottom="0.25" header="0.1" footer="0.1"/>
  <pageSetup paperSize="5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56"/>
  <sheetViews>
    <sheetView topLeftCell="A30" workbookViewId="0">
      <selection activeCell="A57" sqref="A57:XFD57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6.44140625" bestFit="1" customWidth="1"/>
    <col min="4" max="4" width="23.44140625" bestFit="1" customWidth="1"/>
    <col min="5" max="5" width="6.6640625" bestFit="1" customWidth="1"/>
    <col min="6" max="6" width="9.88671875" customWidth="1"/>
    <col min="7" max="7" width="7.88671875" bestFit="1" customWidth="1"/>
    <col min="8" max="9" width="7.109375" bestFit="1" customWidth="1"/>
    <col min="10" max="10" width="6.21875" customWidth="1"/>
    <col min="11" max="12" width="7.109375" bestFit="1" customWidth="1"/>
    <col min="13" max="14" width="6.21875" customWidth="1"/>
    <col min="15" max="15" width="7.109375" bestFit="1" customWidth="1"/>
    <col min="16" max="18" width="6.21875" customWidth="1"/>
    <col min="19" max="20" width="7.109375" bestFit="1" customWidth="1"/>
    <col min="21" max="21" width="6.44140625" bestFit="1" customWidth="1"/>
    <col min="22" max="22" width="6.21875" customWidth="1"/>
    <col min="23" max="23" width="7.109375" bestFit="1" customWidth="1"/>
    <col min="24" max="27" width="6.21875" customWidth="1"/>
    <col min="28" max="28" width="7.109375" bestFit="1" customWidth="1"/>
    <col min="29" max="30" width="6.21875" customWidth="1"/>
    <col min="31" max="31" width="8.21875" customWidth="1"/>
    <col min="32" max="32" width="8.44140625" customWidth="1"/>
  </cols>
  <sheetData>
    <row r="1" spans="1:32" ht="18" customHeight="1" x14ac:dyDescent="0.3">
      <c r="A1" s="23" t="s">
        <v>268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269</v>
      </c>
      <c r="H2" s="19"/>
      <c r="I2" s="19"/>
      <c r="J2" s="19"/>
      <c r="K2" s="18" t="s">
        <v>270</v>
      </c>
      <c r="L2" s="19"/>
      <c r="M2" s="19"/>
      <c r="N2" s="19"/>
      <c r="O2" s="18" t="s">
        <v>271</v>
      </c>
      <c r="P2" s="19"/>
      <c r="Q2" s="19"/>
      <c r="R2" s="19"/>
      <c r="S2" s="18" t="s">
        <v>272</v>
      </c>
      <c r="T2" s="19"/>
      <c r="U2" s="19"/>
      <c r="V2" s="19"/>
      <c r="W2" s="18" t="s">
        <v>273</v>
      </c>
      <c r="X2" s="19"/>
      <c r="Y2" s="19"/>
      <c r="Z2" s="19"/>
      <c r="AA2" s="18" t="s">
        <v>274</v>
      </c>
      <c r="AB2" s="19"/>
      <c r="AC2" s="19"/>
      <c r="AD2" s="19"/>
      <c r="AE2" s="20" t="s">
        <v>14</v>
      </c>
      <c r="AF2" s="14" t="s">
        <v>15</v>
      </c>
    </row>
    <row r="3" spans="1:32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215</v>
      </c>
      <c r="AD3" s="1" t="s">
        <v>18</v>
      </c>
      <c r="AE3" s="19"/>
      <c r="AF3" s="15"/>
    </row>
    <row r="4" spans="1:32" ht="11.55" customHeight="1" x14ac:dyDescent="0.3">
      <c r="A4" s="2">
        <v>1</v>
      </c>
      <c r="B4" s="3" t="s">
        <v>24</v>
      </c>
      <c r="C4" s="3" t="s">
        <v>25</v>
      </c>
      <c r="D4" s="3" t="s">
        <v>26</v>
      </c>
      <c r="E4" s="2" t="s">
        <v>27</v>
      </c>
      <c r="F4" s="4">
        <v>2500</v>
      </c>
      <c r="G4" s="4">
        <v>2000.16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4">
        <v>499.84</v>
      </c>
      <c r="X4" s="5"/>
      <c r="Y4" s="5"/>
      <c r="Z4" s="5"/>
      <c r="AA4" s="5"/>
      <c r="AB4" s="5"/>
      <c r="AC4" s="5"/>
      <c r="AD4" s="5"/>
      <c r="AE4" s="4">
        <v>0</v>
      </c>
      <c r="AF4" s="4">
        <v>2500</v>
      </c>
    </row>
    <row r="5" spans="1:32" ht="11.55" customHeight="1" x14ac:dyDescent="0.3">
      <c r="A5" s="6">
        <v>2</v>
      </c>
      <c r="B5" s="7" t="s">
        <v>24</v>
      </c>
      <c r="C5" s="7" t="s">
        <v>25</v>
      </c>
      <c r="D5" s="7" t="s">
        <v>23</v>
      </c>
      <c r="E5" s="6" t="s">
        <v>275</v>
      </c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8">
        <v>500</v>
      </c>
      <c r="AF5" s="8">
        <v>0</v>
      </c>
    </row>
    <row r="6" spans="1:32" ht="11.55" customHeight="1" x14ac:dyDescent="0.3">
      <c r="A6" s="2">
        <v>3</v>
      </c>
      <c r="B6" s="3" t="s">
        <v>117</v>
      </c>
      <c r="C6" s="3" t="s">
        <v>25</v>
      </c>
      <c r="D6" s="3" t="s">
        <v>29</v>
      </c>
      <c r="E6" s="2" t="s">
        <v>34</v>
      </c>
      <c r="F6" s="4">
        <v>1500</v>
      </c>
      <c r="G6" s="4">
        <v>963.71</v>
      </c>
      <c r="H6" s="5"/>
      <c r="I6" s="5"/>
      <c r="J6" s="5"/>
      <c r="K6" s="4">
        <v>536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4">
        <v>0.28999999999999998</v>
      </c>
      <c r="AF6" s="4">
        <v>1499.71</v>
      </c>
    </row>
    <row r="7" spans="1:32" ht="11.55" customHeight="1" x14ac:dyDescent="0.3">
      <c r="A7" s="6">
        <v>4</v>
      </c>
      <c r="B7" s="7" t="s">
        <v>33</v>
      </c>
      <c r="C7" s="7" t="s">
        <v>25</v>
      </c>
      <c r="D7" s="7"/>
      <c r="E7" s="6" t="s">
        <v>32</v>
      </c>
      <c r="F7" s="8">
        <v>1500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8">
        <v>1500</v>
      </c>
      <c r="AF7" s="8">
        <v>0</v>
      </c>
    </row>
    <row r="8" spans="1:32" ht="11.55" customHeight="1" x14ac:dyDescent="0.3">
      <c r="A8" s="2">
        <v>5</v>
      </c>
      <c r="B8" s="3" t="s">
        <v>35</v>
      </c>
      <c r="C8" s="3" t="s">
        <v>36</v>
      </c>
      <c r="D8" s="3" t="s">
        <v>37</v>
      </c>
      <c r="E8" s="2" t="s">
        <v>38</v>
      </c>
      <c r="F8" s="4">
        <v>700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>
        <v>700</v>
      </c>
      <c r="AF8" s="4">
        <v>0</v>
      </c>
    </row>
    <row r="9" spans="1:32" ht="11.55" customHeight="1" x14ac:dyDescent="0.3">
      <c r="A9" s="6">
        <v>6</v>
      </c>
      <c r="B9" s="7" t="s">
        <v>39</v>
      </c>
      <c r="C9" s="7" t="s">
        <v>40</v>
      </c>
      <c r="D9" s="7" t="s">
        <v>41</v>
      </c>
      <c r="E9" s="6" t="s">
        <v>42</v>
      </c>
      <c r="F9" s="8">
        <v>1500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8">
        <v>1500</v>
      </c>
      <c r="AF9" s="8">
        <v>0</v>
      </c>
    </row>
    <row r="10" spans="1:32" ht="11.55" customHeight="1" x14ac:dyDescent="0.3">
      <c r="A10" s="2">
        <v>7</v>
      </c>
      <c r="B10" s="3" t="s">
        <v>43</v>
      </c>
      <c r="C10" s="3" t="s">
        <v>20</v>
      </c>
      <c r="D10" s="3" t="s">
        <v>45</v>
      </c>
      <c r="E10" s="2" t="s">
        <v>46</v>
      </c>
      <c r="F10" s="4">
        <v>1500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>
        <v>1500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">
        <v>0</v>
      </c>
      <c r="AF10" s="4">
        <v>1500</v>
      </c>
    </row>
    <row r="11" spans="1:32" ht="11.55" customHeight="1" x14ac:dyDescent="0.3">
      <c r="A11" s="6">
        <v>8</v>
      </c>
      <c r="B11" s="7" t="s">
        <v>43</v>
      </c>
      <c r="C11" s="7" t="s">
        <v>20</v>
      </c>
      <c r="D11" s="7" t="s">
        <v>23</v>
      </c>
      <c r="E11" s="6" t="s">
        <v>275</v>
      </c>
      <c r="F11" s="8">
        <v>500</v>
      </c>
      <c r="G11" s="9"/>
      <c r="H11" s="9"/>
      <c r="I11" s="9"/>
      <c r="J11" s="9"/>
      <c r="K11" s="9"/>
      <c r="L11" s="9"/>
      <c r="M11" s="9"/>
      <c r="N11" s="9"/>
      <c r="O11" s="8">
        <v>300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8">
        <v>200</v>
      </c>
      <c r="AF11" s="8">
        <v>300</v>
      </c>
    </row>
    <row r="12" spans="1:32" ht="11.55" customHeight="1" x14ac:dyDescent="0.3">
      <c r="A12" s="2">
        <v>9</v>
      </c>
      <c r="B12" s="3" t="s">
        <v>47</v>
      </c>
      <c r="C12" s="3" t="s">
        <v>20</v>
      </c>
      <c r="D12" s="3" t="s">
        <v>48</v>
      </c>
      <c r="E12" s="2" t="s">
        <v>49</v>
      </c>
      <c r="F12" s="4">
        <v>1500</v>
      </c>
      <c r="G12" s="4">
        <v>1500</v>
      </c>
      <c r="H12" s="5"/>
      <c r="I12" s="5"/>
      <c r="J12" s="5"/>
      <c r="K12" s="5"/>
      <c r="L12" s="5"/>
      <c r="M12" s="5"/>
      <c r="N12" s="5"/>
      <c r="O12" s="4">
        <v>2000</v>
      </c>
      <c r="P12" s="5"/>
      <c r="Q12" s="5"/>
      <c r="R12" s="5"/>
      <c r="S12" s="4">
        <v>1500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12">
        <v>-3500</v>
      </c>
      <c r="AF12" s="4">
        <v>5000</v>
      </c>
    </row>
    <row r="13" spans="1:32" ht="11.55" customHeight="1" x14ac:dyDescent="0.3">
      <c r="A13" s="6">
        <v>10</v>
      </c>
      <c r="B13" s="7" t="s">
        <v>276</v>
      </c>
      <c r="C13" s="7" t="s">
        <v>51</v>
      </c>
      <c r="D13" s="7" t="s">
        <v>52</v>
      </c>
      <c r="E13" s="6" t="s">
        <v>53</v>
      </c>
      <c r="F13" s="8">
        <v>1500</v>
      </c>
      <c r="G13" s="8">
        <v>803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8">
        <v>924.25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3">
        <v>-227.25</v>
      </c>
      <c r="AF13" s="8">
        <v>1727.25</v>
      </c>
    </row>
    <row r="14" spans="1:32" ht="11.55" customHeight="1" x14ac:dyDescent="0.3">
      <c r="A14" s="2">
        <v>11</v>
      </c>
      <c r="B14" s="3" t="s">
        <v>50</v>
      </c>
      <c r="C14" s="3" t="s">
        <v>51</v>
      </c>
      <c r="D14" s="3" t="s">
        <v>277</v>
      </c>
      <c r="E14" s="2" t="s">
        <v>196</v>
      </c>
      <c r="F14" s="4">
        <v>2500</v>
      </c>
      <c r="G14" s="4">
        <v>1379.21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>
        <v>1000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4">
        <v>120.79</v>
      </c>
      <c r="AF14" s="4">
        <v>2379.21</v>
      </c>
    </row>
    <row r="15" spans="1:32" ht="11.55" customHeight="1" x14ac:dyDescent="0.3">
      <c r="A15" s="6">
        <v>12</v>
      </c>
      <c r="B15" s="7" t="s">
        <v>50</v>
      </c>
      <c r="C15" s="7" t="s">
        <v>51</v>
      </c>
      <c r="D15" s="7" t="s">
        <v>23</v>
      </c>
      <c r="E15" s="6" t="s">
        <v>275</v>
      </c>
      <c r="F15" s="8">
        <v>300</v>
      </c>
      <c r="G15" s="8">
        <v>300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8">
        <v>0</v>
      </c>
      <c r="AF15" s="8">
        <v>300</v>
      </c>
    </row>
    <row r="16" spans="1:32" ht="11.55" customHeight="1" x14ac:dyDescent="0.3">
      <c r="A16" s="2">
        <v>13</v>
      </c>
      <c r="B16" s="3" t="s">
        <v>54</v>
      </c>
      <c r="C16" s="3" t="s">
        <v>51</v>
      </c>
      <c r="D16" s="3" t="s">
        <v>55</v>
      </c>
      <c r="E16" s="2" t="s">
        <v>278</v>
      </c>
      <c r="F16" s="4">
        <v>2500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>
        <v>871.49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4">
        <v>1628.51</v>
      </c>
      <c r="AF16" s="4">
        <v>871.49</v>
      </c>
    </row>
    <row r="17" spans="1:32" ht="11.55" customHeight="1" x14ac:dyDescent="0.3">
      <c r="A17" s="6">
        <v>14</v>
      </c>
      <c r="B17" s="7" t="s">
        <v>57</v>
      </c>
      <c r="C17" s="7" t="s">
        <v>51</v>
      </c>
      <c r="D17" s="7" t="s">
        <v>48</v>
      </c>
      <c r="E17" s="6" t="s">
        <v>58</v>
      </c>
      <c r="F17" s="8">
        <v>4000</v>
      </c>
      <c r="G17" s="9"/>
      <c r="H17" s="9"/>
      <c r="I17" s="9"/>
      <c r="J17" s="9"/>
      <c r="K17" s="9"/>
      <c r="L17" s="8">
        <v>3230.61</v>
      </c>
      <c r="M17" s="6" t="s">
        <v>279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8">
        <v>769.39</v>
      </c>
      <c r="AF17" s="8">
        <v>3230.61</v>
      </c>
    </row>
    <row r="18" spans="1:32" ht="11.55" customHeight="1" x14ac:dyDescent="0.3">
      <c r="A18" s="2">
        <v>15</v>
      </c>
      <c r="B18" s="3" t="s">
        <v>59</v>
      </c>
      <c r="C18" s="3" t="s">
        <v>280</v>
      </c>
      <c r="D18" s="3" t="s">
        <v>52</v>
      </c>
      <c r="E18" s="2" t="s">
        <v>61</v>
      </c>
      <c r="F18" s="4">
        <v>2500</v>
      </c>
      <c r="G18" s="5"/>
      <c r="H18" s="5"/>
      <c r="I18" s="5"/>
      <c r="J18" s="5"/>
      <c r="K18" s="4">
        <v>1136.5999999999999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4">
        <v>1363.4</v>
      </c>
      <c r="AF18" s="4">
        <v>1136.5999999999999</v>
      </c>
    </row>
    <row r="19" spans="1:32" ht="11.55" customHeight="1" x14ac:dyDescent="0.3">
      <c r="A19" s="6">
        <v>16</v>
      </c>
      <c r="B19" s="7" t="s">
        <v>59</v>
      </c>
      <c r="C19" s="7" t="s">
        <v>280</v>
      </c>
      <c r="D19" s="7" t="s">
        <v>62</v>
      </c>
      <c r="E19" s="6" t="s">
        <v>275</v>
      </c>
      <c r="F19" s="8">
        <v>1000</v>
      </c>
      <c r="G19" s="8">
        <v>973.74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8">
        <v>26.26</v>
      </c>
      <c r="AF19" s="8">
        <v>973.74</v>
      </c>
    </row>
    <row r="20" spans="1:32" ht="11.55" customHeight="1" x14ac:dyDescent="0.3">
      <c r="A20" s="2">
        <v>17</v>
      </c>
      <c r="B20" s="3" t="s">
        <v>59</v>
      </c>
      <c r="C20" s="3" t="s">
        <v>280</v>
      </c>
      <c r="D20" s="3" t="s">
        <v>63</v>
      </c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4">
        <v>0</v>
      </c>
      <c r="AF20" s="4">
        <v>0</v>
      </c>
    </row>
    <row r="21" spans="1:32" ht="11.55" customHeight="1" x14ac:dyDescent="0.3">
      <c r="A21" s="6">
        <v>18</v>
      </c>
      <c r="B21" s="7" t="s">
        <v>59</v>
      </c>
      <c r="C21" s="7" t="s">
        <v>280</v>
      </c>
      <c r="D21" s="7" t="s">
        <v>64</v>
      </c>
      <c r="E21" s="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8">
        <v>0</v>
      </c>
      <c r="AF21" s="8">
        <v>0</v>
      </c>
    </row>
    <row r="22" spans="1:32" ht="11.55" customHeight="1" x14ac:dyDescent="0.3">
      <c r="A22" s="2">
        <v>19</v>
      </c>
      <c r="B22" s="3" t="s">
        <v>65</v>
      </c>
      <c r="C22" s="3" t="s">
        <v>281</v>
      </c>
      <c r="D22" s="3" t="s">
        <v>52</v>
      </c>
      <c r="E22" s="2" t="s">
        <v>66</v>
      </c>
      <c r="F22" s="4">
        <v>1500</v>
      </c>
      <c r="G22" s="4">
        <v>1050.47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>
        <v>449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4">
        <v>0.53</v>
      </c>
      <c r="AF22" s="4">
        <v>1499.47</v>
      </c>
    </row>
    <row r="23" spans="1:32" ht="11.55" customHeight="1" x14ac:dyDescent="0.3">
      <c r="A23" s="6">
        <v>20</v>
      </c>
      <c r="B23" s="7" t="s">
        <v>67</v>
      </c>
      <c r="C23" s="7" t="s">
        <v>282</v>
      </c>
      <c r="D23" s="7" t="s">
        <v>48</v>
      </c>
      <c r="E23" s="6" t="s">
        <v>68</v>
      </c>
      <c r="F23" s="8">
        <v>3000</v>
      </c>
      <c r="G23" s="8">
        <v>3000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8">
        <v>800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3">
        <v>-800</v>
      </c>
      <c r="AF23" s="8">
        <v>3800</v>
      </c>
    </row>
    <row r="24" spans="1:32" ht="11.55" customHeight="1" x14ac:dyDescent="0.3">
      <c r="A24" s="2">
        <v>21</v>
      </c>
      <c r="B24" s="3" t="s">
        <v>69</v>
      </c>
      <c r="C24" s="3" t="s">
        <v>282</v>
      </c>
      <c r="D24" s="3" t="s">
        <v>55</v>
      </c>
      <c r="E24" s="2" t="s">
        <v>283</v>
      </c>
      <c r="F24" s="4">
        <v>2500</v>
      </c>
      <c r="G24" s="4">
        <v>1067.48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4">
        <v>1432.52</v>
      </c>
      <c r="AF24" s="4">
        <v>1067.48</v>
      </c>
    </row>
    <row r="25" spans="1:32" ht="11.55" customHeight="1" x14ac:dyDescent="0.3">
      <c r="A25" s="6">
        <v>22</v>
      </c>
      <c r="B25" s="7" t="s">
        <v>71</v>
      </c>
      <c r="C25" s="7" t="s">
        <v>72</v>
      </c>
      <c r="D25" s="7" t="s">
        <v>73</v>
      </c>
      <c r="E25" s="6" t="s">
        <v>74</v>
      </c>
      <c r="F25" s="8">
        <v>2500</v>
      </c>
      <c r="G25" s="9"/>
      <c r="H25" s="6" t="s">
        <v>284</v>
      </c>
      <c r="I25" s="8">
        <v>1000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8">
        <v>1500</v>
      </c>
      <c r="U25" s="6" t="s">
        <v>285</v>
      </c>
      <c r="V25" s="9"/>
      <c r="W25" s="9"/>
      <c r="X25" s="9"/>
      <c r="Y25" s="9"/>
      <c r="Z25" s="9"/>
      <c r="AA25" s="9"/>
      <c r="AB25" s="9"/>
      <c r="AC25" s="9"/>
      <c r="AD25" s="9"/>
      <c r="AE25" s="8">
        <v>0</v>
      </c>
      <c r="AF25" s="8">
        <v>2500</v>
      </c>
    </row>
    <row r="26" spans="1:32" ht="11.55" customHeight="1" x14ac:dyDescent="0.3">
      <c r="A26" s="2">
        <v>23</v>
      </c>
      <c r="B26" s="3" t="s">
        <v>75</v>
      </c>
      <c r="C26" s="3" t="s">
        <v>72</v>
      </c>
      <c r="D26" s="3" t="s">
        <v>23</v>
      </c>
      <c r="E26" s="2" t="s">
        <v>275</v>
      </c>
      <c r="F26" s="4">
        <v>1000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4">
        <v>1000</v>
      </c>
      <c r="AF26" s="4">
        <v>0</v>
      </c>
    </row>
    <row r="27" spans="1:32" ht="11.55" customHeight="1" x14ac:dyDescent="0.3">
      <c r="A27" s="6">
        <v>24</v>
      </c>
      <c r="B27" s="7" t="s">
        <v>76</v>
      </c>
      <c r="C27" s="7" t="s">
        <v>77</v>
      </c>
      <c r="D27" s="7" t="s">
        <v>26</v>
      </c>
      <c r="E27" s="6" t="s">
        <v>78</v>
      </c>
      <c r="F27" s="8">
        <v>2500</v>
      </c>
      <c r="G27" s="9"/>
      <c r="H27" s="9"/>
      <c r="I27" s="9"/>
      <c r="J27" s="9"/>
      <c r="K27" s="8">
        <v>2000.05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8">
        <v>800</v>
      </c>
      <c r="Y27" s="6" t="s">
        <v>286</v>
      </c>
      <c r="Z27" s="9"/>
      <c r="AA27" s="9"/>
      <c r="AB27" s="9"/>
      <c r="AC27" s="9"/>
      <c r="AD27" s="9"/>
      <c r="AE27" s="13">
        <v>-300.05</v>
      </c>
      <c r="AF27" s="8">
        <v>2800.05</v>
      </c>
    </row>
    <row r="28" spans="1:32" ht="11.55" customHeight="1" x14ac:dyDescent="0.3">
      <c r="A28" s="2">
        <v>25</v>
      </c>
      <c r="B28" s="3" t="s">
        <v>79</v>
      </c>
      <c r="C28" s="3" t="s">
        <v>77</v>
      </c>
      <c r="D28" s="3" t="s">
        <v>80</v>
      </c>
      <c r="E28" s="2" t="s">
        <v>81</v>
      </c>
      <c r="F28" s="4">
        <v>1000</v>
      </c>
      <c r="G28" s="4">
        <v>1000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4">
        <v>0</v>
      </c>
      <c r="AF28" s="4">
        <v>1000</v>
      </c>
    </row>
    <row r="29" spans="1:32" ht="11.55" customHeight="1" x14ac:dyDescent="0.3">
      <c r="A29" s="6">
        <v>26</v>
      </c>
      <c r="B29" s="7" t="s">
        <v>79</v>
      </c>
      <c r="C29" s="7" t="s">
        <v>77</v>
      </c>
      <c r="D29" s="7" t="s">
        <v>82</v>
      </c>
      <c r="E29" s="6" t="s">
        <v>275</v>
      </c>
      <c r="F29" s="8">
        <v>500</v>
      </c>
      <c r="G29" s="8">
        <v>500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8">
        <v>0</v>
      </c>
      <c r="AF29" s="8">
        <v>500</v>
      </c>
    </row>
    <row r="30" spans="1:32" ht="11.55" customHeight="1" x14ac:dyDescent="0.3">
      <c r="A30" s="2">
        <v>27</v>
      </c>
      <c r="B30" s="3" t="s">
        <v>79</v>
      </c>
      <c r="C30" s="3" t="s">
        <v>77</v>
      </c>
      <c r="D30" s="3" t="s">
        <v>82</v>
      </c>
      <c r="E30" s="2" t="s">
        <v>275</v>
      </c>
      <c r="F30" s="4">
        <v>500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4">
        <v>500</v>
      </c>
      <c r="X30" s="5"/>
      <c r="Y30" s="5"/>
      <c r="Z30" s="5"/>
      <c r="AA30" s="5"/>
      <c r="AB30" s="5"/>
      <c r="AC30" s="5"/>
      <c r="AD30" s="5"/>
      <c r="AE30" s="4">
        <v>0</v>
      </c>
      <c r="AF30" s="4">
        <v>500</v>
      </c>
    </row>
    <row r="31" spans="1:32" ht="11.55" customHeight="1" x14ac:dyDescent="0.3">
      <c r="A31" s="6">
        <v>28</v>
      </c>
      <c r="B31" s="7" t="s">
        <v>83</v>
      </c>
      <c r="C31" s="7"/>
      <c r="D31" s="7"/>
      <c r="E31" s="6" t="s">
        <v>84</v>
      </c>
      <c r="F31" s="8">
        <v>800</v>
      </c>
      <c r="G31" s="8">
        <v>800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8">
        <v>0</v>
      </c>
      <c r="AF31" s="8">
        <v>800</v>
      </c>
    </row>
    <row r="32" spans="1:32" ht="11.55" customHeight="1" x14ac:dyDescent="0.3">
      <c r="A32" s="2">
        <v>29</v>
      </c>
      <c r="B32" s="3" t="s">
        <v>83</v>
      </c>
      <c r="C32" s="3"/>
      <c r="D32" s="3" t="s">
        <v>23</v>
      </c>
      <c r="E32" s="2" t="s">
        <v>275</v>
      </c>
      <c r="F32" s="4">
        <v>500</v>
      </c>
      <c r="G32" s="5"/>
      <c r="H32" s="5"/>
      <c r="I32" s="5"/>
      <c r="J32" s="5"/>
      <c r="K32" s="5"/>
      <c r="L32" s="5"/>
      <c r="M32" s="5"/>
      <c r="N32" s="5"/>
      <c r="O32" s="4">
        <v>300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>
        <v>200</v>
      </c>
      <c r="AF32" s="4">
        <v>300</v>
      </c>
    </row>
    <row r="33" spans="1:32" ht="11.55" customHeight="1" x14ac:dyDescent="0.3">
      <c r="A33" s="6">
        <v>30</v>
      </c>
      <c r="B33" s="7" t="s">
        <v>259</v>
      </c>
      <c r="C33" s="7" t="s">
        <v>260</v>
      </c>
      <c r="D33" s="7" t="s">
        <v>287</v>
      </c>
      <c r="E33" s="6" t="s">
        <v>130</v>
      </c>
      <c r="F33" s="8">
        <v>1500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8">
        <v>1500</v>
      </c>
      <c r="AF33" s="8">
        <v>0</v>
      </c>
    </row>
    <row r="34" spans="1:32" ht="11.55" customHeight="1" x14ac:dyDescent="0.3">
      <c r="A34" s="2">
        <v>31</v>
      </c>
      <c r="B34" s="3" t="s">
        <v>131</v>
      </c>
      <c r="C34" s="3" t="s">
        <v>288</v>
      </c>
      <c r="D34" s="3" t="s">
        <v>26</v>
      </c>
      <c r="E34" s="2" t="s">
        <v>133</v>
      </c>
      <c r="F34" s="4">
        <v>1500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4">
        <v>1500</v>
      </c>
      <c r="AF34" s="4">
        <v>0</v>
      </c>
    </row>
    <row r="35" spans="1:32" ht="11.55" customHeight="1" x14ac:dyDescent="0.3">
      <c r="A35" s="6">
        <v>32</v>
      </c>
      <c r="B35" s="7" t="s">
        <v>134</v>
      </c>
      <c r="C35" s="7" t="s">
        <v>135</v>
      </c>
      <c r="D35" s="7" t="s">
        <v>37</v>
      </c>
      <c r="E35" s="6" t="s">
        <v>241</v>
      </c>
      <c r="F35" s="8">
        <v>700</v>
      </c>
      <c r="G35" s="9"/>
      <c r="H35" s="9"/>
      <c r="I35" s="9"/>
      <c r="J35" s="9"/>
      <c r="K35" s="8">
        <v>700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8">
        <v>0</v>
      </c>
      <c r="AF35" s="8">
        <v>700</v>
      </c>
    </row>
    <row r="36" spans="1:32" ht="11.55" customHeight="1" x14ac:dyDescent="0.3">
      <c r="A36" s="2">
        <v>33</v>
      </c>
      <c r="B36" s="3" t="s">
        <v>86</v>
      </c>
      <c r="C36" s="3" t="s">
        <v>289</v>
      </c>
      <c r="D36" s="3" t="s">
        <v>87</v>
      </c>
      <c r="E36" s="2" t="s">
        <v>88</v>
      </c>
      <c r="F36" s="4">
        <v>3000</v>
      </c>
      <c r="G36" s="5"/>
      <c r="H36" s="4">
        <v>1200</v>
      </c>
      <c r="I36" s="2" t="s">
        <v>290</v>
      </c>
      <c r="J36" s="5"/>
      <c r="K36" s="5"/>
      <c r="L36" s="4">
        <v>1200</v>
      </c>
      <c r="M36" s="2" t="s">
        <v>291</v>
      </c>
      <c r="N36" s="5"/>
      <c r="O36" s="5"/>
      <c r="P36" s="5"/>
      <c r="Q36" s="5"/>
      <c r="R36" s="5"/>
      <c r="S36" s="4">
        <v>786.6</v>
      </c>
      <c r="T36" s="4">
        <v>600</v>
      </c>
      <c r="U36" s="2" t="s">
        <v>292</v>
      </c>
      <c r="V36" s="5"/>
      <c r="W36" s="5"/>
      <c r="X36" s="5"/>
      <c r="Y36" s="5"/>
      <c r="Z36" s="5"/>
      <c r="AA36" s="5"/>
      <c r="AB36" s="5"/>
      <c r="AC36" s="5"/>
      <c r="AD36" s="5"/>
      <c r="AE36" s="12">
        <v>-786.6</v>
      </c>
      <c r="AF36" s="4">
        <v>3786.6</v>
      </c>
    </row>
    <row r="37" spans="1:32" ht="11.55" customHeight="1" x14ac:dyDescent="0.3">
      <c r="A37" s="6">
        <v>34</v>
      </c>
      <c r="B37" s="7" t="s">
        <v>159</v>
      </c>
      <c r="C37" s="7"/>
      <c r="D37" s="7" t="s">
        <v>26</v>
      </c>
      <c r="E37" s="6" t="s">
        <v>161</v>
      </c>
      <c r="F37" s="8">
        <v>1500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8">
        <v>1000</v>
      </c>
      <c r="AC37" s="6" t="s">
        <v>293</v>
      </c>
      <c r="AD37" s="9"/>
      <c r="AE37" s="8">
        <v>500</v>
      </c>
      <c r="AF37" s="8">
        <v>1000</v>
      </c>
    </row>
    <row r="38" spans="1:32" ht="11.55" customHeight="1" x14ac:dyDescent="0.3">
      <c r="A38" s="2">
        <v>35</v>
      </c>
      <c r="B38" s="3" t="s">
        <v>294</v>
      </c>
      <c r="C38" s="3" t="s">
        <v>295</v>
      </c>
      <c r="D38" s="3"/>
      <c r="E38" s="2" t="s">
        <v>30</v>
      </c>
      <c r="F38" s="4">
        <v>800</v>
      </c>
      <c r="G38" s="5"/>
      <c r="H38" s="5"/>
      <c r="I38" s="5"/>
      <c r="J38" s="5"/>
      <c r="K38" s="5"/>
      <c r="L38" s="5"/>
      <c r="M38" s="5"/>
      <c r="N38" s="5"/>
      <c r="O38" s="4">
        <v>800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4">
        <v>0</v>
      </c>
      <c r="AF38" s="4">
        <v>800</v>
      </c>
    </row>
    <row r="39" spans="1:32" ht="11.55" customHeight="1" x14ac:dyDescent="0.3">
      <c r="A39" s="6">
        <v>36</v>
      </c>
      <c r="B39" s="7" t="s">
        <v>265</v>
      </c>
      <c r="C39" s="7" t="s">
        <v>266</v>
      </c>
      <c r="D39" s="7"/>
      <c r="E39" s="6" t="s">
        <v>22</v>
      </c>
      <c r="F39" s="8">
        <v>1500</v>
      </c>
      <c r="G39" s="8">
        <v>1200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8">
        <v>1266.94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3">
        <v>-966.94</v>
      </c>
      <c r="AF39" s="8">
        <v>2466.94</v>
      </c>
    </row>
    <row r="40" spans="1:32" ht="11.55" customHeight="1" x14ac:dyDescent="0.3">
      <c r="A40" s="2">
        <v>37</v>
      </c>
      <c r="B40" s="3" t="s">
        <v>265</v>
      </c>
      <c r="C40" s="3" t="s">
        <v>266</v>
      </c>
      <c r="D40" s="3" t="s">
        <v>296</v>
      </c>
      <c r="E40" s="2"/>
      <c r="F40" s="4">
        <v>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4">
        <v>228.9</v>
      </c>
      <c r="AB40" s="5"/>
      <c r="AC40" s="5"/>
      <c r="AD40" s="5"/>
      <c r="AE40" s="4">
        <v>271.10000000000002</v>
      </c>
      <c r="AF40" s="4">
        <v>228.9</v>
      </c>
    </row>
    <row r="41" spans="1:32" ht="13.5" customHeight="1" x14ac:dyDescent="0.3">
      <c r="A41" s="16" t="s">
        <v>89</v>
      </c>
      <c r="B41" s="17"/>
      <c r="C41" s="17"/>
      <c r="D41" s="17"/>
      <c r="E41" s="17"/>
      <c r="F41" s="10">
        <f t="shared" ref="F41:AF41" si="0">SUM(F4:F40)</f>
        <v>53300</v>
      </c>
      <c r="G41" s="10">
        <f t="shared" si="0"/>
        <v>16537.769999999997</v>
      </c>
      <c r="H41" s="10">
        <f t="shared" si="0"/>
        <v>1200</v>
      </c>
      <c r="I41" s="10">
        <f t="shared" si="0"/>
        <v>1000</v>
      </c>
      <c r="J41" s="10">
        <f t="shared" si="0"/>
        <v>0</v>
      </c>
      <c r="K41" s="10">
        <f t="shared" si="0"/>
        <v>4372.6499999999996</v>
      </c>
      <c r="L41" s="10">
        <f t="shared" si="0"/>
        <v>4430.6100000000006</v>
      </c>
      <c r="M41" s="10">
        <f t="shared" si="0"/>
        <v>0</v>
      </c>
      <c r="N41" s="10">
        <f t="shared" si="0"/>
        <v>0</v>
      </c>
      <c r="O41" s="10">
        <f t="shared" si="0"/>
        <v>3400</v>
      </c>
      <c r="P41" s="10">
        <f t="shared" si="0"/>
        <v>0</v>
      </c>
      <c r="Q41" s="10">
        <f t="shared" si="0"/>
        <v>0</v>
      </c>
      <c r="R41" s="10">
        <f t="shared" si="0"/>
        <v>0</v>
      </c>
      <c r="S41" s="10">
        <f t="shared" si="0"/>
        <v>9098.2800000000007</v>
      </c>
      <c r="T41" s="10">
        <f t="shared" si="0"/>
        <v>2100</v>
      </c>
      <c r="U41" s="10">
        <f t="shared" si="0"/>
        <v>0</v>
      </c>
      <c r="V41" s="10">
        <f t="shared" si="0"/>
        <v>0</v>
      </c>
      <c r="W41" s="10">
        <f t="shared" si="0"/>
        <v>999.83999999999992</v>
      </c>
      <c r="X41" s="10">
        <f t="shared" si="0"/>
        <v>800</v>
      </c>
      <c r="Y41" s="10">
        <f t="shared" si="0"/>
        <v>0</v>
      </c>
      <c r="Z41" s="10">
        <f t="shared" si="0"/>
        <v>0</v>
      </c>
      <c r="AA41" s="10">
        <f t="shared" si="0"/>
        <v>228.9</v>
      </c>
      <c r="AB41" s="10">
        <f t="shared" si="0"/>
        <v>1000</v>
      </c>
      <c r="AC41" s="10">
        <f t="shared" si="0"/>
        <v>0</v>
      </c>
      <c r="AD41" s="10">
        <f t="shared" si="0"/>
        <v>0</v>
      </c>
      <c r="AE41" s="10">
        <f t="shared" si="0"/>
        <v>8131.9499999999989</v>
      </c>
      <c r="AF41" s="10">
        <f t="shared" si="0"/>
        <v>45168.05</v>
      </c>
    </row>
    <row r="42" spans="1:32" ht="6" customHeight="1" x14ac:dyDescent="0.3"/>
    <row r="43" spans="1:32" ht="16.95" customHeight="1" x14ac:dyDescent="0.3">
      <c r="A43" s="23" t="s">
        <v>297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ht="13.95" customHeight="1" x14ac:dyDescent="0.3">
      <c r="A44" s="14" t="s">
        <v>1</v>
      </c>
      <c r="B44" s="14" t="s">
        <v>2</v>
      </c>
      <c r="C44" s="14" t="s">
        <v>3</v>
      </c>
      <c r="D44" s="14" t="s">
        <v>4</v>
      </c>
      <c r="E44" s="14" t="s">
        <v>5</v>
      </c>
      <c r="F44" s="14" t="s">
        <v>6</v>
      </c>
      <c r="G44" s="18" t="s">
        <v>269</v>
      </c>
      <c r="H44" s="19"/>
      <c r="I44" s="19"/>
      <c r="J44" s="19"/>
      <c r="K44" s="18" t="s">
        <v>270</v>
      </c>
      <c r="L44" s="19"/>
      <c r="M44" s="19"/>
      <c r="N44" s="19"/>
      <c r="O44" s="18" t="s">
        <v>271</v>
      </c>
      <c r="P44" s="19"/>
      <c r="Q44" s="19"/>
      <c r="R44" s="19"/>
      <c r="S44" s="18" t="s">
        <v>272</v>
      </c>
      <c r="T44" s="19"/>
      <c r="U44" s="19"/>
      <c r="V44" s="19"/>
      <c r="W44" s="18" t="s">
        <v>273</v>
      </c>
      <c r="X44" s="19"/>
      <c r="Y44" s="19"/>
      <c r="Z44" s="19"/>
      <c r="AA44" s="18" t="s">
        <v>274</v>
      </c>
      <c r="AB44" s="19"/>
      <c r="AC44" s="19"/>
      <c r="AD44" s="19"/>
      <c r="AE44" s="20" t="s">
        <v>14</v>
      </c>
      <c r="AF44" s="14" t="s">
        <v>15</v>
      </c>
    </row>
    <row r="45" spans="1:32" ht="13.05" customHeight="1" x14ac:dyDescent="0.3">
      <c r="A45" s="15"/>
      <c r="B45" s="15"/>
      <c r="C45" s="15"/>
      <c r="D45" s="15"/>
      <c r="E45" s="15"/>
      <c r="F45" s="15"/>
      <c r="G45" s="1" t="s">
        <v>16</v>
      </c>
      <c r="H45" s="1" t="s">
        <v>17</v>
      </c>
      <c r="I45" s="1" t="s">
        <v>215</v>
      </c>
      <c r="J45" s="1" t="s">
        <v>18</v>
      </c>
      <c r="K45" s="1" t="s">
        <v>16</v>
      </c>
      <c r="L45" s="1" t="s">
        <v>17</v>
      </c>
      <c r="M45" s="1" t="s">
        <v>215</v>
      </c>
      <c r="N45" s="1" t="s">
        <v>18</v>
      </c>
      <c r="O45" s="1" t="s">
        <v>16</v>
      </c>
      <c r="P45" s="1" t="s">
        <v>17</v>
      </c>
      <c r="Q45" s="1" t="s">
        <v>215</v>
      </c>
      <c r="R45" s="1" t="s">
        <v>18</v>
      </c>
      <c r="S45" s="1" t="s">
        <v>16</v>
      </c>
      <c r="T45" s="1" t="s">
        <v>17</v>
      </c>
      <c r="U45" s="1" t="s">
        <v>215</v>
      </c>
      <c r="V45" s="1" t="s">
        <v>18</v>
      </c>
      <c r="W45" s="1" t="s">
        <v>16</v>
      </c>
      <c r="X45" s="1" t="s">
        <v>17</v>
      </c>
      <c r="Y45" s="1" t="s">
        <v>215</v>
      </c>
      <c r="Z45" s="1" t="s">
        <v>18</v>
      </c>
      <c r="AA45" s="1" t="s">
        <v>16</v>
      </c>
      <c r="AB45" s="1" t="s">
        <v>17</v>
      </c>
      <c r="AC45" s="1" t="s">
        <v>215</v>
      </c>
      <c r="AD45" s="1" t="s">
        <v>18</v>
      </c>
      <c r="AE45" s="19"/>
      <c r="AF45" s="15"/>
    </row>
    <row r="46" spans="1:32" ht="11.55" customHeight="1" x14ac:dyDescent="0.3">
      <c r="A46" s="2">
        <v>1</v>
      </c>
      <c r="B46" s="3" t="s">
        <v>91</v>
      </c>
      <c r="C46" s="3" t="s">
        <v>92</v>
      </c>
      <c r="D46" s="3" t="s">
        <v>93</v>
      </c>
      <c r="E46" s="2" t="s">
        <v>94</v>
      </c>
      <c r="F46" s="4">
        <v>2500</v>
      </c>
      <c r="G46" s="4">
        <v>2283.27</v>
      </c>
      <c r="H46" s="5"/>
      <c r="I46" s="5"/>
      <c r="J46" s="5"/>
      <c r="K46" s="4">
        <v>300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4">
        <v>1700</v>
      </c>
      <c r="X46" s="5"/>
      <c r="Y46" s="5"/>
      <c r="Z46" s="5"/>
      <c r="AA46" s="5"/>
      <c r="AB46" s="5"/>
      <c r="AC46" s="5"/>
      <c r="AD46" s="5"/>
      <c r="AE46" s="12">
        <v>-1783.27</v>
      </c>
      <c r="AF46" s="4">
        <v>4283.2700000000004</v>
      </c>
    </row>
    <row r="47" spans="1:32" ht="11.55" customHeight="1" x14ac:dyDescent="0.3">
      <c r="A47" s="6">
        <v>2</v>
      </c>
      <c r="B47" s="7" t="s">
        <v>95</v>
      </c>
      <c r="C47" s="7" t="s">
        <v>92</v>
      </c>
      <c r="D47" s="7" t="s">
        <v>87</v>
      </c>
      <c r="E47" s="6" t="s">
        <v>96</v>
      </c>
      <c r="F47" s="8">
        <v>1500</v>
      </c>
      <c r="G47" s="9"/>
      <c r="H47" s="9"/>
      <c r="I47" s="9"/>
      <c r="J47" s="9"/>
      <c r="K47" s="9"/>
      <c r="L47" s="9"/>
      <c r="M47" s="9"/>
      <c r="N47" s="9"/>
      <c r="O47" s="8">
        <v>1500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8">
        <v>0</v>
      </c>
      <c r="AF47" s="8">
        <v>1500</v>
      </c>
    </row>
    <row r="48" spans="1:32" ht="11.55" customHeight="1" x14ac:dyDescent="0.3">
      <c r="A48" s="2">
        <v>3</v>
      </c>
      <c r="B48" s="3" t="s">
        <v>298</v>
      </c>
      <c r="C48" s="3" t="s">
        <v>92</v>
      </c>
      <c r="D48" s="3" t="s">
        <v>87</v>
      </c>
      <c r="E48" s="2" t="s">
        <v>299</v>
      </c>
      <c r="F48" s="4">
        <v>2000</v>
      </c>
      <c r="G48" s="4">
        <v>1397.16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>
        <v>551.79999999999995</v>
      </c>
      <c r="T48" s="5"/>
      <c r="U48" s="5"/>
      <c r="V48" s="5"/>
      <c r="W48" s="5"/>
      <c r="X48" s="5"/>
      <c r="Y48" s="5"/>
      <c r="Z48" s="5"/>
      <c r="AA48" s="5"/>
      <c r="AB48" s="4">
        <v>700</v>
      </c>
      <c r="AC48" s="2" t="s">
        <v>300</v>
      </c>
      <c r="AD48" s="5"/>
      <c r="AE48" s="12">
        <v>-648.96</v>
      </c>
      <c r="AF48" s="4">
        <v>2648.96</v>
      </c>
    </row>
    <row r="49" spans="1:32" ht="11.55" customHeight="1" x14ac:dyDescent="0.3">
      <c r="A49" s="6">
        <v>4</v>
      </c>
      <c r="B49" s="7" t="s">
        <v>298</v>
      </c>
      <c r="C49" s="7" t="s">
        <v>92</v>
      </c>
      <c r="D49" s="7" t="s">
        <v>23</v>
      </c>
      <c r="E49" s="6" t="s">
        <v>275</v>
      </c>
      <c r="F49" s="8">
        <v>500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8">
        <v>500</v>
      </c>
      <c r="AF49" s="8">
        <v>0</v>
      </c>
    </row>
    <row r="50" spans="1:32" ht="11.55" customHeight="1" x14ac:dyDescent="0.3">
      <c r="A50" s="2">
        <v>5</v>
      </c>
      <c r="B50" s="3" t="s">
        <v>99</v>
      </c>
      <c r="C50" s="3" t="s">
        <v>100</v>
      </c>
      <c r="D50" s="3" t="s">
        <v>87</v>
      </c>
      <c r="E50" s="2" t="s">
        <v>101</v>
      </c>
      <c r="F50" s="4">
        <v>1500</v>
      </c>
      <c r="G50" s="4">
        <v>1148.83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4">
        <v>351.17</v>
      </c>
      <c r="AF50" s="4">
        <v>1148.83</v>
      </c>
    </row>
    <row r="51" spans="1:32" ht="11.55" customHeight="1" x14ac:dyDescent="0.3">
      <c r="A51" s="6">
        <v>6</v>
      </c>
      <c r="B51" s="7" t="s">
        <v>102</v>
      </c>
      <c r="C51" s="7" t="s">
        <v>100</v>
      </c>
      <c r="D51" s="7" t="s">
        <v>87</v>
      </c>
      <c r="E51" s="6" t="s">
        <v>103</v>
      </c>
      <c r="F51" s="8">
        <v>1500</v>
      </c>
      <c r="G51" s="8">
        <v>1500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>
        <v>0</v>
      </c>
      <c r="AF51" s="8">
        <v>1500</v>
      </c>
    </row>
    <row r="52" spans="1:32" ht="11.55" customHeight="1" x14ac:dyDescent="0.3">
      <c r="A52" s="2">
        <v>7</v>
      </c>
      <c r="B52" s="3" t="s">
        <v>102</v>
      </c>
      <c r="C52" s="3" t="s">
        <v>100</v>
      </c>
      <c r="D52" s="3" t="s">
        <v>23</v>
      </c>
      <c r="E52" s="2" t="s">
        <v>275</v>
      </c>
      <c r="F52" s="4">
        <v>500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4">
        <v>500</v>
      </c>
      <c r="AF52" s="4">
        <v>0</v>
      </c>
    </row>
    <row r="53" spans="1:32" ht="11.55" customHeight="1" x14ac:dyDescent="0.3">
      <c r="A53" s="6">
        <v>8</v>
      </c>
      <c r="B53" s="7" t="s">
        <v>104</v>
      </c>
      <c r="C53" s="7" t="s">
        <v>105</v>
      </c>
      <c r="D53" s="7" t="s">
        <v>98</v>
      </c>
      <c r="E53" s="6" t="s">
        <v>106</v>
      </c>
      <c r="F53" s="8">
        <v>2000</v>
      </c>
      <c r="G53" s="8">
        <v>1400.16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8">
        <v>599.84</v>
      </c>
      <c r="AF53" s="8">
        <v>1400.16</v>
      </c>
    </row>
    <row r="54" spans="1:32" ht="11.55" customHeight="1" x14ac:dyDescent="0.3">
      <c r="A54" s="2">
        <v>9</v>
      </c>
      <c r="B54" s="3" t="s">
        <v>104</v>
      </c>
      <c r="C54" s="3" t="s">
        <v>105</v>
      </c>
      <c r="D54" s="3" t="s">
        <v>23</v>
      </c>
      <c r="E54" s="2" t="s">
        <v>275</v>
      </c>
      <c r="F54" s="4">
        <v>500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>
        <v>500</v>
      </c>
      <c r="AF54" s="4">
        <v>0</v>
      </c>
    </row>
    <row r="55" spans="1:32" ht="13.5" customHeight="1" x14ac:dyDescent="0.3">
      <c r="A55" s="16" t="s">
        <v>107</v>
      </c>
      <c r="B55" s="17"/>
      <c r="C55" s="17"/>
      <c r="D55" s="17"/>
      <c r="E55" s="17"/>
      <c r="F55" s="10">
        <f t="shared" ref="F55:AF55" si="1">SUM(F46:F54)</f>
        <v>12500</v>
      </c>
      <c r="G55" s="10">
        <f t="shared" si="1"/>
        <v>7729.42</v>
      </c>
      <c r="H55" s="10">
        <f t="shared" si="1"/>
        <v>0</v>
      </c>
      <c r="I55" s="10">
        <f t="shared" si="1"/>
        <v>0</v>
      </c>
      <c r="J55" s="10">
        <f t="shared" si="1"/>
        <v>0</v>
      </c>
      <c r="K55" s="10">
        <f t="shared" si="1"/>
        <v>300</v>
      </c>
      <c r="L55" s="10">
        <f t="shared" si="1"/>
        <v>0</v>
      </c>
      <c r="M55" s="10">
        <f t="shared" si="1"/>
        <v>0</v>
      </c>
      <c r="N55" s="10">
        <f t="shared" si="1"/>
        <v>0</v>
      </c>
      <c r="O55" s="10">
        <f t="shared" si="1"/>
        <v>1500</v>
      </c>
      <c r="P55" s="10">
        <f t="shared" si="1"/>
        <v>0</v>
      </c>
      <c r="Q55" s="10">
        <f t="shared" si="1"/>
        <v>0</v>
      </c>
      <c r="R55" s="10">
        <f t="shared" si="1"/>
        <v>0</v>
      </c>
      <c r="S55" s="10">
        <f t="shared" si="1"/>
        <v>551.79999999999995</v>
      </c>
      <c r="T55" s="10">
        <f t="shared" si="1"/>
        <v>0</v>
      </c>
      <c r="U55" s="10">
        <f t="shared" si="1"/>
        <v>0</v>
      </c>
      <c r="V55" s="10">
        <f t="shared" si="1"/>
        <v>0</v>
      </c>
      <c r="W55" s="10">
        <f t="shared" si="1"/>
        <v>1700</v>
      </c>
      <c r="X55" s="10">
        <f t="shared" si="1"/>
        <v>0</v>
      </c>
      <c r="Y55" s="10">
        <f t="shared" si="1"/>
        <v>0</v>
      </c>
      <c r="Z55" s="10">
        <f t="shared" si="1"/>
        <v>0</v>
      </c>
      <c r="AA55" s="10">
        <f t="shared" si="1"/>
        <v>0</v>
      </c>
      <c r="AB55" s="10">
        <f t="shared" si="1"/>
        <v>700</v>
      </c>
      <c r="AC55" s="10">
        <f t="shared" si="1"/>
        <v>0</v>
      </c>
      <c r="AD55" s="10">
        <f t="shared" si="1"/>
        <v>0</v>
      </c>
      <c r="AE55" s="10">
        <f t="shared" si="1"/>
        <v>18.780000000000086</v>
      </c>
      <c r="AF55" s="10">
        <f t="shared" si="1"/>
        <v>12481.22</v>
      </c>
    </row>
    <row r="56" spans="1:32" ht="4.95" customHeight="1" x14ac:dyDescent="0.3"/>
  </sheetData>
  <mergeCells count="32"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E2:AE3"/>
    <mergeCell ref="D2:D3"/>
    <mergeCell ref="F2:F3"/>
    <mergeCell ref="C44:C45"/>
    <mergeCell ref="E44:E45"/>
    <mergeCell ref="G44:J44"/>
    <mergeCell ref="S44:V44"/>
    <mergeCell ref="F44:F45"/>
    <mergeCell ref="W2:Z2"/>
    <mergeCell ref="O2:R2"/>
    <mergeCell ref="B2:B3"/>
    <mergeCell ref="AA2:AD2"/>
  </mergeCells>
  <pageMargins left="0.2" right="0.2" top="0.25" bottom="0.25" header="0.1" footer="0.1"/>
  <pageSetup paperSize="5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56"/>
  <sheetViews>
    <sheetView topLeftCell="A38" workbookViewId="0">
      <selection activeCell="A57" sqref="A57:XFD57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6.44140625" bestFit="1" customWidth="1"/>
    <col min="4" max="4" width="23.44140625" bestFit="1" customWidth="1"/>
    <col min="5" max="5" width="7.77734375" customWidth="1"/>
    <col min="6" max="6" width="10.109375" customWidth="1"/>
    <col min="7" max="7" width="7.88671875" bestFit="1" customWidth="1"/>
    <col min="8" max="8" width="7.109375" bestFit="1" customWidth="1"/>
    <col min="9" max="9" width="6.44140625" bestFit="1" customWidth="1"/>
    <col min="10" max="10" width="6.21875" customWidth="1"/>
    <col min="11" max="12" width="7.109375" bestFit="1" customWidth="1"/>
    <col min="13" max="14" width="6.21875" customWidth="1"/>
    <col min="15" max="16" width="7.109375" bestFit="1" customWidth="1"/>
    <col min="17" max="18" width="6.21875" customWidth="1"/>
    <col min="19" max="20" width="7.109375" bestFit="1" customWidth="1"/>
    <col min="21" max="21" width="6.21875" customWidth="1"/>
    <col min="22" max="22" width="7.109375" bestFit="1" customWidth="1"/>
    <col min="23" max="30" width="6.21875" customWidth="1"/>
    <col min="31" max="31" width="8.21875" customWidth="1"/>
    <col min="32" max="32" width="8.44140625" customWidth="1"/>
  </cols>
  <sheetData>
    <row r="1" spans="1:32" ht="18" customHeight="1" x14ac:dyDescent="0.3">
      <c r="A1" s="23" t="s">
        <v>301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302</v>
      </c>
      <c r="H2" s="19"/>
      <c r="I2" s="19"/>
      <c r="J2" s="19"/>
      <c r="K2" s="18" t="s">
        <v>303</v>
      </c>
      <c r="L2" s="19"/>
      <c r="M2" s="19"/>
      <c r="N2" s="19"/>
      <c r="O2" s="18" t="s">
        <v>304</v>
      </c>
      <c r="P2" s="19"/>
      <c r="Q2" s="19"/>
      <c r="R2" s="19"/>
      <c r="S2" s="18" t="s">
        <v>305</v>
      </c>
      <c r="T2" s="19"/>
      <c r="U2" s="19"/>
      <c r="V2" s="19"/>
      <c r="W2" s="18" t="s">
        <v>306</v>
      </c>
      <c r="X2" s="19"/>
      <c r="Y2" s="19"/>
      <c r="Z2" s="19"/>
      <c r="AA2" s="18" t="s">
        <v>307</v>
      </c>
      <c r="AB2" s="19"/>
      <c r="AC2" s="19"/>
      <c r="AD2" s="19"/>
      <c r="AE2" s="20" t="s">
        <v>14</v>
      </c>
      <c r="AF2" s="14" t="s">
        <v>15</v>
      </c>
    </row>
    <row r="3" spans="1:32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215</v>
      </c>
      <c r="AD3" s="1" t="s">
        <v>18</v>
      </c>
      <c r="AE3" s="19"/>
      <c r="AF3" s="15"/>
    </row>
    <row r="4" spans="1:32" ht="11.55" customHeight="1" x14ac:dyDescent="0.3">
      <c r="A4" s="2">
        <v>1</v>
      </c>
      <c r="B4" s="3" t="s">
        <v>24</v>
      </c>
      <c r="C4" s="3" t="s">
        <v>25</v>
      </c>
      <c r="D4" s="3" t="s">
        <v>26</v>
      </c>
      <c r="E4" s="2" t="s">
        <v>27</v>
      </c>
      <c r="F4" s="4">
        <v>2500</v>
      </c>
      <c r="G4" s="4">
        <v>1612.94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4">
        <v>887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>
        <v>0.06</v>
      </c>
      <c r="AF4" s="4">
        <v>2499.94</v>
      </c>
    </row>
    <row r="5" spans="1:32" ht="11.55" customHeight="1" x14ac:dyDescent="0.3">
      <c r="A5" s="6">
        <v>2</v>
      </c>
      <c r="B5" s="7" t="s">
        <v>24</v>
      </c>
      <c r="C5" s="7" t="s">
        <v>25</v>
      </c>
      <c r="D5" s="7" t="s">
        <v>23</v>
      </c>
      <c r="E5" s="6" t="s">
        <v>275</v>
      </c>
      <c r="F5" s="8">
        <v>500</v>
      </c>
      <c r="G5" s="8">
        <v>500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8">
        <v>0</v>
      </c>
      <c r="AF5" s="8">
        <v>500</v>
      </c>
    </row>
    <row r="6" spans="1:32" ht="11.55" customHeight="1" x14ac:dyDescent="0.3">
      <c r="A6" s="2">
        <v>3</v>
      </c>
      <c r="B6" s="3" t="s">
        <v>117</v>
      </c>
      <c r="C6" s="3" t="s">
        <v>25</v>
      </c>
      <c r="D6" s="3" t="s">
        <v>29</v>
      </c>
      <c r="E6" s="2" t="s">
        <v>34</v>
      </c>
      <c r="F6" s="4">
        <v>1500</v>
      </c>
      <c r="G6" s="4">
        <v>904.48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>
        <v>1000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12">
        <v>-404.48</v>
      </c>
      <c r="AF6" s="4">
        <v>1904.48</v>
      </c>
    </row>
    <row r="7" spans="1:32" ht="11.55" customHeight="1" x14ac:dyDescent="0.3">
      <c r="A7" s="6">
        <v>4</v>
      </c>
      <c r="B7" s="7" t="s">
        <v>33</v>
      </c>
      <c r="C7" s="7" t="s">
        <v>25</v>
      </c>
      <c r="D7" s="7"/>
      <c r="E7" s="6" t="s">
        <v>32</v>
      </c>
      <c r="F7" s="8">
        <v>1500</v>
      </c>
      <c r="G7" s="8">
        <v>1285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8">
        <v>215</v>
      </c>
      <c r="AF7" s="8">
        <v>1285</v>
      </c>
    </row>
    <row r="8" spans="1:32" ht="11.55" customHeight="1" x14ac:dyDescent="0.3">
      <c r="A8" s="2">
        <v>5</v>
      </c>
      <c r="B8" s="3" t="s">
        <v>35</v>
      </c>
      <c r="C8" s="3" t="s">
        <v>36</v>
      </c>
      <c r="D8" s="3" t="s">
        <v>37</v>
      </c>
      <c r="E8" s="2" t="s">
        <v>38</v>
      </c>
      <c r="F8" s="4">
        <v>700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>
        <v>700</v>
      </c>
      <c r="AF8" s="4">
        <v>0</v>
      </c>
    </row>
    <row r="9" spans="1:32" ht="11.55" customHeight="1" x14ac:dyDescent="0.3">
      <c r="A9" s="6">
        <v>6</v>
      </c>
      <c r="B9" s="7" t="s">
        <v>39</v>
      </c>
      <c r="C9" s="7" t="s">
        <v>40</v>
      </c>
      <c r="D9" s="7" t="s">
        <v>41</v>
      </c>
      <c r="E9" s="6" t="s">
        <v>42</v>
      </c>
      <c r="F9" s="8">
        <v>1500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8">
        <v>1500</v>
      </c>
      <c r="AF9" s="8">
        <v>0</v>
      </c>
    </row>
    <row r="10" spans="1:32" ht="11.55" customHeight="1" x14ac:dyDescent="0.3">
      <c r="A10" s="2">
        <v>7</v>
      </c>
      <c r="B10" s="3" t="s">
        <v>43</v>
      </c>
      <c r="C10" s="3" t="s">
        <v>20</v>
      </c>
      <c r="D10" s="3" t="s">
        <v>45</v>
      </c>
      <c r="E10" s="2" t="s">
        <v>46</v>
      </c>
      <c r="F10" s="4">
        <v>1500</v>
      </c>
      <c r="G10" s="5"/>
      <c r="H10" s="5"/>
      <c r="I10" s="5"/>
      <c r="J10" s="5"/>
      <c r="K10" s="5"/>
      <c r="L10" s="5"/>
      <c r="M10" s="5"/>
      <c r="N10" s="5"/>
      <c r="O10" s="4">
        <v>1500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">
        <v>0</v>
      </c>
      <c r="AF10" s="4">
        <v>1500</v>
      </c>
    </row>
    <row r="11" spans="1:32" ht="11.55" customHeight="1" x14ac:dyDescent="0.3">
      <c r="A11" s="6">
        <v>8</v>
      </c>
      <c r="B11" s="7" t="s">
        <v>43</v>
      </c>
      <c r="C11" s="7" t="s">
        <v>20</v>
      </c>
      <c r="D11" s="7" t="s">
        <v>23</v>
      </c>
      <c r="E11" s="6" t="s">
        <v>275</v>
      </c>
      <c r="F11" s="8">
        <v>500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8">
        <v>500</v>
      </c>
      <c r="AF11" s="8">
        <v>0</v>
      </c>
    </row>
    <row r="12" spans="1:32" ht="11.55" customHeight="1" x14ac:dyDescent="0.3">
      <c r="A12" s="2">
        <v>9</v>
      </c>
      <c r="B12" s="3" t="s">
        <v>47</v>
      </c>
      <c r="C12" s="3" t="s">
        <v>20</v>
      </c>
      <c r="D12" s="3" t="s">
        <v>48</v>
      </c>
      <c r="E12" s="2" t="s">
        <v>49</v>
      </c>
      <c r="F12" s="4">
        <v>1500</v>
      </c>
      <c r="G12" s="4">
        <v>1500</v>
      </c>
      <c r="H12" s="5"/>
      <c r="I12" s="5"/>
      <c r="J12" s="5"/>
      <c r="K12" s="5"/>
      <c r="L12" s="5"/>
      <c r="M12" s="5"/>
      <c r="N12" s="5"/>
      <c r="O12" s="4">
        <v>2500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12">
        <v>-2500</v>
      </c>
      <c r="AF12" s="4">
        <v>4000</v>
      </c>
    </row>
    <row r="13" spans="1:32" ht="11.55" customHeight="1" x14ac:dyDescent="0.3">
      <c r="A13" s="6">
        <v>10</v>
      </c>
      <c r="B13" s="7" t="s">
        <v>276</v>
      </c>
      <c r="C13" s="7" t="s">
        <v>51</v>
      </c>
      <c r="D13" s="7" t="s">
        <v>52</v>
      </c>
      <c r="E13" s="6" t="s">
        <v>53</v>
      </c>
      <c r="F13" s="8">
        <v>1500</v>
      </c>
      <c r="G13" s="8">
        <v>1100.23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8">
        <v>399.77</v>
      </c>
      <c r="AF13" s="8">
        <v>1100.23</v>
      </c>
    </row>
    <row r="14" spans="1:32" ht="11.55" customHeight="1" x14ac:dyDescent="0.3">
      <c r="A14" s="2">
        <v>11</v>
      </c>
      <c r="B14" s="3" t="s">
        <v>50</v>
      </c>
      <c r="C14" s="3" t="s">
        <v>51</v>
      </c>
      <c r="D14" s="3" t="s">
        <v>277</v>
      </c>
      <c r="E14" s="2" t="s">
        <v>196</v>
      </c>
      <c r="F14" s="4">
        <v>2500</v>
      </c>
      <c r="G14" s="4">
        <v>985.69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4">
        <v>1300</v>
      </c>
      <c r="U14" s="2" t="s">
        <v>308</v>
      </c>
      <c r="V14" s="5"/>
      <c r="W14" s="5"/>
      <c r="X14" s="5"/>
      <c r="Y14" s="5"/>
      <c r="Z14" s="5"/>
      <c r="AA14" s="5"/>
      <c r="AB14" s="5"/>
      <c r="AC14" s="5"/>
      <c r="AD14" s="5"/>
      <c r="AE14" s="4">
        <v>214.31</v>
      </c>
      <c r="AF14" s="4">
        <v>2285.69</v>
      </c>
    </row>
    <row r="15" spans="1:32" ht="11.55" customHeight="1" x14ac:dyDescent="0.3">
      <c r="A15" s="6">
        <v>12</v>
      </c>
      <c r="B15" s="7" t="s">
        <v>50</v>
      </c>
      <c r="C15" s="7" t="s">
        <v>51</v>
      </c>
      <c r="D15" s="7" t="s">
        <v>23</v>
      </c>
      <c r="E15" s="6" t="s">
        <v>275</v>
      </c>
      <c r="F15" s="8">
        <v>300</v>
      </c>
      <c r="G15" s="8">
        <v>300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8">
        <v>0</v>
      </c>
      <c r="AF15" s="8">
        <v>300</v>
      </c>
    </row>
    <row r="16" spans="1:32" ht="11.55" customHeight="1" x14ac:dyDescent="0.3">
      <c r="A16" s="2">
        <v>13</v>
      </c>
      <c r="B16" s="3" t="s">
        <v>54</v>
      </c>
      <c r="C16" s="3" t="s">
        <v>51</v>
      </c>
      <c r="D16" s="3" t="s">
        <v>55</v>
      </c>
      <c r="E16" s="2" t="s">
        <v>278</v>
      </c>
      <c r="F16" s="4">
        <v>2500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4">
        <v>2500</v>
      </c>
      <c r="AF16" s="4">
        <v>0</v>
      </c>
    </row>
    <row r="17" spans="1:32" ht="11.55" customHeight="1" x14ac:dyDescent="0.3">
      <c r="A17" s="6">
        <v>14</v>
      </c>
      <c r="B17" s="7" t="s">
        <v>57</v>
      </c>
      <c r="C17" s="7" t="s">
        <v>51</v>
      </c>
      <c r="D17" s="7" t="s">
        <v>48</v>
      </c>
      <c r="E17" s="6" t="s">
        <v>58</v>
      </c>
      <c r="F17" s="8">
        <v>4000</v>
      </c>
      <c r="G17" s="9"/>
      <c r="H17" s="8">
        <v>3403.24</v>
      </c>
      <c r="I17" s="6" t="s">
        <v>309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">
        <v>1500</v>
      </c>
      <c r="U17" s="6" t="s">
        <v>310</v>
      </c>
      <c r="V17" s="9"/>
      <c r="W17" s="9"/>
      <c r="X17" s="9"/>
      <c r="Y17" s="9"/>
      <c r="Z17" s="9"/>
      <c r="AA17" s="9"/>
      <c r="AB17" s="9"/>
      <c r="AC17" s="9"/>
      <c r="AD17" s="9"/>
      <c r="AE17" s="13">
        <v>-903.24</v>
      </c>
      <c r="AF17" s="8">
        <v>4903.24</v>
      </c>
    </row>
    <row r="18" spans="1:32" ht="11.55" customHeight="1" x14ac:dyDescent="0.3">
      <c r="A18" s="2">
        <v>15</v>
      </c>
      <c r="B18" s="3" t="s">
        <v>59</v>
      </c>
      <c r="C18" s="3" t="s">
        <v>280</v>
      </c>
      <c r="D18" s="3" t="s">
        <v>52</v>
      </c>
      <c r="E18" s="2" t="s">
        <v>61</v>
      </c>
      <c r="F18" s="4">
        <v>2500</v>
      </c>
      <c r="G18" s="4">
        <v>1169.52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>
        <v>640.66999999999996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4">
        <v>689.81</v>
      </c>
      <c r="AF18" s="4">
        <v>1810.19</v>
      </c>
    </row>
    <row r="19" spans="1:32" ht="11.55" customHeight="1" x14ac:dyDescent="0.3">
      <c r="A19" s="6">
        <v>16</v>
      </c>
      <c r="B19" s="7" t="s">
        <v>59</v>
      </c>
      <c r="C19" s="7" t="s">
        <v>280</v>
      </c>
      <c r="D19" s="7" t="s">
        <v>62</v>
      </c>
      <c r="E19" s="6" t="s">
        <v>275</v>
      </c>
      <c r="F19" s="8">
        <v>1000</v>
      </c>
      <c r="G19" s="9"/>
      <c r="H19" s="9"/>
      <c r="I19" s="9"/>
      <c r="J19" s="9"/>
      <c r="K19" s="8">
        <v>1000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8">
        <v>0</v>
      </c>
      <c r="AF19" s="8">
        <v>1000</v>
      </c>
    </row>
    <row r="20" spans="1:32" ht="11.55" customHeight="1" x14ac:dyDescent="0.3">
      <c r="A20" s="2">
        <v>17</v>
      </c>
      <c r="B20" s="3" t="s">
        <v>59</v>
      </c>
      <c r="C20" s="3" t="s">
        <v>280</v>
      </c>
      <c r="D20" s="3" t="s">
        <v>63</v>
      </c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4">
        <v>0</v>
      </c>
      <c r="AF20" s="4">
        <v>0</v>
      </c>
    </row>
    <row r="21" spans="1:32" ht="11.55" customHeight="1" x14ac:dyDescent="0.3">
      <c r="A21" s="6">
        <v>18</v>
      </c>
      <c r="B21" s="7" t="s">
        <v>59</v>
      </c>
      <c r="C21" s="7" t="s">
        <v>280</v>
      </c>
      <c r="D21" s="7" t="s">
        <v>64</v>
      </c>
      <c r="E21" s="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8">
        <v>0</v>
      </c>
      <c r="AF21" s="8">
        <v>0</v>
      </c>
    </row>
    <row r="22" spans="1:32" ht="11.55" customHeight="1" x14ac:dyDescent="0.3">
      <c r="A22" s="2">
        <v>19</v>
      </c>
      <c r="B22" s="3" t="s">
        <v>65</v>
      </c>
      <c r="C22" s="3" t="s">
        <v>281</v>
      </c>
      <c r="D22" s="3" t="s">
        <v>52</v>
      </c>
      <c r="E22" s="2" t="s">
        <v>66</v>
      </c>
      <c r="F22" s="4">
        <v>1500</v>
      </c>
      <c r="G22" s="4">
        <v>901.48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>
        <v>598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4">
        <v>0.52</v>
      </c>
      <c r="AF22" s="4">
        <v>1499.48</v>
      </c>
    </row>
    <row r="23" spans="1:32" ht="11.55" customHeight="1" x14ac:dyDescent="0.3">
      <c r="A23" s="6">
        <v>20</v>
      </c>
      <c r="B23" s="7" t="s">
        <v>67</v>
      </c>
      <c r="C23" s="7" t="s">
        <v>282</v>
      </c>
      <c r="D23" s="7" t="s">
        <v>48</v>
      </c>
      <c r="E23" s="6" t="s">
        <v>68</v>
      </c>
      <c r="F23" s="8">
        <v>3000</v>
      </c>
      <c r="G23" s="8">
        <v>3000</v>
      </c>
      <c r="H23" s="9"/>
      <c r="I23" s="9"/>
      <c r="J23" s="9"/>
      <c r="K23" s="9"/>
      <c r="L23" s="9"/>
      <c r="M23" s="9"/>
      <c r="N23" s="9"/>
      <c r="O23" s="8">
        <v>1500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3">
        <v>-1500</v>
      </c>
      <c r="AF23" s="8">
        <v>4500</v>
      </c>
    </row>
    <row r="24" spans="1:32" ht="11.55" customHeight="1" x14ac:dyDescent="0.3">
      <c r="A24" s="2">
        <v>21</v>
      </c>
      <c r="B24" s="3" t="s">
        <v>69</v>
      </c>
      <c r="C24" s="3" t="s">
        <v>282</v>
      </c>
      <c r="D24" s="3" t="s">
        <v>55</v>
      </c>
      <c r="E24" s="2" t="s">
        <v>283</v>
      </c>
      <c r="F24" s="4">
        <v>2500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>
        <v>801.2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4">
        <v>1698.8</v>
      </c>
      <c r="AF24" s="4">
        <v>801.2</v>
      </c>
    </row>
    <row r="25" spans="1:32" ht="11.55" customHeight="1" x14ac:dyDescent="0.3">
      <c r="A25" s="6">
        <v>22</v>
      </c>
      <c r="B25" s="7" t="s">
        <v>71</v>
      </c>
      <c r="C25" s="7" t="s">
        <v>72</v>
      </c>
      <c r="D25" s="7" t="s">
        <v>73</v>
      </c>
      <c r="E25" s="6" t="s">
        <v>74</v>
      </c>
      <c r="F25" s="8">
        <v>2500</v>
      </c>
      <c r="G25" s="9"/>
      <c r="H25" s="8">
        <v>1000</v>
      </c>
      <c r="I25" s="6" t="s">
        <v>311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8">
        <v>1300</v>
      </c>
      <c r="U25" s="6" t="s">
        <v>312</v>
      </c>
      <c r="V25" s="9"/>
      <c r="W25" s="9"/>
      <c r="X25" s="9"/>
      <c r="Y25" s="9"/>
      <c r="Z25" s="9"/>
      <c r="AA25" s="9"/>
      <c r="AB25" s="9"/>
      <c r="AC25" s="9"/>
      <c r="AD25" s="9"/>
      <c r="AE25" s="8">
        <v>200</v>
      </c>
      <c r="AF25" s="8">
        <v>2300</v>
      </c>
    </row>
    <row r="26" spans="1:32" ht="11.55" customHeight="1" x14ac:dyDescent="0.3">
      <c r="A26" s="2">
        <v>23</v>
      </c>
      <c r="B26" s="3" t="s">
        <v>75</v>
      </c>
      <c r="C26" s="3" t="s">
        <v>72</v>
      </c>
      <c r="D26" s="3" t="s">
        <v>23</v>
      </c>
      <c r="E26" s="2" t="s">
        <v>275</v>
      </c>
      <c r="F26" s="4">
        <v>1000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4">
        <v>1000</v>
      </c>
      <c r="AF26" s="4">
        <v>0</v>
      </c>
    </row>
    <row r="27" spans="1:32" ht="11.55" customHeight="1" x14ac:dyDescent="0.3">
      <c r="A27" s="6">
        <v>24</v>
      </c>
      <c r="B27" s="7" t="s">
        <v>76</v>
      </c>
      <c r="C27" s="7" t="s">
        <v>77</v>
      </c>
      <c r="D27" s="7" t="s">
        <v>26</v>
      </c>
      <c r="E27" s="6" t="s">
        <v>78</v>
      </c>
      <c r="F27" s="8">
        <v>2500</v>
      </c>
      <c r="G27" s="9"/>
      <c r="H27" s="9"/>
      <c r="I27" s="9"/>
      <c r="J27" s="9"/>
      <c r="K27" s="8">
        <v>2153.67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8">
        <v>1000</v>
      </c>
      <c r="W27" s="9"/>
      <c r="X27" s="9"/>
      <c r="Y27" s="9"/>
      <c r="Z27" s="9"/>
      <c r="AA27" s="9"/>
      <c r="AB27" s="9"/>
      <c r="AC27" s="9"/>
      <c r="AD27" s="9"/>
      <c r="AE27" s="13">
        <v>-653.66999999999996</v>
      </c>
      <c r="AF27" s="8">
        <v>3153.67</v>
      </c>
    </row>
    <row r="28" spans="1:32" ht="11.55" customHeight="1" x14ac:dyDescent="0.3">
      <c r="A28" s="2">
        <v>25</v>
      </c>
      <c r="B28" s="3" t="s">
        <v>79</v>
      </c>
      <c r="C28" s="3" t="s">
        <v>77</v>
      </c>
      <c r="D28" s="3" t="s">
        <v>80</v>
      </c>
      <c r="E28" s="2" t="s">
        <v>81</v>
      </c>
      <c r="F28" s="4">
        <v>1000</v>
      </c>
      <c r="G28" s="4">
        <v>1000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4">
        <v>300</v>
      </c>
      <c r="X28" s="5"/>
      <c r="Y28" s="5"/>
      <c r="Z28" s="5"/>
      <c r="AA28" s="5"/>
      <c r="AB28" s="5"/>
      <c r="AC28" s="5"/>
      <c r="AD28" s="5"/>
      <c r="AE28" s="12">
        <v>-300</v>
      </c>
      <c r="AF28" s="4">
        <v>1300</v>
      </c>
    </row>
    <row r="29" spans="1:32" ht="11.55" customHeight="1" x14ac:dyDescent="0.3">
      <c r="A29" s="6">
        <v>26</v>
      </c>
      <c r="B29" s="7" t="s">
        <v>79</v>
      </c>
      <c r="C29" s="7" t="s">
        <v>77</v>
      </c>
      <c r="D29" s="7" t="s">
        <v>82</v>
      </c>
      <c r="E29" s="6" t="s">
        <v>275</v>
      </c>
      <c r="F29" s="8">
        <v>500</v>
      </c>
      <c r="G29" s="8">
        <v>500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8">
        <v>0</v>
      </c>
      <c r="AF29" s="8">
        <v>500</v>
      </c>
    </row>
    <row r="30" spans="1:32" ht="11.55" customHeight="1" x14ac:dyDescent="0.3">
      <c r="A30" s="2">
        <v>27</v>
      </c>
      <c r="B30" s="3" t="s">
        <v>79</v>
      </c>
      <c r="C30" s="3" t="s">
        <v>77</v>
      </c>
      <c r="D30" s="3" t="s">
        <v>82</v>
      </c>
      <c r="E30" s="2" t="s">
        <v>275</v>
      </c>
      <c r="F30" s="4">
        <v>500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>
        <v>500</v>
      </c>
      <c r="T30" s="5"/>
      <c r="U30" s="5"/>
      <c r="V30" s="5"/>
      <c r="W30" s="4">
        <v>500</v>
      </c>
      <c r="X30" s="5"/>
      <c r="Y30" s="5"/>
      <c r="Z30" s="5"/>
      <c r="AA30" s="5"/>
      <c r="AB30" s="5"/>
      <c r="AC30" s="5"/>
      <c r="AD30" s="5"/>
      <c r="AE30" s="12">
        <v>-500</v>
      </c>
      <c r="AF30" s="4">
        <v>1000</v>
      </c>
    </row>
    <row r="31" spans="1:32" ht="11.55" customHeight="1" x14ac:dyDescent="0.3">
      <c r="A31" s="6">
        <v>28</v>
      </c>
      <c r="B31" s="7" t="s">
        <v>83</v>
      </c>
      <c r="C31" s="7"/>
      <c r="D31" s="7"/>
      <c r="E31" s="6" t="s">
        <v>84</v>
      </c>
      <c r="F31" s="8">
        <v>800</v>
      </c>
      <c r="G31" s="8">
        <v>800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8">
        <v>500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3">
        <v>-500</v>
      </c>
      <c r="AF31" s="8">
        <v>1300</v>
      </c>
    </row>
    <row r="32" spans="1:32" ht="11.55" customHeight="1" x14ac:dyDescent="0.3">
      <c r="A32" s="2">
        <v>29</v>
      </c>
      <c r="B32" s="3" t="s">
        <v>83</v>
      </c>
      <c r="C32" s="3"/>
      <c r="D32" s="3" t="s">
        <v>23</v>
      </c>
      <c r="E32" s="2" t="s">
        <v>275</v>
      </c>
      <c r="F32" s="4">
        <v>500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>
        <v>300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>
        <v>200</v>
      </c>
      <c r="AF32" s="4">
        <v>300</v>
      </c>
    </row>
    <row r="33" spans="1:32" ht="11.55" customHeight="1" x14ac:dyDescent="0.3">
      <c r="A33" s="6">
        <v>30</v>
      </c>
      <c r="B33" s="7" t="s">
        <v>259</v>
      </c>
      <c r="C33" s="7" t="s">
        <v>260</v>
      </c>
      <c r="D33" s="7" t="s">
        <v>287</v>
      </c>
      <c r="E33" s="6" t="s">
        <v>130</v>
      </c>
      <c r="F33" s="8">
        <v>1500</v>
      </c>
      <c r="G33" s="9"/>
      <c r="H33" s="9"/>
      <c r="I33" s="9"/>
      <c r="J33" s="9"/>
      <c r="K33" s="8">
        <v>700.37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8">
        <v>799.63</v>
      </c>
      <c r="AF33" s="8">
        <v>700.37</v>
      </c>
    </row>
    <row r="34" spans="1:32" ht="11.55" customHeight="1" x14ac:dyDescent="0.3">
      <c r="A34" s="2">
        <v>31</v>
      </c>
      <c r="B34" s="3" t="s">
        <v>131</v>
      </c>
      <c r="C34" s="3" t="s">
        <v>288</v>
      </c>
      <c r="D34" s="3" t="s">
        <v>26</v>
      </c>
      <c r="E34" s="2" t="s">
        <v>133</v>
      </c>
      <c r="F34" s="4">
        <v>1500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4">
        <v>1500</v>
      </c>
      <c r="AF34" s="4">
        <v>0</v>
      </c>
    </row>
    <row r="35" spans="1:32" ht="11.55" customHeight="1" x14ac:dyDescent="0.3">
      <c r="A35" s="6">
        <v>32</v>
      </c>
      <c r="B35" s="7" t="s">
        <v>134</v>
      </c>
      <c r="C35" s="7" t="s">
        <v>135</v>
      </c>
      <c r="D35" s="7" t="s">
        <v>37</v>
      </c>
      <c r="E35" s="6" t="s">
        <v>241</v>
      </c>
      <c r="F35" s="8">
        <v>700</v>
      </c>
      <c r="G35" s="9"/>
      <c r="H35" s="9"/>
      <c r="I35" s="9"/>
      <c r="J35" s="9"/>
      <c r="K35" s="8">
        <v>700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8">
        <v>0</v>
      </c>
      <c r="AF35" s="8">
        <v>700</v>
      </c>
    </row>
    <row r="36" spans="1:32" ht="11.55" customHeight="1" x14ac:dyDescent="0.3">
      <c r="A36" s="2">
        <v>33</v>
      </c>
      <c r="B36" s="3" t="s">
        <v>86</v>
      </c>
      <c r="C36" s="3" t="s">
        <v>289</v>
      </c>
      <c r="D36" s="3" t="s">
        <v>87</v>
      </c>
      <c r="E36" s="2" t="s">
        <v>88</v>
      </c>
      <c r="F36" s="4">
        <v>3000</v>
      </c>
      <c r="G36" s="5"/>
      <c r="H36" s="4">
        <v>1000</v>
      </c>
      <c r="I36" s="2" t="s">
        <v>313</v>
      </c>
      <c r="J36" s="5"/>
      <c r="K36" s="5"/>
      <c r="L36" s="5"/>
      <c r="M36" s="5"/>
      <c r="N36" s="5"/>
      <c r="O36" s="5"/>
      <c r="P36" s="4">
        <v>1000</v>
      </c>
      <c r="Q36" s="2" t="s">
        <v>314</v>
      </c>
      <c r="R36" s="5"/>
      <c r="S36" s="5"/>
      <c r="T36" s="4">
        <v>1000</v>
      </c>
      <c r="U36" s="2" t="s">
        <v>315</v>
      </c>
      <c r="V36" s="5"/>
      <c r="W36" s="5"/>
      <c r="X36" s="5"/>
      <c r="Y36" s="5"/>
      <c r="Z36" s="5"/>
      <c r="AA36" s="5"/>
      <c r="AB36" s="5"/>
      <c r="AC36" s="5"/>
      <c r="AD36" s="5"/>
      <c r="AE36" s="4">
        <v>0</v>
      </c>
      <c r="AF36" s="4">
        <v>3000</v>
      </c>
    </row>
    <row r="37" spans="1:32" ht="11.55" customHeight="1" x14ac:dyDescent="0.3">
      <c r="A37" s="6">
        <v>34</v>
      </c>
      <c r="B37" s="7" t="s">
        <v>159</v>
      </c>
      <c r="C37" s="7"/>
      <c r="D37" s="7" t="s">
        <v>26</v>
      </c>
      <c r="E37" s="6" t="s">
        <v>161</v>
      </c>
      <c r="F37" s="8">
        <v>1500</v>
      </c>
      <c r="G37" s="9"/>
      <c r="H37" s="9"/>
      <c r="I37" s="9"/>
      <c r="J37" s="9"/>
      <c r="K37" s="9"/>
      <c r="L37" s="8">
        <v>1500</v>
      </c>
      <c r="M37" s="6" t="s">
        <v>316</v>
      </c>
      <c r="N37" s="9"/>
      <c r="O37" s="9"/>
      <c r="P37" s="9"/>
      <c r="Q37" s="9"/>
      <c r="R37" s="9"/>
      <c r="S37" s="9"/>
      <c r="T37" s="8">
        <v>2177.5700000000002</v>
      </c>
      <c r="U37" s="6" t="s">
        <v>317</v>
      </c>
      <c r="V37" s="9"/>
      <c r="W37" s="9"/>
      <c r="X37" s="9"/>
      <c r="Y37" s="9"/>
      <c r="Z37" s="9"/>
      <c r="AA37" s="9"/>
      <c r="AB37" s="9"/>
      <c r="AC37" s="9"/>
      <c r="AD37" s="9"/>
      <c r="AE37" s="13">
        <v>-2177.5700000000002</v>
      </c>
      <c r="AF37" s="8">
        <v>3677.57</v>
      </c>
    </row>
    <row r="38" spans="1:32" ht="11.55" customHeight="1" x14ac:dyDescent="0.3">
      <c r="A38" s="2">
        <v>35</v>
      </c>
      <c r="B38" s="3" t="s">
        <v>294</v>
      </c>
      <c r="C38" s="3" t="s">
        <v>295</v>
      </c>
      <c r="D38" s="3"/>
      <c r="E38" s="2" t="s">
        <v>30</v>
      </c>
      <c r="F38" s="4">
        <v>800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>
        <v>800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4">
        <v>0</v>
      </c>
      <c r="AF38" s="4">
        <v>800</v>
      </c>
    </row>
    <row r="39" spans="1:32" ht="11.55" customHeight="1" x14ac:dyDescent="0.3">
      <c r="A39" s="6">
        <v>36</v>
      </c>
      <c r="B39" s="7" t="s">
        <v>265</v>
      </c>
      <c r="C39" s="7" t="s">
        <v>266</v>
      </c>
      <c r="D39" s="7"/>
      <c r="E39" s="6" t="s">
        <v>22</v>
      </c>
      <c r="F39" s="8">
        <v>1500</v>
      </c>
      <c r="G39" s="8">
        <v>1200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8">
        <v>300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8">
        <v>0</v>
      </c>
      <c r="AF39" s="8">
        <v>1500</v>
      </c>
    </row>
    <row r="40" spans="1:32" ht="11.55" customHeight="1" x14ac:dyDescent="0.3">
      <c r="A40" s="2">
        <v>37</v>
      </c>
      <c r="B40" s="3" t="s">
        <v>265</v>
      </c>
      <c r="C40" s="3" t="s">
        <v>266</v>
      </c>
      <c r="D40" s="3" t="s">
        <v>296</v>
      </c>
      <c r="E40" s="2"/>
      <c r="F40" s="4">
        <v>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>
        <v>500</v>
      </c>
      <c r="AF40" s="4">
        <v>0</v>
      </c>
    </row>
    <row r="41" spans="1:32" ht="13.5" customHeight="1" x14ac:dyDescent="0.3">
      <c r="A41" s="16" t="s">
        <v>89</v>
      </c>
      <c r="B41" s="17"/>
      <c r="C41" s="17"/>
      <c r="D41" s="17"/>
      <c r="E41" s="17"/>
      <c r="F41" s="10">
        <f t="shared" ref="F41:AF41" si="0">SUM(F4:F40)</f>
        <v>53300</v>
      </c>
      <c r="G41" s="10">
        <f t="shared" si="0"/>
        <v>16759.34</v>
      </c>
      <c r="H41" s="10">
        <f t="shared" si="0"/>
        <v>5403.24</v>
      </c>
      <c r="I41" s="10">
        <f t="shared" si="0"/>
        <v>0</v>
      </c>
      <c r="J41" s="10">
        <f t="shared" si="0"/>
        <v>0</v>
      </c>
      <c r="K41" s="10">
        <f t="shared" si="0"/>
        <v>4554.04</v>
      </c>
      <c r="L41" s="10">
        <f t="shared" si="0"/>
        <v>1500</v>
      </c>
      <c r="M41" s="10">
        <f t="shared" si="0"/>
        <v>0</v>
      </c>
      <c r="N41" s="10">
        <f t="shared" si="0"/>
        <v>0</v>
      </c>
      <c r="O41" s="10">
        <f t="shared" si="0"/>
        <v>5500</v>
      </c>
      <c r="P41" s="10">
        <f t="shared" si="0"/>
        <v>1000</v>
      </c>
      <c r="Q41" s="10">
        <f t="shared" si="0"/>
        <v>0</v>
      </c>
      <c r="R41" s="10">
        <f t="shared" si="0"/>
        <v>0</v>
      </c>
      <c r="S41" s="10">
        <f t="shared" si="0"/>
        <v>6326.87</v>
      </c>
      <c r="T41" s="10">
        <f t="shared" si="0"/>
        <v>7277.57</v>
      </c>
      <c r="U41" s="10">
        <f t="shared" si="0"/>
        <v>0</v>
      </c>
      <c r="V41" s="10">
        <f t="shared" si="0"/>
        <v>1000</v>
      </c>
      <c r="W41" s="10">
        <f t="shared" si="0"/>
        <v>800</v>
      </c>
      <c r="X41" s="10">
        <f t="shared" si="0"/>
        <v>0</v>
      </c>
      <c r="Y41" s="10">
        <f t="shared" si="0"/>
        <v>0</v>
      </c>
      <c r="Z41" s="10">
        <f t="shared" si="0"/>
        <v>0</v>
      </c>
      <c r="AA41" s="10">
        <f t="shared" si="0"/>
        <v>0</v>
      </c>
      <c r="AB41" s="10">
        <f t="shared" si="0"/>
        <v>0</v>
      </c>
      <c r="AC41" s="10">
        <f t="shared" si="0"/>
        <v>0</v>
      </c>
      <c r="AD41" s="10">
        <f t="shared" si="0"/>
        <v>0</v>
      </c>
      <c r="AE41" s="10">
        <f t="shared" si="0"/>
        <v>3178.94</v>
      </c>
      <c r="AF41" s="10">
        <f t="shared" si="0"/>
        <v>50121.060000000005</v>
      </c>
    </row>
    <row r="42" spans="1:32" ht="6" customHeight="1" x14ac:dyDescent="0.3"/>
    <row r="43" spans="1:32" ht="16.95" customHeight="1" x14ac:dyDescent="0.3">
      <c r="A43" s="23" t="s">
        <v>318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ht="13.95" customHeight="1" x14ac:dyDescent="0.3">
      <c r="A44" s="14" t="s">
        <v>1</v>
      </c>
      <c r="B44" s="14" t="s">
        <v>2</v>
      </c>
      <c r="C44" s="14" t="s">
        <v>3</v>
      </c>
      <c r="D44" s="14" t="s">
        <v>4</v>
      </c>
      <c r="E44" s="14" t="s">
        <v>5</v>
      </c>
      <c r="F44" s="14" t="s">
        <v>6</v>
      </c>
      <c r="G44" s="18" t="s">
        <v>302</v>
      </c>
      <c r="H44" s="19"/>
      <c r="I44" s="19"/>
      <c r="J44" s="19"/>
      <c r="K44" s="18" t="s">
        <v>303</v>
      </c>
      <c r="L44" s="19"/>
      <c r="M44" s="19"/>
      <c r="N44" s="19"/>
      <c r="O44" s="18" t="s">
        <v>304</v>
      </c>
      <c r="P44" s="19"/>
      <c r="Q44" s="19"/>
      <c r="R44" s="19"/>
      <c r="S44" s="18" t="s">
        <v>305</v>
      </c>
      <c r="T44" s="19"/>
      <c r="U44" s="19"/>
      <c r="V44" s="19"/>
      <c r="W44" s="18" t="s">
        <v>306</v>
      </c>
      <c r="X44" s="19"/>
      <c r="Y44" s="19"/>
      <c r="Z44" s="19"/>
      <c r="AA44" s="18" t="s">
        <v>307</v>
      </c>
      <c r="AB44" s="19"/>
      <c r="AC44" s="19"/>
      <c r="AD44" s="19"/>
      <c r="AE44" s="20" t="s">
        <v>14</v>
      </c>
      <c r="AF44" s="14" t="s">
        <v>15</v>
      </c>
    </row>
    <row r="45" spans="1:32" ht="13.05" customHeight="1" x14ac:dyDescent="0.3">
      <c r="A45" s="15"/>
      <c r="B45" s="15"/>
      <c r="C45" s="15"/>
      <c r="D45" s="15"/>
      <c r="E45" s="15"/>
      <c r="F45" s="15"/>
      <c r="G45" s="1" t="s">
        <v>16</v>
      </c>
      <c r="H45" s="1" t="s">
        <v>17</v>
      </c>
      <c r="I45" s="1" t="s">
        <v>215</v>
      </c>
      <c r="J45" s="1" t="s">
        <v>18</v>
      </c>
      <c r="K45" s="1" t="s">
        <v>16</v>
      </c>
      <c r="L45" s="1" t="s">
        <v>17</v>
      </c>
      <c r="M45" s="1" t="s">
        <v>215</v>
      </c>
      <c r="N45" s="1" t="s">
        <v>18</v>
      </c>
      <c r="O45" s="1" t="s">
        <v>16</v>
      </c>
      <c r="P45" s="1" t="s">
        <v>17</v>
      </c>
      <c r="Q45" s="1" t="s">
        <v>215</v>
      </c>
      <c r="R45" s="1" t="s">
        <v>18</v>
      </c>
      <c r="S45" s="1" t="s">
        <v>16</v>
      </c>
      <c r="T45" s="1" t="s">
        <v>17</v>
      </c>
      <c r="U45" s="1" t="s">
        <v>215</v>
      </c>
      <c r="V45" s="1" t="s">
        <v>18</v>
      </c>
      <c r="W45" s="1" t="s">
        <v>16</v>
      </c>
      <c r="X45" s="1" t="s">
        <v>17</v>
      </c>
      <c r="Y45" s="1" t="s">
        <v>215</v>
      </c>
      <c r="Z45" s="1" t="s">
        <v>18</v>
      </c>
      <c r="AA45" s="1" t="s">
        <v>16</v>
      </c>
      <c r="AB45" s="1" t="s">
        <v>17</v>
      </c>
      <c r="AC45" s="1" t="s">
        <v>215</v>
      </c>
      <c r="AD45" s="1" t="s">
        <v>18</v>
      </c>
      <c r="AE45" s="19"/>
      <c r="AF45" s="15"/>
    </row>
    <row r="46" spans="1:32" ht="11.55" customHeight="1" x14ac:dyDescent="0.3">
      <c r="A46" s="2">
        <v>1</v>
      </c>
      <c r="B46" s="3" t="s">
        <v>91</v>
      </c>
      <c r="C46" s="3" t="s">
        <v>92</v>
      </c>
      <c r="D46" s="3" t="s">
        <v>93</v>
      </c>
      <c r="E46" s="2" t="s">
        <v>94</v>
      </c>
      <c r="F46" s="4">
        <v>2500</v>
      </c>
      <c r="G46" s="5"/>
      <c r="H46" s="5"/>
      <c r="I46" s="5"/>
      <c r="J46" s="5"/>
      <c r="K46" s="5"/>
      <c r="L46" s="5"/>
      <c r="M46" s="5"/>
      <c r="N46" s="5"/>
      <c r="O46" s="4">
        <v>2011.79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4">
        <v>488.21</v>
      </c>
      <c r="AF46" s="4">
        <v>2011.79</v>
      </c>
    </row>
    <row r="47" spans="1:32" ht="11.55" customHeight="1" x14ac:dyDescent="0.3">
      <c r="A47" s="6">
        <v>2</v>
      </c>
      <c r="B47" s="7" t="s">
        <v>95</v>
      </c>
      <c r="C47" s="7" t="s">
        <v>92</v>
      </c>
      <c r="D47" s="7" t="s">
        <v>87</v>
      </c>
      <c r="E47" s="6" t="s">
        <v>96</v>
      </c>
      <c r="F47" s="8">
        <v>1500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8">
        <v>1500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8">
        <v>0</v>
      </c>
      <c r="AF47" s="8">
        <v>1500</v>
      </c>
    </row>
    <row r="48" spans="1:32" ht="11.55" customHeight="1" x14ac:dyDescent="0.3">
      <c r="A48" s="2">
        <v>3</v>
      </c>
      <c r="B48" s="3" t="s">
        <v>298</v>
      </c>
      <c r="C48" s="3" t="s">
        <v>92</v>
      </c>
      <c r="D48" s="3" t="s">
        <v>87</v>
      </c>
      <c r="E48" s="2" t="s">
        <v>299</v>
      </c>
      <c r="F48" s="4">
        <v>2000</v>
      </c>
      <c r="G48" s="5"/>
      <c r="H48" s="5"/>
      <c r="I48" s="5"/>
      <c r="J48" s="5"/>
      <c r="K48" s="4">
        <v>1368.09</v>
      </c>
      <c r="L48" s="5"/>
      <c r="M48" s="5"/>
      <c r="N48" s="5"/>
      <c r="O48" s="5"/>
      <c r="P48" s="5"/>
      <c r="Q48" s="5"/>
      <c r="R48" s="5"/>
      <c r="S48" s="4">
        <v>531.14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4">
        <v>100.77</v>
      </c>
      <c r="AF48" s="4">
        <v>1899.23</v>
      </c>
    </row>
    <row r="49" spans="1:32" ht="11.55" customHeight="1" x14ac:dyDescent="0.3">
      <c r="A49" s="6">
        <v>4</v>
      </c>
      <c r="B49" s="7" t="s">
        <v>298</v>
      </c>
      <c r="C49" s="7" t="s">
        <v>92</v>
      </c>
      <c r="D49" s="7" t="s">
        <v>23</v>
      </c>
      <c r="E49" s="6" t="s">
        <v>275</v>
      </c>
      <c r="F49" s="8">
        <v>500</v>
      </c>
      <c r="G49" s="9"/>
      <c r="H49" s="9"/>
      <c r="I49" s="9"/>
      <c r="J49" s="9"/>
      <c r="K49" s="8">
        <v>457.8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8">
        <v>42.2</v>
      </c>
      <c r="AF49" s="8">
        <v>457.8</v>
      </c>
    </row>
    <row r="50" spans="1:32" ht="11.55" customHeight="1" x14ac:dyDescent="0.3">
      <c r="A50" s="2">
        <v>5</v>
      </c>
      <c r="B50" s="3" t="s">
        <v>99</v>
      </c>
      <c r="C50" s="3" t="s">
        <v>100</v>
      </c>
      <c r="D50" s="3" t="s">
        <v>87</v>
      </c>
      <c r="E50" s="2" t="s">
        <v>101</v>
      </c>
      <c r="F50" s="4">
        <v>1500</v>
      </c>
      <c r="G50" s="4">
        <v>1493.07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4">
        <v>6.93</v>
      </c>
      <c r="AF50" s="4">
        <v>1493.07</v>
      </c>
    </row>
    <row r="51" spans="1:32" ht="11.55" customHeight="1" x14ac:dyDescent="0.3">
      <c r="A51" s="6">
        <v>6</v>
      </c>
      <c r="B51" s="7" t="s">
        <v>102</v>
      </c>
      <c r="C51" s="7" t="s">
        <v>100</v>
      </c>
      <c r="D51" s="7" t="s">
        <v>87</v>
      </c>
      <c r="E51" s="6" t="s">
        <v>103</v>
      </c>
      <c r="F51" s="8">
        <v>1500</v>
      </c>
      <c r="G51" s="8">
        <v>1500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>
        <v>0</v>
      </c>
      <c r="AF51" s="8">
        <v>1500</v>
      </c>
    </row>
    <row r="52" spans="1:32" ht="11.55" customHeight="1" x14ac:dyDescent="0.3">
      <c r="A52" s="2">
        <v>7</v>
      </c>
      <c r="B52" s="3" t="s">
        <v>102</v>
      </c>
      <c r="C52" s="3" t="s">
        <v>100</v>
      </c>
      <c r="D52" s="3" t="s">
        <v>23</v>
      </c>
      <c r="E52" s="2" t="s">
        <v>275</v>
      </c>
      <c r="F52" s="4">
        <v>500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4">
        <v>500</v>
      </c>
      <c r="AF52" s="4">
        <v>0</v>
      </c>
    </row>
    <row r="53" spans="1:32" ht="11.55" customHeight="1" x14ac:dyDescent="0.3">
      <c r="A53" s="6">
        <v>8</v>
      </c>
      <c r="B53" s="7" t="s">
        <v>104</v>
      </c>
      <c r="C53" s="7" t="s">
        <v>105</v>
      </c>
      <c r="D53" s="7" t="s">
        <v>98</v>
      </c>
      <c r="E53" s="6" t="s">
        <v>106</v>
      </c>
      <c r="F53" s="8">
        <v>2000</v>
      </c>
      <c r="G53" s="8">
        <v>1500.3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8">
        <v>499.7</v>
      </c>
      <c r="AF53" s="8">
        <v>1500.3</v>
      </c>
    </row>
    <row r="54" spans="1:32" ht="11.55" customHeight="1" x14ac:dyDescent="0.3">
      <c r="A54" s="2">
        <v>9</v>
      </c>
      <c r="B54" s="3" t="s">
        <v>104</v>
      </c>
      <c r="C54" s="3" t="s">
        <v>105</v>
      </c>
      <c r="D54" s="3" t="s">
        <v>23</v>
      </c>
      <c r="E54" s="2" t="s">
        <v>275</v>
      </c>
      <c r="F54" s="4">
        <v>500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>
        <v>500</v>
      </c>
      <c r="AF54" s="4">
        <v>0</v>
      </c>
    </row>
    <row r="55" spans="1:32" ht="13.5" customHeight="1" x14ac:dyDescent="0.3">
      <c r="A55" s="16" t="s">
        <v>107</v>
      </c>
      <c r="B55" s="17"/>
      <c r="C55" s="17"/>
      <c r="D55" s="17"/>
      <c r="E55" s="17"/>
      <c r="F55" s="10">
        <f t="shared" ref="F55:AF55" si="1">SUM(F46:F54)</f>
        <v>12500</v>
      </c>
      <c r="G55" s="10">
        <f t="shared" si="1"/>
        <v>4493.37</v>
      </c>
      <c r="H55" s="10">
        <f t="shared" si="1"/>
        <v>0</v>
      </c>
      <c r="I55" s="10">
        <f t="shared" si="1"/>
        <v>0</v>
      </c>
      <c r="J55" s="10">
        <f t="shared" si="1"/>
        <v>0</v>
      </c>
      <c r="K55" s="10">
        <f t="shared" si="1"/>
        <v>1825.8899999999999</v>
      </c>
      <c r="L55" s="10">
        <f t="shared" si="1"/>
        <v>0</v>
      </c>
      <c r="M55" s="10">
        <f t="shared" si="1"/>
        <v>0</v>
      </c>
      <c r="N55" s="10">
        <f t="shared" si="1"/>
        <v>0</v>
      </c>
      <c r="O55" s="10">
        <f t="shared" si="1"/>
        <v>2011.79</v>
      </c>
      <c r="P55" s="10">
        <f t="shared" si="1"/>
        <v>0</v>
      </c>
      <c r="Q55" s="10">
        <f t="shared" si="1"/>
        <v>0</v>
      </c>
      <c r="R55" s="10">
        <f t="shared" si="1"/>
        <v>0</v>
      </c>
      <c r="S55" s="10">
        <f t="shared" si="1"/>
        <v>2031.1399999999999</v>
      </c>
      <c r="T55" s="10">
        <f t="shared" si="1"/>
        <v>0</v>
      </c>
      <c r="U55" s="10">
        <f t="shared" si="1"/>
        <v>0</v>
      </c>
      <c r="V55" s="10">
        <f t="shared" si="1"/>
        <v>0</v>
      </c>
      <c r="W55" s="10">
        <f t="shared" si="1"/>
        <v>0</v>
      </c>
      <c r="X55" s="10">
        <f t="shared" si="1"/>
        <v>0</v>
      </c>
      <c r="Y55" s="10">
        <f t="shared" si="1"/>
        <v>0</v>
      </c>
      <c r="Z55" s="10">
        <f t="shared" si="1"/>
        <v>0</v>
      </c>
      <c r="AA55" s="10">
        <f t="shared" si="1"/>
        <v>0</v>
      </c>
      <c r="AB55" s="10">
        <f t="shared" si="1"/>
        <v>0</v>
      </c>
      <c r="AC55" s="10">
        <f t="shared" si="1"/>
        <v>0</v>
      </c>
      <c r="AD55" s="10">
        <f t="shared" si="1"/>
        <v>0</v>
      </c>
      <c r="AE55" s="10">
        <f t="shared" si="1"/>
        <v>2137.8100000000004</v>
      </c>
      <c r="AF55" s="10">
        <f t="shared" si="1"/>
        <v>10362.189999999999</v>
      </c>
    </row>
    <row r="56" spans="1:32" ht="4.95" customHeight="1" x14ac:dyDescent="0.3"/>
  </sheetData>
  <mergeCells count="32"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E2:AE3"/>
    <mergeCell ref="D2:D3"/>
    <mergeCell ref="F2:F3"/>
    <mergeCell ref="C44:C45"/>
    <mergeCell ref="E44:E45"/>
    <mergeCell ref="G44:J44"/>
    <mergeCell ref="S44:V44"/>
    <mergeCell ref="F44:F45"/>
    <mergeCell ref="W2:Z2"/>
    <mergeCell ref="O2:R2"/>
    <mergeCell ref="B2:B3"/>
    <mergeCell ref="AA2:AD2"/>
  </mergeCells>
  <pageMargins left="0.2" right="0.2" top="0.25" bottom="0.25" header="0.1" footer="0.1"/>
  <pageSetup paperSize="5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56"/>
  <sheetViews>
    <sheetView topLeftCell="A34" workbookViewId="0">
      <selection activeCell="A57" sqref="A57:XFD57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6.44140625" bestFit="1" customWidth="1"/>
    <col min="4" max="4" width="23.44140625" bestFit="1" customWidth="1"/>
    <col min="5" max="5" width="7.77734375" customWidth="1"/>
    <col min="6" max="6" width="10.77734375" customWidth="1"/>
    <col min="7" max="7" width="7.88671875" bestFit="1" customWidth="1"/>
    <col min="8" max="8" width="7.109375" bestFit="1" customWidth="1"/>
    <col min="9" max="10" width="6.21875" customWidth="1"/>
    <col min="11" max="11" width="7.109375" bestFit="1" customWidth="1"/>
    <col min="12" max="14" width="6.21875" customWidth="1"/>
    <col min="15" max="16" width="7.109375" bestFit="1" customWidth="1"/>
    <col min="17" max="18" width="6.21875" customWidth="1"/>
    <col min="19" max="20" width="7.109375" bestFit="1" customWidth="1"/>
    <col min="21" max="22" width="6.21875" customWidth="1"/>
    <col min="23" max="23" width="7.109375" bestFit="1" customWidth="1"/>
    <col min="24" max="30" width="6.21875" customWidth="1"/>
    <col min="31" max="31" width="9.44140625" customWidth="1"/>
    <col min="32" max="32" width="8.44140625" customWidth="1"/>
  </cols>
  <sheetData>
    <row r="1" spans="1:32" ht="18" customHeight="1" x14ac:dyDescent="0.3">
      <c r="A1" s="23" t="s">
        <v>319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320</v>
      </c>
      <c r="H2" s="19"/>
      <c r="I2" s="19"/>
      <c r="J2" s="19"/>
      <c r="K2" s="18" t="s">
        <v>321</v>
      </c>
      <c r="L2" s="19"/>
      <c r="M2" s="19"/>
      <c r="N2" s="19"/>
      <c r="O2" s="18" t="s">
        <v>322</v>
      </c>
      <c r="P2" s="19"/>
      <c r="Q2" s="19"/>
      <c r="R2" s="19"/>
      <c r="S2" s="18" t="s">
        <v>323</v>
      </c>
      <c r="T2" s="19"/>
      <c r="U2" s="19"/>
      <c r="V2" s="19"/>
      <c r="W2" s="18" t="s">
        <v>324</v>
      </c>
      <c r="X2" s="19"/>
      <c r="Y2" s="19"/>
      <c r="Z2" s="19"/>
      <c r="AA2" s="18" t="s">
        <v>325</v>
      </c>
      <c r="AB2" s="19"/>
      <c r="AC2" s="19"/>
      <c r="AD2" s="19"/>
      <c r="AE2" s="20" t="s">
        <v>14</v>
      </c>
      <c r="AF2" s="14" t="s">
        <v>15</v>
      </c>
    </row>
    <row r="3" spans="1:32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215</v>
      </c>
      <c r="AD3" s="1" t="s">
        <v>18</v>
      </c>
      <c r="AE3" s="19"/>
      <c r="AF3" s="15"/>
    </row>
    <row r="4" spans="1:32" ht="11.55" customHeight="1" x14ac:dyDescent="0.3">
      <c r="A4" s="2">
        <v>1</v>
      </c>
      <c r="B4" s="3" t="s">
        <v>24</v>
      </c>
      <c r="C4" s="3" t="s">
        <v>25</v>
      </c>
      <c r="D4" s="3" t="s">
        <v>26</v>
      </c>
      <c r="E4" s="2" t="s">
        <v>27</v>
      </c>
      <c r="F4" s="4">
        <v>2500</v>
      </c>
      <c r="G4" s="5"/>
      <c r="H4" s="5"/>
      <c r="I4" s="5"/>
      <c r="J4" s="5"/>
      <c r="K4" s="4">
        <v>1700.18</v>
      </c>
      <c r="L4" s="5"/>
      <c r="M4" s="5"/>
      <c r="N4" s="5"/>
      <c r="O4" s="5"/>
      <c r="P4" s="5"/>
      <c r="Q4" s="5"/>
      <c r="R4" s="5"/>
      <c r="S4" s="4">
        <v>799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>
        <v>0.82</v>
      </c>
      <c r="AF4" s="4">
        <v>2499.1799999999998</v>
      </c>
    </row>
    <row r="5" spans="1:32" ht="11.55" customHeight="1" x14ac:dyDescent="0.3">
      <c r="A5" s="6">
        <v>2</v>
      </c>
      <c r="B5" s="7" t="s">
        <v>24</v>
      </c>
      <c r="C5" s="7" t="s">
        <v>25</v>
      </c>
      <c r="D5" s="7" t="s">
        <v>23</v>
      </c>
      <c r="E5" s="6" t="s">
        <v>275</v>
      </c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8">
        <v>500</v>
      </c>
      <c r="AF5" s="8">
        <v>0</v>
      </c>
    </row>
    <row r="6" spans="1:32" ht="11.55" customHeight="1" x14ac:dyDescent="0.3">
      <c r="A6" s="2">
        <v>3</v>
      </c>
      <c r="B6" s="3" t="s">
        <v>117</v>
      </c>
      <c r="C6" s="3" t="s">
        <v>25</v>
      </c>
      <c r="D6" s="3" t="s">
        <v>29</v>
      </c>
      <c r="E6" s="2" t="s">
        <v>34</v>
      </c>
      <c r="F6" s="4">
        <v>1500</v>
      </c>
      <c r="G6" s="4">
        <v>944.92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4">
        <v>1144.1300000000001</v>
      </c>
      <c r="X6" s="5"/>
      <c r="Y6" s="5"/>
      <c r="Z6" s="5"/>
      <c r="AA6" s="5"/>
      <c r="AB6" s="5"/>
      <c r="AC6" s="5"/>
      <c r="AD6" s="5"/>
      <c r="AE6" s="12">
        <v>-589.04999999999995</v>
      </c>
      <c r="AF6" s="4">
        <v>2089.0500000000002</v>
      </c>
    </row>
    <row r="7" spans="1:32" ht="11.55" customHeight="1" x14ac:dyDescent="0.3">
      <c r="A7" s="6">
        <v>4</v>
      </c>
      <c r="B7" s="7" t="s">
        <v>33</v>
      </c>
      <c r="C7" s="7" t="s">
        <v>25</v>
      </c>
      <c r="D7" s="7"/>
      <c r="E7" s="6" t="s">
        <v>32</v>
      </c>
      <c r="F7" s="8">
        <v>1500</v>
      </c>
      <c r="G7" s="8">
        <v>1383.45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8">
        <v>573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3">
        <v>-456.45</v>
      </c>
      <c r="AF7" s="8">
        <v>1956.45</v>
      </c>
    </row>
    <row r="8" spans="1:32" ht="11.55" customHeight="1" x14ac:dyDescent="0.3">
      <c r="A8" s="2">
        <v>5</v>
      </c>
      <c r="B8" s="3" t="s">
        <v>35</v>
      </c>
      <c r="C8" s="3" t="s">
        <v>36</v>
      </c>
      <c r="D8" s="3" t="s">
        <v>37</v>
      </c>
      <c r="E8" s="2" t="s">
        <v>38</v>
      </c>
      <c r="F8" s="4">
        <v>700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>
        <v>700</v>
      </c>
      <c r="AF8" s="4">
        <v>0</v>
      </c>
    </row>
    <row r="9" spans="1:32" ht="11.55" customHeight="1" x14ac:dyDescent="0.3">
      <c r="A9" s="6">
        <v>6</v>
      </c>
      <c r="B9" s="7" t="s">
        <v>39</v>
      </c>
      <c r="C9" s="7" t="s">
        <v>40</v>
      </c>
      <c r="D9" s="7" t="s">
        <v>41</v>
      </c>
      <c r="E9" s="6" t="s">
        <v>42</v>
      </c>
      <c r="F9" s="8">
        <v>1500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8">
        <v>1500</v>
      </c>
      <c r="AF9" s="8">
        <v>0</v>
      </c>
    </row>
    <row r="10" spans="1:32" ht="11.55" customHeight="1" x14ac:dyDescent="0.3">
      <c r="A10" s="2">
        <v>7</v>
      </c>
      <c r="B10" s="3" t="s">
        <v>43</v>
      </c>
      <c r="C10" s="3" t="s">
        <v>20</v>
      </c>
      <c r="D10" s="3" t="s">
        <v>45</v>
      </c>
      <c r="E10" s="2" t="s">
        <v>46</v>
      </c>
      <c r="F10" s="4">
        <v>1500</v>
      </c>
      <c r="G10" s="4">
        <v>1500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>
        <v>800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12">
        <v>-800</v>
      </c>
      <c r="AF10" s="4">
        <v>2300</v>
      </c>
    </row>
    <row r="11" spans="1:32" ht="11.55" customHeight="1" x14ac:dyDescent="0.3">
      <c r="A11" s="6">
        <v>8</v>
      </c>
      <c r="B11" s="7" t="s">
        <v>43</v>
      </c>
      <c r="C11" s="7" t="s">
        <v>20</v>
      </c>
      <c r="D11" s="7" t="s">
        <v>23</v>
      </c>
      <c r="E11" s="6" t="s">
        <v>275</v>
      </c>
      <c r="F11" s="8">
        <v>500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8">
        <v>500</v>
      </c>
      <c r="AF11" s="8">
        <v>0</v>
      </c>
    </row>
    <row r="12" spans="1:32" ht="11.55" customHeight="1" x14ac:dyDescent="0.3">
      <c r="A12" s="2">
        <v>9</v>
      </c>
      <c r="B12" s="3" t="s">
        <v>47</v>
      </c>
      <c r="C12" s="3" t="s">
        <v>20</v>
      </c>
      <c r="D12" s="3" t="s">
        <v>48</v>
      </c>
      <c r="E12" s="2" t="s">
        <v>49</v>
      </c>
      <c r="F12" s="4">
        <v>1500</v>
      </c>
      <c r="G12" s="4">
        <v>1500</v>
      </c>
      <c r="H12" s="5"/>
      <c r="I12" s="5"/>
      <c r="J12" s="5"/>
      <c r="K12" s="4">
        <v>500</v>
      </c>
      <c r="L12" s="5"/>
      <c r="M12" s="5"/>
      <c r="N12" s="5"/>
      <c r="O12" s="4">
        <v>1500</v>
      </c>
      <c r="P12" s="5"/>
      <c r="Q12" s="5"/>
      <c r="R12" s="5"/>
      <c r="S12" s="4">
        <v>1500</v>
      </c>
      <c r="T12" s="5"/>
      <c r="U12" s="5"/>
      <c r="V12" s="5"/>
      <c r="W12" s="4">
        <v>1500</v>
      </c>
      <c r="X12" s="5"/>
      <c r="Y12" s="5"/>
      <c r="Z12" s="5"/>
      <c r="AA12" s="5"/>
      <c r="AB12" s="5"/>
      <c r="AC12" s="5"/>
      <c r="AD12" s="5"/>
      <c r="AE12" s="12">
        <v>-5000</v>
      </c>
      <c r="AF12" s="4">
        <v>6500</v>
      </c>
    </row>
    <row r="13" spans="1:32" ht="11.55" customHeight="1" x14ac:dyDescent="0.3">
      <c r="A13" s="6">
        <v>10</v>
      </c>
      <c r="B13" s="7" t="s">
        <v>276</v>
      </c>
      <c r="C13" s="7" t="s">
        <v>51</v>
      </c>
      <c r="D13" s="7" t="s">
        <v>52</v>
      </c>
      <c r="E13" s="6" t="s">
        <v>53</v>
      </c>
      <c r="F13" s="8">
        <v>1500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8">
        <v>800</v>
      </c>
      <c r="Y13" s="6" t="s">
        <v>326</v>
      </c>
      <c r="Z13" s="9"/>
      <c r="AA13" s="9"/>
      <c r="AB13" s="9"/>
      <c r="AC13" s="9"/>
      <c r="AD13" s="9"/>
      <c r="AE13" s="8">
        <v>700</v>
      </c>
      <c r="AF13" s="8">
        <v>800</v>
      </c>
    </row>
    <row r="14" spans="1:32" ht="11.55" customHeight="1" x14ac:dyDescent="0.3">
      <c r="A14" s="2">
        <v>11</v>
      </c>
      <c r="B14" s="3" t="s">
        <v>50</v>
      </c>
      <c r="C14" s="3" t="s">
        <v>51</v>
      </c>
      <c r="D14" s="3" t="s">
        <v>277</v>
      </c>
      <c r="E14" s="2" t="s">
        <v>196</v>
      </c>
      <c r="F14" s="4">
        <v>2500</v>
      </c>
      <c r="G14" s="4">
        <v>1491.07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4">
        <v>1000</v>
      </c>
      <c r="X14" s="5"/>
      <c r="Y14" s="5"/>
      <c r="Z14" s="5"/>
      <c r="AA14" s="5"/>
      <c r="AB14" s="5"/>
      <c r="AC14" s="5"/>
      <c r="AD14" s="5"/>
      <c r="AE14" s="4">
        <v>8.93</v>
      </c>
      <c r="AF14" s="4">
        <v>2491.0700000000002</v>
      </c>
    </row>
    <row r="15" spans="1:32" ht="11.55" customHeight="1" x14ac:dyDescent="0.3">
      <c r="A15" s="6">
        <v>12</v>
      </c>
      <c r="B15" s="7" t="s">
        <v>50</v>
      </c>
      <c r="C15" s="7" t="s">
        <v>51</v>
      </c>
      <c r="D15" s="7" t="s">
        <v>23</v>
      </c>
      <c r="E15" s="6" t="s">
        <v>275</v>
      </c>
      <c r="F15" s="8">
        <v>300</v>
      </c>
      <c r="G15" s="8">
        <v>300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8">
        <v>228.9</v>
      </c>
      <c r="X15" s="9"/>
      <c r="Y15" s="9"/>
      <c r="Z15" s="9"/>
      <c r="AA15" s="9"/>
      <c r="AB15" s="9"/>
      <c r="AC15" s="9"/>
      <c r="AD15" s="9"/>
      <c r="AE15" s="13">
        <v>-228.9</v>
      </c>
      <c r="AF15" s="8">
        <v>528.9</v>
      </c>
    </row>
    <row r="16" spans="1:32" ht="11.55" customHeight="1" x14ac:dyDescent="0.3">
      <c r="A16" s="2">
        <v>13</v>
      </c>
      <c r="B16" s="3" t="s">
        <v>54</v>
      </c>
      <c r="C16" s="3" t="s">
        <v>51</v>
      </c>
      <c r="D16" s="3" t="s">
        <v>55</v>
      </c>
      <c r="E16" s="2" t="s">
        <v>278</v>
      </c>
      <c r="F16" s="4">
        <v>2500</v>
      </c>
      <c r="G16" s="5"/>
      <c r="H16" s="5"/>
      <c r="I16" s="5"/>
      <c r="J16" s="5"/>
      <c r="K16" s="5"/>
      <c r="L16" s="5"/>
      <c r="M16" s="5"/>
      <c r="N16" s="5"/>
      <c r="O16" s="4">
        <v>1167.1400000000001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4">
        <v>1332.86</v>
      </c>
      <c r="AF16" s="4">
        <v>1167.1400000000001</v>
      </c>
    </row>
    <row r="17" spans="1:32" ht="11.55" customHeight="1" x14ac:dyDescent="0.3">
      <c r="A17" s="6">
        <v>14</v>
      </c>
      <c r="B17" s="7" t="s">
        <v>57</v>
      </c>
      <c r="C17" s="7" t="s">
        <v>51</v>
      </c>
      <c r="D17" s="7" t="s">
        <v>48</v>
      </c>
      <c r="E17" s="6" t="s">
        <v>58</v>
      </c>
      <c r="F17" s="8">
        <v>4000</v>
      </c>
      <c r="G17" s="9"/>
      <c r="H17" s="8">
        <v>3200</v>
      </c>
      <c r="I17" s="6" t="s">
        <v>327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8">
        <v>800</v>
      </c>
      <c r="AF17" s="8">
        <v>3200</v>
      </c>
    </row>
    <row r="18" spans="1:32" ht="11.55" customHeight="1" x14ac:dyDescent="0.3">
      <c r="A18" s="2">
        <v>15</v>
      </c>
      <c r="B18" s="3" t="s">
        <v>59</v>
      </c>
      <c r="C18" s="3" t="s">
        <v>280</v>
      </c>
      <c r="D18" s="3" t="s">
        <v>52</v>
      </c>
      <c r="E18" s="2" t="s">
        <v>61</v>
      </c>
      <c r="F18" s="4">
        <v>2500</v>
      </c>
      <c r="G18" s="4">
        <v>1341.9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4">
        <v>1158.0999999999999</v>
      </c>
      <c r="AF18" s="4">
        <v>1341.9</v>
      </c>
    </row>
    <row r="19" spans="1:32" ht="11.55" customHeight="1" x14ac:dyDescent="0.3">
      <c r="A19" s="6">
        <v>16</v>
      </c>
      <c r="B19" s="7" t="s">
        <v>59</v>
      </c>
      <c r="C19" s="7" t="s">
        <v>280</v>
      </c>
      <c r="D19" s="7" t="s">
        <v>62</v>
      </c>
      <c r="E19" s="6" t="s">
        <v>275</v>
      </c>
      <c r="F19" s="8">
        <v>1000</v>
      </c>
      <c r="G19" s="9"/>
      <c r="H19" s="9"/>
      <c r="I19" s="9"/>
      <c r="J19" s="9"/>
      <c r="K19" s="9"/>
      <c r="L19" s="9"/>
      <c r="M19" s="9"/>
      <c r="N19" s="9"/>
      <c r="O19" s="8">
        <v>1000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8">
        <v>0</v>
      </c>
      <c r="AF19" s="8">
        <v>1000</v>
      </c>
    </row>
    <row r="20" spans="1:32" ht="11.55" customHeight="1" x14ac:dyDescent="0.3">
      <c r="A20" s="2">
        <v>17</v>
      </c>
      <c r="B20" s="3" t="s">
        <v>59</v>
      </c>
      <c r="C20" s="3" t="s">
        <v>280</v>
      </c>
      <c r="D20" s="3" t="s">
        <v>63</v>
      </c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4">
        <v>0</v>
      </c>
      <c r="AF20" s="4">
        <v>0</v>
      </c>
    </row>
    <row r="21" spans="1:32" ht="11.55" customHeight="1" x14ac:dyDescent="0.3">
      <c r="A21" s="6">
        <v>18</v>
      </c>
      <c r="B21" s="7" t="s">
        <v>59</v>
      </c>
      <c r="C21" s="7" t="s">
        <v>280</v>
      </c>
      <c r="D21" s="7" t="s">
        <v>64</v>
      </c>
      <c r="E21" s="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8">
        <v>0</v>
      </c>
      <c r="AF21" s="8">
        <v>0</v>
      </c>
    </row>
    <row r="22" spans="1:32" ht="11.55" customHeight="1" x14ac:dyDescent="0.3">
      <c r="A22" s="2">
        <v>19</v>
      </c>
      <c r="B22" s="3" t="s">
        <v>65</v>
      </c>
      <c r="C22" s="3" t="s">
        <v>281</v>
      </c>
      <c r="D22" s="3" t="s">
        <v>52</v>
      </c>
      <c r="E22" s="2" t="s">
        <v>66</v>
      </c>
      <c r="F22" s="4">
        <v>1500</v>
      </c>
      <c r="G22" s="4">
        <v>1201.31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>
        <v>298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4">
        <v>0.69</v>
      </c>
      <c r="AF22" s="4">
        <v>1499.31</v>
      </c>
    </row>
    <row r="23" spans="1:32" ht="11.55" customHeight="1" x14ac:dyDescent="0.3">
      <c r="A23" s="6">
        <v>20</v>
      </c>
      <c r="B23" s="7" t="s">
        <v>67</v>
      </c>
      <c r="C23" s="7" t="s">
        <v>282</v>
      </c>
      <c r="D23" s="7" t="s">
        <v>48</v>
      </c>
      <c r="E23" s="6" t="s">
        <v>68</v>
      </c>
      <c r="F23" s="8">
        <v>3000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8">
        <v>2850.33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8">
        <v>149.66999999999999</v>
      </c>
      <c r="AF23" s="8">
        <v>2850.33</v>
      </c>
    </row>
    <row r="24" spans="1:32" ht="11.55" customHeight="1" x14ac:dyDescent="0.3">
      <c r="A24" s="2">
        <v>21</v>
      </c>
      <c r="B24" s="3" t="s">
        <v>69</v>
      </c>
      <c r="C24" s="3" t="s">
        <v>282</v>
      </c>
      <c r="D24" s="3" t="s">
        <v>55</v>
      </c>
      <c r="E24" s="2" t="s">
        <v>283</v>
      </c>
      <c r="F24" s="4">
        <v>2500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4">
        <v>2500</v>
      </c>
      <c r="AF24" s="4">
        <v>0</v>
      </c>
    </row>
    <row r="25" spans="1:32" ht="11.55" customHeight="1" x14ac:dyDescent="0.3">
      <c r="A25" s="6">
        <v>22</v>
      </c>
      <c r="B25" s="7" t="s">
        <v>71</v>
      </c>
      <c r="C25" s="7" t="s">
        <v>72</v>
      </c>
      <c r="D25" s="7" t="s">
        <v>73</v>
      </c>
      <c r="E25" s="6" t="s">
        <v>74</v>
      </c>
      <c r="F25" s="8">
        <v>2500</v>
      </c>
      <c r="G25" s="9"/>
      <c r="H25" s="8">
        <v>1000</v>
      </c>
      <c r="I25" s="6" t="s">
        <v>328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8">
        <v>1500</v>
      </c>
      <c r="AF25" s="8">
        <v>1000</v>
      </c>
    </row>
    <row r="26" spans="1:32" ht="11.55" customHeight="1" x14ac:dyDescent="0.3">
      <c r="A26" s="2">
        <v>23</v>
      </c>
      <c r="B26" s="3" t="s">
        <v>75</v>
      </c>
      <c r="C26" s="3" t="s">
        <v>72</v>
      </c>
      <c r="D26" s="3" t="s">
        <v>23</v>
      </c>
      <c r="E26" s="2" t="s">
        <v>275</v>
      </c>
      <c r="F26" s="4">
        <v>1000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4">
        <v>1000</v>
      </c>
      <c r="AF26" s="4">
        <v>0</v>
      </c>
    </row>
    <row r="27" spans="1:32" ht="11.55" customHeight="1" x14ac:dyDescent="0.3">
      <c r="A27" s="6">
        <v>24</v>
      </c>
      <c r="B27" s="7" t="s">
        <v>76</v>
      </c>
      <c r="C27" s="7" t="s">
        <v>77</v>
      </c>
      <c r="D27" s="7" t="s">
        <v>26</v>
      </c>
      <c r="E27" s="6" t="s">
        <v>78</v>
      </c>
      <c r="F27" s="8">
        <v>2500</v>
      </c>
      <c r="G27" s="8">
        <v>1762.34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8">
        <v>737.66</v>
      </c>
      <c r="AF27" s="8">
        <v>1762.34</v>
      </c>
    </row>
    <row r="28" spans="1:32" ht="11.55" customHeight="1" x14ac:dyDescent="0.3">
      <c r="A28" s="2">
        <v>25</v>
      </c>
      <c r="B28" s="3" t="s">
        <v>79</v>
      </c>
      <c r="C28" s="3" t="s">
        <v>77</v>
      </c>
      <c r="D28" s="3" t="s">
        <v>80</v>
      </c>
      <c r="E28" s="2" t="s">
        <v>81</v>
      </c>
      <c r="F28" s="4">
        <v>1000</v>
      </c>
      <c r="G28" s="4">
        <v>1000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4">
        <v>300</v>
      </c>
      <c r="X28" s="5"/>
      <c r="Y28" s="5"/>
      <c r="Z28" s="5"/>
      <c r="AA28" s="5"/>
      <c r="AB28" s="5"/>
      <c r="AC28" s="5"/>
      <c r="AD28" s="5"/>
      <c r="AE28" s="12">
        <v>-300</v>
      </c>
      <c r="AF28" s="4">
        <v>1300</v>
      </c>
    </row>
    <row r="29" spans="1:32" ht="11.55" customHeight="1" x14ac:dyDescent="0.3">
      <c r="A29" s="6">
        <v>26</v>
      </c>
      <c r="B29" s="7" t="s">
        <v>79</v>
      </c>
      <c r="C29" s="7" t="s">
        <v>77</v>
      </c>
      <c r="D29" s="7" t="s">
        <v>82</v>
      </c>
      <c r="E29" s="6" t="s">
        <v>275</v>
      </c>
      <c r="F29" s="8">
        <v>500</v>
      </c>
      <c r="G29" s="8">
        <v>500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8">
        <v>0</v>
      </c>
      <c r="AF29" s="8">
        <v>500</v>
      </c>
    </row>
    <row r="30" spans="1:32" ht="11.55" customHeight="1" x14ac:dyDescent="0.3">
      <c r="A30" s="2">
        <v>27</v>
      </c>
      <c r="B30" s="3" t="s">
        <v>79</v>
      </c>
      <c r="C30" s="3" t="s">
        <v>77</v>
      </c>
      <c r="D30" s="3" t="s">
        <v>82</v>
      </c>
      <c r="E30" s="2" t="s">
        <v>275</v>
      </c>
      <c r="F30" s="4">
        <v>500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4">
        <v>500</v>
      </c>
      <c r="AF30" s="4">
        <v>0</v>
      </c>
    </row>
    <row r="31" spans="1:32" ht="11.55" customHeight="1" x14ac:dyDescent="0.3">
      <c r="A31" s="6">
        <v>28</v>
      </c>
      <c r="B31" s="7" t="s">
        <v>83</v>
      </c>
      <c r="C31" s="7"/>
      <c r="D31" s="7"/>
      <c r="E31" s="6" t="s">
        <v>84</v>
      </c>
      <c r="F31" s="8">
        <v>800</v>
      </c>
      <c r="G31" s="8">
        <v>800</v>
      </c>
      <c r="H31" s="9"/>
      <c r="I31" s="9"/>
      <c r="J31" s="9"/>
      <c r="K31" s="9"/>
      <c r="L31" s="9"/>
      <c r="M31" s="9"/>
      <c r="N31" s="9"/>
      <c r="O31" s="8">
        <v>800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3">
        <v>-800</v>
      </c>
      <c r="AF31" s="8">
        <v>1600</v>
      </c>
    </row>
    <row r="32" spans="1:32" ht="11.55" customHeight="1" x14ac:dyDescent="0.3">
      <c r="A32" s="2">
        <v>29</v>
      </c>
      <c r="B32" s="3" t="s">
        <v>83</v>
      </c>
      <c r="C32" s="3"/>
      <c r="D32" s="3" t="s">
        <v>23</v>
      </c>
      <c r="E32" s="2" t="s">
        <v>275</v>
      </c>
      <c r="F32" s="4">
        <v>500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>
        <v>500</v>
      </c>
      <c r="AF32" s="4">
        <v>0</v>
      </c>
    </row>
    <row r="33" spans="1:32" ht="11.55" customHeight="1" x14ac:dyDescent="0.3">
      <c r="A33" s="6">
        <v>30</v>
      </c>
      <c r="B33" s="7" t="s">
        <v>259</v>
      </c>
      <c r="C33" s="7" t="s">
        <v>260</v>
      </c>
      <c r="D33" s="7" t="s">
        <v>287</v>
      </c>
      <c r="E33" s="6" t="s">
        <v>130</v>
      </c>
      <c r="F33" s="8">
        <v>1500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8">
        <v>1500</v>
      </c>
      <c r="AF33" s="8">
        <v>0</v>
      </c>
    </row>
    <row r="34" spans="1:32" ht="11.55" customHeight="1" x14ac:dyDescent="0.3">
      <c r="A34" s="2">
        <v>31</v>
      </c>
      <c r="B34" s="3" t="s">
        <v>131</v>
      </c>
      <c r="C34" s="3" t="s">
        <v>288</v>
      </c>
      <c r="D34" s="3" t="s">
        <v>26</v>
      </c>
      <c r="E34" s="2" t="s">
        <v>133</v>
      </c>
      <c r="F34" s="4">
        <v>1500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4">
        <v>1500</v>
      </c>
      <c r="AF34" s="4">
        <v>0</v>
      </c>
    </row>
    <row r="35" spans="1:32" ht="11.55" customHeight="1" x14ac:dyDescent="0.3">
      <c r="A35" s="6">
        <v>32</v>
      </c>
      <c r="B35" s="7" t="s">
        <v>134</v>
      </c>
      <c r="C35" s="7" t="s">
        <v>135</v>
      </c>
      <c r="D35" s="7" t="s">
        <v>37</v>
      </c>
      <c r="E35" s="6" t="s">
        <v>241</v>
      </c>
      <c r="F35" s="8">
        <v>700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8">
        <v>700</v>
      </c>
      <c r="AF35" s="8">
        <v>0</v>
      </c>
    </row>
    <row r="36" spans="1:32" ht="11.55" customHeight="1" x14ac:dyDescent="0.3">
      <c r="A36" s="2">
        <v>33</v>
      </c>
      <c r="B36" s="3" t="s">
        <v>86</v>
      </c>
      <c r="C36" s="3" t="s">
        <v>289</v>
      </c>
      <c r="D36" s="3" t="s">
        <v>87</v>
      </c>
      <c r="E36" s="2" t="s">
        <v>88</v>
      </c>
      <c r="F36" s="4">
        <v>3000</v>
      </c>
      <c r="G36" s="5"/>
      <c r="H36" s="4">
        <v>1000</v>
      </c>
      <c r="I36" s="2" t="s">
        <v>329</v>
      </c>
      <c r="J36" s="5"/>
      <c r="K36" s="5"/>
      <c r="L36" s="5"/>
      <c r="M36" s="5"/>
      <c r="N36" s="5"/>
      <c r="O36" s="5"/>
      <c r="P36" s="4">
        <v>1000</v>
      </c>
      <c r="Q36" s="2" t="s">
        <v>330</v>
      </c>
      <c r="R36" s="5"/>
      <c r="S36" s="5"/>
      <c r="T36" s="4">
        <v>1000</v>
      </c>
      <c r="U36" s="2" t="s">
        <v>331</v>
      </c>
      <c r="V36" s="5"/>
      <c r="W36" s="5"/>
      <c r="X36" s="5"/>
      <c r="Y36" s="5"/>
      <c r="Z36" s="5"/>
      <c r="AA36" s="5"/>
      <c r="AB36" s="5"/>
      <c r="AC36" s="5"/>
      <c r="AD36" s="5"/>
      <c r="AE36" s="4">
        <v>0</v>
      </c>
      <c r="AF36" s="4">
        <v>3000</v>
      </c>
    </row>
    <row r="37" spans="1:32" ht="11.55" customHeight="1" x14ac:dyDescent="0.3">
      <c r="A37" s="6">
        <v>34</v>
      </c>
      <c r="B37" s="7" t="s">
        <v>159</v>
      </c>
      <c r="C37" s="7"/>
      <c r="D37" s="7" t="s">
        <v>26</v>
      </c>
      <c r="E37" s="6" t="s">
        <v>161</v>
      </c>
      <c r="F37" s="8">
        <v>1500</v>
      </c>
      <c r="G37" s="8">
        <v>1459.15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8">
        <v>2000</v>
      </c>
      <c r="X37" s="9"/>
      <c r="Y37" s="9"/>
      <c r="Z37" s="9"/>
      <c r="AA37" s="9"/>
      <c r="AB37" s="9"/>
      <c r="AC37" s="9"/>
      <c r="AD37" s="9"/>
      <c r="AE37" s="13">
        <v>-1959.15</v>
      </c>
      <c r="AF37" s="8">
        <v>3459.15</v>
      </c>
    </row>
    <row r="38" spans="1:32" ht="11.55" customHeight="1" x14ac:dyDescent="0.3">
      <c r="A38" s="2">
        <v>35</v>
      </c>
      <c r="B38" s="3" t="s">
        <v>294</v>
      </c>
      <c r="C38" s="3" t="s">
        <v>295</v>
      </c>
      <c r="D38" s="3"/>
      <c r="E38" s="2" t="s">
        <v>30</v>
      </c>
      <c r="F38" s="4">
        <v>800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>
        <v>800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4">
        <v>0</v>
      </c>
      <c r="AF38" s="4">
        <v>800</v>
      </c>
    </row>
    <row r="39" spans="1:32" ht="11.55" customHeight="1" x14ac:dyDescent="0.3">
      <c r="A39" s="6">
        <v>36</v>
      </c>
      <c r="B39" s="7" t="s">
        <v>265</v>
      </c>
      <c r="C39" s="7" t="s">
        <v>266</v>
      </c>
      <c r="D39" s="7"/>
      <c r="E39" s="6" t="s">
        <v>22</v>
      </c>
      <c r="F39" s="8">
        <v>1500</v>
      </c>
      <c r="G39" s="8">
        <v>1200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8">
        <v>300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8">
        <v>0</v>
      </c>
      <c r="AF39" s="8">
        <v>1500</v>
      </c>
    </row>
    <row r="40" spans="1:32" ht="11.55" customHeight="1" x14ac:dyDescent="0.3">
      <c r="A40" s="2">
        <v>37</v>
      </c>
      <c r="B40" s="3" t="s">
        <v>265</v>
      </c>
      <c r="C40" s="3" t="s">
        <v>266</v>
      </c>
      <c r="D40" s="3" t="s">
        <v>296</v>
      </c>
      <c r="E40" s="2"/>
      <c r="F40" s="4">
        <v>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>
        <v>500</v>
      </c>
      <c r="AF40" s="4">
        <v>0</v>
      </c>
    </row>
    <row r="41" spans="1:32" ht="13.5" customHeight="1" x14ac:dyDescent="0.3">
      <c r="A41" s="16" t="s">
        <v>89</v>
      </c>
      <c r="B41" s="17"/>
      <c r="C41" s="17"/>
      <c r="D41" s="17"/>
      <c r="E41" s="17"/>
      <c r="F41" s="10">
        <f t="shared" ref="F41:AF41" si="0">SUM(F4:F40)</f>
        <v>53300</v>
      </c>
      <c r="G41" s="10">
        <f t="shared" si="0"/>
        <v>16384.14</v>
      </c>
      <c r="H41" s="10">
        <f t="shared" si="0"/>
        <v>5200</v>
      </c>
      <c r="I41" s="10">
        <f t="shared" si="0"/>
        <v>0</v>
      </c>
      <c r="J41" s="10">
        <f t="shared" si="0"/>
        <v>0</v>
      </c>
      <c r="K41" s="10">
        <f t="shared" si="0"/>
        <v>2200.1800000000003</v>
      </c>
      <c r="L41" s="10">
        <f t="shared" si="0"/>
        <v>0</v>
      </c>
      <c r="M41" s="10">
        <f t="shared" si="0"/>
        <v>0</v>
      </c>
      <c r="N41" s="10">
        <f t="shared" si="0"/>
        <v>0</v>
      </c>
      <c r="O41" s="10">
        <f t="shared" si="0"/>
        <v>4467.1400000000003</v>
      </c>
      <c r="P41" s="10">
        <f t="shared" si="0"/>
        <v>1000</v>
      </c>
      <c r="Q41" s="10">
        <f t="shared" si="0"/>
        <v>0</v>
      </c>
      <c r="R41" s="10">
        <f t="shared" si="0"/>
        <v>0</v>
      </c>
      <c r="S41" s="10">
        <f t="shared" si="0"/>
        <v>7920.33</v>
      </c>
      <c r="T41" s="10">
        <f t="shared" si="0"/>
        <v>1000</v>
      </c>
      <c r="U41" s="10">
        <f t="shared" si="0"/>
        <v>0</v>
      </c>
      <c r="V41" s="10">
        <f t="shared" si="0"/>
        <v>0</v>
      </c>
      <c r="W41" s="10">
        <f t="shared" si="0"/>
        <v>6173.0300000000007</v>
      </c>
      <c r="X41" s="10">
        <f t="shared" si="0"/>
        <v>800</v>
      </c>
      <c r="Y41" s="10">
        <f t="shared" si="0"/>
        <v>0</v>
      </c>
      <c r="Z41" s="10">
        <f t="shared" si="0"/>
        <v>0</v>
      </c>
      <c r="AA41" s="10">
        <f t="shared" si="0"/>
        <v>0</v>
      </c>
      <c r="AB41" s="10">
        <f t="shared" si="0"/>
        <v>0</v>
      </c>
      <c r="AC41" s="10">
        <f t="shared" si="0"/>
        <v>0</v>
      </c>
      <c r="AD41" s="10">
        <f t="shared" si="0"/>
        <v>0</v>
      </c>
      <c r="AE41" s="10">
        <f t="shared" si="0"/>
        <v>8155.18</v>
      </c>
      <c r="AF41" s="10">
        <f t="shared" si="0"/>
        <v>45144.82</v>
      </c>
    </row>
    <row r="42" spans="1:32" ht="6" customHeight="1" x14ac:dyDescent="0.3"/>
    <row r="43" spans="1:32" ht="16.95" customHeight="1" x14ac:dyDescent="0.3">
      <c r="A43" s="23" t="s">
        <v>332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ht="13.95" customHeight="1" x14ac:dyDescent="0.3">
      <c r="A44" s="14" t="s">
        <v>1</v>
      </c>
      <c r="B44" s="14" t="s">
        <v>2</v>
      </c>
      <c r="C44" s="14" t="s">
        <v>3</v>
      </c>
      <c r="D44" s="14" t="s">
        <v>4</v>
      </c>
      <c r="E44" s="14" t="s">
        <v>5</v>
      </c>
      <c r="F44" s="14" t="s">
        <v>6</v>
      </c>
      <c r="G44" s="18" t="s">
        <v>320</v>
      </c>
      <c r="H44" s="19"/>
      <c r="I44" s="19"/>
      <c r="J44" s="19"/>
      <c r="K44" s="18" t="s">
        <v>321</v>
      </c>
      <c r="L44" s="19"/>
      <c r="M44" s="19"/>
      <c r="N44" s="19"/>
      <c r="O44" s="18" t="s">
        <v>322</v>
      </c>
      <c r="P44" s="19"/>
      <c r="Q44" s="19"/>
      <c r="R44" s="19"/>
      <c r="S44" s="18" t="s">
        <v>323</v>
      </c>
      <c r="T44" s="19"/>
      <c r="U44" s="19"/>
      <c r="V44" s="19"/>
      <c r="W44" s="18" t="s">
        <v>324</v>
      </c>
      <c r="X44" s="19"/>
      <c r="Y44" s="19"/>
      <c r="Z44" s="19"/>
      <c r="AA44" s="18" t="s">
        <v>325</v>
      </c>
      <c r="AB44" s="19"/>
      <c r="AC44" s="19"/>
      <c r="AD44" s="19"/>
      <c r="AE44" s="20" t="s">
        <v>14</v>
      </c>
      <c r="AF44" s="14" t="s">
        <v>15</v>
      </c>
    </row>
    <row r="45" spans="1:32" ht="13.05" customHeight="1" x14ac:dyDescent="0.3">
      <c r="A45" s="15"/>
      <c r="B45" s="15"/>
      <c r="C45" s="15"/>
      <c r="D45" s="15"/>
      <c r="E45" s="15"/>
      <c r="F45" s="15"/>
      <c r="G45" s="1" t="s">
        <v>16</v>
      </c>
      <c r="H45" s="1" t="s">
        <v>17</v>
      </c>
      <c r="I45" s="1" t="s">
        <v>215</v>
      </c>
      <c r="J45" s="1" t="s">
        <v>18</v>
      </c>
      <c r="K45" s="1" t="s">
        <v>16</v>
      </c>
      <c r="L45" s="1" t="s">
        <v>17</v>
      </c>
      <c r="M45" s="1" t="s">
        <v>215</v>
      </c>
      <c r="N45" s="1" t="s">
        <v>18</v>
      </c>
      <c r="O45" s="1" t="s">
        <v>16</v>
      </c>
      <c r="P45" s="1" t="s">
        <v>17</v>
      </c>
      <c r="Q45" s="1" t="s">
        <v>215</v>
      </c>
      <c r="R45" s="1" t="s">
        <v>18</v>
      </c>
      <c r="S45" s="1" t="s">
        <v>16</v>
      </c>
      <c r="T45" s="1" t="s">
        <v>17</v>
      </c>
      <c r="U45" s="1" t="s">
        <v>215</v>
      </c>
      <c r="V45" s="1" t="s">
        <v>18</v>
      </c>
      <c r="W45" s="1" t="s">
        <v>16</v>
      </c>
      <c r="X45" s="1" t="s">
        <v>17</v>
      </c>
      <c r="Y45" s="1" t="s">
        <v>215</v>
      </c>
      <c r="Z45" s="1" t="s">
        <v>18</v>
      </c>
      <c r="AA45" s="1" t="s">
        <v>16</v>
      </c>
      <c r="AB45" s="1" t="s">
        <v>17</v>
      </c>
      <c r="AC45" s="1" t="s">
        <v>215</v>
      </c>
      <c r="AD45" s="1" t="s">
        <v>18</v>
      </c>
      <c r="AE45" s="19"/>
      <c r="AF45" s="15"/>
    </row>
    <row r="46" spans="1:32" ht="11.55" customHeight="1" x14ac:dyDescent="0.3">
      <c r="A46" s="2">
        <v>1</v>
      </c>
      <c r="B46" s="3" t="s">
        <v>91</v>
      </c>
      <c r="C46" s="3" t="s">
        <v>92</v>
      </c>
      <c r="D46" s="3" t="s">
        <v>93</v>
      </c>
      <c r="E46" s="2" t="s">
        <v>94</v>
      </c>
      <c r="F46" s="4">
        <v>2500</v>
      </c>
      <c r="G46" s="4">
        <v>2050.0500000000002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>
        <v>1000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12">
        <v>-550.04999999999995</v>
      </c>
      <c r="AF46" s="4">
        <v>3050.05</v>
      </c>
    </row>
    <row r="47" spans="1:32" ht="11.55" customHeight="1" x14ac:dyDescent="0.3">
      <c r="A47" s="6">
        <v>2</v>
      </c>
      <c r="B47" s="7" t="s">
        <v>95</v>
      </c>
      <c r="C47" s="7" t="s">
        <v>92</v>
      </c>
      <c r="D47" s="7" t="s">
        <v>87</v>
      </c>
      <c r="E47" s="6" t="s">
        <v>96</v>
      </c>
      <c r="F47" s="8">
        <v>1500</v>
      </c>
      <c r="G47" s="9"/>
      <c r="H47" s="9"/>
      <c r="I47" s="9"/>
      <c r="J47" s="9"/>
      <c r="K47" s="9"/>
      <c r="L47" s="9"/>
      <c r="M47" s="9"/>
      <c r="N47" s="9"/>
      <c r="O47" s="8">
        <v>1500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8">
        <v>0</v>
      </c>
      <c r="AF47" s="8">
        <v>1500</v>
      </c>
    </row>
    <row r="48" spans="1:32" ht="11.55" customHeight="1" x14ac:dyDescent="0.3">
      <c r="A48" s="2">
        <v>3</v>
      </c>
      <c r="B48" s="3" t="s">
        <v>298</v>
      </c>
      <c r="C48" s="3" t="s">
        <v>92</v>
      </c>
      <c r="D48" s="3" t="s">
        <v>87</v>
      </c>
      <c r="E48" s="2" t="s">
        <v>299</v>
      </c>
      <c r="F48" s="4">
        <v>2000</v>
      </c>
      <c r="G48" s="5"/>
      <c r="H48" s="5"/>
      <c r="I48" s="5"/>
      <c r="J48" s="5"/>
      <c r="K48" s="4">
        <v>1117.1199999999999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4">
        <v>882.88</v>
      </c>
      <c r="AF48" s="4">
        <v>1117.1199999999999</v>
      </c>
    </row>
    <row r="49" spans="1:32" ht="11.55" customHeight="1" x14ac:dyDescent="0.3">
      <c r="A49" s="6">
        <v>4</v>
      </c>
      <c r="B49" s="7" t="s">
        <v>298</v>
      </c>
      <c r="C49" s="7" t="s">
        <v>92</v>
      </c>
      <c r="D49" s="7" t="s">
        <v>23</v>
      </c>
      <c r="E49" s="6" t="s">
        <v>275</v>
      </c>
      <c r="F49" s="8">
        <v>500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8">
        <v>500</v>
      </c>
      <c r="AF49" s="8">
        <v>0</v>
      </c>
    </row>
    <row r="50" spans="1:32" ht="11.55" customHeight="1" x14ac:dyDescent="0.3">
      <c r="A50" s="2">
        <v>5</v>
      </c>
      <c r="B50" s="3" t="s">
        <v>99</v>
      </c>
      <c r="C50" s="3" t="s">
        <v>100</v>
      </c>
      <c r="D50" s="3" t="s">
        <v>87</v>
      </c>
      <c r="E50" s="2" t="s">
        <v>101</v>
      </c>
      <c r="F50" s="4">
        <v>1500</v>
      </c>
      <c r="G50" s="4">
        <v>1500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>
        <v>500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12">
        <v>-500</v>
      </c>
      <c r="AF50" s="4">
        <v>2000</v>
      </c>
    </row>
    <row r="51" spans="1:32" ht="11.55" customHeight="1" x14ac:dyDescent="0.3">
      <c r="A51" s="6">
        <v>6</v>
      </c>
      <c r="B51" s="7" t="s">
        <v>102</v>
      </c>
      <c r="C51" s="7" t="s">
        <v>100</v>
      </c>
      <c r="D51" s="7" t="s">
        <v>87</v>
      </c>
      <c r="E51" s="6" t="s">
        <v>103</v>
      </c>
      <c r="F51" s="8">
        <v>1500</v>
      </c>
      <c r="G51" s="8">
        <v>1500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>
        <v>0</v>
      </c>
      <c r="AF51" s="8">
        <v>1500</v>
      </c>
    </row>
    <row r="52" spans="1:32" ht="11.55" customHeight="1" x14ac:dyDescent="0.3">
      <c r="A52" s="2">
        <v>7</v>
      </c>
      <c r="B52" s="3" t="s">
        <v>102</v>
      </c>
      <c r="C52" s="3" t="s">
        <v>100</v>
      </c>
      <c r="D52" s="3" t="s">
        <v>23</v>
      </c>
      <c r="E52" s="2" t="s">
        <v>275</v>
      </c>
      <c r="F52" s="4">
        <v>500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4">
        <v>500</v>
      </c>
      <c r="AF52" s="4">
        <v>0</v>
      </c>
    </row>
    <row r="53" spans="1:32" ht="11.55" customHeight="1" x14ac:dyDescent="0.3">
      <c r="A53" s="6">
        <v>8</v>
      </c>
      <c r="B53" s="7" t="s">
        <v>104</v>
      </c>
      <c r="C53" s="7" t="s">
        <v>105</v>
      </c>
      <c r="D53" s="7" t="s">
        <v>98</v>
      </c>
      <c r="E53" s="6" t="s">
        <v>106</v>
      </c>
      <c r="F53" s="8">
        <v>2000</v>
      </c>
      <c r="G53" s="8">
        <v>1550.13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8">
        <v>449.87</v>
      </c>
      <c r="AF53" s="8">
        <v>1550.13</v>
      </c>
    </row>
    <row r="54" spans="1:32" ht="11.55" customHeight="1" x14ac:dyDescent="0.3">
      <c r="A54" s="2">
        <v>9</v>
      </c>
      <c r="B54" s="3" t="s">
        <v>104</v>
      </c>
      <c r="C54" s="3" t="s">
        <v>105</v>
      </c>
      <c r="D54" s="3" t="s">
        <v>23</v>
      </c>
      <c r="E54" s="2" t="s">
        <v>275</v>
      </c>
      <c r="F54" s="4">
        <v>500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>
        <v>500</v>
      </c>
      <c r="AF54" s="4">
        <v>0</v>
      </c>
    </row>
    <row r="55" spans="1:32" ht="13.5" customHeight="1" x14ac:dyDescent="0.3">
      <c r="A55" s="16" t="s">
        <v>107</v>
      </c>
      <c r="B55" s="17"/>
      <c r="C55" s="17"/>
      <c r="D55" s="17"/>
      <c r="E55" s="17"/>
      <c r="F55" s="10">
        <f t="shared" ref="F55:AF55" si="1">SUM(F46:F54)</f>
        <v>12500</v>
      </c>
      <c r="G55" s="10">
        <f t="shared" si="1"/>
        <v>6600.18</v>
      </c>
      <c r="H55" s="10">
        <f t="shared" si="1"/>
        <v>0</v>
      </c>
      <c r="I55" s="10">
        <f t="shared" si="1"/>
        <v>0</v>
      </c>
      <c r="J55" s="10">
        <f t="shared" si="1"/>
        <v>0</v>
      </c>
      <c r="K55" s="10">
        <f t="shared" si="1"/>
        <v>1117.1199999999999</v>
      </c>
      <c r="L55" s="10">
        <f t="shared" si="1"/>
        <v>0</v>
      </c>
      <c r="M55" s="10">
        <f t="shared" si="1"/>
        <v>0</v>
      </c>
      <c r="N55" s="10">
        <f t="shared" si="1"/>
        <v>0</v>
      </c>
      <c r="O55" s="10">
        <f t="shared" si="1"/>
        <v>1500</v>
      </c>
      <c r="P55" s="10">
        <f t="shared" si="1"/>
        <v>0</v>
      </c>
      <c r="Q55" s="10">
        <f t="shared" si="1"/>
        <v>0</v>
      </c>
      <c r="R55" s="10">
        <f t="shared" si="1"/>
        <v>0</v>
      </c>
      <c r="S55" s="10">
        <f t="shared" si="1"/>
        <v>1500</v>
      </c>
      <c r="T55" s="10">
        <f t="shared" si="1"/>
        <v>0</v>
      </c>
      <c r="U55" s="10">
        <f t="shared" si="1"/>
        <v>0</v>
      </c>
      <c r="V55" s="10">
        <f t="shared" si="1"/>
        <v>0</v>
      </c>
      <c r="W55" s="10">
        <f t="shared" si="1"/>
        <v>0</v>
      </c>
      <c r="X55" s="10">
        <f t="shared" si="1"/>
        <v>0</v>
      </c>
      <c r="Y55" s="10">
        <f t="shared" si="1"/>
        <v>0</v>
      </c>
      <c r="Z55" s="10">
        <f t="shared" si="1"/>
        <v>0</v>
      </c>
      <c r="AA55" s="10">
        <f t="shared" si="1"/>
        <v>0</v>
      </c>
      <c r="AB55" s="10">
        <f t="shared" si="1"/>
        <v>0</v>
      </c>
      <c r="AC55" s="10">
        <f t="shared" si="1"/>
        <v>0</v>
      </c>
      <c r="AD55" s="10">
        <f t="shared" si="1"/>
        <v>0</v>
      </c>
      <c r="AE55" s="10">
        <f t="shared" si="1"/>
        <v>1782.7</v>
      </c>
      <c r="AF55" s="10">
        <f t="shared" si="1"/>
        <v>10717.3</v>
      </c>
    </row>
    <row r="56" spans="1:32" ht="4.95" customHeight="1" x14ac:dyDescent="0.3"/>
  </sheetData>
  <mergeCells count="32"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E2:AE3"/>
    <mergeCell ref="D2:D3"/>
    <mergeCell ref="F2:F3"/>
    <mergeCell ref="C44:C45"/>
    <mergeCell ref="E44:E45"/>
    <mergeCell ref="G44:J44"/>
    <mergeCell ref="S44:V44"/>
    <mergeCell ref="F44:F45"/>
    <mergeCell ref="W2:Z2"/>
    <mergeCell ref="O2:R2"/>
    <mergeCell ref="B2:B3"/>
    <mergeCell ref="AA2:AD2"/>
  </mergeCells>
  <pageMargins left="0.2" right="0.2" top="0.25" bottom="0.25" header="0.1" footer="0.1"/>
  <pageSetup paperSize="5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56"/>
  <sheetViews>
    <sheetView tabSelected="1" topLeftCell="A40" workbookViewId="0">
      <selection activeCell="A57" sqref="A57:XFD57"/>
    </sheetView>
  </sheetViews>
  <sheetFormatPr baseColWidth="10" defaultColWidth="8.88671875" defaultRowHeight="14.4" x14ac:dyDescent="0.3"/>
  <cols>
    <col min="1" max="1" width="3.44140625" customWidth="1"/>
    <col min="2" max="2" width="25.33203125" bestFit="1" customWidth="1"/>
    <col min="3" max="3" width="26.44140625" bestFit="1" customWidth="1"/>
    <col min="4" max="4" width="23.44140625" bestFit="1" customWidth="1"/>
    <col min="5" max="5" width="7.77734375" customWidth="1"/>
    <col min="6" max="6" width="10.5546875" customWidth="1"/>
    <col min="7" max="7" width="7.88671875" bestFit="1" customWidth="1"/>
    <col min="8" max="8" width="7.109375" bestFit="1" customWidth="1"/>
    <col min="9" max="10" width="6.21875" customWidth="1"/>
    <col min="11" max="11" width="7.88671875" bestFit="1" customWidth="1"/>
    <col min="12" max="14" width="6.21875" customWidth="1"/>
    <col min="15" max="16" width="7.109375" bestFit="1" customWidth="1"/>
    <col min="17" max="17" width="6.44140625" bestFit="1" customWidth="1"/>
    <col min="18" max="18" width="6.21875" customWidth="1"/>
    <col min="19" max="20" width="7.109375" bestFit="1" customWidth="1"/>
    <col min="21" max="22" width="6.21875" customWidth="1"/>
    <col min="23" max="24" width="7.109375" bestFit="1" customWidth="1"/>
    <col min="25" max="30" width="6.21875" customWidth="1"/>
    <col min="31" max="31" width="8.21875" customWidth="1"/>
    <col min="32" max="32" width="8.44140625" customWidth="1"/>
  </cols>
  <sheetData>
    <row r="1" spans="1:32" ht="18" customHeight="1" x14ac:dyDescent="0.3">
      <c r="A1" s="23" t="s">
        <v>333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3.95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8" t="s">
        <v>334</v>
      </c>
      <c r="H2" s="19"/>
      <c r="I2" s="19"/>
      <c r="J2" s="19"/>
      <c r="K2" s="18" t="s">
        <v>335</v>
      </c>
      <c r="L2" s="19"/>
      <c r="M2" s="19"/>
      <c r="N2" s="19"/>
      <c r="O2" s="18" t="s">
        <v>336</v>
      </c>
      <c r="P2" s="19"/>
      <c r="Q2" s="19"/>
      <c r="R2" s="19"/>
      <c r="S2" s="18" t="s">
        <v>337</v>
      </c>
      <c r="T2" s="19"/>
      <c r="U2" s="19"/>
      <c r="V2" s="19"/>
      <c r="W2" s="18" t="s">
        <v>338</v>
      </c>
      <c r="X2" s="19"/>
      <c r="Y2" s="19"/>
      <c r="Z2" s="19"/>
      <c r="AA2" s="18" t="s">
        <v>339</v>
      </c>
      <c r="AB2" s="19"/>
      <c r="AC2" s="19"/>
      <c r="AD2" s="19"/>
      <c r="AE2" s="20" t="s">
        <v>14</v>
      </c>
      <c r="AF2" s="14" t="s">
        <v>15</v>
      </c>
    </row>
    <row r="3" spans="1:32" ht="13.05" customHeight="1" x14ac:dyDescent="0.3">
      <c r="A3" s="15"/>
      <c r="B3" s="15"/>
      <c r="C3" s="15"/>
      <c r="D3" s="15"/>
      <c r="E3" s="15"/>
      <c r="F3" s="15"/>
      <c r="G3" s="1" t="s">
        <v>16</v>
      </c>
      <c r="H3" s="1" t="s">
        <v>17</v>
      </c>
      <c r="I3" s="1" t="s">
        <v>215</v>
      </c>
      <c r="J3" s="1" t="s">
        <v>18</v>
      </c>
      <c r="K3" s="1" t="s">
        <v>16</v>
      </c>
      <c r="L3" s="1" t="s">
        <v>17</v>
      </c>
      <c r="M3" s="1" t="s">
        <v>215</v>
      </c>
      <c r="N3" s="1" t="s">
        <v>18</v>
      </c>
      <c r="O3" s="1" t="s">
        <v>16</v>
      </c>
      <c r="P3" s="1" t="s">
        <v>17</v>
      </c>
      <c r="Q3" s="1" t="s">
        <v>215</v>
      </c>
      <c r="R3" s="1" t="s">
        <v>18</v>
      </c>
      <c r="S3" s="1" t="s">
        <v>16</v>
      </c>
      <c r="T3" s="1" t="s">
        <v>17</v>
      </c>
      <c r="U3" s="1" t="s">
        <v>215</v>
      </c>
      <c r="V3" s="1" t="s">
        <v>18</v>
      </c>
      <c r="W3" s="1" t="s">
        <v>16</v>
      </c>
      <c r="X3" s="1" t="s">
        <v>17</v>
      </c>
      <c r="Y3" s="1" t="s">
        <v>215</v>
      </c>
      <c r="Z3" s="1" t="s">
        <v>18</v>
      </c>
      <c r="AA3" s="1" t="s">
        <v>16</v>
      </c>
      <c r="AB3" s="1" t="s">
        <v>17</v>
      </c>
      <c r="AC3" s="1" t="s">
        <v>215</v>
      </c>
      <c r="AD3" s="1" t="s">
        <v>18</v>
      </c>
      <c r="AE3" s="19"/>
      <c r="AF3" s="15"/>
    </row>
    <row r="4" spans="1:32" ht="11.55" customHeight="1" x14ac:dyDescent="0.3">
      <c r="A4" s="2">
        <v>1</v>
      </c>
      <c r="B4" s="3" t="s">
        <v>24</v>
      </c>
      <c r="C4" s="3" t="s">
        <v>25</v>
      </c>
      <c r="D4" s="3" t="s">
        <v>26</v>
      </c>
      <c r="E4" s="2" t="s">
        <v>27</v>
      </c>
      <c r="F4" s="4">
        <v>2500</v>
      </c>
      <c r="G4" s="5"/>
      <c r="H4" s="5"/>
      <c r="I4" s="5"/>
      <c r="J4" s="5"/>
      <c r="K4" s="4">
        <v>1098.81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>
        <v>1401.19</v>
      </c>
      <c r="AF4" s="4">
        <v>1098.81</v>
      </c>
    </row>
    <row r="5" spans="1:32" ht="11.55" customHeight="1" x14ac:dyDescent="0.3">
      <c r="A5" s="6">
        <v>2</v>
      </c>
      <c r="B5" s="7" t="s">
        <v>24</v>
      </c>
      <c r="C5" s="7" t="s">
        <v>25</v>
      </c>
      <c r="D5" s="7" t="s">
        <v>23</v>
      </c>
      <c r="E5" s="6" t="s">
        <v>275</v>
      </c>
      <c r="F5" s="8">
        <v>500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8">
        <v>500</v>
      </c>
      <c r="AF5" s="8">
        <v>0</v>
      </c>
    </row>
    <row r="6" spans="1:32" ht="11.55" customHeight="1" x14ac:dyDescent="0.3">
      <c r="A6" s="2">
        <v>3</v>
      </c>
      <c r="B6" s="3" t="s">
        <v>117</v>
      </c>
      <c r="C6" s="3" t="s">
        <v>25</v>
      </c>
      <c r="D6" s="3" t="s">
        <v>29</v>
      </c>
      <c r="E6" s="2" t="s">
        <v>34</v>
      </c>
      <c r="F6" s="4">
        <v>1500</v>
      </c>
      <c r="G6" s="5"/>
      <c r="H6" s="5"/>
      <c r="I6" s="5"/>
      <c r="J6" s="5"/>
      <c r="K6" s="5"/>
      <c r="L6" s="5"/>
      <c r="M6" s="5"/>
      <c r="N6" s="5"/>
      <c r="O6" s="4">
        <v>1086.6300000000001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4">
        <v>413.37</v>
      </c>
      <c r="AF6" s="4">
        <v>1086.6300000000001</v>
      </c>
    </row>
    <row r="7" spans="1:32" ht="11.55" customHeight="1" x14ac:dyDescent="0.3">
      <c r="A7" s="6">
        <v>4</v>
      </c>
      <c r="B7" s="7" t="s">
        <v>33</v>
      </c>
      <c r="C7" s="7" t="s">
        <v>25</v>
      </c>
      <c r="D7" s="7"/>
      <c r="E7" s="6" t="s">
        <v>32</v>
      </c>
      <c r="F7" s="8">
        <v>1500</v>
      </c>
      <c r="G7" s="8">
        <v>1260.74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8">
        <v>239.26</v>
      </c>
      <c r="AF7" s="8">
        <v>1260.74</v>
      </c>
    </row>
    <row r="8" spans="1:32" ht="11.55" customHeight="1" x14ac:dyDescent="0.3">
      <c r="A8" s="2">
        <v>5</v>
      </c>
      <c r="B8" s="3" t="s">
        <v>35</v>
      </c>
      <c r="C8" s="3" t="s">
        <v>36</v>
      </c>
      <c r="D8" s="3" t="s">
        <v>37</v>
      </c>
      <c r="E8" s="2" t="s">
        <v>38</v>
      </c>
      <c r="F8" s="4">
        <v>700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4">
        <v>700</v>
      </c>
      <c r="AF8" s="4">
        <v>0</v>
      </c>
    </row>
    <row r="9" spans="1:32" ht="11.55" customHeight="1" x14ac:dyDescent="0.3">
      <c r="A9" s="6">
        <v>6</v>
      </c>
      <c r="B9" s="7" t="s">
        <v>39</v>
      </c>
      <c r="C9" s="7" t="s">
        <v>40</v>
      </c>
      <c r="D9" s="7" t="s">
        <v>41</v>
      </c>
      <c r="E9" s="6" t="s">
        <v>42</v>
      </c>
      <c r="F9" s="8">
        <v>1500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8">
        <v>1500</v>
      </c>
      <c r="AF9" s="8">
        <v>0</v>
      </c>
    </row>
    <row r="10" spans="1:32" ht="11.55" customHeight="1" x14ac:dyDescent="0.3">
      <c r="A10" s="2">
        <v>7</v>
      </c>
      <c r="B10" s="3" t="s">
        <v>43</v>
      </c>
      <c r="C10" s="3" t="s">
        <v>20</v>
      </c>
      <c r="D10" s="3" t="s">
        <v>45</v>
      </c>
      <c r="E10" s="2" t="s">
        <v>46</v>
      </c>
      <c r="F10" s="4">
        <v>1500</v>
      </c>
      <c r="G10" s="5"/>
      <c r="H10" s="5"/>
      <c r="I10" s="5"/>
      <c r="J10" s="5"/>
      <c r="K10" s="4">
        <v>1500</v>
      </c>
      <c r="L10" s="5"/>
      <c r="M10" s="5"/>
      <c r="N10" s="5"/>
      <c r="O10" s="5"/>
      <c r="P10" s="5"/>
      <c r="Q10" s="5"/>
      <c r="R10" s="5"/>
      <c r="S10" s="4">
        <v>874.54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12">
        <v>-874.54</v>
      </c>
      <c r="AF10" s="4">
        <v>2374.54</v>
      </c>
    </row>
    <row r="11" spans="1:32" ht="11.55" customHeight="1" x14ac:dyDescent="0.3">
      <c r="A11" s="6">
        <v>8</v>
      </c>
      <c r="B11" s="7" t="s">
        <v>43</v>
      </c>
      <c r="C11" s="7" t="s">
        <v>20</v>
      </c>
      <c r="D11" s="7" t="s">
        <v>23</v>
      </c>
      <c r="E11" s="6" t="s">
        <v>275</v>
      </c>
      <c r="F11" s="8">
        <v>500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8">
        <v>500</v>
      </c>
      <c r="AF11" s="8">
        <v>0</v>
      </c>
    </row>
    <row r="12" spans="1:32" ht="11.55" customHeight="1" x14ac:dyDescent="0.3">
      <c r="A12" s="2">
        <v>9</v>
      </c>
      <c r="B12" s="3" t="s">
        <v>47</v>
      </c>
      <c r="C12" s="3" t="s">
        <v>20</v>
      </c>
      <c r="D12" s="3" t="s">
        <v>48</v>
      </c>
      <c r="E12" s="2" t="s">
        <v>49</v>
      </c>
      <c r="F12" s="4">
        <v>1500</v>
      </c>
      <c r="G12" s="4">
        <v>1500</v>
      </c>
      <c r="H12" s="5"/>
      <c r="I12" s="5"/>
      <c r="J12" s="5"/>
      <c r="K12" s="5"/>
      <c r="L12" s="5"/>
      <c r="M12" s="5"/>
      <c r="N12" s="5"/>
      <c r="O12" s="4">
        <v>1500</v>
      </c>
      <c r="P12" s="5"/>
      <c r="Q12" s="5"/>
      <c r="R12" s="5"/>
      <c r="S12" s="4">
        <v>1500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12">
        <v>-3000</v>
      </c>
      <c r="AF12" s="4">
        <v>4500</v>
      </c>
    </row>
    <row r="13" spans="1:32" ht="11.55" customHeight="1" x14ac:dyDescent="0.3">
      <c r="A13" s="6">
        <v>10</v>
      </c>
      <c r="B13" s="7" t="s">
        <v>50</v>
      </c>
      <c r="C13" s="7" t="s">
        <v>51</v>
      </c>
      <c r="D13" s="7" t="s">
        <v>277</v>
      </c>
      <c r="E13" s="6" t="s">
        <v>196</v>
      </c>
      <c r="F13" s="8">
        <v>2500</v>
      </c>
      <c r="G13" s="8">
        <v>1214.3800000000001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8">
        <v>1147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8">
        <v>138.62</v>
      </c>
      <c r="AF13" s="8">
        <v>2361.38</v>
      </c>
    </row>
    <row r="14" spans="1:32" ht="11.55" customHeight="1" x14ac:dyDescent="0.3">
      <c r="A14" s="2">
        <v>11</v>
      </c>
      <c r="B14" s="3" t="s">
        <v>50</v>
      </c>
      <c r="C14" s="3" t="s">
        <v>51</v>
      </c>
      <c r="D14" s="3" t="s">
        <v>23</v>
      </c>
      <c r="E14" s="2" t="s">
        <v>275</v>
      </c>
      <c r="F14" s="4">
        <v>300</v>
      </c>
      <c r="G14" s="4">
        <v>500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12">
        <v>-200</v>
      </c>
      <c r="AF14" s="4">
        <v>500</v>
      </c>
    </row>
    <row r="15" spans="1:32" ht="11.55" customHeight="1" x14ac:dyDescent="0.3">
      <c r="A15" s="6">
        <v>12</v>
      </c>
      <c r="B15" s="7" t="s">
        <v>54</v>
      </c>
      <c r="C15" s="7" t="s">
        <v>51</v>
      </c>
      <c r="D15" s="7" t="s">
        <v>55</v>
      </c>
      <c r="E15" s="6"/>
      <c r="F15" s="8">
        <v>2500</v>
      </c>
      <c r="G15" s="8">
        <v>1490.28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8">
        <v>1009.72</v>
      </c>
      <c r="AF15" s="8">
        <v>1490.28</v>
      </c>
    </row>
    <row r="16" spans="1:32" ht="11.55" customHeight="1" x14ac:dyDescent="0.3">
      <c r="A16" s="2">
        <v>13</v>
      </c>
      <c r="B16" s="3" t="s">
        <v>57</v>
      </c>
      <c r="C16" s="3" t="s">
        <v>51</v>
      </c>
      <c r="D16" s="3" t="s">
        <v>48</v>
      </c>
      <c r="E16" s="2" t="s">
        <v>58</v>
      </c>
      <c r="F16" s="4">
        <v>4000</v>
      </c>
      <c r="G16" s="5"/>
      <c r="H16" s="4">
        <v>3100.71</v>
      </c>
      <c r="I16" s="2" t="s">
        <v>340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4">
        <v>1500</v>
      </c>
      <c r="Y16" s="2" t="s">
        <v>341</v>
      </c>
      <c r="Z16" s="5"/>
      <c r="AA16" s="5"/>
      <c r="AB16" s="5"/>
      <c r="AC16" s="5"/>
      <c r="AD16" s="5"/>
      <c r="AE16" s="12">
        <v>-600.71</v>
      </c>
      <c r="AF16" s="4">
        <v>4600.71</v>
      </c>
    </row>
    <row r="17" spans="1:32" ht="11.55" customHeight="1" x14ac:dyDescent="0.3">
      <c r="A17" s="6">
        <v>14</v>
      </c>
      <c r="B17" s="7" t="s">
        <v>59</v>
      </c>
      <c r="C17" s="7" t="s">
        <v>280</v>
      </c>
      <c r="D17" s="7" t="s">
        <v>52</v>
      </c>
      <c r="E17" s="6" t="s">
        <v>61</v>
      </c>
      <c r="F17" s="8">
        <v>2500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8">
        <v>1095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8">
        <v>1405</v>
      </c>
      <c r="AF17" s="8">
        <v>1095</v>
      </c>
    </row>
    <row r="18" spans="1:32" ht="11.55" customHeight="1" x14ac:dyDescent="0.3">
      <c r="A18" s="2">
        <v>15</v>
      </c>
      <c r="B18" s="3" t="s">
        <v>59</v>
      </c>
      <c r="C18" s="3" t="s">
        <v>280</v>
      </c>
      <c r="D18" s="3" t="s">
        <v>62</v>
      </c>
      <c r="E18" s="2" t="s">
        <v>275</v>
      </c>
      <c r="F18" s="4">
        <v>1000</v>
      </c>
      <c r="G18" s="5"/>
      <c r="H18" s="5"/>
      <c r="I18" s="5"/>
      <c r="J18" s="5"/>
      <c r="K18" s="4">
        <v>1000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4">
        <v>0</v>
      </c>
      <c r="AF18" s="4">
        <v>1000</v>
      </c>
    </row>
    <row r="19" spans="1:32" ht="11.55" customHeight="1" x14ac:dyDescent="0.3">
      <c r="A19" s="6">
        <v>16</v>
      </c>
      <c r="B19" s="7" t="s">
        <v>59</v>
      </c>
      <c r="C19" s="7" t="s">
        <v>280</v>
      </c>
      <c r="D19" s="7" t="s">
        <v>63</v>
      </c>
      <c r="E19" s="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8">
        <v>0</v>
      </c>
      <c r="AF19" s="8">
        <v>0</v>
      </c>
    </row>
    <row r="20" spans="1:32" ht="11.55" customHeight="1" x14ac:dyDescent="0.3">
      <c r="A20" s="2">
        <v>17</v>
      </c>
      <c r="B20" s="3" t="s">
        <v>59</v>
      </c>
      <c r="C20" s="3" t="s">
        <v>280</v>
      </c>
      <c r="D20" s="3" t="s">
        <v>64</v>
      </c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4">
        <v>0</v>
      </c>
      <c r="AF20" s="4">
        <v>0</v>
      </c>
    </row>
    <row r="21" spans="1:32" ht="11.55" customHeight="1" x14ac:dyDescent="0.3">
      <c r="A21" s="6">
        <v>18</v>
      </c>
      <c r="B21" s="7" t="s">
        <v>65</v>
      </c>
      <c r="C21" s="7" t="s">
        <v>281</v>
      </c>
      <c r="D21" s="7" t="s">
        <v>52</v>
      </c>
      <c r="E21" s="6" t="s">
        <v>66</v>
      </c>
      <c r="F21" s="8">
        <v>1500</v>
      </c>
      <c r="G21" s="9"/>
      <c r="H21" s="9"/>
      <c r="I21" s="9"/>
      <c r="J21" s="9"/>
      <c r="K21" s="8">
        <v>1336.39</v>
      </c>
      <c r="L21" s="9"/>
      <c r="M21" s="9"/>
      <c r="N21" s="9"/>
      <c r="O21" s="9"/>
      <c r="P21" s="9"/>
      <c r="Q21" s="9"/>
      <c r="R21" s="9"/>
      <c r="S21" s="8">
        <v>167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3">
        <v>-3.39</v>
      </c>
      <c r="AF21" s="8">
        <v>1503.39</v>
      </c>
    </row>
    <row r="22" spans="1:32" ht="11.55" customHeight="1" x14ac:dyDescent="0.3">
      <c r="A22" s="2">
        <v>19</v>
      </c>
      <c r="B22" s="3" t="s">
        <v>67</v>
      </c>
      <c r="C22" s="3" t="s">
        <v>282</v>
      </c>
      <c r="D22" s="3" t="s">
        <v>48</v>
      </c>
      <c r="E22" s="2" t="s">
        <v>68</v>
      </c>
      <c r="F22" s="4">
        <v>3000</v>
      </c>
      <c r="G22" s="5"/>
      <c r="H22" s="5"/>
      <c r="I22" s="5"/>
      <c r="J22" s="5"/>
      <c r="K22" s="5"/>
      <c r="L22" s="5"/>
      <c r="M22" s="5"/>
      <c r="N22" s="5"/>
      <c r="O22" s="5"/>
      <c r="P22" s="4">
        <v>3000</v>
      </c>
      <c r="Q22" s="2" t="s">
        <v>342</v>
      </c>
      <c r="R22" s="5"/>
      <c r="S22" s="5"/>
      <c r="T22" s="5"/>
      <c r="U22" s="5"/>
      <c r="V22" s="5"/>
      <c r="W22" s="5"/>
      <c r="X22" s="4">
        <v>1000</v>
      </c>
      <c r="Y22" s="2" t="s">
        <v>343</v>
      </c>
      <c r="Z22" s="5"/>
      <c r="AA22" s="5"/>
      <c r="AB22" s="5"/>
      <c r="AC22" s="5"/>
      <c r="AD22" s="5"/>
      <c r="AE22" s="12">
        <v>-1000</v>
      </c>
      <c r="AF22" s="4">
        <v>4000</v>
      </c>
    </row>
    <row r="23" spans="1:32" ht="11.55" customHeight="1" x14ac:dyDescent="0.3">
      <c r="A23" s="6">
        <v>20</v>
      </c>
      <c r="B23" s="7" t="s">
        <v>69</v>
      </c>
      <c r="C23" s="7" t="s">
        <v>282</v>
      </c>
      <c r="D23" s="7" t="s">
        <v>55</v>
      </c>
      <c r="E23" s="6" t="s">
        <v>278</v>
      </c>
      <c r="F23" s="8">
        <v>2500</v>
      </c>
      <c r="G23" s="8">
        <v>1404.58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8">
        <v>1009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8">
        <v>86.42</v>
      </c>
      <c r="AF23" s="8">
        <v>2413.58</v>
      </c>
    </row>
    <row r="24" spans="1:32" ht="11.55" customHeight="1" x14ac:dyDescent="0.3">
      <c r="A24" s="2">
        <v>21</v>
      </c>
      <c r="B24" s="3" t="s">
        <v>71</v>
      </c>
      <c r="C24" s="3" t="s">
        <v>72</v>
      </c>
      <c r="D24" s="3" t="s">
        <v>73</v>
      </c>
      <c r="E24" s="2" t="s">
        <v>74</v>
      </c>
      <c r="F24" s="4">
        <v>2500</v>
      </c>
      <c r="G24" s="5"/>
      <c r="H24" s="5"/>
      <c r="I24" s="5"/>
      <c r="J24" s="5"/>
      <c r="K24" s="5"/>
      <c r="L24" s="5"/>
      <c r="M24" s="5"/>
      <c r="N24" s="5"/>
      <c r="O24" s="5"/>
      <c r="P24" s="4">
        <v>1237.06</v>
      </c>
      <c r="Q24" s="2" t="s">
        <v>344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4">
        <v>1262.94</v>
      </c>
      <c r="AF24" s="4">
        <v>1237.06</v>
      </c>
    </row>
    <row r="25" spans="1:32" ht="11.55" customHeight="1" x14ac:dyDescent="0.3">
      <c r="A25" s="6">
        <v>22</v>
      </c>
      <c r="B25" s="7" t="s">
        <v>75</v>
      </c>
      <c r="C25" s="7" t="s">
        <v>72</v>
      </c>
      <c r="D25" s="7" t="s">
        <v>52</v>
      </c>
      <c r="E25" s="6" t="s">
        <v>53</v>
      </c>
      <c r="F25" s="8">
        <v>1500</v>
      </c>
      <c r="G25" s="9"/>
      <c r="H25" s="8">
        <v>1390.02</v>
      </c>
      <c r="I25" s="6" t="s">
        <v>345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8">
        <v>500</v>
      </c>
      <c r="AC25" s="6" t="s">
        <v>346</v>
      </c>
      <c r="AD25" s="9"/>
      <c r="AE25" s="9"/>
      <c r="AF25" s="9"/>
    </row>
    <row r="26" spans="1:32" ht="11.55" customHeight="1" x14ac:dyDescent="0.3">
      <c r="A26" s="2">
        <v>23</v>
      </c>
      <c r="B26" s="3" t="s">
        <v>75</v>
      </c>
      <c r="C26" s="3" t="s">
        <v>72</v>
      </c>
      <c r="D26" s="3" t="s">
        <v>23</v>
      </c>
      <c r="E26" s="2" t="s">
        <v>275</v>
      </c>
      <c r="F26" s="4">
        <v>1000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4">
        <v>1000</v>
      </c>
      <c r="AF26" s="4">
        <v>0</v>
      </c>
    </row>
    <row r="27" spans="1:32" ht="11.55" customHeight="1" x14ac:dyDescent="0.3">
      <c r="A27" s="6">
        <v>24</v>
      </c>
      <c r="B27" s="7" t="s">
        <v>76</v>
      </c>
      <c r="C27" s="7" t="s">
        <v>77</v>
      </c>
      <c r="D27" s="7" t="s">
        <v>26</v>
      </c>
      <c r="E27" s="6" t="s">
        <v>78</v>
      </c>
      <c r="F27" s="8">
        <v>2500</v>
      </c>
      <c r="G27" s="9"/>
      <c r="H27" s="9"/>
      <c r="I27" s="9"/>
      <c r="J27" s="9"/>
      <c r="K27" s="8">
        <v>1924.77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8">
        <v>575.23</v>
      </c>
      <c r="AF27" s="8">
        <v>1924.77</v>
      </c>
    </row>
    <row r="28" spans="1:32" ht="11.55" customHeight="1" x14ac:dyDescent="0.3">
      <c r="A28" s="2">
        <v>25</v>
      </c>
      <c r="B28" s="3" t="s">
        <v>79</v>
      </c>
      <c r="C28" s="3" t="s">
        <v>77</v>
      </c>
      <c r="D28" s="3" t="s">
        <v>80</v>
      </c>
      <c r="E28" s="2" t="s">
        <v>81</v>
      </c>
      <c r="F28" s="4">
        <v>1000</v>
      </c>
      <c r="G28" s="5"/>
      <c r="H28" s="5"/>
      <c r="I28" s="5"/>
      <c r="J28" s="5"/>
      <c r="K28" s="4">
        <v>1000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4">
        <v>0</v>
      </c>
      <c r="AF28" s="4">
        <v>1000</v>
      </c>
    </row>
    <row r="29" spans="1:32" ht="11.55" customHeight="1" x14ac:dyDescent="0.3">
      <c r="A29" s="6">
        <v>26</v>
      </c>
      <c r="B29" s="7" t="s">
        <v>79</v>
      </c>
      <c r="C29" s="7" t="s">
        <v>77</v>
      </c>
      <c r="D29" s="7" t="s">
        <v>82</v>
      </c>
      <c r="E29" s="6" t="s">
        <v>275</v>
      </c>
      <c r="F29" s="8">
        <v>500</v>
      </c>
      <c r="G29" s="9"/>
      <c r="H29" s="9"/>
      <c r="I29" s="9"/>
      <c r="J29" s="9"/>
      <c r="K29" s="8">
        <v>500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8">
        <v>0</v>
      </c>
      <c r="AF29" s="8">
        <v>500</v>
      </c>
    </row>
    <row r="30" spans="1:32" ht="11.55" customHeight="1" x14ac:dyDescent="0.3">
      <c r="A30" s="2">
        <v>27</v>
      </c>
      <c r="B30" s="3" t="s">
        <v>79</v>
      </c>
      <c r="C30" s="3" t="s">
        <v>77</v>
      </c>
      <c r="D30" s="3" t="s">
        <v>82</v>
      </c>
      <c r="E30" s="2" t="s">
        <v>275</v>
      </c>
      <c r="F30" s="4">
        <v>500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4">
        <v>500</v>
      </c>
      <c r="X30" s="5"/>
      <c r="Y30" s="5"/>
      <c r="Z30" s="5"/>
      <c r="AA30" s="5"/>
      <c r="AB30" s="5"/>
      <c r="AC30" s="5"/>
      <c r="AD30" s="5"/>
      <c r="AE30" s="4">
        <v>0</v>
      </c>
      <c r="AF30" s="4">
        <v>500</v>
      </c>
    </row>
    <row r="31" spans="1:32" ht="11.55" customHeight="1" x14ac:dyDescent="0.3">
      <c r="A31" s="6">
        <v>28</v>
      </c>
      <c r="B31" s="7" t="s">
        <v>83</v>
      </c>
      <c r="C31" s="7"/>
      <c r="D31" s="7"/>
      <c r="E31" s="6" t="s">
        <v>84</v>
      </c>
      <c r="F31" s="8">
        <v>800</v>
      </c>
      <c r="G31" s="8">
        <v>800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8">
        <v>500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3">
        <v>-500</v>
      </c>
      <c r="AF31" s="8">
        <v>1300</v>
      </c>
    </row>
    <row r="32" spans="1:32" ht="11.55" customHeight="1" x14ac:dyDescent="0.3">
      <c r="A32" s="2">
        <v>29</v>
      </c>
      <c r="B32" s="3" t="s">
        <v>83</v>
      </c>
      <c r="C32" s="3"/>
      <c r="D32" s="3" t="s">
        <v>23</v>
      </c>
      <c r="E32" s="2" t="s">
        <v>275</v>
      </c>
      <c r="F32" s="4">
        <v>500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>
        <v>500</v>
      </c>
      <c r="AF32" s="4">
        <v>0</v>
      </c>
    </row>
    <row r="33" spans="1:32" ht="11.55" customHeight="1" x14ac:dyDescent="0.3">
      <c r="A33" s="6">
        <v>30</v>
      </c>
      <c r="B33" s="7" t="s">
        <v>259</v>
      </c>
      <c r="C33" s="7" t="s">
        <v>260</v>
      </c>
      <c r="D33" s="7" t="s">
        <v>287</v>
      </c>
      <c r="E33" s="6" t="s">
        <v>130</v>
      </c>
      <c r="F33" s="8">
        <v>1500</v>
      </c>
      <c r="G33" s="9"/>
      <c r="H33" s="9"/>
      <c r="I33" s="9"/>
      <c r="J33" s="9"/>
      <c r="K33" s="8">
        <v>700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8">
        <v>800</v>
      </c>
      <c r="AF33" s="8">
        <v>700</v>
      </c>
    </row>
    <row r="34" spans="1:32" ht="11.55" customHeight="1" x14ac:dyDescent="0.3">
      <c r="A34" s="2">
        <v>31</v>
      </c>
      <c r="B34" s="3" t="s">
        <v>131</v>
      </c>
      <c r="C34" s="3" t="s">
        <v>288</v>
      </c>
      <c r="D34" s="3" t="s">
        <v>26</v>
      </c>
      <c r="E34" s="2" t="s">
        <v>133</v>
      </c>
      <c r="F34" s="4">
        <v>1500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4">
        <v>1500</v>
      </c>
      <c r="AF34" s="4">
        <v>0</v>
      </c>
    </row>
    <row r="35" spans="1:32" ht="11.55" customHeight="1" x14ac:dyDescent="0.3">
      <c r="A35" s="6">
        <v>32</v>
      </c>
      <c r="B35" s="7" t="s">
        <v>134</v>
      </c>
      <c r="C35" s="7" t="s">
        <v>135</v>
      </c>
      <c r="D35" s="7" t="s">
        <v>37</v>
      </c>
      <c r="E35" s="6" t="s">
        <v>241</v>
      </c>
      <c r="F35" s="8">
        <v>700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8">
        <v>700</v>
      </c>
      <c r="AF35" s="8">
        <v>0</v>
      </c>
    </row>
    <row r="36" spans="1:32" ht="11.55" customHeight="1" x14ac:dyDescent="0.3">
      <c r="A36" s="2">
        <v>33</v>
      </c>
      <c r="B36" s="3" t="s">
        <v>86</v>
      </c>
      <c r="C36" s="3" t="s">
        <v>289</v>
      </c>
      <c r="D36" s="3" t="s">
        <v>87</v>
      </c>
      <c r="E36" s="2" t="s">
        <v>88</v>
      </c>
      <c r="F36" s="4">
        <v>3000</v>
      </c>
      <c r="G36" s="5"/>
      <c r="H36" s="4">
        <v>1000</v>
      </c>
      <c r="I36" s="2" t="s">
        <v>347</v>
      </c>
      <c r="J36" s="5"/>
      <c r="K36" s="5"/>
      <c r="L36" s="5"/>
      <c r="M36" s="5"/>
      <c r="N36" s="5"/>
      <c r="O36" s="5"/>
      <c r="P36" s="4">
        <v>1000</v>
      </c>
      <c r="Q36" s="2" t="s">
        <v>348</v>
      </c>
      <c r="R36" s="5"/>
      <c r="S36" s="5"/>
      <c r="T36" s="4">
        <v>1000</v>
      </c>
      <c r="U36" s="2" t="s">
        <v>349</v>
      </c>
      <c r="V36" s="5"/>
      <c r="W36" s="5"/>
      <c r="X36" s="5"/>
      <c r="Y36" s="5"/>
      <c r="Z36" s="5"/>
      <c r="AA36" s="5"/>
      <c r="AB36" s="5"/>
      <c r="AC36" s="5"/>
      <c r="AD36" s="5"/>
      <c r="AE36" s="4">
        <v>0</v>
      </c>
      <c r="AF36" s="4">
        <v>3000</v>
      </c>
    </row>
    <row r="37" spans="1:32" ht="11.55" customHeight="1" x14ac:dyDescent="0.3">
      <c r="A37" s="6">
        <v>34</v>
      </c>
      <c r="B37" s="7" t="s">
        <v>159</v>
      </c>
      <c r="C37" s="7"/>
      <c r="D37" s="7" t="s">
        <v>26</v>
      </c>
      <c r="E37" s="6" t="s">
        <v>161</v>
      </c>
      <c r="F37" s="8">
        <v>1500</v>
      </c>
      <c r="G37" s="9"/>
      <c r="H37" s="9"/>
      <c r="I37" s="9"/>
      <c r="J37" s="9"/>
      <c r="K37" s="8">
        <v>1500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8">
        <v>0</v>
      </c>
      <c r="AF37" s="8">
        <v>1500</v>
      </c>
    </row>
    <row r="38" spans="1:32" ht="11.55" customHeight="1" x14ac:dyDescent="0.3">
      <c r="A38" s="2">
        <v>35</v>
      </c>
      <c r="B38" s="3" t="s">
        <v>294</v>
      </c>
      <c r="C38" s="3" t="s">
        <v>295</v>
      </c>
      <c r="D38" s="3"/>
      <c r="E38" s="2" t="s">
        <v>30</v>
      </c>
      <c r="F38" s="4">
        <v>800</v>
      </c>
      <c r="G38" s="5"/>
      <c r="H38" s="5"/>
      <c r="I38" s="5"/>
      <c r="J38" s="5"/>
      <c r="K38" s="5"/>
      <c r="L38" s="5"/>
      <c r="M38" s="5"/>
      <c r="N38" s="5"/>
      <c r="O38" s="4">
        <v>800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4">
        <v>0</v>
      </c>
      <c r="AF38" s="4">
        <v>800</v>
      </c>
    </row>
    <row r="39" spans="1:32" ht="11.55" customHeight="1" x14ac:dyDescent="0.3">
      <c r="A39" s="6">
        <v>36</v>
      </c>
      <c r="B39" s="7" t="s">
        <v>265</v>
      </c>
      <c r="C39" s="7" t="s">
        <v>266</v>
      </c>
      <c r="D39" s="7"/>
      <c r="E39" s="6" t="s">
        <v>22</v>
      </c>
      <c r="F39" s="8">
        <v>1500</v>
      </c>
      <c r="G39" s="8">
        <v>1500</v>
      </c>
      <c r="H39" s="9"/>
      <c r="I39" s="9"/>
      <c r="J39" s="9"/>
      <c r="K39" s="9"/>
      <c r="L39" s="9"/>
      <c r="M39" s="9"/>
      <c r="N39" s="9"/>
      <c r="O39" s="8">
        <v>1500</v>
      </c>
      <c r="P39" s="9"/>
      <c r="Q39" s="9"/>
      <c r="R39" s="9"/>
      <c r="S39" s="9"/>
      <c r="T39" s="9"/>
      <c r="U39" s="9"/>
      <c r="V39" s="9"/>
      <c r="W39" s="8">
        <v>500</v>
      </c>
      <c r="X39" s="9"/>
      <c r="Y39" s="9"/>
      <c r="Z39" s="9"/>
      <c r="AA39" s="9"/>
      <c r="AB39" s="9"/>
      <c r="AC39" s="9"/>
      <c r="AD39" s="9"/>
      <c r="AE39" s="13">
        <v>-2000</v>
      </c>
      <c r="AF39" s="8">
        <v>3500</v>
      </c>
    </row>
    <row r="40" spans="1:32" ht="11.55" customHeight="1" x14ac:dyDescent="0.3">
      <c r="A40" s="2">
        <v>37</v>
      </c>
      <c r="B40" s="3" t="s">
        <v>265</v>
      </c>
      <c r="C40" s="3" t="s">
        <v>266</v>
      </c>
      <c r="D40" s="3" t="s">
        <v>296</v>
      </c>
      <c r="E40" s="2"/>
      <c r="F40" s="4">
        <v>500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>
        <v>500</v>
      </c>
      <c r="AF40" s="4">
        <v>0</v>
      </c>
    </row>
    <row r="41" spans="1:32" ht="13.5" customHeight="1" x14ac:dyDescent="0.3">
      <c r="A41" s="16" t="s">
        <v>89</v>
      </c>
      <c r="B41" s="17"/>
      <c r="C41" s="17"/>
      <c r="D41" s="17"/>
      <c r="E41" s="17"/>
      <c r="F41" s="10">
        <f t="shared" ref="F41:AF41" si="0">SUM(F4:F40)</f>
        <v>53300</v>
      </c>
      <c r="G41" s="10">
        <f t="shared" si="0"/>
        <v>9669.98</v>
      </c>
      <c r="H41" s="10">
        <f t="shared" si="0"/>
        <v>5490.73</v>
      </c>
      <c r="I41" s="10">
        <f t="shared" si="0"/>
        <v>0</v>
      </c>
      <c r="J41" s="10">
        <f t="shared" si="0"/>
        <v>0</v>
      </c>
      <c r="K41" s="10">
        <f t="shared" si="0"/>
        <v>10559.97</v>
      </c>
      <c r="L41" s="10">
        <f t="shared" si="0"/>
        <v>0</v>
      </c>
      <c r="M41" s="10">
        <f t="shared" si="0"/>
        <v>0</v>
      </c>
      <c r="N41" s="10">
        <f t="shared" si="0"/>
        <v>0</v>
      </c>
      <c r="O41" s="10">
        <f t="shared" si="0"/>
        <v>4886.63</v>
      </c>
      <c r="P41" s="10">
        <f t="shared" si="0"/>
        <v>5237.0599999999995</v>
      </c>
      <c r="Q41" s="10">
        <f t="shared" si="0"/>
        <v>0</v>
      </c>
      <c r="R41" s="10">
        <f t="shared" si="0"/>
        <v>0</v>
      </c>
      <c r="S41" s="10">
        <f t="shared" si="0"/>
        <v>6292.54</v>
      </c>
      <c r="T41" s="10">
        <f t="shared" si="0"/>
        <v>1000</v>
      </c>
      <c r="U41" s="10">
        <f t="shared" si="0"/>
        <v>0</v>
      </c>
      <c r="V41" s="10">
        <f t="shared" si="0"/>
        <v>0</v>
      </c>
      <c r="W41" s="10">
        <f t="shared" si="0"/>
        <v>1000</v>
      </c>
      <c r="X41" s="10">
        <f t="shared" si="0"/>
        <v>2500</v>
      </c>
      <c r="Y41" s="10">
        <f t="shared" si="0"/>
        <v>0</v>
      </c>
      <c r="Z41" s="10">
        <f t="shared" si="0"/>
        <v>0</v>
      </c>
      <c r="AA41" s="10">
        <f t="shared" si="0"/>
        <v>0</v>
      </c>
      <c r="AB41" s="10">
        <f t="shared" si="0"/>
        <v>500</v>
      </c>
      <c r="AC41" s="10">
        <f t="shared" si="0"/>
        <v>0</v>
      </c>
      <c r="AD41" s="10">
        <f t="shared" si="0"/>
        <v>0</v>
      </c>
      <c r="AE41" s="10">
        <f t="shared" si="0"/>
        <v>6553.1100000000006</v>
      </c>
      <c r="AF41" s="10">
        <f t="shared" si="0"/>
        <v>45246.890000000007</v>
      </c>
    </row>
    <row r="42" spans="1:32" ht="6" customHeight="1" x14ac:dyDescent="0.3"/>
    <row r="43" spans="1:32" ht="16.95" customHeight="1" x14ac:dyDescent="0.3">
      <c r="A43" s="23" t="s">
        <v>350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ht="13.95" customHeight="1" x14ac:dyDescent="0.3">
      <c r="A44" s="14" t="s">
        <v>1</v>
      </c>
      <c r="B44" s="14" t="s">
        <v>2</v>
      </c>
      <c r="C44" s="14" t="s">
        <v>3</v>
      </c>
      <c r="D44" s="14" t="s">
        <v>4</v>
      </c>
      <c r="E44" s="14" t="s">
        <v>5</v>
      </c>
      <c r="F44" s="14" t="s">
        <v>6</v>
      </c>
      <c r="G44" s="18" t="s">
        <v>334</v>
      </c>
      <c r="H44" s="19"/>
      <c r="I44" s="19"/>
      <c r="J44" s="19"/>
      <c r="K44" s="18" t="s">
        <v>335</v>
      </c>
      <c r="L44" s="19"/>
      <c r="M44" s="19"/>
      <c r="N44" s="19"/>
      <c r="O44" s="18" t="s">
        <v>336</v>
      </c>
      <c r="P44" s="19"/>
      <c r="Q44" s="19"/>
      <c r="R44" s="19"/>
      <c r="S44" s="18" t="s">
        <v>337</v>
      </c>
      <c r="T44" s="19"/>
      <c r="U44" s="19"/>
      <c r="V44" s="19"/>
      <c r="W44" s="18" t="s">
        <v>338</v>
      </c>
      <c r="X44" s="19"/>
      <c r="Y44" s="19"/>
      <c r="Z44" s="19"/>
      <c r="AA44" s="18" t="s">
        <v>339</v>
      </c>
      <c r="AB44" s="19"/>
      <c r="AC44" s="19"/>
      <c r="AD44" s="19"/>
      <c r="AE44" s="20" t="s">
        <v>14</v>
      </c>
      <c r="AF44" s="14" t="s">
        <v>15</v>
      </c>
    </row>
    <row r="45" spans="1:32" ht="13.05" customHeight="1" x14ac:dyDescent="0.3">
      <c r="A45" s="15"/>
      <c r="B45" s="15"/>
      <c r="C45" s="15"/>
      <c r="D45" s="15"/>
      <c r="E45" s="15"/>
      <c r="F45" s="15"/>
      <c r="G45" s="1" t="s">
        <v>16</v>
      </c>
      <c r="H45" s="1" t="s">
        <v>17</v>
      </c>
      <c r="I45" s="1" t="s">
        <v>215</v>
      </c>
      <c r="J45" s="1" t="s">
        <v>18</v>
      </c>
      <c r="K45" s="1" t="s">
        <v>16</v>
      </c>
      <c r="L45" s="1" t="s">
        <v>17</v>
      </c>
      <c r="M45" s="1" t="s">
        <v>215</v>
      </c>
      <c r="N45" s="1" t="s">
        <v>18</v>
      </c>
      <c r="O45" s="1" t="s">
        <v>16</v>
      </c>
      <c r="P45" s="1" t="s">
        <v>17</v>
      </c>
      <c r="Q45" s="1" t="s">
        <v>215</v>
      </c>
      <c r="R45" s="1" t="s">
        <v>18</v>
      </c>
      <c r="S45" s="1" t="s">
        <v>16</v>
      </c>
      <c r="T45" s="1" t="s">
        <v>17</v>
      </c>
      <c r="U45" s="1" t="s">
        <v>215</v>
      </c>
      <c r="V45" s="1" t="s">
        <v>18</v>
      </c>
      <c r="W45" s="1" t="s">
        <v>16</v>
      </c>
      <c r="X45" s="1" t="s">
        <v>17</v>
      </c>
      <c r="Y45" s="1" t="s">
        <v>215</v>
      </c>
      <c r="Z45" s="1" t="s">
        <v>18</v>
      </c>
      <c r="AA45" s="1" t="s">
        <v>16</v>
      </c>
      <c r="AB45" s="1" t="s">
        <v>17</v>
      </c>
      <c r="AC45" s="1" t="s">
        <v>215</v>
      </c>
      <c r="AD45" s="1" t="s">
        <v>18</v>
      </c>
      <c r="AE45" s="19"/>
      <c r="AF45" s="15"/>
    </row>
    <row r="46" spans="1:32" ht="11.55" customHeight="1" x14ac:dyDescent="0.3">
      <c r="A46" s="2">
        <v>1</v>
      </c>
      <c r="B46" s="3" t="s">
        <v>91</v>
      </c>
      <c r="C46" s="3" t="s">
        <v>92</v>
      </c>
      <c r="D46" s="3" t="s">
        <v>93</v>
      </c>
      <c r="E46" s="2" t="s">
        <v>94</v>
      </c>
      <c r="F46" s="4">
        <v>2500</v>
      </c>
      <c r="G46" s="4">
        <v>1500.12</v>
      </c>
      <c r="H46" s="5"/>
      <c r="I46" s="5"/>
      <c r="J46" s="5"/>
      <c r="K46" s="5"/>
      <c r="L46" s="5"/>
      <c r="M46" s="5"/>
      <c r="N46" s="5"/>
      <c r="O46" s="4">
        <v>1000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12">
        <v>-0.12</v>
      </c>
      <c r="AF46" s="4">
        <v>2500.12</v>
      </c>
    </row>
    <row r="47" spans="1:32" ht="11.55" customHeight="1" x14ac:dyDescent="0.3">
      <c r="A47" s="6">
        <v>2</v>
      </c>
      <c r="B47" s="7" t="s">
        <v>95</v>
      </c>
      <c r="C47" s="7" t="s">
        <v>92</v>
      </c>
      <c r="D47" s="7" t="s">
        <v>87</v>
      </c>
      <c r="E47" s="6" t="s">
        <v>96</v>
      </c>
      <c r="F47" s="8">
        <v>1500</v>
      </c>
      <c r="G47" s="8">
        <v>1500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8">
        <v>0</v>
      </c>
      <c r="AF47" s="8">
        <v>1500</v>
      </c>
    </row>
    <row r="48" spans="1:32" ht="11.55" customHeight="1" x14ac:dyDescent="0.3">
      <c r="A48" s="2">
        <v>3</v>
      </c>
      <c r="B48" s="3" t="s">
        <v>298</v>
      </c>
      <c r="C48" s="3" t="s">
        <v>92</v>
      </c>
      <c r="D48" s="3" t="s">
        <v>87</v>
      </c>
      <c r="E48" s="2" t="s">
        <v>299</v>
      </c>
      <c r="F48" s="4">
        <v>2000</v>
      </c>
      <c r="G48" s="4">
        <v>1268.7</v>
      </c>
      <c r="H48" s="5"/>
      <c r="I48" s="5"/>
      <c r="J48" s="5"/>
      <c r="K48" s="5"/>
      <c r="L48" s="5"/>
      <c r="M48" s="5"/>
      <c r="N48" s="5"/>
      <c r="O48" s="4">
        <v>694.46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4">
        <v>36.840000000000003</v>
      </c>
      <c r="AF48" s="4">
        <v>1963.16</v>
      </c>
    </row>
    <row r="49" spans="1:32" ht="11.55" customHeight="1" x14ac:dyDescent="0.3">
      <c r="A49" s="6">
        <v>4</v>
      </c>
      <c r="B49" s="7" t="s">
        <v>298</v>
      </c>
      <c r="C49" s="7" t="s">
        <v>92</v>
      </c>
      <c r="D49" s="7" t="s">
        <v>23</v>
      </c>
      <c r="E49" s="6" t="s">
        <v>275</v>
      </c>
      <c r="F49" s="8">
        <v>500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8">
        <v>500</v>
      </c>
      <c r="AF49" s="8">
        <v>0</v>
      </c>
    </row>
    <row r="50" spans="1:32" ht="11.55" customHeight="1" x14ac:dyDescent="0.3">
      <c r="A50" s="2">
        <v>5</v>
      </c>
      <c r="B50" s="3" t="s">
        <v>99</v>
      </c>
      <c r="C50" s="3" t="s">
        <v>100</v>
      </c>
      <c r="D50" s="3" t="s">
        <v>87</v>
      </c>
      <c r="E50" s="2" t="s">
        <v>101</v>
      </c>
      <c r="F50" s="4">
        <v>1500</v>
      </c>
      <c r="G50" s="4">
        <v>1250.27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>
        <v>400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12">
        <v>-150.27000000000001</v>
      </c>
      <c r="AF50" s="4">
        <v>1650.27</v>
      </c>
    </row>
    <row r="51" spans="1:32" ht="11.55" customHeight="1" x14ac:dyDescent="0.3">
      <c r="A51" s="6">
        <v>6</v>
      </c>
      <c r="B51" s="7" t="s">
        <v>102</v>
      </c>
      <c r="C51" s="7" t="s">
        <v>100</v>
      </c>
      <c r="D51" s="7" t="s">
        <v>87</v>
      </c>
      <c r="E51" s="6" t="s">
        <v>103</v>
      </c>
      <c r="F51" s="8">
        <v>1500</v>
      </c>
      <c r="G51" s="8">
        <v>1500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>
        <v>0</v>
      </c>
      <c r="AF51" s="8">
        <v>1500</v>
      </c>
    </row>
    <row r="52" spans="1:32" ht="11.55" customHeight="1" x14ac:dyDescent="0.3">
      <c r="A52" s="2">
        <v>7</v>
      </c>
      <c r="B52" s="3" t="s">
        <v>102</v>
      </c>
      <c r="C52" s="3" t="s">
        <v>100</v>
      </c>
      <c r="D52" s="3" t="s">
        <v>23</v>
      </c>
      <c r="E52" s="2" t="s">
        <v>275</v>
      </c>
      <c r="F52" s="4">
        <v>500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4">
        <v>500</v>
      </c>
      <c r="AF52" s="4">
        <v>0</v>
      </c>
    </row>
    <row r="53" spans="1:32" ht="11.55" customHeight="1" x14ac:dyDescent="0.3">
      <c r="A53" s="6">
        <v>8</v>
      </c>
      <c r="B53" s="7" t="s">
        <v>104</v>
      </c>
      <c r="C53" s="7" t="s">
        <v>105</v>
      </c>
      <c r="D53" s="7" t="s">
        <v>98</v>
      </c>
      <c r="E53" s="6" t="s">
        <v>106</v>
      </c>
      <c r="F53" s="8">
        <v>2000</v>
      </c>
      <c r="G53" s="8">
        <v>1670.67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8">
        <v>329.33</v>
      </c>
      <c r="AF53" s="8">
        <v>1670.67</v>
      </c>
    </row>
    <row r="54" spans="1:32" ht="11.55" customHeight="1" x14ac:dyDescent="0.3">
      <c r="A54" s="2">
        <v>9</v>
      </c>
      <c r="B54" s="3" t="s">
        <v>104</v>
      </c>
      <c r="C54" s="3" t="s">
        <v>105</v>
      </c>
      <c r="D54" s="3" t="s">
        <v>23</v>
      </c>
      <c r="E54" s="2" t="s">
        <v>275</v>
      </c>
      <c r="F54" s="4">
        <v>500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>
        <v>500</v>
      </c>
      <c r="AF54" s="4">
        <v>0</v>
      </c>
    </row>
    <row r="55" spans="1:32" ht="13.5" customHeight="1" x14ac:dyDescent="0.3">
      <c r="A55" s="16" t="s">
        <v>107</v>
      </c>
      <c r="B55" s="17"/>
      <c r="C55" s="17"/>
      <c r="D55" s="17"/>
      <c r="E55" s="17"/>
      <c r="F55" s="10">
        <f t="shared" ref="F55:AF55" si="1">SUM(F46:F54)</f>
        <v>12500</v>
      </c>
      <c r="G55" s="10">
        <f t="shared" si="1"/>
        <v>8689.76</v>
      </c>
      <c r="H55" s="10">
        <f t="shared" si="1"/>
        <v>0</v>
      </c>
      <c r="I55" s="10">
        <f t="shared" si="1"/>
        <v>0</v>
      </c>
      <c r="J55" s="10">
        <f t="shared" si="1"/>
        <v>0</v>
      </c>
      <c r="K55" s="10">
        <f t="shared" si="1"/>
        <v>0</v>
      </c>
      <c r="L55" s="10">
        <f t="shared" si="1"/>
        <v>0</v>
      </c>
      <c r="M55" s="10">
        <f t="shared" si="1"/>
        <v>0</v>
      </c>
      <c r="N55" s="10">
        <f t="shared" si="1"/>
        <v>0</v>
      </c>
      <c r="O55" s="10">
        <f t="shared" si="1"/>
        <v>1694.46</v>
      </c>
      <c r="P55" s="10">
        <f t="shared" si="1"/>
        <v>0</v>
      </c>
      <c r="Q55" s="10">
        <f t="shared" si="1"/>
        <v>0</v>
      </c>
      <c r="R55" s="10">
        <f t="shared" si="1"/>
        <v>0</v>
      </c>
      <c r="S55" s="10">
        <f t="shared" si="1"/>
        <v>400</v>
      </c>
      <c r="T55" s="10">
        <f t="shared" si="1"/>
        <v>0</v>
      </c>
      <c r="U55" s="10">
        <f t="shared" si="1"/>
        <v>0</v>
      </c>
      <c r="V55" s="10">
        <f t="shared" si="1"/>
        <v>0</v>
      </c>
      <c r="W55" s="10">
        <f t="shared" si="1"/>
        <v>0</v>
      </c>
      <c r="X55" s="10">
        <f t="shared" si="1"/>
        <v>0</v>
      </c>
      <c r="Y55" s="10">
        <f t="shared" si="1"/>
        <v>0</v>
      </c>
      <c r="Z55" s="10">
        <f t="shared" si="1"/>
        <v>0</v>
      </c>
      <c r="AA55" s="10">
        <f t="shared" si="1"/>
        <v>0</v>
      </c>
      <c r="AB55" s="10">
        <f t="shared" si="1"/>
        <v>0</v>
      </c>
      <c r="AC55" s="10">
        <f t="shared" si="1"/>
        <v>0</v>
      </c>
      <c r="AD55" s="10">
        <f t="shared" si="1"/>
        <v>0</v>
      </c>
      <c r="AE55" s="10">
        <f t="shared" si="1"/>
        <v>1715.78</v>
      </c>
      <c r="AF55" s="10">
        <f t="shared" si="1"/>
        <v>10784.22</v>
      </c>
    </row>
    <row r="56" spans="1:32" ht="4.95" customHeight="1" x14ac:dyDescent="0.3"/>
  </sheetData>
  <mergeCells count="32">
    <mergeCell ref="A55:E55"/>
    <mergeCell ref="AA44:AD44"/>
    <mergeCell ref="AE44:AE45"/>
    <mergeCell ref="S2:V2"/>
    <mergeCell ref="A44:A45"/>
    <mergeCell ref="K44:N44"/>
    <mergeCell ref="O44:R44"/>
    <mergeCell ref="K2:N2"/>
    <mergeCell ref="A43:AF43"/>
    <mergeCell ref="D44:D45"/>
    <mergeCell ref="AF44:AF45"/>
    <mergeCell ref="A1:AF1"/>
    <mergeCell ref="W44:Z44"/>
    <mergeCell ref="A41:E41"/>
    <mergeCell ref="G2:J2"/>
    <mergeCell ref="A2:A3"/>
    <mergeCell ref="C2:C3"/>
    <mergeCell ref="AF2:AF3"/>
    <mergeCell ref="E2:E3"/>
    <mergeCell ref="B44:B45"/>
    <mergeCell ref="AE2:AE3"/>
    <mergeCell ref="D2:D3"/>
    <mergeCell ref="F2:F3"/>
    <mergeCell ref="C44:C45"/>
    <mergeCell ref="E44:E45"/>
    <mergeCell ref="G44:J44"/>
    <mergeCell ref="S44:V44"/>
    <mergeCell ref="F44:F45"/>
    <mergeCell ref="W2:Z2"/>
    <mergeCell ref="O2:R2"/>
    <mergeCell ref="B2:B3"/>
    <mergeCell ref="AA2:AD2"/>
  </mergeCells>
  <pageMargins left="0.2" right="0.2" top="0.25" bottom="0.25" header="0.1" footer="0.1"/>
  <pageSetup paperSize="5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SEMANA 26</vt:lpstr>
      <vt:lpstr>SEMANA 27</vt:lpstr>
      <vt:lpstr>SEMANA 28</vt:lpstr>
      <vt:lpstr>SEMANA 29</vt:lpstr>
      <vt:lpstr>SEMANA 30</vt:lpstr>
      <vt:lpstr>SEMANA 31</vt:lpstr>
      <vt:lpstr>SEMANA 32</vt:lpstr>
      <vt:lpstr>SEMANA 33</vt:lpstr>
      <vt:lpstr>SEMANA 34</vt:lpstr>
      <vt:lpstr>SEMANA 35</vt:lpstr>
      <vt:lpstr>SEMANA 36</vt:lpstr>
      <vt:lpstr>SEMANA 37</vt:lpstr>
      <vt:lpstr>'SEMANA 26'!Área_de_impresión</vt:lpstr>
      <vt:lpstr>'SEMANA 27'!Área_de_impresión</vt:lpstr>
      <vt:lpstr>'SEMANA 28'!Área_de_impresión</vt:lpstr>
      <vt:lpstr>'SEMANA 29'!Área_de_impresión</vt:lpstr>
      <vt:lpstr>'SEMANA 30'!Área_de_impresión</vt:lpstr>
      <vt:lpstr>'SEMANA 31'!Área_de_impresión</vt:lpstr>
      <vt:lpstr>'SEMANA 32'!Área_de_impresión</vt:lpstr>
      <vt:lpstr>'SEMANA 33'!Área_de_impresión</vt:lpstr>
      <vt:lpstr>'SEMANA 34'!Área_de_impresión</vt:lpstr>
      <vt:lpstr>'SEMANA 35'!Área_de_impresión</vt:lpstr>
      <vt:lpstr>'SEMANA 36'!Área_de_impresión</vt:lpstr>
      <vt:lpstr>'SEMANA 37'!Área_de_impresión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cp:lastPrinted>2026-09-18T16:43:41Z</cp:lastPrinted>
  <dcterms:created xsi:type="dcterms:W3CDTF">2026-09-18T16:08:17Z</dcterms:created>
  <dcterms:modified xsi:type="dcterms:W3CDTF">2026-09-18T16:53:14Z</dcterms:modified>
</cp:coreProperties>
</file>