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 IBAÑEZ\Documents\ARCHIVOS DAYAN\REGISTROS DE DIESEL\BACHEO TOLUCA SI\"/>
    </mc:Choice>
  </mc:AlternateContent>
  <xr:revisionPtr revIDLastSave="0" documentId="8_{77B03038-41D7-4735-AC07-A5D8C8DD9966}" xr6:coauthVersionLast="47" xr6:coauthVersionMax="47" xr10:uidLastSave="{00000000-0000-0000-0000-000000000000}"/>
  <bookViews>
    <workbookView xWindow="-108" yWindow="-108" windowWidth="23256" windowHeight="12456" activeTab="1" xr2:uid="{67F83819-8A98-4823-A4B0-97148D24A0B7}"/>
  </bookViews>
  <sheets>
    <sheet name="MAQUINARIA BACHEO LOMBARDO " sheetId="1" r:id="rId1"/>
    <sheet name="MAQUINARIA DESASOLVE " sheetId="2" r:id="rId2"/>
  </sheets>
  <definedNames>
    <definedName name="_xlnm._FilterDatabase" localSheetId="0" hidden="1">'MAQUINARIA BACHEO LOMBARDO '!#REF!</definedName>
    <definedName name="_xlnm._FilterDatabase" localSheetId="1" hidden="1">'MAQUINARIA DESASOLVE '!#REF!</definedName>
    <definedName name="_xlnm.Print_Area" localSheetId="0">'MAQUINARIA BACHEO LOMBARDO '!$A$1:$N$171</definedName>
    <definedName name="_xlnm.Print_Area" localSheetId="1">'MAQUINARIA DESASOLVE '!$A$1:$M$145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2" i="2" l="1"/>
  <c r="J137" i="2"/>
  <c r="K168" i="1" l="1"/>
  <c r="L162" i="1"/>
  <c r="L156" i="1"/>
  <c r="L150" i="1"/>
  <c r="L144" i="1"/>
  <c r="J88" i="2"/>
  <c r="K138" i="1"/>
  <c r="L133" i="1"/>
  <c r="L127" i="1"/>
  <c r="L121" i="1"/>
  <c r="L115" i="1"/>
  <c r="L109" i="1"/>
  <c r="L104" i="1"/>
  <c r="K13" i="1"/>
  <c r="L25" i="1"/>
  <c r="L46" i="1"/>
  <c r="L52" i="1"/>
  <c r="K58" i="1"/>
  <c r="L40" i="1"/>
  <c r="L75" i="1"/>
  <c r="L81" i="1"/>
  <c r="K33" i="2"/>
  <c r="J39" i="2"/>
  <c r="L35" i="1"/>
  <c r="L30" i="1"/>
  <c r="L20" i="1"/>
  <c r="L15" i="1"/>
  <c r="L4" i="1"/>
  <c r="L168" i="1" l="1"/>
  <c r="L138" i="1"/>
  <c r="L9" i="1"/>
  <c r="L58" i="1" s="1"/>
  <c r="K27" i="2"/>
  <c r="K22" i="2"/>
  <c r="K17" i="2"/>
  <c r="K11" i="2"/>
  <c r="K6" i="2"/>
  <c r="K98" i="1"/>
  <c r="L93" i="1"/>
  <c r="L87" i="1"/>
  <c r="L69" i="1"/>
  <c r="L64" i="1"/>
  <c r="K39" i="2" l="1"/>
  <c r="L98" i="1"/>
</calcChain>
</file>

<file path=xl/sharedStrings.xml><?xml version="1.0" encoding="utf-8"?>
<sst xmlns="http://schemas.openxmlformats.org/spreadsheetml/2006/main" count="421" uniqueCount="72">
  <si>
    <t>NÚMERO</t>
  </si>
  <si>
    <t>MAQUINA</t>
  </si>
  <si>
    <t>MARCA</t>
  </si>
  <si>
    <t>MODELO</t>
  </si>
  <si>
    <t>NO. SERIE</t>
  </si>
  <si>
    <t>OPERADOR</t>
  </si>
  <si>
    <t>DIA</t>
  </si>
  <si>
    <t>CONSUMO (LITROS)</t>
  </si>
  <si>
    <t>TOTAL</t>
  </si>
  <si>
    <t xml:space="preserve">COMENTARIOS </t>
  </si>
  <si>
    <t>RETROEXCAVADORA CASE 1</t>
  </si>
  <si>
    <t>CASE</t>
  </si>
  <si>
    <t>580N</t>
  </si>
  <si>
    <t>JJGN580NHAC535026</t>
  </si>
  <si>
    <t>HECTOR FLORES FLORES</t>
  </si>
  <si>
    <t>LUNES</t>
  </si>
  <si>
    <t xml:space="preserve">MARTES </t>
  </si>
  <si>
    <t>MIERCOLES</t>
  </si>
  <si>
    <t>JUEVES</t>
  </si>
  <si>
    <t xml:space="preserve">VIERNES </t>
  </si>
  <si>
    <t>RETROEXCAVADORA CASE 2</t>
  </si>
  <si>
    <t>JJGN580NABC540211</t>
  </si>
  <si>
    <t>OMAR MARTINEZ COSTILLA</t>
  </si>
  <si>
    <t>SABADO</t>
  </si>
  <si>
    <t>HOMBRE A BORDO</t>
  </si>
  <si>
    <t>CIPSA</t>
  </si>
  <si>
    <t>SL2000</t>
  </si>
  <si>
    <t>PABLO ALMAZAN JUAREZ</t>
  </si>
  <si>
    <t>LIMPIEZA DE 2 CUADRILLAS DE BACHEO</t>
  </si>
  <si>
    <t>-</t>
  </si>
  <si>
    <t>MOTOCOMFORMADORA 140 H</t>
  </si>
  <si>
    <t>CATERPILLAR</t>
  </si>
  <si>
    <t>140H</t>
  </si>
  <si>
    <t>*CAT0140HEAPM00542*</t>
  </si>
  <si>
    <t>JOSE LUIS MENDOZA ZARZA</t>
  </si>
  <si>
    <t xml:space="preserve">VIBROCOMPACTADOR </t>
  </si>
  <si>
    <t>CS-533E</t>
  </si>
  <si>
    <t>*CATCS533TBZE02870*</t>
  </si>
  <si>
    <t>GUILLERMO REYES VAZQUEZ</t>
  </si>
  <si>
    <t xml:space="preserve">ENCARGADO DE OBRA: ING. DIEGO CARREOLA MONROY </t>
  </si>
  <si>
    <t>LITROS</t>
  </si>
  <si>
    <t xml:space="preserve">SEMANA </t>
  </si>
  <si>
    <t>CARGA (LITROS)</t>
  </si>
  <si>
    <t>CAT</t>
  </si>
  <si>
    <t>320D RR</t>
  </si>
  <si>
    <t xml:space="preserve">EXCAVADORA </t>
  </si>
  <si>
    <t xml:space="preserve">320 D2 </t>
  </si>
  <si>
    <t>420 E</t>
  </si>
  <si>
    <t xml:space="preserve">RETROEXCAVADORA </t>
  </si>
  <si>
    <t>420 D</t>
  </si>
  <si>
    <t>320D</t>
  </si>
  <si>
    <t>324 DL</t>
  </si>
  <si>
    <t>PERFILADORA ROADTECK</t>
  </si>
  <si>
    <t>CONSUMO SEMANAL DE DIESEL OBRA: VICENTE LOMBARDO TOLEDANO SEMANA 27</t>
  </si>
  <si>
    <t>CONSUMO SEMANAL DE DIESEL OBRA: VICENTE LOMBARDO TOLEDANO SEMANA 28</t>
  </si>
  <si>
    <t>CONSUMO SEMANAL DE DIESEL OBRA: DESASOLVE DE CANALES SEMANA 28</t>
  </si>
  <si>
    <t>VOGUEL-3</t>
  </si>
  <si>
    <t>NEUMATICO CATERPILLAR</t>
  </si>
  <si>
    <t>DOBLE RODILLO</t>
  </si>
  <si>
    <t>CONSUMO SEMANAL DE DIESEL OBRA: DESASOLVE DE CANALES SEMANA 29</t>
  </si>
  <si>
    <t>DANIEL TAPIA VENTOLERO</t>
  </si>
  <si>
    <t xml:space="preserve">JORGE VENTOLERO CORRAL </t>
  </si>
  <si>
    <t>JUAN CARLOS BERNAL VALDEZ</t>
  </si>
  <si>
    <t>MIGUEL ANGEL BERNAL ESPINOZA</t>
  </si>
  <si>
    <t>JORGE DAVID AMPARO MARTINEZ</t>
  </si>
  <si>
    <t xml:space="preserve">RODRIGO GIOVANNI CARBAJAL GOMORA </t>
  </si>
  <si>
    <t>ERICK PEÑALOSA MENDOZA</t>
  </si>
  <si>
    <t>CONSUMO SEMANAL DE DIESEL OBRA: VICENTE LOMBARDO TOLEDANO SEMANA 29</t>
  </si>
  <si>
    <t>CONSUMO SEMANAL DE DIESEL OBRA: DESASOLVE DE CANALES SEMANA 30</t>
  </si>
  <si>
    <t xml:space="preserve">PABLO GOMEZ MARTINEZ </t>
  </si>
  <si>
    <t xml:space="preserve">CONSUMO SEMANAL DE DIESEL OBRA: BACHEO TOLUCA </t>
  </si>
  <si>
    <t xml:space="preserve">JOSE HUMBERTO LOA PATIÑO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</si>
</sst>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right" vertical="center" wrapText="1"/>
    </xf>
    <xf numFmtId="0" fontId="4" fillId="3" borderId="35" xfId="0" applyFont="1" applyFill="1" applyBorder="1" applyAlignment="1">
      <alignment horizontal="center" vertical="center" wrapText="1"/>
    </xf>
    <xf numFmtId="14" fontId="1" fillId="0" borderId="29" xfId="0" applyNumberFormat="1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14" fontId="1" fillId="0" borderId="23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 vertical="center" wrapText="1"/>
    </xf>
    <xf numFmtId="14" fontId="1" fillId="0" borderId="33" xfId="0" applyNumberFormat="1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14" fontId="7" fillId="0" borderId="29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14" fontId="7" fillId="0" borderId="27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right" vertical="center" wrapText="1"/>
    </xf>
    <xf numFmtId="0" fontId="6" fillId="3" borderId="32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4" fillId="3" borderId="32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right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B027-20F5-48BA-9892-B6292D7CE40E}">
  <sheetPr>
    <pageSetUpPr fitToPage="1"/>
  </sheetPr>
  <dimension ref="B1:M174"/>
  <sheetViews>
    <sheetView view="pageBreakPreview" topLeftCell="B135" zoomScale="70" zoomScaleNormal="100" zoomScaleSheetLayoutView="70" workbookViewId="0">
      <selection activeCell="I156" sqref="I156:I161"/>
    </sheetView>
  </sheetViews>
  <sheetFormatPr baseColWidth="10" defaultColWidth="11.5546875" defaultRowHeight="11.4" x14ac:dyDescent="0.3"/>
  <cols>
    <col min="1" max="1" width="4.6640625" style="1" customWidth="1"/>
    <col min="2" max="2" width="24.33203125" style="1" customWidth="1"/>
    <col min="3" max="3" width="11" style="19" customWidth="1"/>
    <col min="4" max="4" width="34.88671875" style="1" bestFit="1" customWidth="1"/>
    <col min="5" max="5" width="12.6640625" style="1" customWidth="1"/>
    <col min="6" max="6" width="11.5546875" style="1" customWidth="1"/>
    <col min="7" max="7" width="23.44140625" style="1" customWidth="1"/>
    <col min="8" max="9" width="24.33203125" style="1" customWidth="1"/>
    <col min="10" max="10" width="13.88671875" style="1" customWidth="1"/>
    <col min="11" max="12" width="11.5546875" style="1"/>
    <col min="13" max="13" width="119.5546875" style="1" bestFit="1" customWidth="1"/>
    <col min="14" max="14" width="4.33203125" style="1" customWidth="1"/>
    <col min="15" max="16384" width="11.5546875" style="1"/>
  </cols>
  <sheetData>
    <row r="1" spans="2:13" ht="14.4" customHeight="1" x14ac:dyDescent="0.3">
      <c r="B1" s="142" t="s">
        <v>53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</row>
    <row r="2" spans="2:13" ht="15.6" customHeight="1" thickBot="1" x14ac:dyDescent="0.35"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3" ht="26.25" customHeight="1" thickBot="1" x14ac:dyDescent="0.35">
      <c r="B3" s="3" t="s">
        <v>41</v>
      </c>
      <c r="C3" s="2" t="s">
        <v>0</v>
      </c>
      <c r="D3" s="3" t="s">
        <v>1</v>
      </c>
      <c r="E3" s="4" t="s">
        <v>2</v>
      </c>
      <c r="F3" s="3" t="s">
        <v>3</v>
      </c>
      <c r="G3" s="4" t="s">
        <v>4</v>
      </c>
      <c r="H3" s="3" t="s">
        <v>5</v>
      </c>
      <c r="I3" s="4" t="s">
        <v>41</v>
      </c>
      <c r="J3" s="3" t="s">
        <v>6</v>
      </c>
      <c r="K3" s="3" t="s">
        <v>42</v>
      </c>
      <c r="L3" s="5" t="s">
        <v>8</v>
      </c>
      <c r="M3" s="5" t="s">
        <v>9</v>
      </c>
    </row>
    <row r="4" spans="2:13" x14ac:dyDescent="0.3">
      <c r="B4" s="168">
        <v>27</v>
      </c>
      <c r="C4" s="161">
        <v>1</v>
      </c>
      <c r="D4" s="120" t="s">
        <v>10</v>
      </c>
      <c r="E4" s="137" t="s">
        <v>11</v>
      </c>
      <c r="F4" s="120" t="s">
        <v>12</v>
      </c>
      <c r="G4" s="137" t="s">
        <v>13</v>
      </c>
      <c r="H4" s="120" t="s">
        <v>14</v>
      </c>
      <c r="I4" s="117">
        <v>27</v>
      </c>
      <c r="J4" s="17" t="s">
        <v>15</v>
      </c>
      <c r="K4" s="7">
        <v>50</v>
      </c>
      <c r="L4" s="130">
        <f>K4+K5+K6+K7+K8</f>
        <v>180</v>
      </c>
      <c r="M4" s="8"/>
    </row>
    <row r="5" spans="2:13" ht="15" customHeight="1" x14ac:dyDescent="0.3">
      <c r="B5" s="169"/>
      <c r="C5" s="162"/>
      <c r="D5" s="121"/>
      <c r="E5" s="138"/>
      <c r="F5" s="121"/>
      <c r="G5" s="138"/>
      <c r="H5" s="121"/>
      <c r="I5" s="118"/>
      <c r="J5" s="10" t="s">
        <v>16</v>
      </c>
      <c r="K5" s="10"/>
      <c r="L5" s="131"/>
      <c r="M5" s="11"/>
    </row>
    <row r="6" spans="2:13" ht="15" customHeight="1" x14ac:dyDescent="0.3">
      <c r="B6" s="169"/>
      <c r="C6" s="162"/>
      <c r="D6" s="121"/>
      <c r="E6" s="138"/>
      <c r="F6" s="121"/>
      <c r="G6" s="138"/>
      <c r="H6" s="121"/>
      <c r="I6" s="118"/>
      <c r="J6" s="10" t="s">
        <v>17</v>
      </c>
      <c r="K6" s="10"/>
      <c r="L6" s="131"/>
      <c r="M6" s="11"/>
    </row>
    <row r="7" spans="2:13" ht="15" customHeight="1" x14ac:dyDescent="0.3">
      <c r="B7" s="169"/>
      <c r="C7" s="162"/>
      <c r="D7" s="121"/>
      <c r="E7" s="138"/>
      <c r="F7" s="121"/>
      <c r="G7" s="138"/>
      <c r="H7" s="121"/>
      <c r="I7" s="118"/>
      <c r="J7" s="10" t="s">
        <v>18</v>
      </c>
      <c r="K7" s="10">
        <v>50</v>
      </c>
      <c r="L7" s="131"/>
      <c r="M7" s="11"/>
    </row>
    <row r="8" spans="2:13" ht="15.75" customHeight="1" thickBot="1" x14ac:dyDescent="0.35">
      <c r="B8" s="169"/>
      <c r="C8" s="163"/>
      <c r="D8" s="129"/>
      <c r="E8" s="139"/>
      <c r="F8" s="129"/>
      <c r="G8" s="139"/>
      <c r="H8" s="129"/>
      <c r="I8" s="119"/>
      <c r="J8" s="13" t="s">
        <v>19</v>
      </c>
      <c r="K8" s="13">
        <v>80</v>
      </c>
      <c r="L8" s="132"/>
      <c r="M8" s="14"/>
    </row>
    <row r="9" spans="2:13" ht="15" customHeight="1" x14ac:dyDescent="0.3">
      <c r="B9" s="169"/>
      <c r="C9" s="123">
        <v>2</v>
      </c>
      <c r="D9" s="126" t="s">
        <v>20</v>
      </c>
      <c r="E9" s="126" t="s">
        <v>11</v>
      </c>
      <c r="F9" s="126" t="s">
        <v>12</v>
      </c>
      <c r="G9" s="126" t="s">
        <v>21</v>
      </c>
      <c r="H9" s="117" t="s">
        <v>22</v>
      </c>
      <c r="I9" s="117">
        <v>27</v>
      </c>
      <c r="J9" s="7" t="s">
        <v>15</v>
      </c>
      <c r="K9" s="7">
        <v>50</v>
      </c>
      <c r="L9" s="126">
        <f>K9+K10+K11+K12+K13+K14</f>
        <v>198</v>
      </c>
      <c r="M9" s="15"/>
    </row>
    <row r="10" spans="2:13" ht="15" customHeight="1" x14ac:dyDescent="0.3">
      <c r="B10" s="169"/>
      <c r="C10" s="124"/>
      <c r="D10" s="127"/>
      <c r="E10" s="127"/>
      <c r="F10" s="127"/>
      <c r="G10" s="127"/>
      <c r="H10" s="118"/>
      <c r="I10" s="118"/>
      <c r="J10" s="10" t="s">
        <v>16</v>
      </c>
      <c r="K10" s="10"/>
      <c r="L10" s="127"/>
      <c r="M10" s="11"/>
    </row>
    <row r="11" spans="2:13" ht="15" customHeight="1" x14ac:dyDescent="0.3">
      <c r="B11" s="169"/>
      <c r="C11" s="124"/>
      <c r="D11" s="127"/>
      <c r="E11" s="127"/>
      <c r="F11" s="127"/>
      <c r="G11" s="127"/>
      <c r="H11" s="118"/>
      <c r="I11" s="118"/>
      <c r="J11" s="10" t="s">
        <v>17</v>
      </c>
      <c r="K11" s="10">
        <v>20</v>
      </c>
      <c r="L11" s="127"/>
      <c r="M11" s="11"/>
    </row>
    <row r="12" spans="2:13" ht="15" customHeight="1" x14ac:dyDescent="0.3">
      <c r="B12" s="169"/>
      <c r="C12" s="124"/>
      <c r="D12" s="127"/>
      <c r="E12" s="127"/>
      <c r="F12" s="127"/>
      <c r="G12" s="127"/>
      <c r="H12" s="118"/>
      <c r="I12" s="118"/>
      <c r="J12" s="10" t="s">
        <v>18</v>
      </c>
      <c r="K12" s="10"/>
      <c r="L12" s="127"/>
      <c r="M12" s="11"/>
    </row>
    <row r="13" spans="2:13" ht="15.75" customHeight="1" x14ac:dyDescent="0.3">
      <c r="B13" s="169"/>
      <c r="C13" s="124"/>
      <c r="D13" s="127"/>
      <c r="E13" s="127"/>
      <c r="F13" s="127"/>
      <c r="G13" s="127"/>
      <c r="H13" s="118"/>
      <c r="I13" s="118"/>
      <c r="J13" s="10" t="s">
        <v>19</v>
      </c>
      <c r="K13" s="10">
        <f>80+48</f>
        <v>128</v>
      </c>
      <c r="L13" s="127"/>
      <c r="M13" s="11"/>
    </row>
    <row r="14" spans="2:13" ht="15" customHeight="1" thickBot="1" x14ac:dyDescent="0.35">
      <c r="B14" s="169"/>
      <c r="C14" s="125"/>
      <c r="D14" s="128"/>
      <c r="E14" s="128"/>
      <c r="F14" s="128"/>
      <c r="G14" s="128"/>
      <c r="H14" s="119"/>
      <c r="I14" s="119"/>
      <c r="J14" s="22" t="s">
        <v>23</v>
      </c>
      <c r="K14" s="22"/>
      <c r="L14" s="128"/>
      <c r="M14" s="16"/>
    </row>
    <row r="15" spans="2:13" ht="15" customHeight="1" x14ac:dyDescent="0.3">
      <c r="B15" s="169"/>
      <c r="C15" s="161">
        <v>3</v>
      </c>
      <c r="D15" s="160" t="s">
        <v>24</v>
      </c>
      <c r="E15" s="137" t="s">
        <v>25</v>
      </c>
      <c r="F15" s="160" t="s">
        <v>26</v>
      </c>
      <c r="G15" s="137"/>
      <c r="H15" s="160" t="s">
        <v>27</v>
      </c>
      <c r="I15" s="126">
        <v>27</v>
      </c>
      <c r="J15" s="17" t="s">
        <v>15</v>
      </c>
      <c r="K15" s="17">
        <v>10</v>
      </c>
      <c r="L15" s="160">
        <f>K15+K16+K17+K18+K19</f>
        <v>20</v>
      </c>
      <c r="M15" s="8"/>
    </row>
    <row r="16" spans="2:13" ht="15" customHeight="1" x14ac:dyDescent="0.3">
      <c r="B16" s="169"/>
      <c r="C16" s="162"/>
      <c r="D16" s="121"/>
      <c r="E16" s="138"/>
      <c r="F16" s="121"/>
      <c r="G16" s="138"/>
      <c r="H16" s="121"/>
      <c r="I16" s="127"/>
      <c r="J16" s="10" t="s">
        <v>16</v>
      </c>
      <c r="K16" s="10"/>
      <c r="L16" s="121"/>
      <c r="M16" s="11"/>
    </row>
    <row r="17" spans="2:13" ht="15" customHeight="1" x14ac:dyDescent="0.3">
      <c r="B17" s="169"/>
      <c r="C17" s="162"/>
      <c r="D17" s="121"/>
      <c r="E17" s="138"/>
      <c r="F17" s="121"/>
      <c r="G17" s="138"/>
      <c r="H17" s="121"/>
      <c r="I17" s="127"/>
      <c r="J17" s="10" t="s">
        <v>17</v>
      </c>
      <c r="K17" s="10"/>
      <c r="L17" s="121"/>
      <c r="M17" s="11"/>
    </row>
    <row r="18" spans="2:13" ht="15" customHeight="1" x14ac:dyDescent="0.3">
      <c r="B18" s="169"/>
      <c r="C18" s="162"/>
      <c r="D18" s="121"/>
      <c r="E18" s="138"/>
      <c r="F18" s="121"/>
      <c r="G18" s="138"/>
      <c r="H18" s="121"/>
      <c r="I18" s="127"/>
      <c r="J18" s="10" t="s">
        <v>18</v>
      </c>
      <c r="K18" s="10"/>
      <c r="L18" s="121"/>
      <c r="M18" s="11"/>
    </row>
    <row r="19" spans="2:13" ht="15.75" customHeight="1" thickBot="1" x14ac:dyDescent="0.35">
      <c r="B19" s="169"/>
      <c r="C19" s="163"/>
      <c r="D19" s="129"/>
      <c r="E19" s="139"/>
      <c r="F19" s="129"/>
      <c r="G19" s="139"/>
      <c r="H19" s="129"/>
      <c r="I19" s="128"/>
      <c r="J19" s="13" t="s">
        <v>19</v>
      </c>
      <c r="K19" s="13">
        <v>10</v>
      </c>
      <c r="L19" s="129"/>
      <c r="M19" s="14"/>
    </row>
    <row r="20" spans="2:13" ht="15" customHeight="1" x14ac:dyDescent="0.3">
      <c r="B20" s="169"/>
      <c r="C20" s="164">
        <v>4</v>
      </c>
      <c r="D20" s="120" t="s">
        <v>28</v>
      </c>
      <c r="E20" s="140" t="s">
        <v>29</v>
      </c>
      <c r="F20" s="120" t="s">
        <v>29</v>
      </c>
      <c r="G20" s="140"/>
      <c r="H20" s="120" t="s">
        <v>29</v>
      </c>
      <c r="I20" s="126">
        <v>27</v>
      </c>
      <c r="J20" s="7" t="s">
        <v>15</v>
      </c>
      <c r="K20" s="7"/>
      <c r="L20" s="120">
        <f>K20+K21+K22+K23+K24</f>
        <v>10</v>
      </c>
      <c r="M20" s="15"/>
    </row>
    <row r="21" spans="2:13" ht="15" customHeight="1" x14ac:dyDescent="0.3">
      <c r="B21" s="169"/>
      <c r="C21" s="162"/>
      <c r="D21" s="121"/>
      <c r="E21" s="138"/>
      <c r="F21" s="121"/>
      <c r="G21" s="138"/>
      <c r="H21" s="121"/>
      <c r="I21" s="127"/>
      <c r="J21" s="10" t="s">
        <v>16</v>
      </c>
      <c r="K21" s="10"/>
      <c r="L21" s="121"/>
      <c r="M21" s="11"/>
    </row>
    <row r="22" spans="2:13" ht="15" customHeight="1" x14ac:dyDescent="0.3">
      <c r="B22" s="169"/>
      <c r="C22" s="162"/>
      <c r="D22" s="121"/>
      <c r="E22" s="138"/>
      <c r="F22" s="121"/>
      <c r="G22" s="138"/>
      <c r="H22" s="121"/>
      <c r="I22" s="127"/>
      <c r="J22" s="10" t="s">
        <v>17</v>
      </c>
      <c r="K22" s="10"/>
      <c r="L22" s="121"/>
      <c r="M22" s="11"/>
    </row>
    <row r="23" spans="2:13" ht="15" customHeight="1" x14ac:dyDescent="0.3">
      <c r="B23" s="169"/>
      <c r="C23" s="162"/>
      <c r="D23" s="121"/>
      <c r="E23" s="138"/>
      <c r="F23" s="121"/>
      <c r="G23" s="138"/>
      <c r="H23" s="121"/>
      <c r="I23" s="127"/>
      <c r="J23" s="10" t="s">
        <v>18</v>
      </c>
      <c r="K23" s="10"/>
      <c r="L23" s="121"/>
      <c r="M23" s="11"/>
    </row>
    <row r="24" spans="2:13" ht="15.75" customHeight="1" thickBot="1" x14ac:dyDescent="0.35">
      <c r="B24" s="169"/>
      <c r="C24" s="163"/>
      <c r="D24" s="129"/>
      <c r="E24" s="139"/>
      <c r="F24" s="129"/>
      <c r="G24" s="139"/>
      <c r="H24" s="129"/>
      <c r="I24" s="128"/>
      <c r="J24" s="13" t="s">
        <v>19</v>
      </c>
      <c r="K24" s="13">
        <v>10</v>
      </c>
      <c r="L24" s="129"/>
      <c r="M24" s="14"/>
    </row>
    <row r="25" spans="2:13" ht="15" customHeight="1" x14ac:dyDescent="0.3">
      <c r="B25" s="169"/>
      <c r="C25" s="123">
        <v>5</v>
      </c>
      <c r="D25" s="126" t="s">
        <v>30</v>
      </c>
      <c r="E25" s="126" t="s">
        <v>31</v>
      </c>
      <c r="F25" s="126" t="s">
        <v>32</v>
      </c>
      <c r="G25" s="126" t="s">
        <v>33</v>
      </c>
      <c r="H25" s="126" t="s">
        <v>34</v>
      </c>
      <c r="I25" s="126">
        <v>27</v>
      </c>
      <c r="J25" s="7" t="s">
        <v>15</v>
      </c>
      <c r="K25" s="7"/>
      <c r="L25" s="126">
        <f>K25+K26+K27+K28+K29</f>
        <v>242</v>
      </c>
      <c r="M25" s="15"/>
    </row>
    <row r="26" spans="2:13" ht="15" customHeight="1" x14ac:dyDescent="0.3">
      <c r="B26" s="169"/>
      <c r="C26" s="124"/>
      <c r="D26" s="127"/>
      <c r="E26" s="127"/>
      <c r="F26" s="127"/>
      <c r="G26" s="127"/>
      <c r="H26" s="127"/>
      <c r="I26" s="127"/>
      <c r="J26" s="10" t="s">
        <v>16</v>
      </c>
      <c r="K26" s="10">
        <v>80</v>
      </c>
      <c r="L26" s="127"/>
      <c r="M26" s="11"/>
    </row>
    <row r="27" spans="2:13" ht="15" customHeight="1" x14ac:dyDescent="0.3">
      <c r="B27" s="169"/>
      <c r="C27" s="124"/>
      <c r="D27" s="127"/>
      <c r="E27" s="127"/>
      <c r="F27" s="127"/>
      <c r="G27" s="127"/>
      <c r="H27" s="127"/>
      <c r="I27" s="127"/>
      <c r="J27" s="10" t="s">
        <v>17</v>
      </c>
      <c r="K27" s="10">
        <v>100</v>
      </c>
      <c r="L27" s="127"/>
      <c r="M27" s="11"/>
    </row>
    <row r="28" spans="2:13" ht="15" customHeight="1" x14ac:dyDescent="0.3">
      <c r="B28" s="169"/>
      <c r="C28" s="124"/>
      <c r="D28" s="127"/>
      <c r="E28" s="127"/>
      <c r="F28" s="127"/>
      <c r="G28" s="127"/>
      <c r="H28" s="127"/>
      <c r="I28" s="127"/>
      <c r="J28" s="10" t="s">
        <v>18</v>
      </c>
      <c r="K28" s="10">
        <v>62</v>
      </c>
      <c r="L28" s="127"/>
      <c r="M28" s="11"/>
    </row>
    <row r="29" spans="2:13" ht="15.75" customHeight="1" thickBot="1" x14ac:dyDescent="0.35">
      <c r="B29" s="169"/>
      <c r="C29" s="125"/>
      <c r="D29" s="128"/>
      <c r="E29" s="128"/>
      <c r="F29" s="128"/>
      <c r="G29" s="128"/>
      <c r="H29" s="128"/>
      <c r="I29" s="128"/>
      <c r="J29" s="22" t="s">
        <v>23</v>
      </c>
      <c r="K29" s="22"/>
      <c r="L29" s="128"/>
      <c r="M29" s="16"/>
    </row>
    <row r="30" spans="2:13" ht="15" customHeight="1" x14ac:dyDescent="0.3">
      <c r="B30" s="169"/>
      <c r="C30" s="161">
        <v>6</v>
      </c>
      <c r="D30" s="160" t="s">
        <v>35</v>
      </c>
      <c r="E30" s="137" t="s">
        <v>31</v>
      </c>
      <c r="F30" s="160" t="s">
        <v>36</v>
      </c>
      <c r="G30" s="137" t="s">
        <v>37</v>
      </c>
      <c r="H30" s="160" t="s">
        <v>38</v>
      </c>
      <c r="I30" s="126">
        <v>27</v>
      </c>
      <c r="J30" s="17" t="s">
        <v>15</v>
      </c>
      <c r="K30" s="17"/>
      <c r="L30" s="160">
        <f>K30+K31+K32+K33+K34</f>
        <v>111</v>
      </c>
      <c r="M30" s="8"/>
    </row>
    <row r="31" spans="2:13" ht="15" customHeight="1" x14ac:dyDescent="0.3">
      <c r="B31" s="169"/>
      <c r="C31" s="162"/>
      <c r="D31" s="121"/>
      <c r="E31" s="138"/>
      <c r="F31" s="121"/>
      <c r="G31" s="138"/>
      <c r="H31" s="121"/>
      <c r="I31" s="127"/>
      <c r="J31" s="10" t="s">
        <v>16</v>
      </c>
      <c r="K31" s="10">
        <v>31</v>
      </c>
      <c r="L31" s="121"/>
      <c r="M31" s="11"/>
    </row>
    <row r="32" spans="2:13" ht="15" customHeight="1" x14ac:dyDescent="0.3">
      <c r="B32" s="169"/>
      <c r="C32" s="162"/>
      <c r="D32" s="121"/>
      <c r="E32" s="138"/>
      <c r="F32" s="121"/>
      <c r="G32" s="138"/>
      <c r="H32" s="121"/>
      <c r="I32" s="127"/>
      <c r="J32" s="10" t="s">
        <v>17</v>
      </c>
      <c r="K32" s="10"/>
      <c r="L32" s="121"/>
      <c r="M32" s="11"/>
    </row>
    <row r="33" spans="2:13" ht="15" customHeight="1" x14ac:dyDescent="0.3">
      <c r="B33" s="169"/>
      <c r="C33" s="162"/>
      <c r="D33" s="121"/>
      <c r="E33" s="138"/>
      <c r="F33" s="121"/>
      <c r="G33" s="138"/>
      <c r="H33" s="121"/>
      <c r="I33" s="127"/>
      <c r="J33" s="10" t="s">
        <v>18</v>
      </c>
      <c r="K33" s="10"/>
      <c r="L33" s="121"/>
      <c r="M33" s="11"/>
    </row>
    <row r="34" spans="2:13" ht="15.75" customHeight="1" thickBot="1" x14ac:dyDescent="0.35">
      <c r="B34" s="169"/>
      <c r="C34" s="165"/>
      <c r="D34" s="122"/>
      <c r="E34" s="141"/>
      <c r="F34" s="122"/>
      <c r="G34" s="141"/>
      <c r="H34" s="122"/>
      <c r="I34" s="128"/>
      <c r="J34" s="18" t="s">
        <v>19</v>
      </c>
      <c r="K34" s="18">
        <v>80</v>
      </c>
      <c r="L34" s="122"/>
      <c r="M34" s="16"/>
    </row>
    <row r="35" spans="2:13" ht="15" customHeight="1" x14ac:dyDescent="0.3">
      <c r="B35" s="169"/>
      <c r="C35" s="161">
        <v>7</v>
      </c>
      <c r="D35" s="160" t="s">
        <v>52</v>
      </c>
      <c r="E35" s="137"/>
      <c r="F35" s="160"/>
      <c r="G35" s="137"/>
      <c r="H35" s="160"/>
      <c r="I35" s="126">
        <v>27</v>
      </c>
      <c r="J35" s="17" t="s">
        <v>15</v>
      </c>
      <c r="K35" s="17"/>
      <c r="L35" s="160">
        <f>K35+K36+K37+K38+K39</f>
        <v>96</v>
      </c>
      <c r="M35" s="8"/>
    </row>
    <row r="36" spans="2:13" ht="15" customHeight="1" x14ac:dyDescent="0.3">
      <c r="B36" s="169"/>
      <c r="C36" s="162"/>
      <c r="D36" s="121"/>
      <c r="E36" s="138"/>
      <c r="F36" s="121"/>
      <c r="G36" s="138"/>
      <c r="H36" s="121"/>
      <c r="I36" s="127"/>
      <c r="J36" s="10" t="s">
        <v>16</v>
      </c>
      <c r="K36" s="10">
        <v>96</v>
      </c>
      <c r="L36" s="121"/>
      <c r="M36" s="11"/>
    </row>
    <row r="37" spans="2:13" ht="15" customHeight="1" x14ac:dyDescent="0.3">
      <c r="B37" s="169"/>
      <c r="C37" s="162"/>
      <c r="D37" s="121"/>
      <c r="E37" s="138"/>
      <c r="F37" s="121"/>
      <c r="G37" s="138"/>
      <c r="H37" s="121"/>
      <c r="I37" s="127"/>
      <c r="J37" s="10" t="s">
        <v>17</v>
      </c>
      <c r="K37" s="10"/>
      <c r="L37" s="121"/>
      <c r="M37" s="11"/>
    </row>
    <row r="38" spans="2:13" ht="15" customHeight="1" x14ac:dyDescent="0.3">
      <c r="B38" s="169"/>
      <c r="C38" s="162"/>
      <c r="D38" s="121"/>
      <c r="E38" s="138"/>
      <c r="F38" s="121"/>
      <c r="G38" s="138"/>
      <c r="H38" s="121"/>
      <c r="I38" s="127"/>
      <c r="J38" s="10" t="s">
        <v>18</v>
      </c>
      <c r="K38" s="10"/>
      <c r="L38" s="121"/>
      <c r="M38" s="11"/>
    </row>
    <row r="39" spans="2:13" ht="15.75" customHeight="1" thickBot="1" x14ac:dyDescent="0.35">
      <c r="B39" s="169"/>
      <c r="C39" s="165"/>
      <c r="D39" s="122"/>
      <c r="E39" s="141"/>
      <c r="F39" s="122"/>
      <c r="G39" s="141"/>
      <c r="H39" s="122"/>
      <c r="I39" s="128"/>
      <c r="J39" s="18" t="s">
        <v>19</v>
      </c>
      <c r="K39" s="18"/>
      <c r="L39" s="122"/>
      <c r="M39" s="16"/>
    </row>
    <row r="40" spans="2:13" ht="15" customHeight="1" x14ac:dyDescent="0.3">
      <c r="B40" s="169"/>
      <c r="C40" s="123">
        <v>8</v>
      </c>
      <c r="D40" s="126" t="s">
        <v>56</v>
      </c>
      <c r="E40" s="126"/>
      <c r="F40" s="126"/>
      <c r="G40" s="126"/>
      <c r="H40" s="126"/>
      <c r="I40" s="126">
        <v>27</v>
      </c>
      <c r="J40" s="7" t="s">
        <v>15</v>
      </c>
      <c r="K40" s="7"/>
      <c r="L40" s="126">
        <f>K40+K41+K42+K43+K44+K45</f>
        <v>210</v>
      </c>
      <c r="M40" s="15"/>
    </row>
    <row r="41" spans="2:13" ht="15" customHeight="1" x14ac:dyDescent="0.3">
      <c r="B41" s="169"/>
      <c r="C41" s="124"/>
      <c r="D41" s="127"/>
      <c r="E41" s="127"/>
      <c r="F41" s="127"/>
      <c r="G41" s="127"/>
      <c r="H41" s="127"/>
      <c r="I41" s="127"/>
      <c r="J41" s="10" t="s">
        <v>16</v>
      </c>
      <c r="K41" s="10"/>
      <c r="L41" s="127"/>
      <c r="M41" s="11"/>
    </row>
    <row r="42" spans="2:13" ht="15" customHeight="1" x14ac:dyDescent="0.3">
      <c r="B42" s="169"/>
      <c r="C42" s="124"/>
      <c r="D42" s="127"/>
      <c r="E42" s="127"/>
      <c r="F42" s="127"/>
      <c r="G42" s="127"/>
      <c r="H42" s="127"/>
      <c r="I42" s="127"/>
      <c r="J42" s="10" t="s">
        <v>17</v>
      </c>
      <c r="K42" s="10">
        <v>100</v>
      </c>
      <c r="L42" s="127"/>
      <c r="M42" s="11"/>
    </row>
    <row r="43" spans="2:13" ht="15" customHeight="1" x14ac:dyDescent="0.3">
      <c r="B43" s="169"/>
      <c r="C43" s="124"/>
      <c r="D43" s="127"/>
      <c r="E43" s="127"/>
      <c r="F43" s="127"/>
      <c r="G43" s="127"/>
      <c r="H43" s="127"/>
      <c r="I43" s="127"/>
      <c r="J43" s="10" t="s">
        <v>18</v>
      </c>
      <c r="K43" s="10"/>
      <c r="L43" s="127"/>
      <c r="M43" s="11"/>
    </row>
    <row r="44" spans="2:13" ht="15.75" customHeight="1" x14ac:dyDescent="0.3">
      <c r="B44" s="169"/>
      <c r="C44" s="124"/>
      <c r="D44" s="127"/>
      <c r="E44" s="127"/>
      <c r="F44" s="127"/>
      <c r="G44" s="127"/>
      <c r="H44" s="127"/>
      <c r="I44" s="127"/>
      <c r="J44" s="10" t="s">
        <v>19</v>
      </c>
      <c r="K44" s="10"/>
      <c r="L44" s="127"/>
      <c r="M44" s="11"/>
    </row>
    <row r="45" spans="2:13" ht="15.75" customHeight="1" thickBot="1" x14ac:dyDescent="0.35">
      <c r="B45" s="169"/>
      <c r="C45" s="125"/>
      <c r="D45" s="128"/>
      <c r="E45" s="128"/>
      <c r="F45" s="128"/>
      <c r="G45" s="128"/>
      <c r="H45" s="128"/>
      <c r="I45" s="128"/>
      <c r="J45" s="22" t="s">
        <v>23</v>
      </c>
      <c r="K45" s="22">
        <v>110</v>
      </c>
      <c r="L45" s="128"/>
      <c r="M45" s="16"/>
    </row>
    <row r="46" spans="2:13" ht="15" customHeight="1" x14ac:dyDescent="0.3">
      <c r="B46" s="169"/>
      <c r="C46" s="123">
        <v>9</v>
      </c>
      <c r="D46" s="126" t="s">
        <v>57</v>
      </c>
      <c r="E46" s="126"/>
      <c r="F46" s="126"/>
      <c r="G46" s="126"/>
      <c r="H46" s="126"/>
      <c r="I46" s="126">
        <v>27</v>
      </c>
      <c r="J46" s="7" t="s">
        <v>15</v>
      </c>
      <c r="K46" s="7"/>
      <c r="L46" s="126">
        <f>K46+K47+K48+K49+K50+K51</f>
        <v>50</v>
      </c>
      <c r="M46" s="15"/>
    </row>
    <row r="47" spans="2:13" ht="15" customHeight="1" x14ac:dyDescent="0.3">
      <c r="B47" s="169"/>
      <c r="C47" s="124"/>
      <c r="D47" s="127"/>
      <c r="E47" s="127"/>
      <c r="F47" s="127"/>
      <c r="G47" s="127"/>
      <c r="H47" s="127"/>
      <c r="I47" s="127"/>
      <c r="J47" s="10" t="s">
        <v>16</v>
      </c>
      <c r="K47" s="10"/>
      <c r="L47" s="127"/>
      <c r="M47" s="11"/>
    </row>
    <row r="48" spans="2:13" ht="15" customHeight="1" x14ac:dyDescent="0.3">
      <c r="B48" s="169"/>
      <c r="C48" s="124"/>
      <c r="D48" s="127"/>
      <c r="E48" s="127"/>
      <c r="F48" s="127"/>
      <c r="G48" s="127"/>
      <c r="H48" s="127"/>
      <c r="I48" s="127"/>
      <c r="J48" s="10" t="s">
        <v>17</v>
      </c>
      <c r="K48" s="10"/>
      <c r="L48" s="127"/>
      <c r="M48" s="11"/>
    </row>
    <row r="49" spans="2:13" ht="15" customHeight="1" x14ac:dyDescent="0.3">
      <c r="B49" s="169"/>
      <c r="C49" s="124"/>
      <c r="D49" s="127"/>
      <c r="E49" s="127"/>
      <c r="F49" s="127"/>
      <c r="G49" s="127"/>
      <c r="H49" s="127"/>
      <c r="I49" s="127"/>
      <c r="J49" s="10" t="s">
        <v>18</v>
      </c>
      <c r="K49" s="10"/>
      <c r="L49" s="127"/>
      <c r="M49" s="11"/>
    </row>
    <row r="50" spans="2:13" ht="15.75" customHeight="1" x14ac:dyDescent="0.3">
      <c r="B50" s="169"/>
      <c r="C50" s="124"/>
      <c r="D50" s="127"/>
      <c r="E50" s="127"/>
      <c r="F50" s="127"/>
      <c r="G50" s="127"/>
      <c r="H50" s="127"/>
      <c r="I50" s="127"/>
      <c r="J50" s="10" t="s">
        <v>19</v>
      </c>
      <c r="K50" s="10"/>
      <c r="L50" s="127"/>
      <c r="M50" s="11"/>
    </row>
    <row r="51" spans="2:13" ht="15.75" customHeight="1" thickBot="1" x14ac:dyDescent="0.35">
      <c r="B51" s="169"/>
      <c r="C51" s="125"/>
      <c r="D51" s="128"/>
      <c r="E51" s="128"/>
      <c r="F51" s="128"/>
      <c r="G51" s="128"/>
      <c r="H51" s="128"/>
      <c r="I51" s="128"/>
      <c r="J51" s="22" t="s">
        <v>23</v>
      </c>
      <c r="K51" s="22">
        <v>50</v>
      </c>
      <c r="L51" s="128"/>
      <c r="M51" s="30"/>
    </row>
    <row r="52" spans="2:13" ht="15" customHeight="1" x14ac:dyDescent="0.3">
      <c r="B52" s="169"/>
      <c r="C52" s="123">
        <v>10</v>
      </c>
      <c r="D52" s="126" t="s">
        <v>58</v>
      </c>
      <c r="E52" s="126"/>
      <c r="F52" s="126"/>
      <c r="G52" s="126"/>
      <c r="H52" s="126"/>
      <c r="I52" s="126">
        <v>27</v>
      </c>
      <c r="J52" s="7" t="s">
        <v>15</v>
      </c>
      <c r="K52" s="7"/>
      <c r="L52" s="126">
        <f>K52+K53+K54+K55+K56+K57</f>
        <v>50</v>
      </c>
      <c r="M52" s="15"/>
    </row>
    <row r="53" spans="2:13" ht="15" customHeight="1" x14ac:dyDescent="0.3">
      <c r="B53" s="169"/>
      <c r="C53" s="124"/>
      <c r="D53" s="127"/>
      <c r="E53" s="127"/>
      <c r="F53" s="127"/>
      <c r="G53" s="127"/>
      <c r="H53" s="127"/>
      <c r="I53" s="127"/>
      <c r="J53" s="10" t="s">
        <v>16</v>
      </c>
      <c r="K53" s="10"/>
      <c r="L53" s="127"/>
      <c r="M53" s="11"/>
    </row>
    <row r="54" spans="2:13" ht="15" customHeight="1" x14ac:dyDescent="0.3">
      <c r="B54" s="169"/>
      <c r="C54" s="124"/>
      <c r="D54" s="127"/>
      <c r="E54" s="127"/>
      <c r="F54" s="127"/>
      <c r="G54" s="127"/>
      <c r="H54" s="127"/>
      <c r="I54" s="127"/>
      <c r="J54" s="10" t="s">
        <v>17</v>
      </c>
      <c r="K54" s="10"/>
      <c r="L54" s="127"/>
      <c r="M54" s="11"/>
    </row>
    <row r="55" spans="2:13" ht="15" customHeight="1" x14ac:dyDescent="0.3">
      <c r="B55" s="169"/>
      <c r="C55" s="124"/>
      <c r="D55" s="127"/>
      <c r="E55" s="127"/>
      <c r="F55" s="127"/>
      <c r="G55" s="127"/>
      <c r="H55" s="127"/>
      <c r="I55" s="127"/>
      <c r="J55" s="10" t="s">
        <v>18</v>
      </c>
      <c r="K55" s="10"/>
      <c r="L55" s="127"/>
      <c r="M55" s="11"/>
    </row>
    <row r="56" spans="2:13" ht="15.75" customHeight="1" x14ac:dyDescent="0.3">
      <c r="B56" s="169"/>
      <c r="C56" s="124"/>
      <c r="D56" s="127"/>
      <c r="E56" s="127"/>
      <c r="F56" s="127"/>
      <c r="G56" s="127"/>
      <c r="H56" s="127"/>
      <c r="I56" s="127"/>
      <c r="J56" s="10" t="s">
        <v>19</v>
      </c>
      <c r="K56" s="10"/>
      <c r="L56" s="127"/>
      <c r="M56" s="11"/>
    </row>
    <row r="57" spans="2:13" ht="15.75" customHeight="1" thickBot="1" x14ac:dyDescent="0.35">
      <c r="B57" s="169"/>
      <c r="C57" s="125"/>
      <c r="D57" s="128"/>
      <c r="E57" s="128"/>
      <c r="F57" s="128"/>
      <c r="G57" s="128"/>
      <c r="H57" s="128"/>
      <c r="I57" s="128"/>
      <c r="J57" s="22" t="s">
        <v>23</v>
      </c>
      <c r="K57" s="22">
        <v>50</v>
      </c>
      <c r="L57" s="128"/>
      <c r="M57" s="30"/>
    </row>
    <row r="58" spans="2:13" ht="15" customHeight="1" x14ac:dyDescent="0.3">
      <c r="B58" s="169"/>
      <c r="C58" s="148" t="s">
        <v>39</v>
      </c>
      <c r="D58" s="149"/>
      <c r="E58" s="149"/>
      <c r="F58" s="149"/>
      <c r="G58" s="149"/>
      <c r="H58" s="150"/>
      <c r="I58" s="20"/>
      <c r="J58" s="166" t="s">
        <v>8</v>
      </c>
      <c r="K58" s="156">
        <f>SUM(K4:K57)</f>
        <v>1167</v>
      </c>
      <c r="L58" s="156">
        <f>SUM(L4:L57)</f>
        <v>1167</v>
      </c>
      <c r="M58" s="167" t="s">
        <v>40</v>
      </c>
    </row>
    <row r="59" spans="2:13" ht="15.75" customHeight="1" thickBot="1" x14ac:dyDescent="0.35">
      <c r="B59" s="170"/>
      <c r="C59" s="151"/>
      <c r="D59" s="152"/>
      <c r="E59" s="152"/>
      <c r="F59" s="152"/>
      <c r="G59" s="152"/>
      <c r="H59" s="153"/>
      <c r="I59" s="21"/>
      <c r="J59" s="155"/>
      <c r="K59" s="157"/>
      <c r="L59" s="157"/>
      <c r="M59" s="159"/>
    </row>
    <row r="60" spans="2:13" ht="12" thickBot="1" x14ac:dyDescent="0.35">
      <c r="C60" s="1"/>
    </row>
    <row r="61" spans="2:13" ht="14.4" customHeight="1" x14ac:dyDescent="0.3">
      <c r="B61" s="142" t="s">
        <v>54</v>
      </c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4"/>
    </row>
    <row r="62" spans="2:13" ht="15.6" customHeight="1" thickBot="1" x14ac:dyDescent="0.35">
      <c r="B62" s="145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7"/>
    </row>
    <row r="63" spans="2:13" ht="26.25" customHeight="1" thickBot="1" x14ac:dyDescent="0.35">
      <c r="B63" s="3" t="s">
        <v>41</v>
      </c>
      <c r="C63" s="2" t="s">
        <v>0</v>
      </c>
      <c r="D63" s="3" t="s">
        <v>1</v>
      </c>
      <c r="E63" s="4" t="s">
        <v>2</v>
      </c>
      <c r="F63" s="3" t="s">
        <v>3</v>
      </c>
      <c r="G63" s="4" t="s">
        <v>4</v>
      </c>
      <c r="H63" s="3" t="s">
        <v>5</v>
      </c>
      <c r="I63" s="4" t="s">
        <v>41</v>
      </c>
      <c r="J63" s="3" t="s">
        <v>6</v>
      </c>
      <c r="K63" s="3" t="s">
        <v>42</v>
      </c>
      <c r="L63" s="5" t="s">
        <v>8</v>
      </c>
      <c r="M63" s="5" t="s">
        <v>9</v>
      </c>
    </row>
    <row r="64" spans="2:13" x14ac:dyDescent="0.3">
      <c r="B64" s="168">
        <v>28</v>
      </c>
      <c r="C64" s="161">
        <v>1</v>
      </c>
      <c r="D64" s="120" t="s">
        <v>10</v>
      </c>
      <c r="E64" s="137" t="s">
        <v>11</v>
      </c>
      <c r="F64" s="120" t="s">
        <v>12</v>
      </c>
      <c r="G64" s="137" t="s">
        <v>13</v>
      </c>
      <c r="H64" s="120" t="s">
        <v>14</v>
      </c>
      <c r="I64" s="117">
        <v>28</v>
      </c>
      <c r="J64" s="17" t="s">
        <v>15</v>
      </c>
      <c r="K64" s="7"/>
      <c r="L64" s="130">
        <f>K64+K65+K66+K67+K68</f>
        <v>0</v>
      </c>
      <c r="M64" s="8"/>
    </row>
    <row r="65" spans="2:13" ht="15" customHeight="1" x14ac:dyDescent="0.3">
      <c r="B65" s="169"/>
      <c r="C65" s="162"/>
      <c r="D65" s="121"/>
      <c r="E65" s="138"/>
      <c r="F65" s="121"/>
      <c r="G65" s="138"/>
      <c r="H65" s="121"/>
      <c r="I65" s="118"/>
      <c r="J65" s="10" t="s">
        <v>16</v>
      </c>
      <c r="K65" s="10"/>
      <c r="L65" s="131"/>
      <c r="M65" s="11"/>
    </row>
    <row r="66" spans="2:13" ht="15" customHeight="1" x14ac:dyDescent="0.3">
      <c r="B66" s="169"/>
      <c r="C66" s="162"/>
      <c r="D66" s="121"/>
      <c r="E66" s="138"/>
      <c r="F66" s="121"/>
      <c r="G66" s="138"/>
      <c r="H66" s="121"/>
      <c r="I66" s="118"/>
      <c r="J66" s="10" t="s">
        <v>17</v>
      </c>
      <c r="K66" s="10"/>
      <c r="L66" s="131"/>
      <c r="M66" s="11"/>
    </row>
    <row r="67" spans="2:13" ht="15" customHeight="1" x14ac:dyDescent="0.3">
      <c r="B67" s="169"/>
      <c r="C67" s="162"/>
      <c r="D67" s="121"/>
      <c r="E67" s="138"/>
      <c r="F67" s="121"/>
      <c r="G67" s="138"/>
      <c r="H67" s="121"/>
      <c r="I67" s="118"/>
      <c r="J67" s="10" t="s">
        <v>18</v>
      </c>
      <c r="K67" s="10"/>
      <c r="L67" s="131"/>
      <c r="M67" s="11"/>
    </row>
    <row r="68" spans="2:13" ht="15.75" customHeight="1" thickBot="1" x14ac:dyDescent="0.35">
      <c r="B68" s="169"/>
      <c r="C68" s="163"/>
      <c r="D68" s="129"/>
      <c r="E68" s="139"/>
      <c r="F68" s="129"/>
      <c r="G68" s="139"/>
      <c r="H68" s="129"/>
      <c r="I68" s="119"/>
      <c r="J68" s="13" t="s">
        <v>19</v>
      </c>
      <c r="K68" s="13"/>
      <c r="L68" s="132"/>
      <c r="M68" s="14"/>
    </row>
    <row r="69" spans="2:13" ht="15" customHeight="1" x14ac:dyDescent="0.3">
      <c r="B69" s="169"/>
      <c r="C69" s="123">
        <v>2</v>
      </c>
      <c r="D69" s="126" t="s">
        <v>20</v>
      </c>
      <c r="E69" s="126" t="s">
        <v>11</v>
      </c>
      <c r="F69" s="126" t="s">
        <v>12</v>
      </c>
      <c r="G69" s="126" t="s">
        <v>21</v>
      </c>
      <c r="H69" s="117" t="s">
        <v>22</v>
      </c>
      <c r="I69" s="117">
        <v>28</v>
      </c>
      <c r="J69" s="7" t="s">
        <v>15</v>
      </c>
      <c r="K69" s="7">
        <v>50</v>
      </c>
      <c r="L69" s="126">
        <f>K69+K70+K71+K72+K73+K74</f>
        <v>260</v>
      </c>
      <c r="M69" s="15"/>
    </row>
    <row r="70" spans="2:13" ht="15" customHeight="1" x14ac:dyDescent="0.3">
      <c r="B70" s="169"/>
      <c r="C70" s="124"/>
      <c r="D70" s="127"/>
      <c r="E70" s="127"/>
      <c r="F70" s="127"/>
      <c r="G70" s="127"/>
      <c r="H70" s="118"/>
      <c r="I70" s="118"/>
      <c r="J70" s="10" t="s">
        <v>16</v>
      </c>
      <c r="K70" s="10">
        <v>110</v>
      </c>
      <c r="L70" s="127"/>
      <c r="M70" s="11"/>
    </row>
    <row r="71" spans="2:13" ht="15" customHeight="1" x14ac:dyDescent="0.3">
      <c r="B71" s="169"/>
      <c r="C71" s="124"/>
      <c r="D71" s="127"/>
      <c r="E71" s="127"/>
      <c r="F71" s="127"/>
      <c r="G71" s="127"/>
      <c r="H71" s="118"/>
      <c r="I71" s="118"/>
      <c r="J71" s="10" t="s">
        <v>17</v>
      </c>
      <c r="K71" s="10"/>
      <c r="L71" s="127"/>
      <c r="M71" s="11"/>
    </row>
    <row r="72" spans="2:13" ht="15" customHeight="1" x14ac:dyDescent="0.3">
      <c r="B72" s="169"/>
      <c r="C72" s="124"/>
      <c r="D72" s="127"/>
      <c r="E72" s="127"/>
      <c r="F72" s="127"/>
      <c r="G72" s="127"/>
      <c r="H72" s="118"/>
      <c r="I72" s="118"/>
      <c r="J72" s="10" t="s">
        <v>18</v>
      </c>
      <c r="K72" s="10"/>
      <c r="L72" s="127"/>
      <c r="M72" s="11"/>
    </row>
    <row r="73" spans="2:13" ht="15.75" customHeight="1" x14ac:dyDescent="0.3">
      <c r="B73" s="169"/>
      <c r="C73" s="124"/>
      <c r="D73" s="127"/>
      <c r="E73" s="127"/>
      <c r="F73" s="127"/>
      <c r="G73" s="127"/>
      <c r="H73" s="118"/>
      <c r="I73" s="118"/>
      <c r="J73" s="10" t="s">
        <v>19</v>
      </c>
      <c r="K73" s="10"/>
      <c r="L73" s="127"/>
      <c r="M73" s="11"/>
    </row>
    <row r="74" spans="2:13" ht="15" customHeight="1" thickBot="1" x14ac:dyDescent="0.35">
      <c r="B74" s="169"/>
      <c r="C74" s="125"/>
      <c r="D74" s="128"/>
      <c r="E74" s="128"/>
      <c r="F74" s="128"/>
      <c r="G74" s="128"/>
      <c r="H74" s="119"/>
      <c r="I74" s="119"/>
      <c r="J74" s="22" t="s">
        <v>23</v>
      </c>
      <c r="K74" s="22">
        <v>100</v>
      </c>
      <c r="L74" s="128"/>
      <c r="M74" s="16"/>
    </row>
    <row r="75" spans="2:13" ht="15" customHeight="1" x14ac:dyDescent="0.3">
      <c r="B75" s="169"/>
      <c r="C75" s="123">
        <v>3</v>
      </c>
      <c r="D75" s="126" t="s">
        <v>24</v>
      </c>
      <c r="E75" s="126" t="s">
        <v>25</v>
      </c>
      <c r="F75" s="126" t="s">
        <v>26</v>
      </c>
      <c r="G75" s="126"/>
      <c r="H75" s="126" t="s">
        <v>27</v>
      </c>
      <c r="I75" s="126">
        <v>28</v>
      </c>
      <c r="J75" s="17" t="s">
        <v>15</v>
      </c>
      <c r="K75" s="17"/>
      <c r="L75" s="126">
        <f t="shared" ref="L75" si="0">K75+K76+K77+K78+K79+K80</f>
        <v>10</v>
      </c>
      <c r="M75" s="8"/>
    </row>
    <row r="76" spans="2:13" ht="15" customHeight="1" x14ac:dyDescent="0.3">
      <c r="B76" s="169"/>
      <c r="C76" s="124"/>
      <c r="D76" s="127"/>
      <c r="E76" s="127"/>
      <c r="F76" s="127"/>
      <c r="G76" s="127"/>
      <c r="H76" s="127"/>
      <c r="I76" s="127"/>
      <c r="J76" s="10" t="s">
        <v>16</v>
      </c>
      <c r="K76" s="10"/>
      <c r="L76" s="127"/>
      <c r="M76" s="11"/>
    </row>
    <row r="77" spans="2:13" ht="15" customHeight="1" x14ac:dyDescent="0.3">
      <c r="B77" s="169"/>
      <c r="C77" s="124"/>
      <c r="D77" s="127"/>
      <c r="E77" s="127"/>
      <c r="F77" s="127"/>
      <c r="G77" s="127"/>
      <c r="H77" s="127"/>
      <c r="I77" s="127"/>
      <c r="J77" s="10" t="s">
        <v>17</v>
      </c>
      <c r="K77" s="10"/>
      <c r="L77" s="127"/>
      <c r="M77" s="11"/>
    </row>
    <row r="78" spans="2:13" ht="15" customHeight="1" x14ac:dyDescent="0.3">
      <c r="B78" s="169"/>
      <c r="C78" s="124"/>
      <c r="D78" s="127"/>
      <c r="E78" s="127"/>
      <c r="F78" s="127"/>
      <c r="G78" s="127"/>
      <c r="H78" s="127"/>
      <c r="I78" s="127"/>
      <c r="J78" s="10" t="s">
        <v>18</v>
      </c>
      <c r="K78" s="10"/>
      <c r="L78" s="127"/>
      <c r="M78" s="11"/>
    </row>
    <row r="79" spans="2:13" ht="15.75" customHeight="1" x14ac:dyDescent="0.3">
      <c r="B79" s="169"/>
      <c r="C79" s="124"/>
      <c r="D79" s="127"/>
      <c r="E79" s="127"/>
      <c r="F79" s="127"/>
      <c r="G79" s="127"/>
      <c r="H79" s="127"/>
      <c r="I79" s="127"/>
      <c r="J79" s="13" t="s">
        <v>19</v>
      </c>
      <c r="K79" s="13"/>
      <c r="L79" s="127"/>
      <c r="M79" s="14"/>
    </row>
    <row r="80" spans="2:13" ht="15.75" customHeight="1" thickBot="1" x14ac:dyDescent="0.35">
      <c r="B80" s="169"/>
      <c r="C80" s="125"/>
      <c r="D80" s="128"/>
      <c r="E80" s="128"/>
      <c r="F80" s="128"/>
      <c r="G80" s="128"/>
      <c r="H80" s="128"/>
      <c r="I80" s="128"/>
      <c r="J80" s="13" t="s">
        <v>23</v>
      </c>
      <c r="K80" s="13">
        <v>10</v>
      </c>
      <c r="L80" s="128"/>
      <c r="M80" s="14"/>
    </row>
    <row r="81" spans="2:13" ht="15" customHeight="1" x14ac:dyDescent="0.3">
      <c r="B81" s="169"/>
      <c r="C81" s="123">
        <v>4</v>
      </c>
      <c r="D81" s="126" t="s">
        <v>28</v>
      </c>
      <c r="E81" s="126" t="s">
        <v>29</v>
      </c>
      <c r="F81" s="126" t="s">
        <v>29</v>
      </c>
      <c r="G81" s="126"/>
      <c r="H81" s="126" t="s">
        <v>29</v>
      </c>
      <c r="I81" s="126">
        <v>28</v>
      </c>
      <c r="J81" s="7" t="s">
        <v>15</v>
      </c>
      <c r="K81" s="7"/>
      <c r="L81" s="126">
        <f t="shared" ref="L81" si="1">K81+K82+K83+K84+K85+K86</f>
        <v>10</v>
      </c>
      <c r="M81" s="15"/>
    </row>
    <row r="82" spans="2:13" ht="15" customHeight="1" x14ac:dyDescent="0.3">
      <c r="B82" s="169"/>
      <c r="C82" s="124"/>
      <c r="D82" s="127"/>
      <c r="E82" s="127"/>
      <c r="F82" s="127"/>
      <c r="G82" s="127"/>
      <c r="H82" s="127"/>
      <c r="I82" s="127"/>
      <c r="J82" s="10" t="s">
        <v>16</v>
      </c>
      <c r="K82" s="10"/>
      <c r="L82" s="127"/>
      <c r="M82" s="11"/>
    </row>
    <row r="83" spans="2:13" ht="15" customHeight="1" x14ac:dyDescent="0.3">
      <c r="B83" s="169"/>
      <c r="C83" s="124"/>
      <c r="D83" s="127"/>
      <c r="E83" s="127"/>
      <c r="F83" s="127"/>
      <c r="G83" s="127"/>
      <c r="H83" s="127"/>
      <c r="I83" s="127"/>
      <c r="J83" s="10" t="s">
        <v>17</v>
      </c>
      <c r="K83" s="10"/>
      <c r="L83" s="127"/>
      <c r="M83" s="11"/>
    </row>
    <row r="84" spans="2:13" ht="15" customHeight="1" x14ac:dyDescent="0.3">
      <c r="B84" s="169"/>
      <c r="C84" s="124"/>
      <c r="D84" s="127"/>
      <c r="E84" s="127"/>
      <c r="F84" s="127"/>
      <c r="G84" s="127"/>
      <c r="H84" s="127"/>
      <c r="I84" s="127"/>
      <c r="J84" s="10" t="s">
        <v>18</v>
      </c>
      <c r="K84" s="10"/>
      <c r="L84" s="127"/>
      <c r="M84" s="11"/>
    </row>
    <row r="85" spans="2:13" ht="15.75" customHeight="1" x14ac:dyDescent="0.3">
      <c r="B85" s="169"/>
      <c r="C85" s="124"/>
      <c r="D85" s="127"/>
      <c r="E85" s="127"/>
      <c r="F85" s="127"/>
      <c r="G85" s="127"/>
      <c r="H85" s="127"/>
      <c r="I85" s="127"/>
      <c r="J85" s="13" t="s">
        <v>19</v>
      </c>
      <c r="K85" s="13"/>
      <c r="L85" s="127"/>
      <c r="M85" s="14"/>
    </row>
    <row r="86" spans="2:13" ht="15.75" customHeight="1" thickBot="1" x14ac:dyDescent="0.35">
      <c r="B86" s="169"/>
      <c r="C86" s="125"/>
      <c r="D86" s="128"/>
      <c r="E86" s="128"/>
      <c r="F86" s="128"/>
      <c r="G86" s="128"/>
      <c r="H86" s="128"/>
      <c r="I86" s="128"/>
      <c r="J86" s="13" t="s">
        <v>23</v>
      </c>
      <c r="K86" s="13">
        <v>10</v>
      </c>
      <c r="L86" s="128"/>
      <c r="M86" s="14"/>
    </row>
    <row r="87" spans="2:13" ht="15" customHeight="1" x14ac:dyDescent="0.3">
      <c r="B87" s="169"/>
      <c r="C87" s="123">
        <v>5</v>
      </c>
      <c r="D87" s="126" t="s">
        <v>30</v>
      </c>
      <c r="E87" s="126" t="s">
        <v>31</v>
      </c>
      <c r="F87" s="126" t="s">
        <v>32</v>
      </c>
      <c r="G87" s="126" t="s">
        <v>33</v>
      </c>
      <c r="H87" s="126" t="s">
        <v>34</v>
      </c>
      <c r="I87" s="126">
        <v>28</v>
      </c>
      <c r="J87" s="7" t="s">
        <v>15</v>
      </c>
      <c r="K87" s="7">
        <v>80</v>
      </c>
      <c r="L87" s="126">
        <f>K87+K88+K89+K90+K91+K92</f>
        <v>250</v>
      </c>
      <c r="M87" s="15"/>
    </row>
    <row r="88" spans="2:13" ht="15" customHeight="1" x14ac:dyDescent="0.3">
      <c r="B88" s="169"/>
      <c r="C88" s="124"/>
      <c r="D88" s="127"/>
      <c r="E88" s="127"/>
      <c r="F88" s="127"/>
      <c r="G88" s="127"/>
      <c r="H88" s="127"/>
      <c r="I88" s="127"/>
      <c r="J88" s="10" t="s">
        <v>16</v>
      </c>
      <c r="K88" s="10">
        <v>170</v>
      </c>
      <c r="L88" s="127"/>
      <c r="M88" s="11"/>
    </row>
    <row r="89" spans="2:13" ht="15" customHeight="1" x14ac:dyDescent="0.3">
      <c r="B89" s="169"/>
      <c r="C89" s="124"/>
      <c r="D89" s="127"/>
      <c r="E89" s="127"/>
      <c r="F89" s="127"/>
      <c r="G89" s="127"/>
      <c r="H89" s="127"/>
      <c r="I89" s="127"/>
      <c r="J89" s="10" t="s">
        <v>17</v>
      </c>
      <c r="K89" s="10"/>
      <c r="L89" s="127"/>
      <c r="M89" s="11"/>
    </row>
    <row r="90" spans="2:13" ht="15" customHeight="1" x14ac:dyDescent="0.3">
      <c r="B90" s="169"/>
      <c r="C90" s="124"/>
      <c r="D90" s="127"/>
      <c r="E90" s="127"/>
      <c r="F90" s="127"/>
      <c r="G90" s="127"/>
      <c r="H90" s="127"/>
      <c r="I90" s="127"/>
      <c r="J90" s="10" t="s">
        <v>18</v>
      </c>
      <c r="K90" s="10"/>
      <c r="L90" s="127"/>
      <c r="M90" s="11"/>
    </row>
    <row r="91" spans="2:13" ht="15.75" customHeight="1" x14ac:dyDescent="0.3">
      <c r="B91" s="169"/>
      <c r="C91" s="124"/>
      <c r="D91" s="127"/>
      <c r="E91" s="127"/>
      <c r="F91" s="127"/>
      <c r="G91" s="127"/>
      <c r="H91" s="127"/>
      <c r="I91" s="127"/>
      <c r="J91" s="10" t="s">
        <v>19</v>
      </c>
      <c r="K91" s="10"/>
      <c r="L91" s="127"/>
      <c r="M91" s="11"/>
    </row>
    <row r="92" spans="2:13" ht="15.75" customHeight="1" thickBot="1" x14ac:dyDescent="0.35">
      <c r="B92" s="169"/>
      <c r="C92" s="125"/>
      <c r="D92" s="128"/>
      <c r="E92" s="128"/>
      <c r="F92" s="128"/>
      <c r="G92" s="128"/>
      <c r="H92" s="128"/>
      <c r="I92" s="128"/>
      <c r="J92" s="22" t="s">
        <v>23</v>
      </c>
      <c r="K92" s="22"/>
      <c r="L92" s="128"/>
      <c r="M92" s="16"/>
    </row>
    <row r="93" spans="2:13" ht="15" customHeight="1" x14ac:dyDescent="0.3">
      <c r="B93" s="169"/>
      <c r="C93" s="161">
        <v>6</v>
      </c>
      <c r="D93" s="160" t="s">
        <v>35</v>
      </c>
      <c r="E93" s="137" t="s">
        <v>31</v>
      </c>
      <c r="F93" s="160" t="s">
        <v>36</v>
      </c>
      <c r="G93" s="137" t="s">
        <v>37</v>
      </c>
      <c r="H93" s="160" t="s">
        <v>38</v>
      </c>
      <c r="I93" s="126">
        <v>28</v>
      </c>
      <c r="J93" s="17" t="s">
        <v>15</v>
      </c>
      <c r="K93" s="17">
        <v>50</v>
      </c>
      <c r="L93" s="160">
        <f>K93+K94+K95+K96+K97</f>
        <v>50</v>
      </c>
      <c r="M93" s="8"/>
    </row>
    <row r="94" spans="2:13" ht="15" customHeight="1" x14ac:dyDescent="0.3">
      <c r="B94" s="169"/>
      <c r="C94" s="162"/>
      <c r="D94" s="121"/>
      <c r="E94" s="138"/>
      <c r="F94" s="121"/>
      <c r="G94" s="138"/>
      <c r="H94" s="121"/>
      <c r="I94" s="127"/>
      <c r="J94" s="10" t="s">
        <v>16</v>
      </c>
      <c r="K94" s="10"/>
      <c r="L94" s="121"/>
      <c r="M94" s="11"/>
    </row>
    <row r="95" spans="2:13" ht="15" customHeight="1" x14ac:dyDescent="0.3">
      <c r="B95" s="169"/>
      <c r="C95" s="162"/>
      <c r="D95" s="121"/>
      <c r="E95" s="138"/>
      <c r="F95" s="121"/>
      <c r="G95" s="138"/>
      <c r="H95" s="121"/>
      <c r="I95" s="127"/>
      <c r="J95" s="10" t="s">
        <v>17</v>
      </c>
      <c r="K95" s="10"/>
      <c r="L95" s="121"/>
      <c r="M95" s="11"/>
    </row>
    <row r="96" spans="2:13" ht="15" customHeight="1" x14ac:dyDescent="0.3">
      <c r="B96" s="169"/>
      <c r="C96" s="162"/>
      <c r="D96" s="121"/>
      <c r="E96" s="138"/>
      <c r="F96" s="121"/>
      <c r="G96" s="138"/>
      <c r="H96" s="121"/>
      <c r="I96" s="127"/>
      <c r="J96" s="10" t="s">
        <v>18</v>
      </c>
      <c r="K96" s="10"/>
      <c r="L96" s="121"/>
      <c r="M96" s="11"/>
    </row>
    <row r="97" spans="2:13" ht="15.75" customHeight="1" thickBot="1" x14ac:dyDescent="0.35">
      <c r="B97" s="169"/>
      <c r="C97" s="165"/>
      <c r="D97" s="122"/>
      <c r="E97" s="141"/>
      <c r="F97" s="122"/>
      <c r="G97" s="141"/>
      <c r="H97" s="122"/>
      <c r="I97" s="128"/>
      <c r="J97" s="18" t="s">
        <v>19</v>
      </c>
      <c r="K97" s="18"/>
      <c r="L97" s="122"/>
      <c r="M97" s="16"/>
    </row>
    <row r="98" spans="2:13" ht="15" customHeight="1" x14ac:dyDescent="0.3">
      <c r="B98" s="169"/>
      <c r="C98" s="148" t="s">
        <v>39</v>
      </c>
      <c r="D98" s="149"/>
      <c r="E98" s="149"/>
      <c r="F98" s="149"/>
      <c r="G98" s="149"/>
      <c r="H98" s="150"/>
      <c r="I98" s="20"/>
      <c r="J98" s="166" t="s">
        <v>8</v>
      </c>
      <c r="K98" s="156">
        <f>SUM(K64:K97)</f>
        <v>580</v>
      </c>
      <c r="L98" s="167">
        <f>SUM(L64:L97)</f>
        <v>580</v>
      </c>
      <c r="M98" s="167" t="s">
        <v>40</v>
      </c>
    </row>
    <row r="99" spans="2:13" ht="15.75" customHeight="1" thickBot="1" x14ac:dyDescent="0.35">
      <c r="B99" s="170"/>
      <c r="C99" s="151"/>
      <c r="D99" s="152"/>
      <c r="E99" s="152"/>
      <c r="F99" s="152"/>
      <c r="G99" s="152"/>
      <c r="H99" s="153"/>
      <c r="I99" s="21"/>
      <c r="J99" s="155"/>
      <c r="K99" s="157"/>
      <c r="L99" s="159"/>
      <c r="M99" s="159"/>
    </row>
    <row r="100" spans="2:13" ht="12" thickBot="1" x14ac:dyDescent="0.35">
      <c r="C100" s="1"/>
    </row>
    <row r="101" spans="2:13" ht="14.4" customHeight="1" x14ac:dyDescent="0.3">
      <c r="B101" s="142" t="s">
        <v>67</v>
      </c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4"/>
    </row>
    <row r="102" spans="2:13" ht="15.6" customHeight="1" thickBot="1" x14ac:dyDescent="0.35">
      <c r="B102" s="145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7"/>
    </row>
    <row r="103" spans="2:13" ht="26.25" customHeight="1" thickBot="1" x14ac:dyDescent="0.35">
      <c r="B103" s="3" t="s">
        <v>41</v>
      </c>
      <c r="C103" s="2" t="s">
        <v>0</v>
      </c>
      <c r="D103" s="3" t="s">
        <v>1</v>
      </c>
      <c r="E103" s="4" t="s">
        <v>2</v>
      </c>
      <c r="F103" s="3" t="s">
        <v>3</v>
      </c>
      <c r="G103" s="4" t="s">
        <v>4</v>
      </c>
      <c r="H103" s="3" t="s">
        <v>5</v>
      </c>
      <c r="I103" s="4" t="s">
        <v>41</v>
      </c>
      <c r="J103" s="3" t="s">
        <v>6</v>
      </c>
      <c r="K103" s="3" t="s">
        <v>42</v>
      </c>
      <c r="L103" s="5" t="s">
        <v>8</v>
      </c>
      <c r="M103" s="5" t="s">
        <v>9</v>
      </c>
    </row>
    <row r="104" spans="2:13" x14ac:dyDescent="0.3">
      <c r="B104" s="168">
        <v>28</v>
      </c>
      <c r="C104" s="161">
        <v>1</v>
      </c>
      <c r="D104" s="120" t="s">
        <v>10</v>
      </c>
      <c r="E104" s="137" t="s">
        <v>11</v>
      </c>
      <c r="F104" s="120" t="s">
        <v>12</v>
      </c>
      <c r="G104" s="137" t="s">
        <v>13</v>
      </c>
      <c r="H104" s="120" t="s">
        <v>14</v>
      </c>
      <c r="I104" s="117">
        <v>29</v>
      </c>
      <c r="J104" s="17" t="s">
        <v>15</v>
      </c>
      <c r="K104" s="7"/>
      <c r="L104" s="130">
        <f>K104+K105+K106+K107+K108</f>
        <v>0</v>
      </c>
      <c r="M104" s="8"/>
    </row>
    <row r="105" spans="2:13" ht="15" customHeight="1" x14ac:dyDescent="0.3">
      <c r="B105" s="169"/>
      <c r="C105" s="162"/>
      <c r="D105" s="121"/>
      <c r="E105" s="138"/>
      <c r="F105" s="121"/>
      <c r="G105" s="138"/>
      <c r="H105" s="121"/>
      <c r="I105" s="118"/>
      <c r="J105" s="10" t="s">
        <v>16</v>
      </c>
      <c r="K105" s="10"/>
      <c r="L105" s="131"/>
      <c r="M105" s="11"/>
    </row>
    <row r="106" spans="2:13" ht="15" customHeight="1" x14ac:dyDescent="0.3">
      <c r="B106" s="169"/>
      <c r="C106" s="162"/>
      <c r="D106" s="121"/>
      <c r="E106" s="138"/>
      <c r="F106" s="121"/>
      <c r="G106" s="138"/>
      <c r="H106" s="121"/>
      <c r="I106" s="118"/>
      <c r="J106" s="10" t="s">
        <v>17</v>
      </c>
      <c r="K106" s="10"/>
      <c r="L106" s="131"/>
      <c r="M106" s="11"/>
    </row>
    <row r="107" spans="2:13" ht="15" customHeight="1" x14ac:dyDescent="0.3">
      <c r="B107" s="169"/>
      <c r="C107" s="162"/>
      <c r="D107" s="121"/>
      <c r="E107" s="138"/>
      <c r="F107" s="121"/>
      <c r="G107" s="138"/>
      <c r="H107" s="121"/>
      <c r="I107" s="118"/>
      <c r="J107" s="10" t="s">
        <v>18</v>
      </c>
      <c r="K107" s="10"/>
      <c r="L107" s="131"/>
      <c r="M107" s="11"/>
    </row>
    <row r="108" spans="2:13" ht="15.75" customHeight="1" thickBot="1" x14ac:dyDescent="0.35">
      <c r="B108" s="169"/>
      <c r="C108" s="163"/>
      <c r="D108" s="129"/>
      <c r="E108" s="139"/>
      <c r="F108" s="129"/>
      <c r="G108" s="139"/>
      <c r="H108" s="129"/>
      <c r="I108" s="119"/>
      <c r="J108" s="13" t="s">
        <v>19</v>
      </c>
      <c r="K108" s="13"/>
      <c r="L108" s="132"/>
      <c r="M108" s="14"/>
    </row>
    <row r="109" spans="2:13" ht="15" customHeight="1" x14ac:dyDescent="0.3">
      <c r="B109" s="169"/>
      <c r="C109" s="123">
        <v>2</v>
      </c>
      <c r="D109" s="126" t="s">
        <v>20</v>
      </c>
      <c r="E109" s="126" t="s">
        <v>11</v>
      </c>
      <c r="F109" s="126" t="s">
        <v>12</v>
      </c>
      <c r="G109" s="126" t="s">
        <v>21</v>
      </c>
      <c r="H109" s="117" t="s">
        <v>22</v>
      </c>
      <c r="I109" s="117">
        <v>29</v>
      </c>
      <c r="J109" s="7" t="s">
        <v>15</v>
      </c>
      <c r="K109" s="7">
        <v>100</v>
      </c>
      <c r="L109" s="126">
        <f>K109+K110+K111+K112+K113+K114</f>
        <v>150</v>
      </c>
      <c r="M109" s="15"/>
    </row>
    <row r="110" spans="2:13" ht="15" customHeight="1" x14ac:dyDescent="0.3">
      <c r="B110" s="169"/>
      <c r="C110" s="124"/>
      <c r="D110" s="127"/>
      <c r="E110" s="127"/>
      <c r="F110" s="127"/>
      <c r="G110" s="127"/>
      <c r="H110" s="118"/>
      <c r="I110" s="118"/>
      <c r="J110" s="10" t="s">
        <v>16</v>
      </c>
      <c r="K110" s="10"/>
      <c r="L110" s="127"/>
      <c r="M110" s="11"/>
    </row>
    <row r="111" spans="2:13" ht="15" customHeight="1" x14ac:dyDescent="0.3">
      <c r="B111" s="169"/>
      <c r="C111" s="124"/>
      <c r="D111" s="127"/>
      <c r="E111" s="127"/>
      <c r="F111" s="127"/>
      <c r="G111" s="127"/>
      <c r="H111" s="118"/>
      <c r="I111" s="118"/>
      <c r="J111" s="10" t="s">
        <v>17</v>
      </c>
      <c r="K111" s="10"/>
      <c r="L111" s="127"/>
      <c r="M111" s="11"/>
    </row>
    <row r="112" spans="2:13" ht="15" customHeight="1" x14ac:dyDescent="0.3">
      <c r="B112" s="169"/>
      <c r="C112" s="124"/>
      <c r="D112" s="127"/>
      <c r="E112" s="127"/>
      <c r="F112" s="127"/>
      <c r="G112" s="127"/>
      <c r="H112" s="118"/>
      <c r="I112" s="118"/>
      <c r="J112" s="10" t="s">
        <v>18</v>
      </c>
      <c r="K112" s="10">
        <v>50</v>
      </c>
      <c r="L112" s="127"/>
      <c r="M112" s="11"/>
    </row>
    <row r="113" spans="2:13" ht="15.75" customHeight="1" x14ac:dyDescent="0.3">
      <c r="B113" s="169"/>
      <c r="C113" s="124"/>
      <c r="D113" s="127"/>
      <c r="E113" s="127"/>
      <c r="F113" s="127"/>
      <c r="G113" s="127"/>
      <c r="H113" s="118"/>
      <c r="I113" s="118"/>
      <c r="J113" s="10" t="s">
        <v>19</v>
      </c>
      <c r="K113" s="10"/>
      <c r="L113" s="127"/>
      <c r="M113" s="11"/>
    </row>
    <row r="114" spans="2:13" ht="15" customHeight="1" thickBot="1" x14ac:dyDescent="0.35">
      <c r="B114" s="169"/>
      <c r="C114" s="125"/>
      <c r="D114" s="128"/>
      <c r="E114" s="128"/>
      <c r="F114" s="128"/>
      <c r="G114" s="128"/>
      <c r="H114" s="119"/>
      <c r="I114" s="119"/>
      <c r="J114" s="22" t="s">
        <v>23</v>
      </c>
      <c r="K114" s="22"/>
      <c r="L114" s="128"/>
      <c r="M114" s="16"/>
    </row>
    <row r="115" spans="2:13" ht="15" customHeight="1" x14ac:dyDescent="0.3">
      <c r="B115" s="169"/>
      <c r="C115" s="123">
        <v>3</v>
      </c>
      <c r="D115" s="126" t="s">
        <v>24</v>
      </c>
      <c r="E115" s="126" t="s">
        <v>25</v>
      </c>
      <c r="F115" s="126" t="s">
        <v>26</v>
      </c>
      <c r="G115" s="126"/>
      <c r="H115" s="126" t="s">
        <v>27</v>
      </c>
      <c r="I115" s="126">
        <v>29</v>
      </c>
      <c r="J115" s="17" t="s">
        <v>15</v>
      </c>
      <c r="K115" s="17"/>
      <c r="L115" s="126">
        <f t="shared" ref="L115" si="2">K115+K116+K117+K118+K119+K120</f>
        <v>0</v>
      </c>
      <c r="M115" s="8"/>
    </row>
    <row r="116" spans="2:13" ht="15" customHeight="1" x14ac:dyDescent="0.3">
      <c r="B116" s="169"/>
      <c r="C116" s="124"/>
      <c r="D116" s="127"/>
      <c r="E116" s="127"/>
      <c r="F116" s="127"/>
      <c r="G116" s="127"/>
      <c r="H116" s="127"/>
      <c r="I116" s="127"/>
      <c r="J116" s="10" t="s">
        <v>16</v>
      </c>
      <c r="K116" s="10"/>
      <c r="L116" s="127"/>
      <c r="M116" s="11"/>
    </row>
    <row r="117" spans="2:13" ht="15" customHeight="1" x14ac:dyDescent="0.3">
      <c r="B117" s="169"/>
      <c r="C117" s="124"/>
      <c r="D117" s="127"/>
      <c r="E117" s="127"/>
      <c r="F117" s="127"/>
      <c r="G117" s="127"/>
      <c r="H117" s="127"/>
      <c r="I117" s="127"/>
      <c r="J117" s="10" t="s">
        <v>17</v>
      </c>
      <c r="K117" s="10"/>
      <c r="L117" s="127"/>
      <c r="M117" s="11"/>
    </row>
    <row r="118" spans="2:13" ht="15" customHeight="1" x14ac:dyDescent="0.3">
      <c r="B118" s="169"/>
      <c r="C118" s="124"/>
      <c r="D118" s="127"/>
      <c r="E118" s="127"/>
      <c r="F118" s="127"/>
      <c r="G118" s="127"/>
      <c r="H118" s="127"/>
      <c r="I118" s="127"/>
      <c r="J118" s="10" t="s">
        <v>18</v>
      </c>
      <c r="K118" s="10"/>
      <c r="L118" s="127"/>
      <c r="M118" s="11"/>
    </row>
    <row r="119" spans="2:13" ht="15.75" customHeight="1" x14ac:dyDescent="0.3">
      <c r="B119" s="169"/>
      <c r="C119" s="124"/>
      <c r="D119" s="127"/>
      <c r="E119" s="127"/>
      <c r="F119" s="127"/>
      <c r="G119" s="127"/>
      <c r="H119" s="127"/>
      <c r="I119" s="127"/>
      <c r="J119" s="13" t="s">
        <v>19</v>
      </c>
      <c r="K119" s="13"/>
      <c r="L119" s="127"/>
      <c r="M119" s="14"/>
    </row>
    <row r="120" spans="2:13" ht="15.75" customHeight="1" thickBot="1" x14ac:dyDescent="0.35">
      <c r="B120" s="169"/>
      <c r="C120" s="125"/>
      <c r="D120" s="128"/>
      <c r="E120" s="128"/>
      <c r="F120" s="128"/>
      <c r="G120" s="128"/>
      <c r="H120" s="128"/>
      <c r="I120" s="128"/>
      <c r="J120" s="13" t="s">
        <v>23</v>
      </c>
      <c r="K120" s="13"/>
      <c r="L120" s="128"/>
      <c r="M120" s="14"/>
    </row>
    <row r="121" spans="2:13" ht="15" customHeight="1" x14ac:dyDescent="0.3">
      <c r="B121" s="169"/>
      <c r="C121" s="123">
        <v>4</v>
      </c>
      <c r="D121" s="126" t="s">
        <v>28</v>
      </c>
      <c r="E121" s="126" t="s">
        <v>29</v>
      </c>
      <c r="F121" s="126" t="s">
        <v>29</v>
      </c>
      <c r="G121" s="126"/>
      <c r="H121" s="126" t="s">
        <v>29</v>
      </c>
      <c r="I121" s="126">
        <v>29</v>
      </c>
      <c r="J121" s="7" t="s">
        <v>15</v>
      </c>
      <c r="K121" s="7"/>
      <c r="L121" s="126">
        <f t="shared" ref="L121" si="3">K121+K122+K123+K124+K125+K126</f>
        <v>0</v>
      </c>
      <c r="M121" s="15"/>
    </row>
    <row r="122" spans="2:13" ht="15" customHeight="1" x14ac:dyDescent="0.3">
      <c r="B122" s="169"/>
      <c r="C122" s="124"/>
      <c r="D122" s="127"/>
      <c r="E122" s="127"/>
      <c r="F122" s="127"/>
      <c r="G122" s="127"/>
      <c r="H122" s="127"/>
      <c r="I122" s="127"/>
      <c r="J122" s="10" t="s">
        <v>16</v>
      </c>
      <c r="K122" s="10"/>
      <c r="L122" s="127"/>
      <c r="M122" s="11"/>
    </row>
    <row r="123" spans="2:13" ht="15" customHeight="1" x14ac:dyDescent="0.3">
      <c r="B123" s="169"/>
      <c r="C123" s="124"/>
      <c r="D123" s="127"/>
      <c r="E123" s="127"/>
      <c r="F123" s="127"/>
      <c r="G123" s="127"/>
      <c r="H123" s="127"/>
      <c r="I123" s="127"/>
      <c r="J123" s="10" t="s">
        <v>17</v>
      </c>
      <c r="K123" s="10"/>
      <c r="L123" s="127"/>
      <c r="M123" s="11"/>
    </row>
    <row r="124" spans="2:13" ht="15" customHeight="1" x14ac:dyDescent="0.3">
      <c r="B124" s="169"/>
      <c r="C124" s="124"/>
      <c r="D124" s="127"/>
      <c r="E124" s="127"/>
      <c r="F124" s="127"/>
      <c r="G124" s="127"/>
      <c r="H124" s="127"/>
      <c r="I124" s="127"/>
      <c r="J124" s="10" t="s">
        <v>18</v>
      </c>
      <c r="K124" s="10"/>
      <c r="L124" s="127"/>
      <c r="M124" s="11"/>
    </row>
    <row r="125" spans="2:13" ht="15.75" customHeight="1" x14ac:dyDescent="0.3">
      <c r="B125" s="169"/>
      <c r="C125" s="124"/>
      <c r="D125" s="127"/>
      <c r="E125" s="127"/>
      <c r="F125" s="127"/>
      <c r="G125" s="127"/>
      <c r="H125" s="127"/>
      <c r="I125" s="127"/>
      <c r="J125" s="13" t="s">
        <v>19</v>
      </c>
      <c r="K125" s="13"/>
      <c r="L125" s="127"/>
      <c r="M125" s="14"/>
    </row>
    <row r="126" spans="2:13" ht="15.75" customHeight="1" thickBot="1" x14ac:dyDescent="0.35">
      <c r="B126" s="169"/>
      <c r="C126" s="125"/>
      <c r="D126" s="128"/>
      <c r="E126" s="128"/>
      <c r="F126" s="128"/>
      <c r="G126" s="128"/>
      <c r="H126" s="128"/>
      <c r="I126" s="128"/>
      <c r="J126" s="13" t="s">
        <v>23</v>
      </c>
      <c r="K126" s="13"/>
      <c r="L126" s="128"/>
      <c r="M126" s="14"/>
    </row>
    <row r="127" spans="2:13" ht="15" customHeight="1" x14ac:dyDescent="0.3">
      <c r="B127" s="169"/>
      <c r="C127" s="123">
        <v>5</v>
      </c>
      <c r="D127" s="126" t="s">
        <v>30</v>
      </c>
      <c r="E127" s="126" t="s">
        <v>31</v>
      </c>
      <c r="F127" s="126" t="s">
        <v>32</v>
      </c>
      <c r="G127" s="126" t="s">
        <v>33</v>
      </c>
      <c r="H127" s="126" t="s">
        <v>34</v>
      </c>
      <c r="I127" s="126">
        <v>29</v>
      </c>
      <c r="J127" s="7" t="s">
        <v>15</v>
      </c>
      <c r="K127" s="7"/>
      <c r="L127" s="126">
        <f>K127+K128+K129+K130+K131+K132</f>
        <v>0</v>
      </c>
      <c r="M127" s="15"/>
    </row>
    <row r="128" spans="2:13" ht="15" customHeight="1" x14ac:dyDescent="0.3">
      <c r="B128" s="169"/>
      <c r="C128" s="124"/>
      <c r="D128" s="127"/>
      <c r="E128" s="127"/>
      <c r="F128" s="127"/>
      <c r="G128" s="127"/>
      <c r="H128" s="127"/>
      <c r="I128" s="127"/>
      <c r="J128" s="10" t="s">
        <v>16</v>
      </c>
      <c r="K128" s="10"/>
      <c r="L128" s="127"/>
      <c r="M128" s="11"/>
    </row>
    <row r="129" spans="2:13" ht="15" customHeight="1" x14ac:dyDescent="0.3">
      <c r="B129" s="169"/>
      <c r="C129" s="124"/>
      <c r="D129" s="127"/>
      <c r="E129" s="127"/>
      <c r="F129" s="127"/>
      <c r="G129" s="127"/>
      <c r="H129" s="127"/>
      <c r="I129" s="127"/>
      <c r="J129" s="10" t="s">
        <v>17</v>
      </c>
      <c r="K129" s="10"/>
      <c r="L129" s="127"/>
      <c r="M129" s="11"/>
    </row>
    <row r="130" spans="2:13" ht="15" customHeight="1" x14ac:dyDescent="0.3">
      <c r="B130" s="169"/>
      <c r="C130" s="124"/>
      <c r="D130" s="127"/>
      <c r="E130" s="127"/>
      <c r="F130" s="127"/>
      <c r="G130" s="127"/>
      <c r="H130" s="127"/>
      <c r="I130" s="127"/>
      <c r="J130" s="10" t="s">
        <v>18</v>
      </c>
      <c r="K130" s="10"/>
      <c r="L130" s="127"/>
      <c r="M130" s="11"/>
    </row>
    <row r="131" spans="2:13" ht="15.75" customHeight="1" x14ac:dyDescent="0.3">
      <c r="B131" s="169"/>
      <c r="C131" s="124"/>
      <c r="D131" s="127"/>
      <c r="E131" s="127"/>
      <c r="F131" s="127"/>
      <c r="G131" s="127"/>
      <c r="H131" s="127"/>
      <c r="I131" s="127"/>
      <c r="J131" s="10" t="s">
        <v>19</v>
      </c>
      <c r="K131" s="10"/>
      <c r="L131" s="127"/>
      <c r="M131" s="11"/>
    </row>
    <row r="132" spans="2:13" ht="15.75" customHeight="1" thickBot="1" x14ac:dyDescent="0.35">
      <c r="B132" s="169"/>
      <c r="C132" s="125"/>
      <c r="D132" s="128"/>
      <c r="E132" s="128"/>
      <c r="F132" s="128"/>
      <c r="G132" s="128"/>
      <c r="H132" s="128"/>
      <c r="I132" s="128"/>
      <c r="J132" s="22" t="s">
        <v>23</v>
      </c>
      <c r="K132" s="22"/>
      <c r="L132" s="128"/>
      <c r="M132" s="16"/>
    </row>
    <row r="133" spans="2:13" ht="15" customHeight="1" x14ac:dyDescent="0.3">
      <c r="B133" s="169"/>
      <c r="C133" s="161">
        <v>6</v>
      </c>
      <c r="D133" s="160" t="s">
        <v>35</v>
      </c>
      <c r="E133" s="137" t="s">
        <v>31</v>
      </c>
      <c r="F133" s="160" t="s">
        <v>36</v>
      </c>
      <c r="G133" s="137" t="s">
        <v>37</v>
      </c>
      <c r="H133" s="160" t="s">
        <v>38</v>
      </c>
      <c r="I133" s="126">
        <v>29</v>
      </c>
      <c r="J133" s="17" t="s">
        <v>15</v>
      </c>
      <c r="K133" s="17"/>
      <c r="L133" s="160">
        <f>K133+K134+K135+K136+K137</f>
        <v>0</v>
      </c>
      <c r="M133" s="8"/>
    </row>
    <row r="134" spans="2:13" ht="15" customHeight="1" x14ac:dyDescent="0.3">
      <c r="B134" s="169"/>
      <c r="C134" s="162"/>
      <c r="D134" s="121"/>
      <c r="E134" s="138"/>
      <c r="F134" s="121"/>
      <c r="G134" s="138"/>
      <c r="H134" s="121"/>
      <c r="I134" s="127"/>
      <c r="J134" s="10" t="s">
        <v>16</v>
      </c>
      <c r="K134" s="10"/>
      <c r="L134" s="121"/>
      <c r="M134" s="11"/>
    </row>
    <row r="135" spans="2:13" ht="15" customHeight="1" x14ac:dyDescent="0.3">
      <c r="B135" s="169"/>
      <c r="C135" s="162"/>
      <c r="D135" s="121"/>
      <c r="E135" s="138"/>
      <c r="F135" s="121"/>
      <c r="G135" s="138"/>
      <c r="H135" s="121"/>
      <c r="I135" s="127"/>
      <c r="J135" s="10" t="s">
        <v>17</v>
      </c>
      <c r="K135" s="10"/>
      <c r="L135" s="121"/>
      <c r="M135" s="11"/>
    </row>
    <row r="136" spans="2:13" ht="15" customHeight="1" x14ac:dyDescent="0.3">
      <c r="B136" s="169"/>
      <c r="C136" s="162"/>
      <c r="D136" s="121"/>
      <c r="E136" s="138"/>
      <c r="F136" s="121"/>
      <c r="G136" s="138"/>
      <c r="H136" s="121"/>
      <c r="I136" s="127"/>
      <c r="J136" s="10" t="s">
        <v>18</v>
      </c>
      <c r="K136" s="10"/>
      <c r="L136" s="121"/>
      <c r="M136" s="11"/>
    </row>
    <row r="137" spans="2:13" ht="15.75" customHeight="1" thickBot="1" x14ac:dyDescent="0.35">
      <c r="B137" s="169"/>
      <c r="C137" s="165"/>
      <c r="D137" s="122"/>
      <c r="E137" s="141"/>
      <c r="F137" s="122"/>
      <c r="G137" s="141"/>
      <c r="H137" s="122"/>
      <c r="I137" s="128"/>
      <c r="J137" s="18" t="s">
        <v>19</v>
      </c>
      <c r="K137" s="18"/>
      <c r="L137" s="122"/>
      <c r="M137" s="16"/>
    </row>
    <row r="138" spans="2:13" ht="15" customHeight="1" x14ac:dyDescent="0.3">
      <c r="B138" s="169"/>
      <c r="C138" s="148" t="s">
        <v>39</v>
      </c>
      <c r="D138" s="149"/>
      <c r="E138" s="149"/>
      <c r="F138" s="149"/>
      <c r="G138" s="149"/>
      <c r="H138" s="150"/>
      <c r="I138" s="20"/>
      <c r="J138" s="166" t="s">
        <v>8</v>
      </c>
      <c r="K138" s="156">
        <f>SUM(K104:K137)</f>
        <v>150</v>
      </c>
      <c r="L138" s="167">
        <f>SUM(L104:L137)</f>
        <v>150</v>
      </c>
      <c r="M138" s="167" t="s">
        <v>40</v>
      </c>
    </row>
    <row r="139" spans="2:13" ht="15.75" customHeight="1" thickBot="1" x14ac:dyDescent="0.35">
      <c r="B139" s="170"/>
      <c r="C139" s="151"/>
      <c r="D139" s="152"/>
      <c r="E139" s="152"/>
      <c r="F139" s="152"/>
      <c r="G139" s="152"/>
      <c r="H139" s="153"/>
      <c r="I139" s="21"/>
      <c r="J139" s="155"/>
      <c r="K139" s="157"/>
      <c r="L139" s="159"/>
      <c r="M139" s="159"/>
    </row>
    <row r="140" spans="2:13" ht="12" thickBot="1" x14ac:dyDescent="0.35">
      <c r="C140" s="1"/>
    </row>
    <row r="141" spans="2:13" ht="14.4" customHeight="1" x14ac:dyDescent="0.3">
      <c r="B141" s="142" t="s">
        <v>70</v>
      </c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4"/>
    </row>
    <row r="142" spans="2:13" ht="15.6" customHeight="1" thickBot="1" x14ac:dyDescent="0.35">
      <c r="B142" s="145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7"/>
    </row>
    <row r="143" spans="2:13" ht="26.25" customHeight="1" thickBot="1" x14ac:dyDescent="0.35">
      <c r="B143" s="3" t="s">
        <v>41</v>
      </c>
      <c r="C143" s="2" t="s">
        <v>0</v>
      </c>
      <c r="D143" s="3" t="s">
        <v>1</v>
      </c>
      <c r="E143" s="4" t="s">
        <v>2</v>
      </c>
      <c r="F143" s="3" t="s">
        <v>3</v>
      </c>
      <c r="G143" s="4" t="s">
        <v>4</v>
      </c>
      <c r="H143" s="3" t="s">
        <v>5</v>
      </c>
      <c r="I143" s="4" t="s">
        <v>41</v>
      </c>
      <c r="J143" s="3" t="s">
        <v>6</v>
      </c>
      <c r="K143" s="3" t="s">
        <v>42</v>
      </c>
      <c r="L143" s="5" t="s">
        <v>8</v>
      </c>
      <c r="M143" s="5" t="s">
        <v>9</v>
      </c>
    </row>
    <row r="144" spans="2:13" x14ac:dyDescent="0.3">
      <c r="B144" s="168">
        <v>28</v>
      </c>
      <c r="C144" s="161">
        <v>1</v>
      </c>
      <c r="D144" s="120" t="s">
        <v>10</v>
      </c>
      <c r="E144" s="137" t="s">
        <v>11</v>
      </c>
      <c r="F144" s="120" t="s">
        <v>12</v>
      </c>
      <c r="G144" s="137" t="s">
        <v>13</v>
      </c>
      <c r="H144" s="120" t="s">
        <v>14</v>
      </c>
      <c r="I144" s="117">
        <v>29</v>
      </c>
      <c r="J144" s="35">
        <v>46223</v>
      </c>
      <c r="K144" s="7"/>
      <c r="L144" s="130">
        <f>K144+K145+K146+K148+K149</f>
        <v>0</v>
      </c>
      <c r="M144" s="8"/>
    </row>
    <row r="145" spans="2:13" ht="15" customHeight="1" x14ac:dyDescent="0.3">
      <c r="B145" s="169"/>
      <c r="C145" s="162"/>
      <c r="D145" s="121"/>
      <c r="E145" s="138"/>
      <c r="F145" s="121"/>
      <c r="G145" s="138"/>
      <c r="H145" s="121"/>
      <c r="I145" s="118"/>
      <c r="J145" s="34">
        <v>46224</v>
      </c>
      <c r="K145" s="10"/>
      <c r="L145" s="131"/>
      <c r="M145" s="11"/>
    </row>
    <row r="146" spans="2:13" ht="15" customHeight="1" x14ac:dyDescent="0.3">
      <c r="B146" s="169"/>
      <c r="C146" s="162"/>
      <c r="D146" s="121"/>
      <c r="E146" s="138"/>
      <c r="F146" s="121"/>
      <c r="G146" s="138"/>
      <c r="H146" s="121"/>
      <c r="I146" s="118"/>
      <c r="J146" s="34">
        <v>46225</v>
      </c>
      <c r="K146" s="10"/>
      <c r="L146" s="131"/>
      <c r="M146" s="11"/>
    </row>
    <row r="147" spans="2:13" ht="15" customHeight="1" x14ac:dyDescent="0.3">
      <c r="B147" s="169"/>
      <c r="C147" s="162"/>
      <c r="D147" s="121"/>
      <c r="E147" s="138"/>
      <c r="F147" s="121"/>
      <c r="G147" s="138"/>
      <c r="H147" s="121"/>
      <c r="I147" s="118"/>
      <c r="J147" s="34">
        <v>46226</v>
      </c>
      <c r="K147" s="10"/>
      <c r="L147" s="131"/>
      <c r="M147" s="11"/>
    </row>
    <row r="148" spans="2:13" ht="15" customHeight="1" x14ac:dyDescent="0.3">
      <c r="B148" s="169"/>
      <c r="C148" s="162"/>
      <c r="D148" s="121"/>
      <c r="E148" s="138"/>
      <c r="F148" s="121"/>
      <c r="G148" s="138"/>
      <c r="H148" s="121"/>
      <c r="I148" s="118"/>
      <c r="J148" s="34">
        <v>46227</v>
      </c>
      <c r="K148" s="10"/>
      <c r="L148" s="131"/>
      <c r="M148" s="11"/>
    </row>
    <row r="149" spans="2:13" ht="15.75" customHeight="1" thickBot="1" x14ac:dyDescent="0.35">
      <c r="B149" s="169"/>
      <c r="C149" s="163"/>
      <c r="D149" s="129"/>
      <c r="E149" s="139"/>
      <c r="F149" s="129"/>
      <c r="G149" s="139"/>
      <c r="H149" s="129"/>
      <c r="I149" s="119"/>
      <c r="J149" s="40">
        <v>46228</v>
      </c>
      <c r="K149" s="13"/>
      <c r="L149" s="132"/>
      <c r="M149" s="14"/>
    </row>
    <row r="150" spans="2:13" ht="15" customHeight="1" x14ac:dyDescent="0.3">
      <c r="B150" s="169"/>
      <c r="C150" s="123">
        <v>2</v>
      </c>
      <c r="D150" s="126" t="s">
        <v>20</v>
      </c>
      <c r="E150" s="126" t="s">
        <v>11</v>
      </c>
      <c r="F150" s="126" t="s">
        <v>12</v>
      </c>
      <c r="G150" s="126" t="s">
        <v>21</v>
      </c>
      <c r="H150" s="117" t="s">
        <v>22</v>
      </c>
      <c r="I150" s="118">
        <v>29</v>
      </c>
      <c r="J150" s="34">
        <v>46223</v>
      </c>
      <c r="K150" s="7"/>
      <c r="L150" s="126">
        <f>K150+K151+K152+K153+K154+K155</f>
        <v>165</v>
      </c>
      <c r="M150" s="15"/>
    </row>
    <row r="151" spans="2:13" ht="15" customHeight="1" x14ac:dyDescent="0.3">
      <c r="B151" s="169"/>
      <c r="C151" s="124"/>
      <c r="D151" s="127"/>
      <c r="E151" s="127"/>
      <c r="F151" s="127"/>
      <c r="G151" s="127"/>
      <c r="H151" s="118"/>
      <c r="I151" s="118"/>
      <c r="J151" s="34">
        <v>46224</v>
      </c>
      <c r="K151" s="10">
        <v>50</v>
      </c>
      <c r="L151" s="127"/>
      <c r="M151" s="11"/>
    </row>
    <row r="152" spans="2:13" ht="15" customHeight="1" x14ac:dyDescent="0.3">
      <c r="B152" s="169"/>
      <c r="C152" s="124"/>
      <c r="D152" s="127"/>
      <c r="E152" s="127"/>
      <c r="F152" s="127"/>
      <c r="G152" s="127"/>
      <c r="H152" s="118"/>
      <c r="I152" s="118"/>
      <c r="J152" s="34">
        <v>46225</v>
      </c>
      <c r="K152" s="10"/>
      <c r="L152" s="127"/>
      <c r="M152" s="11"/>
    </row>
    <row r="153" spans="2:13" ht="15" customHeight="1" x14ac:dyDescent="0.3">
      <c r="B153" s="169"/>
      <c r="C153" s="124"/>
      <c r="D153" s="127"/>
      <c r="E153" s="127"/>
      <c r="F153" s="127"/>
      <c r="G153" s="127"/>
      <c r="H153" s="118"/>
      <c r="I153" s="118"/>
      <c r="J153" s="34">
        <v>46226</v>
      </c>
      <c r="K153" s="10">
        <v>115</v>
      </c>
      <c r="L153" s="127"/>
      <c r="M153" s="11"/>
    </row>
    <row r="154" spans="2:13" ht="15.75" customHeight="1" x14ac:dyDescent="0.3">
      <c r="B154" s="169"/>
      <c r="C154" s="124"/>
      <c r="D154" s="127"/>
      <c r="E154" s="127"/>
      <c r="F154" s="127"/>
      <c r="G154" s="127"/>
      <c r="H154" s="118"/>
      <c r="I154" s="118"/>
      <c r="J154" s="34">
        <v>46227</v>
      </c>
      <c r="K154" s="10"/>
      <c r="L154" s="127"/>
      <c r="M154" s="11"/>
    </row>
    <row r="155" spans="2:13" ht="15" customHeight="1" thickBot="1" x14ac:dyDescent="0.35">
      <c r="B155" s="169"/>
      <c r="C155" s="125"/>
      <c r="D155" s="128"/>
      <c r="E155" s="128"/>
      <c r="F155" s="128"/>
      <c r="G155" s="128"/>
      <c r="H155" s="119"/>
      <c r="I155" s="119"/>
      <c r="J155" s="34">
        <v>46228</v>
      </c>
      <c r="K155" s="22"/>
      <c r="L155" s="128"/>
      <c r="M155" s="16"/>
    </row>
    <row r="156" spans="2:13" ht="15" customHeight="1" x14ac:dyDescent="0.3">
      <c r="B156" s="169"/>
      <c r="C156" s="123">
        <v>3</v>
      </c>
      <c r="D156" s="126" t="s">
        <v>24</v>
      </c>
      <c r="E156" s="126" t="s">
        <v>25</v>
      </c>
      <c r="F156" s="126" t="s">
        <v>26</v>
      </c>
      <c r="G156" s="126"/>
      <c r="H156" s="126" t="s">
        <v>27</v>
      </c>
      <c r="I156" s="126">
        <v>29</v>
      </c>
      <c r="J156" s="34">
        <v>46223</v>
      </c>
      <c r="K156" s="17"/>
      <c r="L156" s="126">
        <f t="shared" ref="L156" si="4">K156+K157+K158+K159+K160+K161</f>
        <v>0</v>
      </c>
      <c r="M156" s="8"/>
    </row>
    <row r="157" spans="2:13" ht="15" customHeight="1" x14ac:dyDescent="0.3">
      <c r="B157" s="169"/>
      <c r="C157" s="124"/>
      <c r="D157" s="127"/>
      <c r="E157" s="127"/>
      <c r="F157" s="127"/>
      <c r="G157" s="127"/>
      <c r="H157" s="127"/>
      <c r="I157" s="127"/>
      <c r="J157" s="34">
        <v>46224</v>
      </c>
      <c r="K157" s="10"/>
      <c r="L157" s="127"/>
      <c r="M157" s="11"/>
    </row>
    <row r="158" spans="2:13" ht="15" customHeight="1" x14ac:dyDescent="0.3">
      <c r="B158" s="169"/>
      <c r="C158" s="124"/>
      <c r="D158" s="127"/>
      <c r="E158" s="127"/>
      <c r="F158" s="127"/>
      <c r="G158" s="127"/>
      <c r="H158" s="127"/>
      <c r="I158" s="127"/>
      <c r="J158" s="34">
        <v>46225</v>
      </c>
      <c r="K158" s="10"/>
      <c r="L158" s="127"/>
      <c r="M158" s="11"/>
    </row>
    <row r="159" spans="2:13" ht="15" customHeight="1" x14ac:dyDescent="0.3">
      <c r="B159" s="169"/>
      <c r="C159" s="124"/>
      <c r="D159" s="127"/>
      <c r="E159" s="127"/>
      <c r="F159" s="127"/>
      <c r="G159" s="127"/>
      <c r="H159" s="127"/>
      <c r="I159" s="127"/>
      <c r="J159" s="34">
        <v>46226</v>
      </c>
      <c r="K159" s="10"/>
      <c r="L159" s="127"/>
      <c r="M159" s="11"/>
    </row>
    <row r="160" spans="2:13" ht="15.75" customHeight="1" x14ac:dyDescent="0.3">
      <c r="B160" s="169"/>
      <c r="C160" s="124"/>
      <c r="D160" s="127"/>
      <c r="E160" s="127"/>
      <c r="F160" s="127"/>
      <c r="G160" s="127"/>
      <c r="H160" s="127"/>
      <c r="I160" s="127"/>
      <c r="J160" s="34">
        <v>46227</v>
      </c>
      <c r="K160" s="13"/>
      <c r="L160" s="127"/>
      <c r="M160" s="14"/>
    </row>
    <row r="161" spans="2:13" ht="15.75" customHeight="1" thickBot="1" x14ac:dyDescent="0.35">
      <c r="B161" s="169"/>
      <c r="C161" s="125"/>
      <c r="D161" s="128"/>
      <c r="E161" s="128"/>
      <c r="F161" s="128"/>
      <c r="G161" s="128"/>
      <c r="H161" s="128"/>
      <c r="I161" s="128"/>
      <c r="J161" s="34">
        <v>46228</v>
      </c>
      <c r="K161" s="13"/>
      <c r="L161" s="128"/>
      <c r="M161" s="14"/>
    </row>
    <row r="162" spans="2:13" ht="15" customHeight="1" x14ac:dyDescent="0.3">
      <c r="B162" s="169"/>
      <c r="C162" s="123">
        <v>4</v>
      </c>
      <c r="D162" s="126" t="s">
        <v>28</v>
      </c>
      <c r="E162" s="126" t="s">
        <v>29</v>
      </c>
      <c r="F162" s="126" t="s">
        <v>29</v>
      </c>
      <c r="G162" s="126"/>
      <c r="H162" s="126" t="s">
        <v>29</v>
      </c>
      <c r="I162" s="126">
        <v>29</v>
      </c>
      <c r="J162" s="34">
        <v>46223</v>
      </c>
      <c r="K162" s="7"/>
      <c r="L162" s="126">
        <f t="shared" ref="L162" si="5">K162+K163+K164+K165+K166+K167</f>
        <v>0</v>
      </c>
      <c r="M162" s="15"/>
    </row>
    <row r="163" spans="2:13" ht="15" customHeight="1" x14ac:dyDescent="0.3">
      <c r="B163" s="169"/>
      <c r="C163" s="124"/>
      <c r="D163" s="127"/>
      <c r="E163" s="127"/>
      <c r="F163" s="127"/>
      <c r="G163" s="127"/>
      <c r="H163" s="127"/>
      <c r="I163" s="127"/>
      <c r="J163" s="34">
        <v>46224</v>
      </c>
      <c r="K163" s="10"/>
      <c r="L163" s="127"/>
      <c r="M163" s="11"/>
    </row>
    <row r="164" spans="2:13" ht="15" customHeight="1" x14ac:dyDescent="0.3">
      <c r="B164" s="169"/>
      <c r="C164" s="124"/>
      <c r="D164" s="127"/>
      <c r="E164" s="127"/>
      <c r="F164" s="127"/>
      <c r="G164" s="127"/>
      <c r="H164" s="127"/>
      <c r="I164" s="127"/>
      <c r="J164" s="34">
        <v>46225</v>
      </c>
      <c r="K164" s="10"/>
      <c r="L164" s="127"/>
      <c r="M164" s="11"/>
    </row>
    <row r="165" spans="2:13" ht="15" customHeight="1" x14ac:dyDescent="0.3">
      <c r="B165" s="169"/>
      <c r="C165" s="124"/>
      <c r="D165" s="127"/>
      <c r="E165" s="127"/>
      <c r="F165" s="127"/>
      <c r="G165" s="127"/>
      <c r="H165" s="127"/>
      <c r="I165" s="127"/>
      <c r="J165" s="34">
        <v>46226</v>
      </c>
      <c r="K165" s="10"/>
      <c r="L165" s="127"/>
      <c r="M165" s="11"/>
    </row>
    <row r="166" spans="2:13" ht="15.75" customHeight="1" x14ac:dyDescent="0.3">
      <c r="B166" s="169"/>
      <c r="C166" s="124"/>
      <c r="D166" s="127"/>
      <c r="E166" s="127"/>
      <c r="F166" s="127"/>
      <c r="G166" s="127"/>
      <c r="H166" s="127"/>
      <c r="I166" s="127"/>
      <c r="J166" s="34">
        <v>46227</v>
      </c>
      <c r="K166" s="13"/>
      <c r="L166" s="127"/>
      <c r="M166" s="14"/>
    </row>
    <row r="167" spans="2:13" ht="15.75" customHeight="1" thickBot="1" x14ac:dyDescent="0.35">
      <c r="B167" s="169"/>
      <c r="C167" s="125"/>
      <c r="D167" s="128"/>
      <c r="E167" s="128"/>
      <c r="F167" s="128"/>
      <c r="G167" s="128"/>
      <c r="H167" s="128"/>
      <c r="I167" s="128"/>
      <c r="J167" s="34">
        <v>46228</v>
      </c>
      <c r="K167" s="13"/>
      <c r="L167" s="128"/>
      <c r="M167" s="14"/>
    </row>
    <row r="168" spans="2:13" ht="15" customHeight="1" x14ac:dyDescent="0.3">
      <c r="B168" s="169"/>
      <c r="C168" s="148" t="s">
        <v>39</v>
      </c>
      <c r="D168" s="149"/>
      <c r="E168" s="149"/>
      <c r="F168" s="149"/>
      <c r="G168" s="149"/>
      <c r="H168" s="150"/>
      <c r="I168" s="20"/>
      <c r="J168" s="166" t="s">
        <v>8</v>
      </c>
      <c r="K168" s="156">
        <f>SUM(K144:K167)</f>
        <v>165</v>
      </c>
      <c r="L168" s="167">
        <f>SUM(L144:L167)</f>
        <v>165</v>
      </c>
      <c r="M168" s="167" t="s">
        <v>40</v>
      </c>
    </row>
    <row r="169" spans="2:13" ht="15.75" customHeight="1" thickBot="1" x14ac:dyDescent="0.35">
      <c r="B169" s="170"/>
      <c r="C169" s="151"/>
      <c r="D169" s="152"/>
      <c r="E169" s="152"/>
      <c r="F169" s="152"/>
      <c r="G169" s="152"/>
      <c r="H169" s="153"/>
      <c r="I169" s="21"/>
      <c r="J169" s="155"/>
      <c r="K169" s="157"/>
      <c r="L169" s="159"/>
      <c r="M169" s="159"/>
    </row>
    <row r="170" spans="2:13" x14ac:dyDescent="0.3">
      <c r="C170" s="1"/>
    </row>
    <row r="171" spans="2:13" x14ac:dyDescent="0.3">
      <c r="C171" s="1"/>
    </row>
    <row r="172" spans="2:13" x14ac:dyDescent="0.3">
      <c r="C172" s="1"/>
    </row>
    <row r="173" spans="2:13" x14ac:dyDescent="0.3">
      <c r="C173" s="1"/>
    </row>
    <row r="174" spans="2:13" x14ac:dyDescent="0.3">
      <c r="C174" s="1"/>
    </row>
  </sheetData>
  <mergeCells count="236">
    <mergeCell ref="G81:G86"/>
    <mergeCell ref="H81:H86"/>
    <mergeCell ref="I81:I86"/>
    <mergeCell ref="L75:L80"/>
    <mergeCell ref="L81:L86"/>
    <mergeCell ref="L87:L92"/>
    <mergeCell ref="I87:I92"/>
    <mergeCell ref="C75:C80"/>
    <mergeCell ref="D75:D80"/>
    <mergeCell ref="E75:E80"/>
    <mergeCell ref="F75:F80"/>
    <mergeCell ref="G75:G80"/>
    <mergeCell ref="H75:H80"/>
    <mergeCell ref="I75:I80"/>
    <mergeCell ref="C81:C86"/>
    <mergeCell ref="D81:D86"/>
    <mergeCell ref="E81:E86"/>
    <mergeCell ref="F81:F86"/>
    <mergeCell ref="M98:M99"/>
    <mergeCell ref="I93:I97"/>
    <mergeCell ref="C93:C97"/>
    <mergeCell ref="D93:D97"/>
    <mergeCell ref="E93:E97"/>
    <mergeCell ref="F93:F97"/>
    <mergeCell ref="G93:G97"/>
    <mergeCell ref="H93:H97"/>
    <mergeCell ref="L93:L97"/>
    <mergeCell ref="C98:H99"/>
    <mergeCell ref="J98:J99"/>
    <mergeCell ref="K98:K99"/>
    <mergeCell ref="L98:L99"/>
    <mergeCell ref="C64:C68"/>
    <mergeCell ref="D64:D68"/>
    <mergeCell ref="E64:E68"/>
    <mergeCell ref="F64:F68"/>
    <mergeCell ref="G64:G68"/>
    <mergeCell ref="H64:H68"/>
    <mergeCell ref="L64:L68"/>
    <mergeCell ref="I64:I68"/>
    <mergeCell ref="B61:M62"/>
    <mergeCell ref="B64:B99"/>
    <mergeCell ref="L69:L74"/>
    <mergeCell ref="I69:I74"/>
    <mergeCell ref="C69:C74"/>
    <mergeCell ref="D69:D74"/>
    <mergeCell ref="E69:E74"/>
    <mergeCell ref="F69:F74"/>
    <mergeCell ref="G69:G74"/>
    <mergeCell ref="H69:H74"/>
    <mergeCell ref="C87:C92"/>
    <mergeCell ref="D87:D92"/>
    <mergeCell ref="E87:E92"/>
    <mergeCell ref="F87:F92"/>
    <mergeCell ref="G87:G92"/>
    <mergeCell ref="H87:H92"/>
    <mergeCell ref="C4:C8"/>
    <mergeCell ref="D4:D8"/>
    <mergeCell ref="E4:E8"/>
    <mergeCell ref="F4:F8"/>
    <mergeCell ref="G4:G8"/>
    <mergeCell ref="H4:H8"/>
    <mergeCell ref="I4:I8"/>
    <mergeCell ref="L4:L8"/>
    <mergeCell ref="B1:M2"/>
    <mergeCell ref="B4:B59"/>
    <mergeCell ref="C40:C45"/>
    <mergeCell ref="D40:D45"/>
    <mergeCell ref="E40:E45"/>
    <mergeCell ref="F40:F45"/>
    <mergeCell ref="G40:G45"/>
    <mergeCell ref="H40:H45"/>
    <mergeCell ref="I40:I45"/>
    <mergeCell ref="L40:L45"/>
    <mergeCell ref="H9:H14"/>
    <mergeCell ref="I9:I14"/>
    <mergeCell ref="L9:L14"/>
    <mergeCell ref="C15:C19"/>
    <mergeCell ref="D15:D19"/>
    <mergeCell ref="E15:E19"/>
    <mergeCell ref="F15:F19"/>
    <mergeCell ref="G15:G19"/>
    <mergeCell ref="H15:H19"/>
    <mergeCell ref="I15:I19"/>
    <mergeCell ref="L15:L19"/>
    <mergeCell ref="C9:C14"/>
    <mergeCell ref="D9:D14"/>
    <mergeCell ref="E9:E14"/>
    <mergeCell ref="F9:F14"/>
    <mergeCell ref="G9:G14"/>
    <mergeCell ref="H20:H24"/>
    <mergeCell ref="I20:I24"/>
    <mergeCell ref="L20:L24"/>
    <mergeCell ref="C25:C29"/>
    <mergeCell ref="D25:D29"/>
    <mergeCell ref="E25:E29"/>
    <mergeCell ref="F25:F29"/>
    <mergeCell ref="G25:G29"/>
    <mergeCell ref="H25:H29"/>
    <mergeCell ref="I25:I29"/>
    <mergeCell ref="L25:L29"/>
    <mergeCell ref="C20:C24"/>
    <mergeCell ref="D20:D24"/>
    <mergeCell ref="E20:E24"/>
    <mergeCell ref="F20:F24"/>
    <mergeCell ref="G20:G24"/>
    <mergeCell ref="H30:H34"/>
    <mergeCell ref="I30:I34"/>
    <mergeCell ref="L30:L34"/>
    <mergeCell ref="C58:H59"/>
    <mergeCell ref="J58:J59"/>
    <mergeCell ref="K58:K59"/>
    <mergeCell ref="L58:L59"/>
    <mergeCell ref="C30:C34"/>
    <mergeCell ref="D30:D34"/>
    <mergeCell ref="E30:E34"/>
    <mergeCell ref="F30:F34"/>
    <mergeCell ref="G30:G34"/>
    <mergeCell ref="C46:C51"/>
    <mergeCell ref="D46:D51"/>
    <mergeCell ref="M58:M59"/>
    <mergeCell ref="C35:C39"/>
    <mergeCell ref="D35:D39"/>
    <mergeCell ref="E35:E39"/>
    <mergeCell ref="F35:F39"/>
    <mergeCell ref="G35:G39"/>
    <mergeCell ref="H35:H39"/>
    <mergeCell ref="I35:I39"/>
    <mergeCell ref="L35:L39"/>
    <mergeCell ref="E46:E51"/>
    <mergeCell ref="F46:F51"/>
    <mergeCell ref="G46:G51"/>
    <mergeCell ref="H46:H51"/>
    <mergeCell ref="I46:I51"/>
    <mergeCell ref="L46:L51"/>
    <mergeCell ref="C52:C57"/>
    <mergeCell ref="D52:D57"/>
    <mergeCell ref="E52:E57"/>
    <mergeCell ref="F52:F57"/>
    <mergeCell ref="G52:G57"/>
    <mergeCell ref="H52:H57"/>
    <mergeCell ref="I52:I57"/>
    <mergeCell ref="L52:L57"/>
    <mergeCell ref="B101:M102"/>
    <mergeCell ref="B104:B139"/>
    <mergeCell ref="C104:C108"/>
    <mergeCell ref="D104:D108"/>
    <mergeCell ref="E104:E108"/>
    <mergeCell ref="F104:F108"/>
    <mergeCell ref="G104:G108"/>
    <mergeCell ref="H104:H108"/>
    <mergeCell ref="I104:I108"/>
    <mergeCell ref="L104:L108"/>
    <mergeCell ref="C109:C114"/>
    <mergeCell ref="D109:D114"/>
    <mergeCell ref="E109:E114"/>
    <mergeCell ref="F109:F114"/>
    <mergeCell ref="G109:G114"/>
    <mergeCell ref="H109:H114"/>
    <mergeCell ref="I109:I114"/>
    <mergeCell ref="L109:L114"/>
    <mergeCell ref="C115:C120"/>
    <mergeCell ref="D115:D120"/>
    <mergeCell ref="E115:E120"/>
    <mergeCell ref="F115:F120"/>
    <mergeCell ref="G115:G120"/>
    <mergeCell ref="H115:H120"/>
    <mergeCell ref="I115:I120"/>
    <mergeCell ref="L115:L120"/>
    <mergeCell ref="C121:C126"/>
    <mergeCell ref="D121:D126"/>
    <mergeCell ref="E121:E126"/>
    <mergeCell ref="F121:F126"/>
    <mergeCell ref="G121:G126"/>
    <mergeCell ref="H121:H126"/>
    <mergeCell ref="I121:I126"/>
    <mergeCell ref="L121:L126"/>
    <mergeCell ref="C138:H139"/>
    <mergeCell ref="J138:J139"/>
    <mergeCell ref="K138:K139"/>
    <mergeCell ref="L138:L139"/>
    <mergeCell ref="M138:M139"/>
    <mergeCell ref="C127:C132"/>
    <mergeCell ref="D127:D132"/>
    <mergeCell ref="E127:E132"/>
    <mergeCell ref="F127:F132"/>
    <mergeCell ref="G127:G132"/>
    <mergeCell ref="H127:H132"/>
    <mergeCell ref="I127:I132"/>
    <mergeCell ref="L127:L132"/>
    <mergeCell ref="C133:C137"/>
    <mergeCell ref="D133:D137"/>
    <mergeCell ref="E133:E137"/>
    <mergeCell ref="F133:F137"/>
    <mergeCell ref="G133:G137"/>
    <mergeCell ref="H133:H137"/>
    <mergeCell ref="I133:I137"/>
    <mergeCell ref="L133:L137"/>
    <mergeCell ref="B141:M142"/>
    <mergeCell ref="B144:B169"/>
    <mergeCell ref="C144:C149"/>
    <mergeCell ref="D144:D149"/>
    <mergeCell ref="E144:E149"/>
    <mergeCell ref="F144:F149"/>
    <mergeCell ref="G144:G149"/>
    <mergeCell ref="H144:H149"/>
    <mergeCell ref="I144:I149"/>
    <mergeCell ref="L144:L149"/>
    <mergeCell ref="C150:C155"/>
    <mergeCell ref="D150:D155"/>
    <mergeCell ref="E150:E155"/>
    <mergeCell ref="F150:F155"/>
    <mergeCell ref="G150:G155"/>
    <mergeCell ref="H150:H155"/>
    <mergeCell ref="I150:I155"/>
    <mergeCell ref="L150:L155"/>
    <mergeCell ref="C156:C161"/>
    <mergeCell ref="D156:D161"/>
    <mergeCell ref="E156:E161"/>
    <mergeCell ref="F156:F161"/>
    <mergeCell ref="G156:G161"/>
    <mergeCell ref="H156:H161"/>
    <mergeCell ref="C168:H169"/>
    <mergeCell ref="J168:J169"/>
    <mergeCell ref="K168:K169"/>
    <mergeCell ref="L168:L169"/>
    <mergeCell ref="M168:M169"/>
    <mergeCell ref="I156:I161"/>
    <mergeCell ref="L156:L161"/>
    <mergeCell ref="C162:C167"/>
    <mergeCell ref="D162:D167"/>
    <mergeCell ref="E162:E167"/>
    <mergeCell ref="F162:F167"/>
    <mergeCell ref="G162:G167"/>
    <mergeCell ref="H162:H167"/>
    <mergeCell ref="I162:I167"/>
    <mergeCell ref="L162:L167"/>
  </mergeCells>
  <pageMargins left="0.7" right="0.7" top="0.75" bottom="0.75" header="0.3" footer="0.3"/>
  <pageSetup paperSize="9" scale="39" fitToHeight="0" orientation="landscape" r:id="rId1"/>
  <rowBreaks count="2" manualBreakCount="2">
    <brk id="84" max="13" man="1"/>
    <brk id="166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6721-2D85-4DA7-B3D4-A9F1882386B5}">
  <dimension ref="B2:L174"/>
  <sheetViews>
    <sheetView tabSelected="1" view="pageBreakPreview" topLeftCell="A88" zoomScale="40" zoomScaleNormal="100" zoomScaleSheetLayoutView="40" workbookViewId="0">
      <selection activeCell="J144" sqref="J144"/>
    </sheetView>
  </sheetViews>
  <sheetFormatPr baseColWidth="10" defaultColWidth="11.5546875" defaultRowHeight="11.4" x14ac:dyDescent="0.3"/>
  <cols>
    <col min="1" max="1" width="4.6640625" style="1" customWidth="1"/>
    <col min="2" max="2" width="24.33203125" style="1" customWidth="1"/>
    <col min="3" max="3" width="19.109375" style="19" customWidth="1"/>
    <col min="4" max="4" width="34.88671875" style="1" bestFit="1" customWidth="1"/>
    <col min="5" max="5" width="12.6640625" style="1" customWidth="1"/>
    <col min="6" max="6" width="15" style="1" bestFit="1" customWidth="1"/>
    <col min="7" max="7" width="23.44140625" style="1" customWidth="1"/>
    <col min="8" max="8" width="24.33203125" style="1" customWidth="1"/>
    <col min="9" max="9" width="15.33203125" style="1" bestFit="1" customWidth="1"/>
    <col min="10" max="10" width="31.88671875" style="1" bestFit="1" customWidth="1"/>
    <col min="11" max="11" width="11.5546875" style="1"/>
    <col min="12" max="12" width="119.5546875" style="1" bestFit="1" customWidth="1"/>
    <col min="13" max="13" width="4.33203125" style="1" customWidth="1"/>
    <col min="14" max="16384" width="11.5546875" style="1"/>
  </cols>
  <sheetData>
    <row r="2" spans="2:12" ht="12" thickBot="1" x14ac:dyDescent="0.35">
      <c r="C2" s="1"/>
    </row>
    <row r="3" spans="2:12" ht="14.4" customHeight="1" x14ac:dyDescent="0.3">
      <c r="B3" s="142" t="s">
        <v>55</v>
      </c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2:12" ht="15.6" customHeight="1" thickBot="1" x14ac:dyDescent="0.35"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7"/>
    </row>
    <row r="5" spans="2:12" ht="26.25" customHeight="1" thickBot="1" x14ac:dyDescent="0.35">
      <c r="B5" s="23" t="s">
        <v>41</v>
      </c>
      <c r="C5" s="2" t="s">
        <v>0</v>
      </c>
      <c r="D5" s="3" t="s">
        <v>1</v>
      </c>
      <c r="E5" s="4" t="s">
        <v>2</v>
      </c>
      <c r="F5" s="3" t="s">
        <v>3</v>
      </c>
      <c r="G5" s="4" t="s">
        <v>4</v>
      </c>
      <c r="H5" s="3" t="s">
        <v>5</v>
      </c>
      <c r="I5" s="3" t="s">
        <v>6</v>
      </c>
      <c r="J5" s="3" t="s">
        <v>7</v>
      </c>
      <c r="K5" s="5" t="s">
        <v>8</v>
      </c>
      <c r="L5" s="5" t="s">
        <v>9</v>
      </c>
    </row>
    <row r="6" spans="2:12" x14ac:dyDescent="0.3">
      <c r="B6" s="126">
        <v>28</v>
      </c>
      <c r="C6" s="161">
        <v>1</v>
      </c>
      <c r="D6" s="120" t="s">
        <v>45</v>
      </c>
      <c r="E6" s="137" t="s">
        <v>43</v>
      </c>
      <c r="F6" s="120" t="s">
        <v>44</v>
      </c>
      <c r="G6" s="137"/>
      <c r="H6" s="120"/>
      <c r="I6" s="34">
        <v>46209</v>
      </c>
      <c r="J6" s="7"/>
      <c r="K6" s="130">
        <f>J6+J7+J8+J9+J10</f>
        <v>610</v>
      </c>
      <c r="L6" s="8"/>
    </row>
    <row r="7" spans="2:12" ht="15" customHeight="1" x14ac:dyDescent="0.3">
      <c r="B7" s="127"/>
      <c r="C7" s="162"/>
      <c r="D7" s="121"/>
      <c r="E7" s="138"/>
      <c r="F7" s="121"/>
      <c r="G7" s="138"/>
      <c r="H7" s="121"/>
      <c r="I7" s="34">
        <v>46210</v>
      </c>
      <c r="J7" s="10">
        <v>250</v>
      </c>
      <c r="K7" s="131"/>
      <c r="L7" s="11"/>
    </row>
    <row r="8" spans="2:12" ht="15" customHeight="1" x14ac:dyDescent="0.3">
      <c r="B8" s="127"/>
      <c r="C8" s="162"/>
      <c r="D8" s="121"/>
      <c r="E8" s="138"/>
      <c r="F8" s="121"/>
      <c r="G8" s="138"/>
      <c r="H8" s="121"/>
      <c r="I8" s="34">
        <v>46211</v>
      </c>
      <c r="J8" s="10"/>
      <c r="K8" s="131"/>
      <c r="L8" s="11"/>
    </row>
    <row r="9" spans="2:12" ht="15" customHeight="1" x14ac:dyDescent="0.3">
      <c r="B9" s="127"/>
      <c r="C9" s="162"/>
      <c r="D9" s="121"/>
      <c r="E9" s="138"/>
      <c r="F9" s="121"/>
      <c r="G9" s="138"/>
      <c r="H9" s="121"/>
      <c r="I9" s="34">
        <v>46212</v>
      </c>
      <c r="J9" s="10">
        <v>180</v>
      </c>
      <c r="K9" s="131"/>
      <c r="L9" s="11"/>
    </row>
    <row r="10" spans="2:12" ht="15.75" customHeight="1" thickBot="1" x14ac:dyDescent="0.35">
      <c r="B10" s="127"/>
      <c r="C10" s="163"/>
      <c r="D10" s="129"/>
      <c r="E10" s="139"/>
      <c r="F10" s="129"/>
      <c r="G10" s="139"/>
      <c r="H10" s="129"/>
      <c r="I10" s="34">
        <v>46213</v>
      </c>
      <c r="J10" s="13">
        <v>180</v>
      </c>
      <c r="K10" s="132"/>
      <c r="L10" s="14"/>
    </row>
    <row r="11" spans="2:12" ht="15" customHeight="1" x14ac:dyDescent="0.3">
      <c r="B11" s="127"/>
      <c r="C11" s="123">
        <v>2</v>
      </c>
      <c r="D11" s="126" t="s">
        <v>45</v>
      </c>
      <c r="E11" s="126" t="s">
        <v>43</v>
      </c>
      <c r="F11" s="126" t="s">
        <v>46</v>
      </c>
      <c r="G11" s="126"/>
      <c r="H11" s="117"/>
      <c r="I11" s="36">
        <v>46209</v>
      </c>
      <c r="J11" s="37"/>
      <c r="K11" s="126">
        <f>J11+J12+J13+J14+J15+J16</f>
        <v>610</v>
      </c>
      <c r="L11" s="15"/>
    </row>
    <row r="12" spans="2:12" ht="15" customHeight="1" x14ac:dyDescent="0.3">
      <c r="B12" s="127"/>
      <c r="C12" s="124"/>
      <c r="D12" s="127"/>
      <c r="E12" s="127"/>
      <c r="F12" s="127"/>
      <c r="G12" s="127"/>
      <c r="H12" s="118"/>
      <c r="I12" s="39">
        <v>46210</v>
      </c>
      <c r="J12" s="29">
        <v>250</v>
      </c>
      <c r="K12" s="127"/>
      <c r="L12" s="11"/>
    </row>
    <row r="13" spans="2:12" ht="15" customHeight="1" x14ac:dyDescent="0.3">
      <c r="B13" s="127"/>
      <c r="C13" s="124"/>
      <c r="D13" s="127"/>
      <c r="E13" s="127"/>
      <c r="F13" s="127"/>
      <c r="G13" s="127"/>
      <c r="H13" s="118"/>
      <c r="I13" s="39">
        <v>46211</v>
      </c>
      <c r="J13" s="29"/>
      <c r="K13" s="127"/>
      <c r="L13" s="11"/>
    </row>
    <row r="14" spans="2:12" ht="15" customHeight="1" x14ac:dyDescent="0.3">
      <c r="B14" s="127"/>
      <c r="C14" s="124"/>
      <c r="D14" s="127"/>
      <c r="E14" s="127"/>
      <c r="F14" s="127"/>
      <c r="G14" s="127"/>
      <c r="H14" s="118"/>
      <c r="I14" s="39">
        <v>46212</v>
      </c>
      <c r="J14" s="29">
        <v>180</v>
      </c>
      <c r="K14" s="127"/>
      <c r="L14" s="11"/>
    </row>
    <row r="15" spans="2:12" ht="15.75" customHeight="1" x14ac:dyDescent="0.3">
      <c r="B15" s="127"/>
      <c r="C15" s="124"/>
      <c r="D15" s="127"/>
      <c r="E15" s="127"/>
      <c r="F15" s="127"/>
      <c r="G15" s="127"/>
      <c r="H15" s="118"/>
      <c r="I15" s="39">
        <v>46213</v>
      </c>
      <c r="J15" s="29">
        <v>180</v>
      </c>
      <c r="K15" s="127"/>
      <c r="L15" s="11"/>
    </row>
    <row r="16" spans="2:12" ht="15" customHeight="1" thickBot="1" x14ac:dyDescent="0.35">
      <c r="B16" s="127"/>
      <c r="C16" s="125"/>
      <c r="D16" s="128"/>
      <c r="E16" s="128"/>
      <c r="F16" s="128"/>
      <c r="G16" s="128"/>
      <c r="H16" s="119"/>
      <c r="I16" s="40">
        <v>46214</v>
      </c>
      <c r="J16" s="38"/>
      <c r="K16" s="128"/>
      <c r="L16" s="16"/>
    </row>
    <row r="17" spans="2:12" ht="15" customHeight="1" x14ac:dyDescent="0.3">
      <c r="B17" s="127"/>
      <c r="C17" s="164">
        <v>3</v>
      </c>
      <c r="D17" s="120" t="s">
        <v>48</v>
      </c>
      <c r="E17" s="140" t="s">
        <v>43</v>
      </c>
      <c r="F17" s="120" t="s">
        <v>47</v>
      </c>
      <c r="G17" s="140"/>
      <c r="H17" s="120"/>
      <c r="I17" s="35">
        <v>46209</v>
      </c>
      <c r="J17" s="7"/>
      <c r="K17" s="120">
        <f>J17+J18+J19+J20+J21</f>
        <v>100</v>
      </c>
      <c r="L17" s="8"/>
    </row>
    <row r="18" spans="2:12" ht="15" customHeight="1" x14ac:dyDescent="0.3">
      <c r="B18" s="127"/>
      <c r="C18" s="162"/>
      <c r="D18" s="121"/>
      <c r="E18" s="138"/>
      <c r="F18" s="121"/>
      <c r="G18" s="138"/>
      <c r="H18" s="121"/>
      <c r="I18" s="39">
        <v>46210</v>
      </c>
      <c r="J18" s="10"/>
      <c r="K18" s="121"/>
      <c r="L18" s="11"/>
    </row>
    <row r="19" spans="2:12" ht="15" customHeight="1" x14ac:dyDescent="0.3">
      <c r="B19" s="127"/>
      <c r="C19" s="162"/>
      <c r="D19" s="121"/>
      <c r="E19" s="138"/>
      <c r="F19" s="121"/>
      <c r="G19" s="138"/>
      <c r="H19" s="121"/>
      <c r="I19" s="39">
        <v>46211</v>
      </c>
      <c r="J19" s="10"/>
      <c r="K19" s="121"/>
      <c r="L19" s="11"/>
    </row>
    <row r="20" spans="2:12" ht="15" customHeight="1" x14ac:dyDescent="0.3">
      <c r="B20" s="127"/>
      <c r="C20" s="162"/>
      <c r="D20" s="121"/>
      <c r="E20" s="138"/>
      <c r="F20" s="121"/>
      <c r="G20" s="138"/>
      <c r="H20" s="121"/>
      <c r="I20" s="39">
        <v>46212</v>
      </c>
      <c r="J20" s="10">
        <v>50</v>
      </c>
      <c r="K20" s="121"/>
      <c r="L20" s="11"/>
    </row>
    <row r="21" spans="2:12" ht="15.75" customHeight="1" thickBot="1" x14ac:dyDescent="0.35">
      <c r="B21" s="127"/>
      <c r="C21" s="165"/>
      <c r="D21" s="122"/>
      <c r="E21" s="141"/>
      <c r="F21" s="122"/>
      <c r="G21" s="141"/>
      <c r="H21" s="122"/>
      <c r="I21" s="42">
        <v>46213</v>
      </c>
      <c r="J21" s="18">
        <v>50</v>
      </c>
      <c r="K21" s="122"/>
      <c r="L21" s="14"/>
    </row>
    <row r="22" spans="2:12" ht="15" customHeight="1" x14ac:dyDescent="0.3">
      <c r="B22" s="127"/>
      <c r="C22" s="161">
        <v>4</v>
      </c>
      <c r="D22" s="160" t="s">
        <v>48</v>
      </c>
      <c r="E22" s="137" t="s">
        <v>43</v>
      </c>
      <c r="F22" s="160" t="s">
        <v>49</v>
      </c>
      <c r="G22" s="137"/>
      <c r="H22" s="160"/>
      <c r="I22" s="34">
        <v>46209</v>
      </c>
      <c r="J22" s="17"/>
      <c r="K22" s="160">
        <f>J22+J23+J24+J25+J26</f>
        <v>75</v>
      </c>
      <c r="L22" s="15"/>
    </row>
    <row r="23" spans="2:12" ht="15" customHeight="1" x14ac:dyDescent="0.3">
      <c r="B23" s="127"/>
      <c r="C23" s="162"/>
      <c r="D23" s="121"/>
      <c r="E23" s="138"/>
      <c r="F23" s="121"/>
      <c r="G23" s="138"/>
      <c r="H23" s="121"/>
      <c r="I23" s="39">
        <v>46210</v>
      </c>
      <c r="J23" s="10"/>
      <c r="K23" s="121"/>
      <c r="L23" s="11"/>
    </row>
    <row r="24" spans="2:12" ht="15" customHeight="1" x14ac:dyDescent="0.3">
      <c r="B24" s="127"/>
      <c r="C24" s="162"/>
      <c r="D24" s="121"/>
      <c r="E24" s="138"/>
      <c r="F24" s="121"/>
      <c r="G24" s="138"/>
      <c r="H24" s="121"/>
      <c r="I24" s="39">
        <v>46211</v>
      </c>
      <c r="J24" s="10"/>
      <c r="K24" s="121"/>
      <c r="L24" s="11"/>
    </row>
    <row r="25" spans="2:12" ht="15" customHeight="1" x14ac:dyDescent="0.3">
      <c r="B25" s="127"/>
      <c r="C25" s="162"/>
      <c r="D25" s="121"/>
      <c r="E25" s="138"/>
      <c r="F25" s="121"/>
      <c r="G25" s="138"/>
      <c r="H25" s="121"/>
      <c r="I25" s="39">
        <v>46212</v>
      </c>
      <c r="J25" s="10">
        <v>50</v>
      </c>
      <c r="K25" s="121"/>
      <c r="L25" s="11"/>
    </row>
    <row r="26" spans="2:12" ht="15.75" customHeight="1" thickBot="1" x14ac:dyDescent="0.35">
      <c r="B26" s="127"/>
      <c r="C26" s="163"/>
      <c r="D26" s="129"/>
      <c r="E26" s="139"/>
      <c r="F26" s="129"/>
      <c r="G26" s="139"/>
      <c r="H26" s="129"/>
      <c r="I26" s="41">
        <v>46213</v>
      </c>
      <c r="J26" s="13">
        <v>25</v>
      </c>
      <c r="K26" s="129"/>
      <c r="L26" s="14"/>
    </row>
    <row r="27" spans="2:12" ht="15" customHeight="1" x14ac:dyDescent="0.3">
      <c r="B27" s="127"/>
      <c r="C27" s="123">
        <v>5</v>
      </c>
      <c r="D27" s="126" t="s">
        <v>45</v>
      </c>
      <c r="E27" s="126" t="s">
        <v>43</v>
      </c>
      <c r="F27" s="126" t="s">
        <v>50</v>
      </c>
      <c r="G27" s="126"/>
      <c r="H27" s="126"/>
      <c r="I27" s="35">
        <v>46209</v>
      </c>
      <c r="J27" s="7"/>
      <c r="K27" s="126">
        <f>J27+J28+J29+J30+J31+J32</f>
        <v>380</v>
      </c>
      <c r="L27" s="15"/>
    </row>
    <row r="28" spans="2:12" ht="15" customHeight="1" x14ac:dyDescent="0.3">
      <c r="B28" s="127"/>
      <c r="C28" s="124"/>
      <c r="D28" s="127"/>
      <c r="E28" s="127"/>
      <c r="F28" s="127"/>
      <c r="G28" s="127"/>
      <c r="H28" s="127"/>
      <c r="I28" s="39">
        <v>46210</v>
      </c>
      <c r="J28" s="10"/>
      <c r="K28" s="127"/>
      <c r="L28" s="11"/>
    </row>
    <row r="29" spans="2:12" ht="15" customHeight="1" x14ac:dyDescent="0.3">
      <c r="B29" s="127"/>
      <c r="C29" s="124"/>
      <c r="D29" s="127"/>
      <c r="E29" s="127"/>
      <c r="F29" s="127"/>
      <c r="G29" s="127"/>
      <c r="H29" s="127"/>
      <c r="I29" s="39">
        <v>46211</v>
      </c>
      <c r="J29" s="10"/>
      <c r="K29" s="127"/>
      <c r="L29" s="11"/>
    </row>
    <row r="30" spans="2:12" ht="15" customHeight="1" x14ac:dyDescent="0.3">
      <c r="B30" s="127"/>
      <c r="C30" s="124"/>
      <c r="D30" s="127"/>
      <c r="E30" s="127"/>
      <c r="F30" s="127"/>
      <c r="G30" s="127"/>
      <c r="H30" s="127"/>
      <c r="I30" s="39">
        <v>46212</v>
      </c>
      <c r="J30" s="10"/>
      <c r="K30" s="127"/>
      <c r="L30" s="11"/>
    </row>
    <row r="31" spans="2:12" ht="15.75" customHeight="1" x14ac:dyDescent="0.3">
      <c r="B31" s="127"/>
      <c r="C31" s="124"/>
      <c r="D31" s="127"/>
      <c r="E31" s="127"/>
      <c r="F31" s="127"/>
      <c r="G31" s="127"/>
      <c r="H31" s="127"/>
      <c r="I31" s="39">
        <v>46213</v>
      </c>
      <c r="J31" s="10">
        <v>200</v>
      </c>
      <c r="K31" s="127"/>
      <c r="L31" s="11"/>
    </row>
    <row r="32" spans="2:12" ht="15.75" customHeight="1" thickBot="1" x14ac:dyDescent="0.35">
      <c r="B32" s="127"/>
      <c r="C32" s="125"/>
      <c r="D32" s="128"/>
      <c r="E32" s="128"/>
      <c r="F32" s="128"/>
      <c r="G32" s="128"/>
      <c r="H32" s="128"/>
      <c r="I32" s="42">
        <v>46214</v>
      </c>
      <c r="J32" s="22">
        <v>180</v>
      </c>
      <c r="K32" s="128"/>
      <c r="L32" s="16"/>
    </row>
    <row r="33" spans="2:12" ht="15" customHeight="1" x14ac:dyDescent="0.3">
      <c r="B33" s="127"/>
      <c r="C33" s="133">
        <v>6</v>
      </c>
      <c r="D33" s="127" t="s">
        <v>45</v>
      </c>
      <c r="E33" s="135" t="s">
        <v>43</v>
      </c>
      <c r="F33" s="127" t="s">
        <v>51</v>
      </c>
      <c r="G33" s="135"/>
      <c r="H33" s="127"/>
      <c r="I33" s="34">
        <v>46209</v>
      </c>
      <c r="J33" s="6"/>
      <c r="K33" s="127">
        <f>J33+J34+J35+J36+J37+J38</f>
        <v>380</v>
      </c>
      <c r="L33" s="26"/>
    </row>
    <row r="34" spans="2:12" ht="15" customHeight="1" x14ac:dyDescent="0.3">
      <c r="B34" s="127"/>
      <c r="C34" s="133"/>
      <c r="D34" s="127"/>
      <c r="E34" s="135"/>
      <c r="F34" s="127"/>
      <c r="G34" s="135"/>
      <c r="H34" s="127"/>
      <c r="I34" s="39">
        <v>46210</v>
      </c>
      <c r="J34" s="9"/>
      <c r="K34" s="127"/>
      <c r="L34" s="24"/>
    </row>
    <row r="35" spans="2:12" ht="15" customHeight="1" x14ac:dyDescent="0.3">
      <c r="B35" s="127"/>
      <c r="C35" s="133"/>
      <c r="D35" s="127"/>
      <c r="E35" s="135"/>
      <c r="F35" s="127"/>
      <c r="G35" s="135"/>
      <c r="H35" s="127"/>
      <c r="I35" s="39">
        <v>46211</v>
      </c>
      <c r="J35" s="9"/>
      <c r="K35" s="127"/>
      <c r="L35" s="24"/>
    </row>
    <row r="36" spans="2:12" ht="15" customHeight="1" x14ac:dyDescent="0.3">
      <c r="B36" s="127"/>
      <c r="C36" s="133"/>
      <c r="D36" s="127"/>
      <c r="E36" s="135"/>
      <c r="F36" s="127"/>
      <c r="G36" s="135"/>
      <c r="H36" s="127"/>
      <c r="I36" s="39">
        <v>46212</v>
      </c>
      <c r="J36" s="9"/>
      <c r="K36" s="127"/>
      <c r="L36" s="24"/>
    </row>
    <row r="37" spans="2:12" ht="15.75" customHeight="1" x14ac:dyDescent="0.3">
      <c r="B37" s="127"/>
      <c r="C37" s="133"/>
      <c r="D37" s="127"/>
      <c r="E37" s="135"/>
      <c r="F37" s="127"/>
      <c r="G37" s="135"/>
      <c r="H37" s="127"/>
      <c r="I37" s="39">
        <v>46213</v>
      </c>
      <c r="J37" s="12">
        <v>200</v>
      </c>
      <c r="K37" s="127"/>
      <c r="L37" s="27"/>
    </row>
    <row r="38" spans="2:12" ht="15.75" customHeight="1" thickBot="1" x14ac:dyDescent="0.35">
      <c r="B38" s="127"/>
      <c r="C38" s="134"/>
      <c r="D38" s="128"/>
      <c r="E38" s="136"/>
      <c r="F38" s="128"/>
      <c r="G38" s="136"/>
      <c r="H38" s="128"/>
      <c r="I38" s="39">
        <v>46214</v>
      </c>
      <c r="J38" s="12">
        <v>180</v>
      </c>
      <c r="K38" s="128"/>
      <c r="L38" s="25"/>
    </row>
    <row r="39" spans="2:12" ht="15" customHeight="1" x14ac:dyDescent="0.3">
      <c r="B39" s="127"/>
      <c r="C39" s="148" t="s">
        <v>39</v>
      </c>
      <c r="D39" s="149"/>
      <c r="E39" s="149"/>
      <c r="F39" s="149"/>
      <c r="G39" s="149"/>
      <c r="H39" s="150"/>
      <c r="I39" s="154" t="s">
        <v>8</v>
      </c>
      <c r="J39" s="156">
        <f>SUM(J6:J38)</f>
        <v>2155</v>
      </c>
      <c r="K39" s="156">
        <f>SUM(K6:K38)</f>
        <v>2155</v>
      </c>
      <c r="L39" s="158" t="s">
        <v>40</v>
      </c>
    </row>
    <row r="40" spans="2:12" ht="15.75" customHeight="1" thickBot="1" x14ac:dyDescent="0.35">
      <c r="B40" s="128"/>
      <c r="C40" s="151"/>
      <c r="D40" s="152"/>
      <c r="E40" s="152"/>
      <c r="F40" s="152"/>
      <c r="G40" s="152"/>
      <c r="H40" s="153"/>
      <c r="I40" s="155"/>
      <c r="J40" s="157"/>
      <c r="K40" s="157"/>
      <c r="L40" s="159"/>
    </row>
    <row r="41" spans="2:12" ht="15.75" customHeight="1" thickBot="1" x14ac:dyDescent="0.35">
      <c r="B41" s="28"/>
      <c r="C41" s="31"/>
      <c r="D41" s="31"/>
      <c r="E41" s="31"/>
      <c r="F41" s="31"/>
      <c r="G41" s="31"/>
      <c r="H41" s="31"/>
      <c r="I41" s="32"/>
      <c r="J41" s="31"/>
      <c r="K41" s="31"/>
      <c r="L41" s="33"/>
    </row>
    <row r="42" spans="2:12" ht="14.4" customHeight="1" x14ac:dyDescent="0.3">
      <c r="B42" s="102" t="s">
        <v>59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4"/>
    </row>
    <row r="43" spans="2:12" ht="15.6" customHeight="1" thickBot="1" x14ac:dyDescent="0.35"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07"/>
    </row>
    <row r="44" spans="2:12" ht="37.5" customHeight="1" thickBot="1" x14ac:dyDescent="0.35">
      <c r="B44" s="43" t="s">
        <v>41</v>
      </c>
      <c r="C44" s="43" t="s">
        <v>0</v>
      </c>
      <c r="D44" s="44" t="s">
        <v>1</v>
      </c>
      <c r="E44" s="45" t="s">
        <v>2</v>
      </c>
      <c r="F44" s="44" t="s">
        <v>3</v>
      </c>
      <c r="G44" s="45" t="s">
        <v>4</v>
      </c>
      <c r="H44" s="44" t="s">
        <v>5</v>
      </c>
      <c r="I44" s="44" t="s">
        <v>6</v>
      </c>
      <c r="J44" s="44" t="s">
        <v>7</v>
      </c>
      <c r="K44" s="46" t="s">
        <v>8</v>
      </c>
      <c r="L44" s="46" t="s">
        <v>9</v>
      </c>
    </row>
    <row r="45" spans="2:12" ht="50.1" customHeight="1" x14ac:dyDescent="0.3">
      <c r="B45" s="74">
        <v>28</v>
      </c>
      <c r="C45" s="77">
        <v>1</v>
      </c>
      <c r="D45" s="87" t="s">
        <v>45</v>
      </c>
      <c r="E45" s="83" t="s">
        <v>43</v>
      </c>
      <c r="F45" s="87" t="s">
        <v>44</v>
      </c>
      <c r="G45" s="83"/>
      <c r="H45" s="87" t="s">
        <v>60</v>
      </c>
      <c r="I45" s="47">
        <v>46216</v>
      </c>
      <c r="J45" s="48">
        <v>180</v>
      </c>
      <c r="K45" s="108"/>
      <c r="L45" s="49"/>
    </row>
    <row r="46" spans="2:12" ht="50.1" customHeight="1" x14ac:dyDescent="0.3">
      <c r="B46" s="75"/>
      <c r="C46" s="78"/>
      <c r="D46" s="81"/>
      <c r="E46" s="84"/>
      <c r="F46" s="81"/>
      <c r="G46" s="84"/>
      <c r="H46" s="81"/>
      <c r="I46" s="50">
        <v>46217</v>
      </c>
      <c r="J46" s="51"/>
      <c r="K46" s="109"/>
      <c r="L46" s="52"/>
    </row>
    <row r="47" spans="2:12" ht="50.1" customHeight="1" x14ac:dyDescent="0.3">
      <c r="B47" s="75"/>
      <c r="C47" s="78"/>
      <c r="D47" s="81"/>
      <c r="E47" s="84"/>
      <c r="F47" s="81"/>
      <c r="G47" s="84"/>
      <c r="H47" s="81"/>
      <c r="I47" s="50">
        <v>46218</v>
      </c>
      <c r="J47" s="51">
        <v>200</v>
      </c>
      <c r="K47" s="109"/>
      <c r="L47" s="52"/>
    </row>
    <row r="48" spans="2:12" ht="50.1" customHeight="1" x14ac:dyDescent="0.3">
      <c r="B48" s="75"/>
      <c r="C48" s="78"/>
      <c r="D48" s="81"/>
      <c r="E48" s="84"/>
      <c r="F48" s="81"/>
      <c r="G48" s="84"/>
      <c r="H48" s="81"/>
      <c r="I48" s="50">
        <v>46219</v>
      </c>
      <c r="J48" s="51"/>
      <c r="K48" s="109"/>
      <c r="L48" s="52"/>
    </row>
    <row r="49" spans="2:12" ht="50.1" customHeight="1" thickBot="1" x14ac:dyDescent="0.35">
      <c r="B49" s="75"/>
      <c r="C49" s="79"/>
      <c r="D49" s="82"/>
      <c r="E49" s="85"/>
      <c r="F49" s="82"/>
      <c r="G49" s="85"/>
      <c r="H49" s="82"/>
      <c r="I49" s="53">
        <v>46220</v>
      </c>
      <c r="J49" s="54"/>
      <c r="K49" s="110"/>
      <c r="L49" s="55"/>
    </row>
    <row r="50" spans="2:12" ht="50.1" customHeight="1" x14ac:dyDescent="0.3">
      <c r="B50" s="75"/>
      <c r="C50" s="71">
        <v>2</v>
      </c>
      <c r="D50" s="74" t="s">
        <v>45</v>
      </c>
      <c r="E50" s="74" t="s">
        <v>43</v>
      </c>
      <c r="F50" s="74" t="s">
        <v>46</v>
      </c>
      <c r="G50" s="74"/>
      <c r="H50" s="111" t="s">
        <v>61</v>
      </c>
      <c r="I50" s="47">
        <v>46216</v>
      </c>
      <c r="J50" s="48">
        <v>180</v>
      </c>
      <c r="K50" s="74"/>
      <c r="L50" s="56"/>
    </row>
    <row r="51" spans="2:12" ht="50.1" customHeight="1" x14ac:dyDescent="0.3">
      <c r="B51" s="75"/>
      <c r="C51" s="72"/>
      <c r="D51" s="75"/>
      <c r="E51" s="75"/>
      <c r="F51" s="75"/>
      <c r="G51" s="75"/>
      <c r="H51" s="112"/>
      <c r="I51" s="50">
        <v>46217</v>
      </c>
      <c r="J51" s="51"/>
      <c r="K51" s="75"/>
      <c r="L51" s="52"/>
    </row>
    <row r="52" spans="2:12" ht="50.1" customHeight="1" x14ac:dyDescent="0.3">
      <c r="B52" s="75"/>
      <c r="C52" s="72"/>
      <c r="D52" s="75"/>
      <c r="E52" s="75"/>
      <c r="F52" s="75"/>
      <c r="G52" s="75"/>
      <c r="H52" s="112"/>
      <c r="I52" s="50">
        <v>46218</v>
      </c>
      <c r="J52" s="51">
        <v>180</v>
      </c>
      <c r="K52" s="75"/>
      <c r="L52" s="52"/>
    </row>
    <row r="53" spans="2:12" ht="50.1" customHeight="1" x14ac:dyDescent="0.3">
      <c r="B53" s="75"/>
      <c r="C53" s="72"/>
      <c r="D53" s="75"/>
      <c r="E53" s="75"/>
      <c r="F53" s="75"/>
      <c r="G53" s="75"/>
      <c r="H53" s="112"/>
      <c r="I53" s="50">
        <v>46219</v>
      </c>
      <c r="J53" s="51"/>
      <c r="K53" s="75"/>
      <c r="L53" s="52"/>
    </row>
    <row r="54" spans="2:12" ht="50.1" customHeight="1" x14ac:dyDescent="0.3">
      <c r="B54" s="75"/>
      <c r="C54" s="72"/>
      <c r="D54" s="75"/>
      <c r="E54" s="75"/>
      <c r="F54" s="75"/>
      <c r="G54" s="75"/>
      <c r="H54" s="112"/>
      <c r="I54" s="57">
        <v>46220</v>
      </c>
      <c r="J54" s="51">
        <v>180</v>
      </c>
      <c r="K54" s="75"/>
      <c r="L54" s="52"/>
    </row>
    <row r="55" spans="2:12" ht="50.1" customHeight="1" thickBot="1" x14ac:dyDescent="0.35">
      <c r="B55" s="75"/>
      <c r="C55" s="73"/>
      <c r="D55" s="76"/>
      <c r="E55" s="76"/>
      <c r="F55" s="76"/>
      <c r="G55" s="76"/>
      <c r="H55" s="113"/>
      <c r="I55" s="53">
        <v>46221</v>
      </c>
      <c r="J55" s="58"/>
      <c r="K55" s="76"/>
      <c r="L55" s="59"/>
    </row>
    <row r="56" spans="2:12" ht="50.1" customHeight="1" x14ac:dyDescent="0.3">
      <c r="B56" s="75"/>
      <c r="C56" s="114">
        <v>3</v>
      </c>
      <c r="D56" s="87" t="s">
        <v>48</v>
      </c>
      <c r="E56" s="86" t="s">
        <v>43</v>
      </c>
      <c r="F56" s="87" t="s">
        <v>47</v>
      </c>
      <c r="G56" s="83"/>
      <c r="H56" s="80" t="s">
        <v>62</v>
      </c>
      <c r="I56" s="47">
        <v>46216</v>
      </c>
      <c r="J56" s="60">
        <v>50</v>
      </c>
      <c r="K56" s="80"/>
      <c r="L56" s="49"/>
    </row>
    <row r="57" spans="2:12" ht="50.1" customHeight="1" x14ac:dyDescent="0.3">
      <c r="B57" s="75"/>
      <c r="C57" s="78"/>
      <c r="D57" s="81"/>
      <c r="E57" s="84"/>
      <c r="F57" s="81"/>
      <c r="G57" s="84"/>
      <c r="H57" s="81"/>
      <c r="I57" s="50">
        <v>46217</v>
      </c>
      <c r="J57" s="51"/>
      <c r="K57" s="81"/>
      <c r="L57" s="52"/>
    </row>
    <row r="58" spans="2:12" ht="50.1" customHeight="1" x14ac:dyDescent="0.3">
      <c r="B58" s="75"/>
      <c r="C58" s="78"/>
      <c r="D58" s="81"/>
      <c r="E58" s="84"/>
      <c r="F58" s="81"/>
      <c r="G58" s="84"/>
      <c r="H58" s="81"/>
      <c r="I58" s="50">
        <v>46218</v>
      </c>
      <c r="J58" s="51">
        <v>50</v>
      </c>
      <c r="K58" s="81"/>
      <c r="L58" s="52"/>
    </row>
    <row r="59" spans="2:12" ht="50.1" customHeight="1" x14ac:dyDescent="0.3">
      <c r="B59" s="75"/>
      <c r="C59" s="78"/>
      <c r="D59" s="81"/>
      <c r="E59" s="84"/>
      <c r="F59" s="81"/>
      <c r="G59" s="84"/>
      <c r="H59" s="81"/>
      <c r="I59" s="50">
        <v>46219</v>
      </c>
      <c r="J59" s="51"/>
      <c r="K59" s="81"/>
      <c r="L59" s="52"/>
    </row>
    <row r="60" spans="2:12" ht="50.1" customHeight="1" thickBot="1" x14ac:dyDescent="0.35">
      <c r="B60" s="75"/>
      <c r="C60" s="115"/>
      <c r="D60" s="101"/>
      <c r="E60" s="116"/>
      <c r="F60" s="101"/>
      <c r="G60" s="85"/>
      <c r="H60" s="82"/>
      <c r="I60" s="57">
        <v>46220</v>
      </c>
      <c r="J60" s="54"/>
      <c r="K60" s="82"/>
      <c r="L60" s="55"/>
    </row>
    <row r="61" spans="2:12" ht="50.1" customHeight="1" x14ac:dyDescent="0.3">
      <c r="B61" s="75"/>
      <c r="C61" s="77">
        <v>4</v>
      </c>
      <c r="D61" s="80" t="s">
        <v>48</v>
      </c>
      <c r="E61" s="83" t="s">
        <v>43</v>
      </c>
      <c r="F61" s="80" t="s">
        <v>49</v>
      </c>
      <c r="G61" s="86"/>
      <c r="H61" s="87" t="s">
        <v>63</v>
      </c>
      <c r="I61" s="47">
        <v>46216</v>
      </c>
      <c r="J61" s="48">
        <v>50</v>
      </c>
      <c r="K61" s="87"/>
      <c r="L61" s="56"/>
    </row>
    <row r="62" spans="2:12" ht="50.1" customHeight="1" x14ac:dyDescent="0.3">
      <c r="B62" s="75"/>
      <c r="C62" s="78"/>
      <c r="D62" s="81"/>
      <c r="E62" s="84"/>
      <c r="F62" s="81"/>
      <c r="G62" s="84"/>
      <c r="H62" s="81"/>
      <c r="I62" s="50">
        <v>46217</v>
      </c>
      <c r="J62" s="51"/>
      <c r="K62" s="81"/>
      <c r="L62" s="52"/>
    </row>
    <row r="63" spans="2:12" ht="50.1" customHeight="1" x14ac:dyDescent="0.3">
      <c r="B63" s="75"/>
      <c r="C63" s="78"/>
      <c r="D63" s="81"/>
      <c r="E63" s="84"/>
      <c r="F63" s="81"/>
      <c r="G63" s="84"/>
      <c r="H63" s="81"/>
      <c r="I63" s="50">
        <v>46218</v>
      </c>
      <c r="J63" s="51">
        <v>50</v>
      </c>
      <c r="K63" s="81"/>
      <c r="L63" s="52"/>
    </row>
    <row r="64" spans="2:12" ht="50.1" customHeight="1" x14ac:dyDescent="0.3">
      <c r="B64" s="75"/>
      <c r="C64" s="78"/>
      <c r="D64" s="81"/>
      <c r="E64" s="84"/>
      <c r="F64" s="81"/>
      <c r="G64" s="84"/>
      <c r="H64" s="81"/>
      <c r="I64" s="50">
        <v>46219</v>
      </c>
      <c r="J64" s="51"/>
      <c r="K64" s="81"/>
      <c r="L64" s="52"/>
    </row>
    <row r="65" spans="2:12" ht="50.1" customHeight="1" thickBot="1" x14ac:dyDescent="0.35">
      <c r="B65" s="75"/>
      <c r="C65" s="79"/>
      <c r="D65" s="82"/>
      <c r="E65" s="85"/>
      <c r="F65" s="82"/>
      <c r="G65" s="85"/>
      <c r="H65" s="82"/>
      <c r="I65" s="57">
        <v>46220</v>
      </c>
      <c r="J65" s="54">
        <v>160</v>
      </c>
      <c r="K65" s="82"/>
      <c r="L65" s="55"/>
    </row>
    <row r="66" spans="2:12" ht="50.1" customHeight="1" x14ac:dyDescent="0.3">
      <c r="B66" s="75"/>
      <c r="C66" s="71">
        <v>5</v>
      </c>
      <c r="D66" s="74" t="s">
        <v>45</v>
      </c>
      <c r="E66" s="74" t="s">
        <v>43</v>
      </c>
      <c r="F66" s="74" t="s">
        <v>50</v>
      </c>
      <c r="G66" s="74"/>
      <c r="H66" s="74" t="s">
        <v>64</v>
      </c>
      <c r="I66" s="47">
        <v>46216</v>
      </c>
      <c r="J66" s="48">
        <v>180</v>
      </c>
      <c r="K66" s="74"/>
      <c r="L66" s="56"/>
    </row>
    <row r="67" spans="2:12" ht="50.1" customHeight="1" x14ac:dyDescent="0.3">
      <c r="B67" s="75"/>
      <c r="C67" s="72"/>
      <c r="D67" s="75"/>
      <c r="E67" s="75"/>
      <c r="F67" s="75"/>
      <c r="G67" s="75"/>
      <c r="H67" s="75"/>
      <c r="I67" s="50">
        <v>46217</v>
      </c>
      <c r="J67" s="51"/>
      <c r="K67" s="75"/>
      <c r="L67" s="52"/>
    </row>
    <row r="68" spans="2:12" ht="50.1" customHeight="1" x14ac:dyDescent="0.3">
      <c r="B68" s="75"/>
      <c r="C68" s="72"/>
      <c r="D68" s="75"/>
      <c r="E68" s="75"/>
      <c r="F68" s="75"/>
      <c r="G68" s="75"/>
      <c r="H68" s="75"/>
      <c r="I68" s="50">
        <v>46218</v>
      </c>
      <c r="J68" s="51">
        <v>180</v>
      </c>
      <c r="K68" s="75"/>
      <c r="L68" s="52"/>
    </row>
    <row r="69" spans="2:12" ht="50.1" customHeight="1" x14ac:dyDescent="0.3">
      <c r="B69" s="75"/>
      <c r="C69" s="72"/>
      <c r="D69" s="75"/>
      <c r="E69" s="75"/>
      <c r="F69" s="75"/>
      <c r="G69" s="75"/>
      <c r="H69" s="75"/>
      <c r="I69" s="50">
        <v>46219</v>
      </c>
      <c r="J69" s="51"/>
      <c r="K69" s="75"/>
      <c r="L69" s="52"/>
    </row>
    <row r="70" spans="2:12" ht="50.1" customHeight="1" x14ac:dyDescent="0.3">
      <c r="B70" s="75"/>
      <c r="C70" s="72"/>
      <c r="D70" s="75"/>
      <c r="E70" s="75"/>
      <c r="F70" s="75"/>
      <c r="G70" s="75"/>
      <c r="H70" s="75"/>
      <c r="I70" s="50">
        <v>46220</v>
      </c>
      <c r="J70" s="51">
        <v>160</v>
      </c>
      <c r="K70" s="75"/>
      <c r="L70" s="52"/>
    </row>
    <row r="71" spans="2:12" ht="50.1" customHeight="1" thickBot="1" x14ac:dyDescent="0.35">
      <c r="B71" s="75"/>
      <c r="C71" s="73"/>
      <c r="D71" s="76"/>
      <c r="E71" s="76"/>
      <c r="F71" s="76"/>
      <c r="G71" s="76"/>
      <c r="H71" s="76"/>
      <c r="I71" s="50">
        <v>46221</v>
      </c>
      <c r="J71" s="58"/>
      <c r="K71" s="76"/>
      <c r="L71" s="59"/>
    </row>
    <row r="72" spans="2:12" ht="50.1" customHeight="1" x14ac:dyDescent="0.3">
      <c r="B72" s="75"/>
      <c r="C72" s="96">
        <v>6</v>
      </c>
      <c r="D72" s="74" t="s">
        <v>45</v>
      </c>
      <c r="E72" s="99" t="s">
        <v>43</v>
      </c>
      <c r="F72" s="74" t="s">
        <v>51</v>
      </c>
      <c r="G72" s="99"/>
      <c r="H72" s="74" t="s">
        <v>65</v>
      </c>
      <c r="I72" s="47">
        <v>46216</v>
      </c>
      <c r="J72" s="61">
        <v>180</v>
      </c>
      <c r="K72" s="74"/>
      <c r="L72" s="62"/>
    </row>
    <row r="73" spans="2:12" ht="50.1" customHeight="1" x14ac:dyDescent="0.3">
      <c r="B73" s="75"/>
      <c r="C73" s="97"/>
      <c r="D73" s="75"/>
      <c r="E73" s="100"/>
      <c r="F73" s="75"/>
      <c r="G73" s="100"/>
      <c r="H73" s="75"/>
      <c r="I73" s="50">
        <v>46217</v>
      </c>
      <c r="J73" s="63"/>
      <c r="K73" s="75"/>
      <c r="L73" s="64"/>
    </row>
    <row r="74" spans="2:12" ht="50.1" customHeight="1" x14ac:dyDescent="0.3">
      <c r="B74" s="75"/>
      <c r="C74" s="97"/>
      <c r="D74" s="75"/>
      <c r="E74" s="100"/>
      <c r="F74" s="75"/>
      <c r="G74" s="100"/>
      <c r="H74" s="75"/>
      <c r="I74" s="50">
        <v>46218</v>
      </c>
      <c r="J74" s="63">
        <v>180</v>
      </c>
      <c r="K74" s="75"/>
      <c r="L74" s="64"/>
    </row>
    <row r="75" spans="2:12" ht="50.1" customHeight="1" x14ac:dyDescent="0.3">
      <c r="B75" s="75"/>
      <c r="C75" s="97"/>
      <c r="D75" s="75"/>
      <c r="E75" s="100"/>
      <c r="F75" s="75"/>
      <c r="G75" s="100"/>
      <c r="H75" s="75"/>
      <c r="I75" s="50">
        <v>46219</v>
      </c>
      <c r="J75" s="63"/>
      <c r="K75" s="75"/>
      <c r="L75" s="64"/>
    </row>
    <row r="76" spans="2:12" ht="50.1" customHeight="1" x14ac:dyDescent="0.3">
      <c r="B76" s="75"/>
      <c r="C76" s="97"/>
      <c r="D76" s="75"/>
      <c r="E76" s="100"/>
      <c r="F76" s="75"/>
      <c r="G76" s="100"/>
      <c r="H76" s="75"/>
      <c r="I76" s="50">
        <v>46220</v>
      </c>
      <c r="J76" s="65"/>
      <c r="K76" s="75"/>
      <c r="L76" s="66"/>
    </row>
    <row r="77" spans="2:12" ht="50.1" customHeight="1" thickBot="1" x14ac:dyDescent="0.35">
      <c r="B77" s="75"/>
      <c r="C77" s="98"/>
      <c r="D77" s="75"/>
      <c r="E77" s="100"/>
      <c r="F77" s="75"/>
      <c r="G77" s="100"/>
      <c r="H77" s="75"/>
      <c r="I77" s="50">
        <v>46221</v>
      </c>
      <c r="J77" s="65">
        <v>50</v>
      </c>
      <c r="K77" s="75"/>
      <c r="L77" s="66"/>
    </row>
    <row r="78" spans="2:12" ht="50.1" customHeight="1" x14ac:dyDescent="0.3">
      <c r="B78" s="75"/>
      <c r="C78" s="114">
        <v>7</v>
      </c>
      <c r="D78" s="87" t="s">
        <v>48</v>
      </c>
      <c r="E78" s="86" t="s">
        <v>43</v>
      </c>
      <c r="F78" s="87" t="s">
        <v>49</v>
      </c>
      <c r="G78" s="86"/>
      <c r="H78" s="87" t="s">
        <v>63</v>
      </c>
      <c r="I78" s="47">
        <v>46216</v>
      </c>
      <c r="J78" s="48">
        <v>50</v>
      </c>
      <c r="K78" s="87"/>
      <c r="L78" s="56"/>
    </row>
    <row r="79" spans="2:12" ht="50.1" customHeight="1" x14ac:dyDescent="0.3">
      <c r="B79" s="75"/>
      <c r="C79" s="78"/>
      <c r="D79" s="81"/>
      <c r="E79" s="84"/>
      <c r="F79" s="81"/>
      <c r="G79" s="84"/>
      <c r="H79" s="81"/>
      <c r="I79" s="50">
        <v>46217</v>
      </c>
      <c r="J79" s="51"/>
      <c r="K79" s="81"/>
      <c r="L79" s="52"/>
    </row>
    <row r="80" spans="2:12" ht="50.1" customHeight="1" x14ac:dyDescent="0.3">
      <c r="B80" s="75"/>
      <c r="C80" s="78"/>
      <c r="D80" s="81"/>
      <c r="E80" s="84"/>
      <c r="F80" s="81"/>
      <c r="G80" s="84"/>
      <c r="H80" s="81"/>
      <c r="I80" s="50">
        <v>46218</v>
      </c>
      <c r="J80" s="51">
        <v>50</v>
      </c>
      <c r="K80" s="81"/>
      <c r="L80" s="52"/>
    </row>
    <row r="81" spans="2:12" ht="50.1" customHeight="1" x14ac:dyDescent="0.3">
      <c r="B81" s="75"/>
      <c r="C81" s="78"/>
      <c r="D81" s="81"/>
      <c r="E81" s="84"/>
      <c r="F81" s="81"/>
      <c r="G81" s="84"/>
      <c r="H81" s="81"/>
      <c r="I81" s="50">
        <v>46219</v>
      </c>
      <c r="J81" s="51"/>
      <c r="K81" s="81"/>
      <c r="L81" s="52"/>
    </row>
    <row r="82" spans="2:12" ht="50.1" customHeight="1" thickBot="1" x14ac:dyDescent="0.35">
      <c r="B82" s="75"/>
      <c r="C82" s="115"/>
      <c r="D82" s="101"/>
      <c r="E82" s="116"/>
      <c r="F82" s="101"/>
      <c r="G82" s="116"/>
      <c r="H82" s="101"/>
      <c r="I82" s="50">
        <v>46220</v>
      </c>
      <c r="J82" s="67">
        <v>50</v>
      </c>
      <c r="K82" s="101"/>
      <c r="L82" s="59"/>
    </row>
    <row r="83" spans="2:12" ht="50.1" customHeight="1" x14ac:dyDescent="0.3">
      <c r="B83" s="75"/>
      <c r="C83" s="77">
        <v>8</v>
      </c>
      <c r="D83" s="80" t="s">
        <v>48</v>
      </c>
      <c r="E83" s="83" t="s">
        <v>11</v>
      </c>
      <c r="F83" s="80" t="s">
        <v>12</v>
      </c>
      <c r="G83" s="86"/>
      <c r="H83" s="87" t="s">
        <v>66</v>
      </c>
      <c r="I83" s="47">
        <v>46216</v>
      </c>
      <c r="J83" s="48">
        <v>50</v>
      </c>
      <c r="K83" s="87"/>
      <c r="L83" s="56"/>
    </row>
    <row r="84" spans="2:12" ht="50.1" customHeight="1" x14ac:dyDescent="0.3">
      <c r="B84" s="75"/>
      <c r="C84" s="78"/>
      <c r="D84" s="81"/>
      <c r="E84" s="84"/>
      <c r="F84" s="81"/>
      <c r="G84" s="84"/>
      <c r="H84" s="81"/>
      <c r="I84" s="50">
        <v>46217</v>
      </c>
      <c r="J84" s="51"/>
      <c r="K84" s="81"/>
      <c r="L84" s="52"/>
    </row>
    <row r="85" spans="2:12" ht="50.1" customHeight="1" x14ac:dyDescent="0.3">
      <c r="B85" s="75"/>
      <c r="C85" s="78"/>
      <c r="D85" s="81"/>
      <c r="E85" s="84"/>
      <c r="F85" s="81"/>
      <c r="G85" s="84"/>
      <c r="H85" s="81"/>
      <c r="I85" s="50">
        <v>46218</v>
      </c>
      <c r="J85" s="51">
        <v>30</v>
      </c>
      <c r="K85" s="81"/>
      <c r="L85" s="52"/>
    </row>
    <row r="86" spans="2:12" ht="50.1" customHeight="1" x14ac:dyDescent="0.3">
      <c r="B86" s="75"/>
      <c r="C86" s="78"/>
      <c r="D86" s="81"/>
      <c r="E86" s="84"/>
      <c r="F86" s="81"/>
      <c r="G86" s="84"/>
      <c r="H86" s="81"/>
      <c r="I86" s="50">
        <v>46219</v>
      </c>
      <c r="J86" s="51"/>
      <c r="K86" s="81"/>
      <c r="L86" s="52"/>
    </row>
    <row r="87" spans="2:12" ht="50.1" customHeight="1" thickBot="1" x14ac:dyDescent="0.35">
      <c r="B87" s="75"/>
      <c r="C87" s="79"/>
      <c r="D87" s="82"/>
      <c r="E87" s="85"/>
      <c r="F87" s="82"/>
      <c r="G87" s="85"/>
      <c r="H87" s="82"/>
      <c r="I87" s="50">
        <v>46220</v>
      </c>
      <c r="J87" s="54"/>
      <c r="K87" s="82"/>
      <c r="L87" s="55"/>
    </row>
    <row r="88" spans="2:12" ht="15" customHeight="1" x14ac:dyDescent="0.3">
      <c r="B88" s="75"/>
      <c r="C88" s="88" t="s">
        <v>39</v>
      </c>
      <c r="D88" s="89"/>
      <c r="E88" s="89"/>
      <c r="F88" s="89"/>
      <c r="G88" s="89"/>
      <c r="H88" s="90"/>
      <c r="I88" s="94" t="s">
        <v>8</v>
      </c>
      <c r="J88" s="69">
        <f>SUM(J45:J87)</f>
        <v>2440</v>
      </c>
      <c r="K88" s="69"/>
      <c r="L88" s="69" t="s">
        <v>40</v>
      </c>
    </row>
    <row r="89" spans="2:12" ht="15.75" customHeight="1" thickBot="1" x14ac:dyDescent="0.35">
      <c r="B89" s="76"/>
      <c r="C89" s="91"/>
      <c r="D89" s="92"/>
      <c r="E89" s="92"/>
      <c r="F89" s="92"/>
      <c r="G89" s="92"/>
      <c r="H89" s="93"/>
      <c r="I89" s="95"/>
      <c r="J89" s="70"/>
      <c r="K89" s="70"/>
      <c r="L89" s="70"/>
    </row>
    <row r="90" spans="2:12" ht="12" thickBot="1" x14ac:dyDescent="0.35">
      <c r="C90" s="1"/>
    </row>
    <row r="91" spans="2:12" ht="14.4" customHeight="1" x14ac:dyDescent="0.3">
      <c r="B91" s="102" t="s">
        <v>68</v>
      </c>
      <c r="C91" s="103"/>
      <c r="D91" s="103"/>
      <c r="E91" s="103"/>
      <c r="F91" s="103"/>
      <c r="G91" s="103"/>
      <c r="H91" s="103"/>
      <c r="I91" s="103"/>
      <c r="J91" s="103"/>
      <c r="K91" s="103"/>
      <c r="L91" s="104"/>
    </row>
    <row r="92" spans="2:12" ht="15.6" customHeight="1" thickBot="1" x14ac:dyDescent="0.35">
      <c r="B92" s="105"/>
      <c r="C92" s="106"/>
      <c r="D92" s="106"/>
      <c r="E92" s="106"/>
      <c r="F92" s="106"/>
      <c r="G92" s="106"/>
      <c r="H92" s="106"/>
      <c r="I92" s="106"/>
      <c r="J92" s="106"/>
      <c r="K92" s="106"/>
      <c r="L92" s="107"/>
    </row>
    <row r="93" spans="2:12" ht="37.5" customHeight="1" thickBot="1" x14ac:dyDescent="0.35">
      <c r="B93" s="43" t="s">
        <v>41</v>
      </c>
      <c r="C93" s="43" t="s">
        <v>0</v>
      </c>
      <c r="D93" s="44" t="s">
        <v>1</v>
      </c>
      <c r="E93" s="45" t="s">
        <v>2</v>
      </c>
      <c r="F93" s="44" t="s">
        <v>3</v>
      </c>
      <c r="G93" s="45" t="s">
        <v>4</v>
      </c>
      <c r="H93" s="44" t="s">
        <v>5</v>
      </c>
      <c r="I93" s="44" t="s">
        <v>6</v>
      </c>
      <c r="J93" s="44" t="s">
        <v>7</v>
      </c>
      <c r="K93" s="46" t="s">
        <v>8</v>
      </c>
      <c r="L93" s="46" t="s">
        <v>9</v>
      </c>
    </row>
    <row r="94" spans="2:12" ht="50.1" customHeight="1" x14ac:dyDescent="0.3">
      <c r="B94" s="74">
        <v>28</v>
      </c>
      <c r="C94" s="71">
        <v>1</v>
      </c>
      <c r="D94" s="74" t="s">
        <v>45</v>
      </c>
      <c r="E94" s="74" t="s">
        <v>43</v>
      </c>
      <c r="F94" s="74" t="s">
        <v>44</v>
      </c>
      <c r="G94" s="74"/>
      <c r="H94" s="74" t="s">
        <v>60</v>
      </c>
      <c r="I94" s="47">
        <v>46223</v>
      </c>
      <c r="J94" s="48">
        <v>200</v>
      </c>
      <c r="K94" s="108"/>
      <c r="L94" s="49"/>
    </row>
    <row r="95" spans="2:12" ht="50.1" customHeight="1" thickBot="1" x14ac:dyDescent="0.35">
      <c r="B95" s="75"/>
      <c r="C95" s="72"/>
      <c r="D95" s="75"/>
      <c r="E95" s="75"/>
      <c r="F95" s="75"/>
      <c r="G95" s="75"/>
      <c r="H95" s="75"/>
      <c r="I95" s="57">
        <v>46224</v>
      </c>
      <c r="J95" s="51">
        <v>180</v>
      </c>
      <c r="K95" s="109"/>
      <c r="L95" s="52"/>
    </row>
    <row r="96" spans="2:12" ht="50.1" customHeight="1" x14ac:dyDescent="0.3">
      <c r="B96" s="75"/>
      <c r="C96" s="72"/>
      <c r="D96" s="75"/>
      <c r="E96" s="75"/>
      <c r="F96" s="75"/>
      <c r="G96" s="75"/>
      <c r="H96" s="75"/>
      <c r="I96" s="47">
        <v>46225</v>
      </c>
      <c r="J96" s="51" t="s">
        <v>29</v>
      </c>
      <c r="K96" s="109"/>
      <c r="L96" s="52"/>
    </row>
    <row r="97" spans="2:12" ht="50.1" customHeight="1" x14ac:dyDescent="0.3">
      <c r="B97" s="75"/>
      <c r="C97" s="72"/>
      <c r="D97" s="75"/>
      <c r="E97" s="75"/>
      <c r="F97" s="75"/>
      <c r="G97" s="75"/>
      <c r="H97" s="75"/>
      <c r="I97" s="50">
        <v>46226</v>
      </c>
      <c r="J97" s="51">
        <v>200</v>
      </c>
      <c r="K97" s="109"/>
      <c r="L97" s="52"/>
    </row>
    <row r="98" spans="2:12" ht="50.1" customHeight="1" x14ac:dyDescent="0.3">
      <c r="B98" s="75"/>
      <c r="C98" s="72"/>
      <c r="D98" s="75"/>
      <c r="E98" s="75"/>
      <c r="F98" s="75"/>
      <c r="G98" s="75"/>
      <c r="H98" s="75"/>
      <c r="I98" s="50">
        <v>46227</v>
      </c>
      <c r="J98" s="54">
        <v>120</v>
      </c>
      <c r="K98" s="110"/>
      <c r="L98" s="55"/>
    </row>
    <row r="99" spans="2:12" ht="50.1" customHeight="1" thickBot="1" x14ac:dyDescent="0.35">
      <c r="B99" s="75"/>
      <c r="C99" s="73"/>
      <c r="D99" s="76"/>
      <c r="E99" s="76"/>
      <c r="F99" s="76"/>
      <c r="G99" s="76"/>
      <c r="H99" s="76"/>
      <c r="I99" s="50">
        <v>46228</v>
      </c>
      <c r="J99" s="54"/>
      <c r="K99" s="68"/>
      <c r="L99" s="55"/>
    </row>
    <row r="100" spans="2:12" ht="50.1" customHeight="1" x14ac:dyDescent="0.3">
      <c r="B100" s="75"/>
      <c r="C100" s="71">
        <v>2</v>
      </c>
      <c r="D100" s="74" t="s">
        <v>45</v>
      </c>
      <c r="E100" s="74" t="s">
        <v>43</v>
      </c>
      <c r="F100" s="74" t="s">
        <v>46</v>
      </c>
      <c r="G100" s="74"/>
      <c r="H100" s="111" t="s">
        <v>61</v>
      </c>
      <c r="I100" s="47">
        <v>46223</v>
      </c>
      <c r="J100" s="48">
        <v>200</v>
      </c>
      <c r="K100" s="74"/>
      <c r="L100" s="56"/>
    </row>
    <row r="101" spans="2:12" ht="50.1" customHeight="1" x14ac:dyDescent="0.3">
      <c r="B101" s="75"/>
      <c r="C101" s="72"/>
      <c r="D101" s="75"/>
      <c r="E101" s="75"/>
      <c r="F101" s="75"/>
      <c r="G101" s="75"/>
      <c r="H101" s="112"/>
      <c r="I101" s="57">
        <v>46224</v>
      </c>
      <c r="J101" s="51">
        <v>180</v>
      </c>
      <c r="K101" s="75"/>
      <c r="L101" s="52"/>
    </row>
    <row r="102" spans="2:12" ht="50.1" customHeight="1" x14ac:dyDescent="0.3">
      <c r="B102" s="75"/>
      <c r="C102" s="72"/>
      <c r="D102" s="75"/>
      <c r="E102" s="75"/>
      <c r="F102" s="75"/>
      <c r="G102" s="75"/>
      <c r="H102" s="112"/>
      <c r="I102" s="50">
        <v>46225</v>
      </c>
      <c r="J102" s="51" t="s">
        <v>29</v>
      </c>
      <c r="K102" s="75"/>
      <c r="L102" s="52"/>
    </row>
    <row r="103" spans="2:12" ht="50.1" customHeight="1" x14ac:dyDescent="0.3">
      <c r="B103" s="75"/>
      <c r="C103" s="72"/>
      <c r="D103" s="75"/>
      <c r="E103" s="75"/>
      <c r="F103" s="75"/>
      <c r="G103" s="75"/>
      <c r="H103" s="112"/>
      <c r="I103" s="50">
        <v>46226</v>
      </c>
      <c r="J103" s="51">
        <v>200</v>
      </c>
      <c r="K103" s="75"/>
      <c r="L103" s="52"/>
    </row>
    <row r="104" spans="2:12" ht="50.1" customHeight="1" x14ac:dyDescent="0.3">
      <c r="B104" s="75"/>
      <c r="C104" s="72"/>
      <c r="D104" s="75"/>
      <c r="E104" s="75"/>
      <c r="F104" s="75"/>
      <c r="G104" s="75"/>
      <c r="H104" s="112"/>
      <c r="I104" s="50">
        <v>46227</v>
      </c>
      <c r="J104" s="51">
        <v>120</v>
      </c>
      <c r="K104" s="75"/>
      <c r="L104" s="52"/>
    </row>
    <row r="105" spans="2:12" ht="50.1" customHeight="1" thickBot="1" x14ac:dyDescent="0.35">
      <c r="B105" s="75"/>
      <c r="C105" s="73"/>
      <c r="D105" s="76"/>
      <c r="E105" s="76"/>
      <c r="F105" s="76"/>
      <c r="G105" s="76"/>
      <c r="H105" s="113"/>
      <c r="I105" s="50">
        <v>46227</v>
      </c>
      <c r="J105" s="58"/>
      <c r="K105" s="76"/>
      <c r="L105" s="59"/>
    </row>
    <row r="106" spans="2:12" ht="50.1" customHeight="1" x14ac:dyDescent="0.3">
      <c r="B106" s="75"/>
      <c r="C106" s="114">
        <v>3</v>
      </c>
      <c r="D106" s="87" t="s">
        <v>48</v>
      </c>
      <c r="E106" s="86" t="s">
        <v>43</v>
      </c>
      <c r="F106" s="87" t="s">
        <v>47</v>
      </c>
      <c r="G106" s="83"/>
      <c r="H106" s="80" t="s">
        <v>62</v>
      </c>
      <c r="I106" s="47">
        <v>46223</v>
      </c>
      <c r="J106" s="60">
        <v>50</v>
      </c>
      <c r="K106" s="80"/>
      <c r="L106" s="49"/>
    </row>
    <row r="107" spans="2:12" ht="50.1" customHeight="1" x14ac:dyDescent="0.3">
      <c r="B107" s="75"/>
      <c r="C107" s="78"/>
      <c r="D107" s="81"/>
      <c r="E107" s="84"/>
      <c r="F107" s="81"/>
      <c r="G107" s="84"/>
      <c r="H107" s="81"/>
      <c r="I107" s="57">
        <v>46224</v>
      </c>
      <c r="J107" s="51">
        <v>40</v>
      </c>
      <c r="K107" s="81"/>
      <c r="L107" s="52"/>
    </row>
    <row r="108" spans="2:12" ht="50.1" customHeight="1" x14ac:dyDescent="0.3">
      <c r="B108" s="75"/>
      <c r="C108" s="78"/>
      <c r="D108" s="81"/>
      <c r="E108" s="84"/>
      <c r="F108" s="81"/>
      <c r="G108" s="84"/>
      <c r="H108" s="81"/>
      <c r="I108" s="50">
        <v>46225</v>
      </c>
      <c r="J108" s="51"/>
      <c r="K108" s="81"/>
      <c r="L108" s="52"/>
    </row>
    <row r="109" spans="2:12" ht="50.1" customHeight="1" x14ac:dyDescent="0.3">
      <c r="B109" s="75"/>
      <c r="C109" s="78"/>
      <c r="D109" s="81"/>
      <c r="E109" s="84"/>
      <c r="F109" s="81"/>
      <c r="G109" s="84"/>
      <c r="H109" s="81"/>
      <c r="I109" s="50">
        <v>46226</v>
      </c>
      <c r="J109" s="51">
        <v>80</v>
      </c>
      <c r="K109" s="81"/>
      <c r="L109" s="52"/>
    </row>
    <row r="110" spans="2:12" ht="50.1" customHeight="1" x14ac:dyDescent="0.3">
      <c r="B110" s="75"/>
      <c r="C110" s="78"/>
      <c r="D110" s="81"/>
      <c r="E110" s="84"/>
      <c r="F110" s="81"/>
      <c r="G110" s="84"/>
      <c r="H110" s="81"/>
      <c r="I110" s="50">
        <v>46227</v>
      </c>
      <c r="J110" s="51"/>
      <c r="K110" s="81"/>
      <c r="L110" s="52"/>
    </row>
    <row r="111" spans="2:12" ht="50.1" customHeight="1" thickBot="1" x14ac:dyDescent="0.35">
      <c r="B111" s="75"/>
      <c r="C111" s="115"/>
      <c r="D111" s="101"/>
      <c r="E111" s="116"/>
      <c r="F111" s="101"/>
      <c r="G111" s="85"/>
      <c r="H111" s="82"/>
      <c r="I111" s="50">
        <v>46227</v>
      </c>
      <c r="J111" s="54"/>
      <c r="K111" s="82"/>
      <c r="L111" s="55"/>
    </row>
    <row r="112" spans="2:12" ht="50.1" customHeight="1" x14ac:dyDescent="0.3">
      <c r="B112" s="75"/>
      <c r="C112" s="77">
        <v>4</v>
      </c>
      <c r="D112" s="80" t="s">
        <v>48</v>
      </c>
      <c r="E112" s="83" t="s">
        <v>43</v>
      </c>
      <c r="F112" s="80" t="s">
        <v>49</v>
      </c>
      <c r="G112" s="86"/>
      <c r="H112" s="87" t="s">
        <v>69</v>
      </c>
      <c r="I112" s="47">
        <v>46223</v>
      </c>
      <c r="J112" s="48">
        <v>50</v>
      </c>
      <c r="K112" s="87"/>
      <c r="L112" s="56"/>
    </row>
    <row r="113" spans="2:12" ht="50.1" customHeight="1" x14ac:dyDescent="0.3">
      <c r="B113" s="75"/>
      <c r="C113" s="78"/>
      <c r="D113" s="81"/>
      <c r="E113" s="84"/>
      <c r="F113" s="81"/>
      <c r="G113" s="84"/>
      <c r="H113" s="81"/>
      <c r="I113" s="57">
        <v>46224</v>
      </c>
      <c r="J113" s="51">
        <v>40</v>
      </c>
      <c r="K113" s="81"/>
      <c r="L113" s="52"/>
    </row>
    <row r="114" spans="2:12" ht="50.1" customHeight="1" x14ac:dyDescent="0.3">
      <c r="B114" s="75"/>
      <c r="C114" s="78"/>
      <c r="D114" s="81"/>
      <c r="E114" s="84"/>
      <c r="F114" s="81"/>
      <c r="G114" s="84"/>
      <c r="H114" s="81"/>
      <c r="I114" s="50">
        <v>46225</v>
      </c>
      <c r="J114" s="51"/>
      <c r="K114" s="81"/>
      <c r="L114" s="52"/>
    </row>
    <row r="115" spans="2:12" ht="50.1" customHeight="1" x14ac:dyDescent="0.3">
      <c r="B115" s="75"/>
      <c r="C115" s="78"/>
      <c r="D115" s="81"/>
      <c r="E115" s="84"/>
      <c r="F115" s="81"/>
      <c r="G115" s="84"/>
      <c r="H115" s="81"/>
      <c r="I115" s="50">
        <v>46226</v>
      </c>
      <c r="J115" s="51">
        <v>80</v>
      </c>
      <c r="K115" s="81"/>
      <c r="L115" s="52"/>
    </row>
    <row r="116" spans="2:12" ht="50.1" customHeight="1" x14ac:dyDescent="0.3">
      <c r="B116" s="75"/>
      <c r="C116" s="78"/>
      <c r="D116" s="81"/>
      <c r="E116" s="84"/>
      <c r="F116" s="81"/>
      <c r="G116" s="84"/>
      <c r="H116" s="81"/>
      <c r="I116" s="50">
        <v>46227</v>
      </c>
      <c r="J116" s="51">
        <v>56</v>
      </c>
      <c r="K116" s="81"/>
      <c r="L116" s="52"/>
    </row>
    <row r="117" spans="2:12" ht="50.1" customHeight="1" thickBot="1" x14ac:dyDescent="0.35">
      <c r="B117" s="75"/>
      <c r="C117" s="79"/>
      <c r="D117" s="82"/>
      <c r="E117" s="85"/>
      <c r="F117" s="82"/>
      <c r="G117" s="85"/>
      <c r="H117" s="82"/>
      <c r="I117" s="50">
        <v>46227</v>
      </c>
      <c r="J117" s="54"/>
      <c r="K117" s="82"/>
      <c r="L117" s="55"/>
    </row>
    <row r="118" spans="2:12" ht="50.1" customHeight="1" x14ac:dyDescent="0.3">
      <c r="B118" s="75"/>
      <c r="C118" s="71">
        <v>5</v>
      </c>
      <c r="D118" s="74" t="s">
        <v>45</v>
      </c>
      <c r="E118" s="74" t="s">
        <v>43</v>
      </c>
      <c r="F118" s="74" t="s">
        <v>50</v>
      </c>
      <c r="G118" s="74"/>
      <c r="H118" s="74" t="s">
        <v>64</v>
      </c>
      <c r="I118" s="47">
        <v>46223</v>
      </c>
      <c r="J118" s="48">
        <v>200</v>
      </c>
      <c r="K118" s="74"/>
      <c r="L118" s="56"/>
    </row>
    <row r="119" spans="2:12" ht="50.1" customHeight="1" x14ac:dyDescent="0.3">
      <c r="B119" s="75"/>
      <c r="C119" s="72"/>
      <c r="D119" s="75"/>
      <c r="E119" s="75"/>
      <c r="F119" s="75"/>
      <c r="G119" s="75"/>
      <c r="H119" s="75"/>
      <c r="I119" s="57">
        <v>46224</v>
      </c>
      <c r="J119" s="51">
        <v>180</v>
      </c>
      <c r="K119" s="75"/>
      <c r="L119" s="52"/>
    </row>
    <row r="120" spans="2:12" ht="50.1" customHeight="1" x14ac:dyDescent="0.3">
      <c r="B120" s="75"/>
      <c r="C120" s="72"/>
      <c r="D120" s="75"/>
      <c r="E120" s="75"/>
      <c r="F120" s="75"/>
      <c r="G120" s="75"/>
      <c r="H120" s="75"/>
      <c r="I120" s="50">
        <v>46225</v>
      </c>
      <c r="J120" s="51">
        <v>180</v>
      </c>
      <c r="K120" s="75"/>
      <c r="L120" s="52"/>
    </row>
    <row r="121" spans="2:12" ht="50.1" customHeight="1" x14ac:dyDescent="0.3">
      <c r="B121" s="75"/>
      <c r="C121" s="72"/>
      <c r="D121" s="75"/>
      <c r="E121" s="75"/>
      <c r="F121" s="75"/>
      <c r="G121" s="75"/>
      <c r="H121" s="75"/>
      <c r="I121" s="50">
        <v>46226</v>
      </c>
      <c r="J121" s="51">
        <v>120</v>
      </c>
      <c r="K121" s="75"/>
      <c r="L121" s="52"/>
    </row>
    <row r="122" spans="2:12" ht="50.1" customHeight="1" x14ac:dyDescent="0.3">
      <c r="B122" s="75"/>
      <c r="C122" s="72"/>
      <c r="D122" s="75"/>
      <c r="E122" s="75"/>
      <c r="F122" s="75"/>
      <c r="G122" s="75"/>
      <c r="H122" s="75"/>
      <c r="I122" s="50">
        <v>46227</v>
      </c>
      <c r="J122" s="51">
        <v>120</v>
      </c>
      <c r="K122" s="75"/>
      <c r="L122" s="52"/>
    </row>
    <row r="123" spans="2:12" ht="50.1" customHeight="1" thickBot="1" x14ac:dyDescent="0.35">
      <c r="B123" s="75"/>
      <c r="C123" s="73"/>
      <c r="D123" s="76"/>
      <c r="E123" s="76"/>
      <c r="F123" s="76"/>
      <c r="G123" s="76"/>
      <c r="H123" s="76"/>
      <c r="I123" s="50">
        <v>46227</v>
      </c>
      <c r="J123" s="58"/>
      <c r="K123" s="76"/>
      <c r="L123" s="59"/>
    </row>
    <row r="124" spans="2:12" ht="50.1" customHeight="1" x14ac:dyDescent="0.3">
      <c r="B124" s="75"/>
      <c r="C124" s="96">
        <v>6</v>
      </c>
      <c r="D124" s="74" t="s">
        <v>45</v>
      </c>
      <c r="E124" s="99" t="s">
        <v>43</v>
      </c>
      <c r="F124" s="74" t="s">
        <v>51</v>
      </c>
      <c r="G124" s="99"/>
      <c r="H124" s="74" t="s">
        <v>65</v>
      </c>
      <c r="I124" s="47">
        <v>46223</v>
      </c>
      <c r="J124" s="61">
        <v>200</v>
      </c>
      <c r="K124" s="74"/>
      <c r="L124" s="62"/>
    </row>
    <row r="125" spans="2:12" ht="50.1" customHeight="1" x14ac:dyDescent="0.3">
      <c r="B125" s="75"/>
      <c r="C125" s="97"/>
      <c r="D125" s="75"/>
      <c r="E125" s="100"/>
      <c r="F125" s="75"/>
      <c r="G125" s="100"/>
      <c r="H125" s="75"/>
      <c r="I125" s="57">
        <v>46224</v>
      </c>
      <c r="J125" s="63">
        <v>180</v>
      </c>
      <c r="K125" s="75"/>
      <c r="L125" s="64"/>
    </row>
    <row r="126" spans="2:12" ht="50.1" customHeight="1" x14ac:dyDescent="0.3">
      <c r="B126" s="75"/>
      <c r="C126" s="97"/>
      <c r="D126" s="75"/>
      <c r="E126" s="100"/>
      <c r="F126" s="75"/>
      <c r="G126" s="100"/>
      <c r="H126" s="75"/>
      <c r="I126" s="50">
        <v>46225</v>
      </c>
      <c r="J126" s="63">
        <v>180</v>
      </c>
      <c r="K126" s="75"/>
      <c r="L126" s="64"/>
    </row>
    <row r="127" spans="2:12" ht="50.1" customHeight="1" x14ac:dyDescent="0.3">
      <c r="B127" s="75"/>
      <c r="C127" s="97"/>
      <c r="D127" s="75"/>
      <c r="E127" s="100"/>
      <c r="F127" s="75"/>
      <c r="G127" s="100"/>
      <c r="H127" s="75"/>
      <c r="I127" s="50">
        <v>46226</v>
      </c>
      <c r="J127" s="63">
        <v>120</v>
      </c>
      <c r="K127" s="75"/>
      <c r="L127" s="64"/>
    </row>
    <row r="128" spans="2:12" ht="50.1" customHeight="1" x14ac:dyDescent="0.3">
      <c r="B128" s="75"/>
      <c r="C128" s="97"/>
      <c r="D128" s="75"/>
      <c r="E128" s="100"/>
      <c r="F128" s="75"/>
      <c r="G128" s="100"/>
      <c r="H128" s="75"/>
      <c r="I128" s="50">
        <v>46227</v>
      </c>
      <c r="J128" s="65">
        <v>71</v>
      </c>
      <c r="K128" s="75"/>
      <c r="L128" s="66"/>
    </row>
    <row r="129" spans="2:12" ht="50.1" customHeight="1" thickBot="1" x14ac:dyDescent="0.35">
      <c r="B129" s="75"/>
      <c r="C129" s="98"/>
      <c r="D129" s="75"/>
      <c r="E129" s="100"/>
      <c r="F129" s="75"/>
      <c r="G129" s="100"/>
      <c r="H129" s="75"/>
      <c r="I129" s="50">
        <v>46227</v>
      </c>
      <c r="J129" s="65"/>
      <c r="K129" s="75"/>
      <c r="L129" s="66"/>
    </row>
    <row r="130" spans="2:12" ht="50.1" customHeight="1" x14ac:dyDescent="0.3">
      <c r="B130" s="75"/>
      <c r="C130" s="114">
        <v>7</v>
      </c>
      <c r="D130" s="87" t="s">
        <v>48</v>
      </c>
      <c r="E130" s="86" t="s">
        <v>43</v>
      </c>
      <c r="F130" s="87" t="s">
        <v>49</v>
      </c>
      <c r="G130" s="86"/>
      <c r="H130" s="87" t="s">
        <v>71</v>
      </c>
      <c r="I130" s="47">
        <v>46223</v>
      </c>
      <c r="J130" s="48">
        <v>50</v>
      </c>
      <c r="K130" s="87"/>
      <c r="L130" s="56"/>
    </row>
    <row r="131" spans="2:12" ht="50.1" customHeight="1" x14ac:dyDescent="0.3">
      <c r="B131" s="75"/>
      <c r="C131" s="78"/>
      <c r="D131" s="81"/>
      <c r="E131" s="84"/>
      <c r="F131" s="81"/>
      <c r="G131" s="84"/>
      <c r="H131" s="81"/>
      <c r="I131" s="57">
        <v>46224</v>
      </c>
      <c r="J131" s="51">
        <v>40</v>
      </c>
      <c r="K131" s="81"/>
      <c r="L131" s="52"/>
    </row>
    <row r="132" spans="2:12" ht="50.1" customHeight="1" x14ac:dyDescent="0.3">
      <c r="B132" s="75"/>
      <c r="C132" s="78"/>
      <c r="D132" s="81"/>
      <c r="E132" s="84"/>
      <c r="F132" s="81"/>
      <c r="G132" s="84"/>
      <c r="H132" s="81"/>
      <c r="I132" s="50">
        <v>46225</v>
      </c>
      <c r="J132" s="51">
        <v>45</v>
      </c>
      <c r="K132" s="81"/>
      <c r="L132" s="52"/>
    </row>
    <row r="133" spans="2:12" ht="50.1" customHeight="1" x14ac:dyDescent="0.3">
      <c r="B133" s="75"/>
      <c r="C133" s="78"/>
      <c r="D133" s="81"/>
      <c r="E133" s="84"/>
      <c r="F133" s="81"/>
      <c r="G133" s="84"/>
      <c r="H133" s="81"/>
      <c r="I133" s="50">
        <v>46226</v>
      </c>
      <c r="J133" s="51">
        <v>40</v>
      </c>
      <c r="K133" s="81"/>
      <c r="L133" s="52"/>
    </row>
    <row r="134" spans="2:12" ht="50.1" customHeight="1" x14ac:dyDescent="0.3">
      <c r="B134" s="75"/>
      <c r="C134" s="78"/>
      <c r="D134" s="81"/>
      <c r="E134" s="84"/>
      <c r="F134" s="81"/>
      <c r="G134" s="84"/>
      <c r="H134" s="81"/>
      <c r="I134" s="50">
        <v>46227</v>
      </c>
      <c r="J134" s="51">
        <v>25</v>
      </c>
      <c r="K134" s="81"/>
      <c r="L134" s="52"/>
    </row>
    <row r="135" spans="2:12" ht="50.1" customHeight="1" thickBot="1" x14ac:dyDescent="0.35">
      <c r="B135" s="75"/>
      <c r="C135" s="115"/>
      <c r="D135" s="101"/>
      <c r="E135" s="116"/>
      <c r="F135" s="101"/>
      <c r="G135" s="116"/>
      <c r="H135" s="101"/>
      <c r="I135" s="50">
        <v>46228</v>
      </c>
      <c r="J135" s="67"/>
      <c r="K135" s="101"/>
      <c r="L135" s="59"/>
    </row>
    <row r="136" spans="2:12" ht="50.1" customHeight="1" x14ac:dyDescent="0.3">
      <c r="B136" s="75"/>
      <c r="C136" s="77">
        <v>8</v>
      </c>
      <c r="D136" s="80" t="s">
        <v>48</v>
      </c>
      <c r="E136" s="83" t="s">
        <v>11</v>
      </c>
      <c r="F136" s="80" t="s">
        <v>12</v>
      </c>
      <c r="G136" s="86"/>
      <c r="H136" s="87" t="s">
        <v>63</v>
      </c>
      <c r="I136" s="47">
        <v>46223</v>
      </c>
      <c r="J136" s="48">
        <v>30</v>
      </c>
      <c r="K136" s="87"/>
      <c r="L136" s="56"/>
    </row>
    <row r="137" spans="2:12" ht="50.1" customHeight="1" x14ac:dyDescent="0.3">
      <c r="B137" s="75"/>
      <c r="C137" s="78"/>
      <c r="D137" s="81"/>
      <c r="E137" s="84"/>
      <c r="F137" s="81"/>
      <c r="G137" s="84"/>
      <c r="H137" s="81"/>
      <c r="I137" s="57">
        <v>46224</v>
      </c>
      <c r="J137" s="51">
        <f>70+47</f>
        <v>117</v>
      </c>
      <c r="K137" s="81"/>
      <c r="L137" s="52"/>
    </row>
    <row r="138" spans="2:12" ht="50.1" customHeight="1" x14ac:dyDescent="0.3">
      <c r="B138" s="75"/>
      <c r="C138" s="78"/>
      <c r="D138" s="81"/>
      <c r="E138" s="84"/>
      <c r="F138" s="81"/>
      <c r="G138" s="84"/>
      <c r="H138" s="81"/>
      <c r="I138" s="50">
        <v>46225</v>
      </c>
      <c r="J138" s="51">
        <v>46</v>
      </c>
      <c r="K138" s="81"/>
      <c r="L138" s="52"/>
    </row>
    <row r="139" spans="2:12" ht="50.1" customHeight="1" x14ac:dyDescent="0.3">
      <c r="B139" s="75"/>
      <c r="C139" s="78"/>
      <c r="D139" s="81"/>
      <c r="E139" s="84"/>
      <c r="F139" s="81"/>
      <c r="G139" s="84"/>
      <c r="H139" s="81"/>
      <c r="I139" s="50">
        <v>46226</v>
      </c>
      <c r="J139" s="51"/>
      <c r="K139" s="81"/>
      <c r="L139" s="52"/>
    </row>
    <row r="140" spans="2:12" ht="50.1" customHeight="1" x14ac:dyDescent="0.3">
      <c r="B140" s="75"/>
      <c r="C140" s="78"/>
      <c r="D140" s="81"/>
      <c r="E140" s="84"/>
      <c r="F140" s="81"/>
      <c r="G140" s="84"/>
      <c r="H140" s="81"/>
      <c r="I140" s="50">
        <v>46227</v>
      </c>
      <c r="J140" s="51">
        <v>37</v>
      </c>
      <c r="K140" s="81"/>
      <c r="L140" s="52"/>
    </row>
    <row r="141" spans="2:12" ht="50.1" customHeight="1" thickBot="1" x14ac:dyDescent="0.35">
      <c r="B141" s="75"/>
      <c r="C141" s="79"/>
      <c r="D141" s="82"/>
      <c r="E141" s="85"/>
      <c r="F141" s="82"/>
      <c r="G141" s="85"/>
      <c r="H141" s="82"/>
      <c r="I141" s="50">
        <v>46227</v>
      </c>
      <c r="J141" s="54"/>
      <c r="K141" s="82"/>
      <c r="L141" s="55"/>
    </row>
    <row r="142" spans="2:12" ht="15" customHeight="1" x14ac:dyDescent="0.3">
      <c r="B142" s="75"/>
      <c r="C142" s="88" t="s">
        <v>39</v>
      </c>
      <c r="D142" s="89"/>
      <c r="E142" s="89"/>
      <c r="F142" s="89"/>
      <c r="G142" s="89"/>
      <c r="H142" s="90"/>
      <c r="I142" s="94" t="s">
        <v>8</v>
      </c>
      <c r="J142" s="69">
        <f>SUM(J94:J141)</f>
        <v>3777</v>
      </c>
      <c r="K142" s="69"/>
      <c r="L142" s="69" t="s">
        <v>40</v>
      </c>
    </row>
    <row r="143" spans="2:12" ht="15.75" customHeight="1" thickBot="1" x14ac:dyDescent="0.35">
      <c r="B143" s="76"/>
      <c r="C143" s="91"/>
      <c r="D143" s="92"/>
      <c r="E143" s="92"/>
      <c r="F143" s="92"/>
      <c r="G143" s="92"/>
      <c r="H143" s="93"/>
      <c r="I143" s="95"/>
      <c r="J143" s="70"/>
      <c r="K143" s="70"/>
      <c r="L143" s="70"/>
    </row>
    <row r="144" spans="2:12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</sheetData>
  <mergeCells count="175">
    <mergeCell ref="B3:L4"/>
    <mergeCell ref="C39:H40"/>
    <mergeCell ref="I39:I40"/>
    <mergeCell ref="J39:J40"/>
    <mergeCell ref="K39:K40"/>
    <mergeCell ref="L39:L40"/>
    <mergeCell ref="K22:K26"/>
    <mergeCell ref="H27:H32"/>
    <mergeCell ref="K27:K32"/>
    <mergeCell ref="C22:C26"/>
    <mergeCell ref="D22:D26"/>
    <mergeCell ref="E22:E26"/>
    <mergeCell ref="F22:F26"/>
    <mergeCell ref="G22:G26"/>
    <mergeCell ref="H22:H26"/>
    <mergeCell ref="C27:C32"/>
    <mergeCell ref="B6:B40"/>
    <mergeCell ref="C6:C10"/>
    <mergeCell ref="D6:D10"/>
    <mergeCell ref="E6:E10"/>
    <mergeCell ref="F6:F10"/>
    <mergeCell ref="C17:C21"/>
    <mergeCell ref="D17:D21"/>
    <mergeCell ref="E17:E21"/>
    <mergeCell ref="F17:F21"/>
    <mergeCell ref="C11:C16"/>
    <mergeCell ref="D11:D16"/>
    <mergeCell ref="E11:E16"/>
    <mergeCell ref="F11:F16"/>
    <mergeCell ref="H6:H10"/>
    <mergeCell ref="K6:K10"/>
    <mergeCell ref="C33:C38"/>
    <mergeCell ref="D33:D38"/>
    <mergeCell ref="E33:E38"/>
    <mergeCell ref="F33:F38"/>
    <mergeCell ref="G33:G38"/>
    <mergeCell ref="H33:H38"/>
    <mergeCell ref="K33:K38"/>
    <mergeCell ref="G6:G10"/>
    <mergeCell ref="K11:K16"/>
    <mergeCell ref="G17:G21"/>
    <mergeCell ref="H17:H21"/>
    <mergeCell ref="K17:K21"/>
    <mergeCell ref="G11:G16"/>
    <mergeCell ref="D27:D32"/>
    <mergeCell ref="E27:E32"/>
    <mergeCell ref="F27:F32"/>
    <mergeCell ref="G27:G32"/>
    <mergeCell ref="K50:K55"/>
    <mergeCell ref="C56:C60"/>
    <mergeCell ref="D56:D60"/>
    <mergeCell ref="E56:E60"/>
    <mergeCell ref="F56:F60"/>
    <mergeCell ref="G56:G60"/>
    <mergeCell ref="H56:H60"/>
    <mergeCell ref="K56:K60"/>
    <mergeCell ref="H11:H16"/>
    <mergeCell ref="B42:L43"/>
    <mergeCell ref="B45:B89"/>
    <mergeCell ref="C45:C49"/>
    <mergeCell ref="D45:D49"/>
    <mergeCell ref="E45:E49"/>
    <mergeCell ref="F45:F49"/>
    <mergeCell ref="G45:G49"/>
    <mergeCell ref="H45:H49"/>
    <mergeCell ref="K45:K49"/>
    <mergeCell ref="C50:C55"/>
    <mergeCell ref="D50:D55"/>
    <mergeCell ref="E50:E55"/>
    <mergeCell ref="F50:F55"/>
    <mergeCell ref="G50:G55"/>
    <mergeCell ref="H50:H55"/>
    <mergeCell ref="H61:H65"/>
    <mergeCell ref="K61:K65"/>
    <mergeCell ref="C66:C71"/>
    <mergeCell ref="D66:D71"/>
    <mergeCell ref="E66:E71"/>
    <mergeCell ref="F66:F71"/>
    <mergeCell ref="G66:G71"/>
    <mergeCell ref="H66:H71"/>
    <mergeCell ref="K66:K71"/>
    <mergeCell ref="C61:C65"/>
    <mergeCell ref="D61:D65"/>
    <mergeCell ref="E61:E65"/>
    <mergeCell ref="F61:F65"/>
    <mergeCell ref="G61:G65"/>
    <mergeCell ref="H72:H77"/>
    <mergeCell ref="K72:K77"/>
    <mergeCell ref="C88:H89"/>
    <mergeCell ref="I88:I89"/>
    <mergeCell ref="J88:J89"/>
    <mergeCell ref="K88:K89"/>
    <mergeCell ref="C72:C77"/>
    <mergeCell ref="D72:D77"/>
    <mergeCell ref="E72:E77"/>
    <mergeCell ref="F72:F77"/>
    <mergeCell ref="G72:G77"/>
    <mergeCell ref="L88:L89"/>
    <mergeCell ref="C78:C82"/>
    <mergeCell ref="D78:D82"/>
    <mergeCell ref="E78:E82"/>
    <mergeCell ref="F78:F82"/>
    <mergeCell ref="G78:G82"/>
    <mergeCell ref="H78:H82"/>
    <mergeCell ref="K78:K82"/>
    <mergeCell ref="C83:C87"/>
    <mergeCell ref="D83:D87"/>
    <mergeCell ref="E83:E87"/>
    <mergeCell ref="F83:F87"/>
    <mergeCell ref="G83:G87"/>
    <mergeCell ref="H83:H87"/>
    <mergeCell ref="K83:K87"/>
    <mergeCell ref="B91:L92"/>
    <mergeCell ref="B94:B143"/>
    <mergeCell ref="K94:K98"/>
    <mergeCell ref="C100:C105"/>
    <mergeCell ref="D100:D105"/>
    <mergeCell ref="E100:E105"/>
    <mergeCell ref="F100:F105"/>
    <mergeCell ref="G100:G105"/>
    <mergeCell ref="H100:H105"/>
    <mergeCell ref="K100:K105"/>
    <mergeCell ref="C106:C111"/>
    <mergeCell ref="D106:D111"/>
    <mergeCell ref="E106:E111"/>
    <mergeCell ref="F106:F111"/>
    <mergeCell ref="G106:G111"/>
    <mergeCell ref="H106:H111"/>
    <mergeCell ref="K106:K111"/>
    <mergeCell ref="C112:C117"/>
    <mergeCell ref="K124:K129"/>
    <mergeCell ref="C130:C135"/>
    <mergeCell ref="D130:D135"/>
    <mergeCell ref="E130:E135"/>
    <mergeCell ref="F130:F135"/>
    <mergeCell ref="G130:G135"/>
    <mergeCell ref="H130:H135"/>
    <mergeCell ref="K130:K135"/>
    <mergeCell ref="D112:D117"/>
    <mergeCell ref="E112:E117"/>
    <mergeCell ref="F112:F117"/>
    <mergeCell ref="G112:G117"/>
    <mergeCell ref="H112:H117"/>
    <mergeCell ref="K112:K117"/>
    <mergeCell ref="C118:C123"/>
    <mergeCell ref="D118:D123"/>
    <mergeCell ref="E118:E123"/>
    <mergeCell ref="F118:F123"/>
    <mergeCell ref="G118:G123"/>
    <mergeCell ref="H118:H123"/>
    <mergeCell ref="K118:K123"/>
    <mergeCell ref="L142:L143"/>
    <mergeCell ref="C94:C99"/>
    <mergeCell ref="D94:D99"/>
    <mergeCell ref="E94:E99"/>
    <mergeCell ref="F94:F99"/>
    <mergeCell ref="G94:G99"/>
    <mergeCell ref="H94:H99"/>
    <mergeCell ref="C136:C141"/>
    <mergeCell ref="D136:D141"/>
    <mergeCell ref="E136:E141"/>
    <mergeCell ref="F136:F141"/>
    <mergeCell ref="G136:G141"/>
    <mergeCell ref="H136:H141"/>
    <mergeCell ref="K136:K141"/>
    <mergeCell ref="C142:H143"/>
    <mergeCell ref="I142:I143"/>
    <mergeCell ref="J142:J143"/>
    <mergeCell ref="K142:K143"/>
    <mergeCell ref="C124:C129"/>
    <mergeCell ref="D124:D129"/>
    <mergeCell ref="E124:E129"/>
    <mergeCell ref="F124:F129"/>
    <mergeCell ref="G124:G129"/>
    <mergeCell ref="H124:H129"/>
  </mergeCells>
  <pageMargins left="0.70866141732283472" right="0.70866141732283472" top="0.74803149606299213" bottom="0.74803149606299213" header="0.31496062992125984" footer="0.31496062992125984"/>
  <pageSetup paperSize="9" scale="2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MAQUINARIA BACHEO LOMBARDO </vt:lpstr>
      <vt:lpstr>MAQUINARIA DESASOLVE </vt:lpstr>
      <vt:lpstr>'MAQUINARIA BACHEO LOMBARDO '!Área_de_impresión</vt:lpstr>
      <vt:lpstr>'MAQUINARIA DESASOLVE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Carreola Monroy</dc:creator>
  <cp:lastModifiedBy>ANTONIO IBAÑEZ</cp:lastModifiedBy>
  <cp:lastPrinted>2026-07-16T21:02:30Z</cp:lastPrinted>
  <dcterms:created xsi:type="dcterms:W3CDTF">2026-07-10T16:01:22Z</dcterms:created>
  <dcterms:modified xsi:type="dcterms:W3CDTF">2026-07-27T02:38:01Z</dcterms:modified>
</cp:coreProperties>
</file>