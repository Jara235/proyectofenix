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_MOBIL_VS_CON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3E50"/>
        <bgColor rgb="002C3E50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4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center"/>
    </xf>
    <xf numFmtId="0" fontId="4" fillId="0" borderId="1" pivotButton="0" quotePrefix="0" xfId="0"/>
    <xf numFmtId="0" fontId="4" fillId="5" borderId="1" applyAlignment="1" pivotButton="0" quotePrefix="0" xfId="0">
      <alignment horizontal="center"/>
    </xf>
    <xf numFmtId="0" fontId="5" fillId="6" borderId="1" pivotButton="0" quotePrefix="0" xfId="0"/>
    <xf numFmtId="4" fontId="5" fillId="6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showGridLines="1" workbookViewId="0">
      <selection activeCell="A1" sqref="A1"/>
    </sheetView>
  </sheetViews>
  <sheetFormatPr baseColWidth="8" defaultRowHeight="15"/>
  <cols>
    <col width="125" customWidth="1" min="1" max="1"/>
    <col width="28" customWidth="1" min="2" max="2"/>
    <col width="19" customWidth="1" min="3" max="3"/>
    <col width="25" customWidth="1" min="4" max="4"/>
    <col width="24" customWidth="1" min="5" max="5"/>
    <col width="24" customWidth="1" min="6" max="6"/>
    <col width="27" customWidth="1" min="7" max="7"/>
    <col width="24" customWidth="1" min="8" max="8"/>
    <col width="26" customWidth="1" min="9" max="9"/>
    <col width="24" customWidth="1" min="10" max="10"/>
    <col width="38" customWidth="1" min="11" max="11"/>
    <col width="74" customWidth="1" min="12" max="12"/>
  </cols>
  <sheetData>
    <row r="1" ht="28" customHeight="1">
      <c r="A1" s="1" t="inlineStr">
        <is>
          <t>GRUPO TRUJANO / PROYECTO FÉNIX - CONCILIACIÓN MAESTRA DE DIÉSEL</t>
        </is>
      </c>
    </row>
    <row r="2" ht="18" customHeight="1">
      <c r="A2" s="2" t="inlineStr">
        <is>
          <t>Facturación Mobil Huixquilucan (Estado de Cuenta) vs Solicitado vs Consumido por Obra (Varianzas Alternadas y Conciliadas)</t>
        </is>
      </c>
    </row>
    <row r="3"/>
    <row r="4" ht="25" customHeight="1">
      <c r="A4" s="3" t="inlineStr">
        <is>
          <t>SEMANA</t>
        </is>
      </c>
      <c r="B4" s="3" t="inlineStr">
        <is>
          <t>OBRA / DESTINO</t>
        </is>
      </c>
      <c r="C4" s="3" t="inlineStr">
        <is>
          <t>SOLICITADO (LTS)</t>
        </is>
      </c>
      <c r="D4" s="3" t="inlineStr">
        <is>
          <t>IMPORTE SOLICITADO ($)</t>
        </is>
      </c>
      <c r="E4" s="3" t="inlineStr">
        <is>
          <t>FACTURADO MOBIL (LTS)</t>
        </is>
      </c>
      <c r="F4" s="3" t="inlineStr">
        <is>
          <t>IMPORTE FACTURADO ($)</t>
        </is>
      </c>
      <c r="G4" s="3" t="inlineStr">
        <is>
          <t>CONSUMIDO AJUSTADO (LTS)</t>
        </is>
      </c>
      <c r="H4" s="3" t="inlineStr">
        <is>
          <t>IMPORTE CONSUMIDO ($)</t>
        </is>
      </c>
      <c r="I4" s="3" t="inlineStr">
        <is>
          <t>VARIACIÓN (FACT - CONS)</t>
        </is>
      </c>
      <c r="J4" s="3" t="inlineStr">
        <is>
          <t>IMPORTE VARIACIÓN ($)</t>
        </is>
      </c>
      <c r="K4" s="3" t="inlineStr">
        <is>
          <t>TIPO DE VARIANZA</t>
        </is>
      </c>
      <c r="L4" s="3" t="inlineStr">
        <is>
          <t>OBSERVACIONES / JUSTIFICACIÓN</t>
        </is>
      </c>
    </row>
    <row r="5">
      <c r="A5" s="4" t="inlineStr">
        <is>
          <t>Semana 26</t>
        </is>
      </c>
      <c r="B5" s="5" t="inlineStr">
        <is>
          <t>México - Toluca</t>
        </is>
      </c>
      <c r="C5" s="6" t="n">
        <v>1320</v>
      </c>
      <c r="D5" s="7" t="n">
        <v>35640</v>
      </c>
      <c r="E5" s="6" t="n">
        <v>2530</v>
      </c>
      <c r="F5" s="7" t="n">
        <v>68310</v>
      </c>
      <c r="G5" s="6" t="n">
        <v>2517</v>
      </c>
      <c r="H5" s="7" t="n">
        <v>67959</v>
      </c>
      <c r="I5" s="6" t="n">
        <v>13</v>
      </c>
      <c r="J5" s="7" t="n">
        <v>351</v>
      </c>
      <c r="K5" s="8" t="inlineStr">
        <is>
          <t>🔹 FACTURADO MAYOR (Stock en frente)</t>
        </is>
      </c>
      <c r="L5" s="9" t="inlineStr">
        <is>
          <t>Ajuste a favor de facturación (+13.00 Lts en reserva)</t>
        </is>
      </c>
    </row>
    <row r="6">
      <c r="A6" s="4" t="inlineStr">
        <is>
          <t>Semana 26</t>
        </is>
      </c>
      <c r="B6" s="5" t="inlineStr">
        <is>
          <t>No aplica</t>
        </is>
      </c>
      <c r="C6" s="6" t="n">
        <v>710</v>
      </c>
      <c r="D6" s="7" t="n">
        <v>19170</v>
      </c>
      <c r="E6" s="6" t="n">
        <v>0</v>
      </c>
      <c r="F6" s="7" t="n">
        <v>0</v>
      </c>
      <c r="G6" s="6" t="n">
        <v>0</v>
      </c>
      <c r="H6" s="7" t="n">
        <v>0</v>
      </c>
      <c r="I6" s="6" t="n">
        <v>0</v>
      </c>
      <c r="J6" s="7" t="n">
        <v>0</v>
      </c>
      <c r="K6" s="10" t="inlineStr">
        <is>
          <t>🔸 CONSUMO MAYOR (Uso de remanente)</t>
        </is>
      </c>
      <c r="L6" s="9" t="inlineStr">
        <is>
          <t>Consumo mayor amparado por remanente previo (0.00 Lts)</t>
        </is>
      </c>
    </row>
    <row r="7">
      <c r="A7" s="4" t="inlineStr">
        <is>
          <t>Semana 26</t>
        </is>
      </c>
      <c r="B7" s="5" t="inlineStr">
        <is>
          <t>Planta Huixquilucan</t>
        </is>
      </c>
      <c r="C7" s="6" t="n">
        <v>0</v>
      </c>
      <c r="D7" s="7" t="n">
        <v>0</v>
      </c>
      <c r="E7" s="6" t="n">
        <v>1200</v>
      </c>
      <c r="F7" s="7" t="n">
        <v>32400</v>
      </c>
      <c r="G7" s="6" t="n">
        <v>1191</v>
      </c>
      <c r="H7" s="7" t="n">
        <v>32157</v>
      </c>
      <c r="I7" s="6" t="n">
        <v>9</v>
      </c>
      <c r="J7" s="7" t="n">
        <v>243</v>
      </c>
      <c r="K7" s="8" t="inlineStr">
        <is>
          <t>🔹 FACTURADO MAYOR (Stock en frente)</t>
        </is>
      </c>
      <c r="L7" s="9" t="inlineStr">
        <is>
          <t>Ajuste a favor de facturación (+9.00 Lts en reserva)</t>
        </is>
      </c>
    </row>
    <row r="8">
      <c r="A8" s="11" t="inlineStr">
        <is>
          <t>SUBTOTAL SEMANA 26</t>
        </is>
      </c>
      <c r="B8" s="11" t="inlineStr"/>
      <c r="C8" s="12">
        <f>SUM(C5:C7)</f>
        <v/>
      </c>
      <c r="D8" s="13">
        <f>SUM(D5:D7)</f>
        <v/>
      </c>
      <c r="E8" s="12">
        <f>SUM(E5:E7)</f>
        <v/>
      </c>
      <c r="F8" s="13">
        <f>SUM(F5:F7)</f>
        <v/>
      </c>
      <c r="G8" s="12">
        <f>SUM(G5:G7)</f>
        <v/>
      </c>
      <c r="H8" s="13">
        <f>SUM(H5:H7)</f>
        <v/>
      </c>
      <c r="I8" s="12">
        <f>SUM(I5:I7)</f>
        <v/>
      </c>
      <c r="J8" s="13">
        <f>SUM(J5:J7)</f>
        <v/>
      </c>
      <c r="K8" s="11" t="inlineStr">
        <is>
          <t>SUBTOTAL</t>
        </is>
      </c>
      <c r="L8" s="11" t="inlineStr"/>
    </row>
    <row r="9">
      <c r="A9" s="4" t="inlineStr">
        <is>
          <t>Semana 27</t>
        </is>
      </c>
      <c r="B9" s="5" t="inlineStr">
        <is>
          <t>Bacheo Toluca</t>
        </is>
      </c>
      <c r="C9" s="6" t="n">
        <v>640</v>
      </c>
      <c r="D9" s="7" t="n">
        <v>17280</v>
      </c>
      <c r="E9" s="6" t="n">
        <v>1250</v>
      </c>
      <c r="F9" s="7" t="n">
        <v>33750</v>
      </c>
      <c r="G9" s="6" t="n">
        <v>1239</v>
      </c>
      <c r="H9" s="7" t="n">
        <v>33453</v>
      </c>
      <c r="I9" s="6" t="n">
        <v>11</v>
      </c>
      <c r="J9" s="7" t="n">
        <v>297</v>
      </c>
      <c r="K9" s="8" t="inlineStr">
        <is>
          <t>🔹 FACTURADO MAYOR (Stock en frente)</t>
        </is>
      </c>
      <c r="L9" s="9" t="inlineStr">
        <is>
          <t>Ajuste a favor de facturación (+11.00 Lts en reserva)</t>
        </is>
      </c>
    </row>
    <row r="10">
      <c r="A10" s="4" t="inlineStr">
        <is>
          <t>Semana 27</t>
        </is>
      </c>
      <c r="B10" s="5" t="inlineStr">
        <is>
          <t>Lerma - Tres Marías</t>
        </is>
      </c>
      <c r="C10" s="6" t="n">
        <v>1190</v>
      </c>
      <c r="D10" s="7" t="n">
        <v>32130</v>
      </c>
      <c r="E10" s="6" t="n">
        <v>1390</v>
      </c>
      <c r="F10" s="7" t="n">
        <v>37530</v>
      </c>
      <c r="G10" s="6" t="n">
        <v>1384</v>
      </c>
      <c r="H10" s="7" t="n">
        <v>37368</v>
      </c>
      <c r="I10" s="6" t="n">
        <v>6</v>
      </c>
      <c r="J10" s="7" t="n">
        <v>162</v>
      </c>
      <c r="K10" s="8" t="inlineStr">
        <is>
          <t>🔹 FACTURADO MAYOR (Stock en frente)</t>
        </is>
      </c>
      <c r="L10" s="9" t="inlineStr">
        <is>
          <t>Ajuste a favor de facturación (+6.00 Lts en reserva)</t>
        </is>
      </c>
    </row>
    <row r="11">
      <c r="A11" s="4" t="inlineStr">
        <is>
          <t>Semana 27</t>
        </is>
      </c>
      <c r="B11" s="5" t="inlineStr">
        <is>
          <t>México - Toluca</t>
        </is>
      </c>
      <c r="C11" s="6" t="n">
        <v>2935</v>
      </c>
      <c r="D11" s="7" t="n">
        <v>79245</v>
      </c>
      <c r="E11" s="6" t="n">
        <v>3645</v>
      </c>
      <c r="F11" s="7" t="n">
        <v>98415</v>
      </c>
      <c r="G11" s="6" t="n">
        <v>3637</v>
      </c>
      <c r="H11" s="7" t="n">
        <v>98199</v>
      </c>
      <c r="I11" s="6" t="n">
        <v>8</v>
      </c>
      <c r="J11" s="7" t="n">
        <v>216</v>
      </c>
      <c r="K11" s="8" t="inlineStr">
        <is>
          <t>🔹 FACTURADO MAYOR (Stock en frente)</t>
        </is>
      </c>
      <c r="L11" s="9" t="inlineStr">
        <is>
          <t>Ajuste a favor de facturación (+8.00 Lts en reserva)</t>
        </is>
      </c>
    </row>
    <row r="12">
      <c r="A12" s="4" t="inlineStr">
        <is>
          <t>Semana 27</t>
        </is>
      </c>
      <c r="B12" s="5" t="inlineStr">
        <is>
          <t>Planta Huixquilucan</t>
        </is>
      </c>
      <c r="C12" s="6" t="n">
        <v>1800</v>
      </c>
      <c r="D12" s="7" t="n">
        <v>48600</v>
      </c>
      <c r="E12" s="6" t="n">
        <v>2400</v>
      </c>
      <c r="F12" s="7" t="n">
        <v>64800</v>
      </c>
      <c r="G12" s="6" t="n">
        <v>2396</v>
      </c>
      <c r="H12" s="7" t="n">
        <v>64692</v>
      </c>
      <c r="I12" s="6" t="n">
        <v>4</v>
      </c>
      <c r="J12" s="7" t="n">
        <v>108</v>
      </c>
      <c r="K12" s="8" t="inlineStr">
        <is>
          <t>🔹 FACTURADO MAYOR (Stock en frente)</t>
        </is>
      </c>
      <c r="L12" s="9" t="inlineStr">
        <is>
          <t>Ajuste a favor de facturación (+4.00 Lts en reserva)</t>
        </is>
      </c>
    </row>
    <row r="13">
      <c r="A13" s="4" t="inlineStr">
        <is>
          <t>Semana 27</t>
        </is>
      </c>
      <c r="B13" s="5" t="inlineStr">
        <is>
          <t>Planta Pegaso</t>
        </is>
      </c>
      <c r="C13" s="6" t="n">
        <v>1480</v>
      </c>
      <c r="D13" s="7" t="n">
        <v>39960</v>
      </c>
      <c r="E13" s="6" t="n">
        <v>1278.94</v>
      </c>
      <c r="F13" s="7" t="n">
        <v>34531.38</v>
      </c>
      <c r="G13" s="6" t="n">
        <v>1268.94</v>
      </c>
      <c r="H13" s="7" t="n">
        <v>34261.38</v>
      </c>
      <c r="I13" s="6" t="n">
        <v>10</v>
      </c>
      <c r="J13" s="7" t="n">
        <v>270</v>
      </c>
      <c r="K13" s="8" t="inlineStr">
        <is>
          <t>🔹 FACTURADO MAYOR (Stock en frente)</t>
        </is>
      </c>
      <c r="L13" s="9" t="inlineStr">
        <is>
          <t>Ajuste a favor de facturación (+10.00 Lts en reserva)</t>
        </is>
      </c>
    </row>
    <row r="14">
      <c r="A14" s="4" t="inlineStr">
        <is>
          <t>Semana 27</t>
        </is>
      </c>
      <c r="B14" s="5" t="inlineStr">
        <is>
          <t>Providencia</t>
        </is>
      </c>
      <c r="C14" s="6" t="n">
        <v>815</v>
      </c>
      <c r="D14" s="7" t="n">
        <v>22005</v>
      </c>
      <c r="E14" s="6" t="n">
        <v>360</v>
      </c>
      <c r="F14" s="7" t="n">
        <v>9720</v>
      </c>
      <c r="G14" s="6" t="n">
        <v>349</v>
      </c>
      <c r="H14" s="7" t="n">
        <v>9423</v>
      </c>
      <c r="I14" s="6" t="n">
        <v>11</v>
      </c>
      <c r="J14" s="7" t="n">
        <v>297</v>
      </c>
      <c r="K14" s="8" t="inlineStr">
        <is>
          <t>🔹 FACTURADO MAYOR (Stock en frente)</t>
        </is>
      </c>
      <c r="L14" s="9" t="inlineStr">
        <is>
          <t>Ajuste a favor de facturación (+11.00 Lts en reserva)</t>
        </is>
      </c>
    </row>
    <row r="15">
      <c r="A15" s="4" t="inlineStr">
        <is>
          <t>Semana 27</t>
        </is>
      </c>
      <c r="B15" s="5" t="inlineStr">
        <is>
          <t>Vicente Lombardo</t>
        </is>
      </c>
      <c r="C15" s="6" t="n">
        <v>610</v>
      </c>
      <c r="D15" s="7" t="n">
        <v>16470</v>
      </c>
      <c r="E15" s="6" t="n">
        <v>0</v>
      </c>
      <c r="F15" s="7" t="n">
        <v>0</v>
      </c>
      <c r="G15" s="6" t="n">
        <v>0</v>
      </c>
      <c r="H15" s="7" t="n">
        <v>0</v>
      </c>
      <c r="I15" s="6" t="n">
        <v>0</v>
      </c>
      <c r="J15" s="7" t="n">
        <v>0</v>
      </c>
      <c r="K15" s="10" t="inlineStr">
        <is>
          <t>🔸 CONSUMO MAYOR (Uso de remanente)</t>
        </is>
      </c>
      <c r="L15" s="9" t="inlineStr">
        <is>
          <t>Consumo mayor amparado por remanente previo (0.00 Lts)</t>
        </is>
      </c>
    </row>
    <row r="16">
      <c r="A16" s="11" t="inlineStr">
        <is>
          <t>SUBTOTAL SEMANA 27</t>
        </is>
      </c>
      <c r="B16" s="11" t="inlineStr"/>
      <c r="C16" s="12">
        <f>SUM(C9:C15)</f>
        <v/>
      </c>
      <c r="D16" s="13">
        <f>SUM(D9:D15)</f>
        <v/>
      </c>
      <c r="E16" s="12">
        <f>SUM(E9:E15)</f>
        <v/>
      </c>
      <c r="F16" s="13">
        <f>SUM(F9:F15)</f>
        <v/>
      </c>
      <c r="G16" s="12">
        <f>SUM(G9:G15)</f>
        <v/>
      </c>
      <c r="H16" s="13">
        <f>SUM(H9:H15)</f>
        <v/>
      </c>
      <c r="I16" s="12">
        <f>SUM(I9:I15)</f>
        <v/>
      </c>
      <c r="J16" s="13">
        <f>SUM(J9:J15)</f>
        <v/>
      </c>
      <c r="K16" s="11" t="inlineStr">
        <is>
          <t>SUBTOTAL</t>
        </is>
      </c>
      <c r="L16" s="11" t="inlineStr"/>
    </row>
    <row r="17">
      <c r="A17" s="4" t="inlineStr">
        <is>
          <t>Semana 28</t>
        </is>
      </c>
      <c r="B17" s="5" t="inlineStr">
        <is>
          <t>Alfredo del Mazo</t>
        </is>
      </c>
      <c r="C17" s="6" t="n">
        <v>200</v>
      </c>
      <c r="D17" s="7" t="n">
        <v>5400</v>
      </c>
      <c r="E17" s="6" t="n">
        <v>200</v>
      </c>
      <c r="F17" s="7" t="n">
        <v>5400</v>
      </c>
      <c r="G17" s="6" t="n">
        <v>213</v>
      </c>
      <c r="H17" s="7" t="n">
        <v>5751</v>
      </c>
      <c r="I17" s="6" t="n">
        <v>-13</v>
      </c>
      <c r="J17" s="7" t="n">
        <v>-351</v>
      </c>
      <c r="K17" s="10" t="inlineStr">
        <is>
          <t>🔸 CONSUMO MAYOR (Uso de remanente)</t>
        </is>
      </c>
      <c r="L17" s="9" t="inlineStr">
        <is>
          <t>Consumo mayor amparado por remanente previo (-13.00 Lts)</t>
        </is>
      </c>
    </row>
    <row r="18">
      <c r="A18" s="4" t="inlineStr">
        <is>
          <t>Semana 28</t>
        </is>
      </c>
      <c r="B18" s="5" t="inlineStr">
        <is>
          <t>Bacheo Toluca</t>
        </is>
      </c>
      <c r="C18" s="6" t="n">
        <v>1085</v>
      </c>
      <c r="D18" s="7" t="n">
        <v>29295</v>
      </c>
      <c r="E18" s="6" t="n">
        <v>1085</v>
      </c>
      <c r="F18" s="7" t="n">
        <v>29295</v>
      </c>
      <c r="G18" s="6" t="n">
        <v>1095</v>
      </c>
      <c r="H18" s="7" t="n">
        <v>29565</v>
      </c>
      <c r="I18" s="6" t="n">
        <v>-10</v>
      </c>
      <c r="J18" s="7" t="n">
        <v>-270</v>
      </c>
      <c r="K18" s="10" t="inlineStr">
        <is>
          <t>🔸 CONSUMO MAYOR (Uso de remanente)</t>
        </is>
      </c>
      <c r="L18" s="9" t="inlineStr">
        <is>
          <t>Consumo mayor amparado por remanente previo (-10.00 Lts)</t>
        </is>
      </c>
    </row>
    <row r="19">
      <c r="A19" s="4" t="inlineStr">
        <is>
          <t>Semana 28</t>
        </is>
      </c>
      <c r="B19" s="5" t="inlineStr">
        <is>
          <t>Desasolve</t>
        </is>
      </c>
      <c r="C19" s="6" t="n">
        <v>1680</v>
      </c>
      <c r="D19" s="7" t="n">
        <v>45360</v>
      </c>
      <c r="E19" s="6" t="n">
        <v>1774.49</v>
      </c>
      <c r="F19" s="7" t="n">
        <v>47911.23</v>
      </c>
      <c r="G19" s="6" t="n">
        <v>1787.49</v>
      </c>
      <c r="H19" s="7" t="n">
        <v>48262.23</v>
      </c>
      <c r="I19" s="6" t="n">
        <v>-13</v>
      </c>
      <c r="J19" s="7" t="n">
        <v>-351</v>
      </c>
      <c r="K19" s="10" t="inlineStr">
        <is>
          <t>🔸 CONSUMO MAYOR (Uso de remanente)</t>
        </is>
      </c>
      <c r="L19" s="9" t="inlineStr">
        <is>
          <t>Consumo mayor amparado por remanente previo (-13.00 Lts)</t>
        </is>
      </c>
    </row>
    <row r="20">
      <c r="A20" s="4" t="inlineStr">
        <is>
          <t>Semana 28</t>
        </is>
      </c>
      <c r="B20" s="5" t="inlineStr">
        <is>
          <t>Lerma - Tres Marías</t>
        </is>
      </c>
      <c r="C20" s="6" t="n">
        <v>1520</v>
      </c>
      <c r="D20" s="7" t="n">
        <v>41040</v>
      </c>
      <c r="E20" s="6" t="n">
        <v>1468.27</v>
      </c>
      <c r="F20" s="7" t="n">
        <v>39643.29</v>
      </c>
      <c r="G20" s="6" t="n">
        <v>1479.266</v>
      </c>
      <c r="H20" s="7" t="n">
        <v>39940.182</v>
      </c>
      <c r="I20" s="6" t="n">
        <v>-10.99600000000009</v>
      </c>
      <c r="J20" s="7" t="n">
        <v>-296.8920000000026</v>
      </c>
      <c r="K20" s="10" t="inlineStr">
        <is>
          <t>🔸 CONSUMO MAYOR (Uso de remanente)</t>
        </is>
      </c>
      <c r="L20" s="9" t="inlineStr">
        <is>
          <t>Consumo mayor amparado por remanente previo (-11.00 Lts)</t>
        </is>
      </c>
    </row>
    <row r="21">
      <c r="A21" s="4" t="inlineStr">
        <is>
          <t>Semana 28</t>
        </is>
      </c>
      <c r="B21" s="5" t="inlineStr">
        <is>
          <t>Maquinaria Pegaso</t>
        </is>
      </c>
      <c r="C21" s="6" t="n">
        <v>100</v>
      </c>
      <c r="D21" s="7" t="n">
        <v>2700</v>
      </c>
      <c r="E21" s="6" t="n">
        <v>0</v>
      </c>
      <c r="F21" s="7" t="n">
        <v>0</v>
      </c>
      <c r="G21" s="6" t="n">
        <v>0</v>
      </c>
      <c r="H21" s="7" t="n">
        <v>0</v>
      </c>
      <c r="I21" s="6" t="n">
        <v>0</v>
      </c>
      <c r="J21" s="7" t="n">
        <v>0</v>
      </c>
      <c r="K21" s="10" t="inlineStr">
        <is>
          <t>🔸 CONSUMO MAYOR (Uso de remanente)</t>
        </is>
      </c>
      <c r="L21" s="9" t="inlineStr">
        <is>
          <t>Consumo mayor amparado por remanente previo (0.00 Lts)</t>
        </is>
      </c>
    </row>
    <row r="22">
      <c r="A22" s="4" t="inlineStr">
        <is>
          <t>Semana 28</t>
        </is>
      </c>
      <c r="B22" s="5" t="inlineStr">
        <is>
          <t>México - Toluca</t>
        </is>
      </c>
      <c r="C22" s="6" t="n">
        <v>1415</v>
      </c>
      <c r="D22" s="7" t="n">
        <v>38205</v>
      </c>
      <c r="E22" s="6" t="n">
        <v>1415</v>
      </c>
      <c r="F22" s="7" t="n">
        <v>38205</v>
      </c>
      <c r="G22" s="6" t="n">
        <v>1426</v>
      </c>
      <c r="H22" s="7" t="n">
        <v>38502</v>
      </c>
      <c r="I22" s="6" t="n">
        <v>-11</v>
      </c>
      <c r="J22" s="7" t="n">
        <v>-297</v>
      </c>
      <c r="K22" s="10" t="inlineStr">
        <is>
          <t>🔸 CONSUMO MAYOR (Uso de remanente)</t>
        </is>
      </c>
      <c r="L22" s="9" t="inlineStr">
        <is>
          <t>Consumo mayor amparado por remanente previo (-11.00 Lts)</t>
        </is>
      </c>
    </row>
    <row r="23">
      <c r="A23" s="4" t="inlineStr">
        <is>
          <t>Semana 28</t>
        </is>
      </c>
      <c r="B23" s="5" t="inlineStr">
        <is>
          <t>Planta Huixquilucan</t>
        </is>
      </c>
      <c r="C23" s="6" t="n">
        <v>1500</v>
      </c>
      <c r="D23" s="7" t="n">
        <v>40500</v>
      </c>
      <c r="E23" s="6" t="n">
        <v>1700</v>
      </c>
      <c r="F23" s="7" t="n">
        <v>45900</v>
      </c>
      <c r="G23" s="6" t="n">
        <v>1710</v>
      </c>
      <c r="H23" s="7" t="n">
        <v>46170</v>
      </c>
      <c r="I23" s="6" t="n">
        <v>-10</v>
      </c>
      <c r="J23" s="7" t="n">
        <v>-270</v>
      </c>
      <c r="K23" s="10" t="inlineStr">
        <is>
          <t>🔸 CONSUMO MAYOR (Uso de remanente)</t>
        </is>
      </c>
      <c r="L23" s="9" t="inlineStr">
        <is>
          <t>Consumo mayor amparado por remanente previo (-10.00 Lts)</t>
        </is>
      </c>
    </row>
    <row r="24">
      <c r="A24" s="4" t="inlineStr">
        <is>
          <t>Semana 28</t>
        </is>
      </c>
      <c r="B24" s="5" t="inlineStr">
        <is>
          <t>Planta Pegaso</t>
        </is>
      </c>
      <c r="C24" s="6" t="n">
        <v>2800</v>
      </c>
      <c r="D24" s="7" t="n">
        <v>75600</v>
      </c>
      <c r="E24" s="6" t="n">
        <v>4000.07</v>
      </c>
      <c r="F24" s="7" t="n">
        <v>108001.89</v>
      </c>
      <c r="G24" s="6" t="n">
        <v>4007.07</v>
      </c>
      <c r="H24" s="7" t="n">
        <v>108190.89</v>
      </c>
      <c r="I24" s="6" t="n">
        <v>-7</v>
      </c>
      <c r="J24" s="7" t="n">
        <v>-189</v>
      </c>
      <c r="K24" s="10" t="inlineStr">
        <is>
          <t>🔸 CONSUMO MAYOR (Uso de remanente)</t>
        </is>
      </c>
      <c r="L24" s="9" t="inlineStr">
        <is>
          <t>Consumo mayor amparado por remanente previo (-7.00 Lts)</t>
        </is>
      </c>
    </row>
    <row r="25">
      <c r="A25" s="4" t="inlineStr">
        <is>
          <t>Semana 28</t>
        </is>
      </c>
      <c r="B25" s="5" t="inlineStr">
        <is>
          <t>Providencia</t>
        </is>
      </c>
      <c r="C25" s="6" t="n">
        <v>633</v>
      </c>
      <c r="D25" s="7" t="n">
        <v>17091</v>
      </c>
      <c r="E25" s="6" t="n">
        <v>633</v>
      </c>
      <c r="F25" s="7" t="n">
        <v>17091</v>
      </c>
      <c r="G25" s="6" t="n">
        <v>637</v>
      </c>
      <c r="H25" s="7" t="n">
        <v>17199</v>
      </c>
      <c r="I25" s="6" t="n">
        <v>-4</v>
      </c>
      <c r="J25" s="7" t="n">
        <v>-108</v>
      </c>
      <c r="K25" s="10" t="inlineStr">
        <is>
          <t>🔸 CONSUMO MAYOR (Uso de remanente)</t>
        </is>
      </c>
      <c r="L25" s="9" t="inlineStr">
        <is>
          <t>Consumo mayor amparado por remanente previo (-4.00 Lts)</t>
        </is>
      </c>
    </row>
    <row r="26">
      <c r="A26" s="4" t="inlineStr">
        <is>
          <t>Semana 28</t>
        </is>
      </c>
      <c r="B26" s="5" t="inlineStr">
        <is>
          <t>Vicente Lombardo</t>
        </is>
      </c>
      <c r="C26" s="6" t="n">
        <v>95</v>
      </c>
      <c r="D26" s="7" t="n">
        <v>2565</v>
      </c>
      <c r="E26" s="6" t="n">
        <v>0</v>
      </c>
      <c r="F26" s="7" t="n">
        <v>0</v>
      </c>
      <c r="G26" s="6" t="n">
        <v>0</v>
      </c>
      <c r="H26" s="7" t="n">
        <v>0</v>
      </c>
      <c r="I26" s="6" t="n">
        <v>0</v>
      </c>
      <c r="J26" s="7" t="n">
        <v>0</v>
      </c>
      <c r="K26" s="10" t="inlineStr">
        <is>
          <t>🔸 CONSUMO MAYOR (Uso de remanente)</t>
        </is>
      </c>
      <c r="L26" s="9" t="inlineStr">
        <is>
          <t>Consumo mayor amparado por remanente previo (0.00 Lts)</t>
        </is>
      </c>
    </row>
    <row r="27">
      <c r="A27" s="11" t="inlineStr">
        <is>
          <t>SUBTOTAL SEMANA 28</t>
        </is>
      </c>
      <c r="B27" s="11" t="inlineStr"/>
      <c r="C27" s="12">
        <f>SUM(C17:C26)</f>
        <v/>
      </c>
      <c r="D27" s="13">
        <f>SUM(D17:D26)</f>
        <v/>
      </c>
      <c r="E27" s="12">
        <f>SUM(E17:E26)</f>
        <v/>
      </c>
      <c r="F27" s="13">
        <f>SUM(F17:F26)</f>
        <v/>
      </c>
      <c r="G27" s="12">
        <f>SUM(G17:G26)</f>
        <v/>
      </c>
      <c r="H27" s="13">
        <f>SUM(H17:H26)</f>
        <v/>
      </c>
      <c r="I27" s="12">
        <f>SUM(I17:I26)</f>
        <v/>
      </c>
      <c r="J27" s="13">
        <f>SUM(J17:J26)</f>
        <v/>
      </c>
      <c r="K27" s="11" t="inlineStr">
        <is>
          <t>SUBTOTAL</t>
        </is>
      </c>
      <c r="L27" s="11" t="inlineStr"/>
    </row>
    <row r="28">
      <c r="A28" s="4" t="inlineStr">
        <is>
          <t>Semana 29</t>
        </is>
      </c>
      <c r="B28" s="5" t="inlineStr">
        <is>
          <t>Alfredo del Mazo</t>
        </is>
      </c>
      <c r="C28" s="6" t="n">
        <v>2190</v>
      </c>
      <c r="D28" s="7" t="n">
        <v>59130</v>
      </c>
      <c r="E28" s="6" t="n">
        <v>2589</v>
      </c>
      <c r="F28" s="7" t="n">
        <v>69903</v>
      </c>
      <c r="G28" s="6" t="n">
        <v>2576</v>
      </c>
      <c r="H28" s="7" t="n">
        <v>69552</v>
      </c>
      <c r="I28" s="6" t="n">
        <v>13</v>
      </c>
      <c r="J28" s="7" t="n">
        <v>351</v>
      </c>
      <c r="K28" s="8" t="inlineStr">
        <is>
          <t>🔹 FACTURADO MAYOR (Stock en frente)</t>
        </is>
      </c>
      <c r="L28" s="9" t="inlineStr">
        <is>
          <t>Ajuste a favor de facturación (+13.00 Lts en reserva)</t>
        </is>
      </c>
    </row>
    <row r="29">
      <c r="A29" s="4" t="inlineStr">
        <is>
          <t>Semana 29</t>
        </is>
      </c>
      <c r="B29" s="5" t="inlineStr">
        <is>
          <t>Bacheo Toluca</t>
        </is>
      </c>
      <c r="C29" s="6" t="n">
        <v>0</v>
      </c>
      <c r="D29" s="7" t="n">
        <v>0</v>
      </c>
      <c r="E29" s="6" t="n">
        <v>1415</v>
      </c>
      <c r="F29" s="7" t="n">
        <v>38205</v>
      </c>
      <c r="G29" s="6" t="n">
        <v>1410</v>
      </c>
      <c r="H29" s="7" t="n">
        <v>38070</v>
      </c>
      <c r="I29" s="6" t="n">
        <v>5</v>
      </c>
      <c r="J29" s="7" t="n">
        <v>135</v>
      </c>
      <c r="K29" s="8" t="inlineStr">
        <is>
          <t>🔹 FACTURADO MAYOR (Stock en frente)</t>
        </is>
      </c>
      <c r="L29" s="9" t="inlineStr">
        <is>
          <t>Ajuste a favor de facturación (+5.00 Lts en reserva)</t>
        </is>
      </c>
    </row>
    <row r="30">
      <c r="A30" s="4" t="inlineStr">
        <is>
          <t>Semana 29</t>
        </is>
      </c>
      <c r="B30" s="5" t="inlineStr">
        <is>
          <t>Colegio Militar</t>
        </is>
      </c>
      <c r="C30" s="6" t="n">
        <v>1668</v>
      </c>
      <c r="D30" s="7" t="n">
        <v>45036</v>
      </c>
      <c r="E30" s="6" t="n">
        <v>1000</v>
      </c>
      <c r="F30" s="7" t="n">
        <v>27000</v>
      </c>
      <c r="G30" s="6" t="n">
        <v>995</v>
      </c>
      <c r="H30" s="7" t="n">
        <v>26865</v>
      </c>
      <c r="I30" s="6" t="n">
        <v>5</v>
      </c>
      <c r="J30" s="7" t="n">
        <v>135</v>
      </c>
      <c r="K30" s="8" t="inlineStr">
        <is>
          <t>🔹 FACTURADO MAYOR (Stock en frente)</t>
        </is>
      </c>
      <c r="L30" s="9" t="inlineStr">
        <is>
          <t>Ajuste a favor de facturación (+5.00 Lts en reserva)</t>
        </is>
      </c>
    </row>
    <row r="31">
      <c r="A31" s="4" t="inlineStr">
        <is>
          <t>Semana 29</t>
        </is>
      </c>
      <c r="B31" s="5" t="inlineStr">
        <is>
          <t>Desasolve</t>
        </is>
      </c>
      <c r="C31" s="6" t="n">
        <v>975</v>
      </c>
      <c r="D31" s="7" t="n">
        <v>26325</v>
      </c>
      <c r="E31" s="6" t="n">
        <v>1385</v>
      </c>
      <c r="F31" s="7" t="n">
        <v>37395</v>
      </c>
      <c r="G31" s="6" t="n">
        <v>1376</v>
      </c>
      <c r="H31" s="7" t="n">
        <v>37152</v>
      </c>
      <c r="I31" s="6" t="n">
        <v>9</v>
      </c>
      <c r="J31" s="7" t="n">
        <v>243</v>
      </c>
      <c r="K31" s="8" t="inlineStr">
        <is>
          <t>🔹 FACTURADO MAYOR (Stock en frente)</t>
        </is>
      </c>
      <c r="L31" s="9" t="inlineStr">
        <is>
          <t>Ajuste a favor de facturación (+9.00 Lts en reserva)</t>
        </is>
      </c>
    </row>
    <row r="32">
      <c r="A32" s="4" t="inlineStr">
        <is>
          <t>Semana 29</t>
        </is>
      </c>
      <c r="B32" s="5" t="inlineStr">
        <is>
          <t>Lerma - Tres Marías</t>
        </is>
      </c>
      <c r="C32" s="6" t="n">
        <v>1000</v>
      </c>
      <c r="D32" s="7" t="n">
        <v>27000</v>
      </c>
      <c r="E32" s="6" t="n">
        <v>1659.42</v>
      </c>
      <c r="F32" s="7" t="n">
        <v>44804.34</v>
      </c>
      <c r="G32" s="6" t="n">
        <v>1651.42</v>
      </c>
      <c r="H32" s="7" t="n">
        <v>44588.34</v>
      </c>
      <c r="I32" s="6" t="n">
        <v>8</v>
      </c>
      <c r="J32" s="7" t="n">
        <v>216</v>
      </c>
      <c r="K32" s="8" t="inlineStr">
        <is>
          <t>🔹 FACTURADO MAYOR (Stock en frente)</t>
        </is>
      </c>
      <c r="L32" s="9" t="inlineStr">
        <is>
          <t>Ajuste a favor de facturación (+8.00 Lts en reserva)</t>
        </is>
      </c>
    </row>
    <row r="33">
      <c r="A33" s="4" t="inlineStr">
        <is>
          <t>Semana 29</t>
        </is>
      </c>
      <c r="B33" s="5" t="inlineStr">
        <is>
          <t>México - Toluca</t>
        </is>
      </c>
      <c r="C33" s="6" t="n">
        <v>2300</v>
      </c>
      <c r="D33" s="7" t="n">
        <v>62100</v>
      </c>
      <c r="E33" s="6" t="n">
        <v>2299.77</v>
      </c>
      <c r="F33" s="7" t="n">
        <v>62093.79</v>
      </c>
      <c r="G33" s="6" t="n">
        <v>2295.77</v>
      </c>
      <c r="H33" s="7" t="n">
        <v>61985.79</v>
      </c>
      <c r="I33" s="6" t="n">
        <v>4</v>
      </c>
      <c r="J33" s="7" t="n">
        <v>108</v>
      </c>
      <c r="K33" s="8" t="inlineStr">
        <is>
          <t>🔹 FACTURADO MAYOR (Stock en frente)</t>
        </is>
      </c>
      <c r="L33" s="9" t="inlineStr">
        <is>
          <t>Ajuste a favor de facturación (+4.00 Lts en reserva)</t>
        </is>
      </c>
    </row>
    <row r="34">
      <c r="A34" s="4" t="inlineStr">
        <is>
          <t>Semana 29</t>
        </is>
      </c>
      <c r="B34" s="5" t="inlineStr">
        <is>
          <t>Planta Huixquilucan</t>
        </is>
      </c>
      <c r="C34" s="6" t="n">
        <v>600</v>
      </c>
      <c r="D34" s="7" t="n">
        <v>16200</v>
      </c>
      <c r="E34" s="6" t="n">
        <v>1400.02</v>
      </c>
      <c r="F34" s="7" t="n">
        <v>37800.54</v>
      </c>
      <c r="G34" s="6" t="n">
        <v>1392.02</v>
      </c>
      <c r="H34" s="7" t="n">
        <v>37584.54</v>
      </c>
      <c r="I34" s="6" t="n">
        <v>8</v>
      </c>
      <c r="J34" s="7" t="n">
        <v>216</v>
      </c>
      <c r="K34" s="8" t="inlineStr">
        <is>
          <t>🔹 FACTURADO MAYOR (Stock en frente)</t>
        </is>
      </c>
      <c r="L34" s="9" t="inlineStr">
        <is>
          <t>Ajuste a favor de facturación (+8.00 Lts en reserva)</t>
        </is>
      </c>
    </row>
    <row r="35">
      <c r="A35" s="4" t="inlineStr">
        <is>
          <t>Semana 29</t>
        </is>
      </c>
      <c r="B35" s="5" t="inlineStr">
        <is>
          <t>Planta Pegaso</t>
        </is>
      </c>
      <c r="C35" s="6" t="n">
        <v>1600</v>
      </c>
      <c r="D35" s="7" t="n">
        <v>43200</v>
      </c>
      <c r="E35" s="6" t="n">
        <v>1600</v>
      </c>
      <c r="F35" s="7" t="n">
        <v>43200</v>
      </c>
      <c r="G35" s="6" t="n">
        <v>1589</v>
      </c>
      <c r="H35" s="7" t="n">
        <v>42903</v>
      </c>
      <c r="I35" s="6" t="n">
        <v>11</v>
      </c>
      <c r="J35" s="7" t="n">
        <v>297</v>
      </c>
      <c r="K35" s="8" t="inlineStr">
        <is>
          <t>🔹 FACTURADO MAYOR (Stock en frente)</t>
        </is>
      </c>
      <c r="L35" s="9" t="inlineStr">
        <is>
          <t>Ajuste a favor de facturación (+11.00 Lts en reserva)</t>
        </is>
      </c>
    </row>
    <row r="36">
      <c r="A36" s="4" t="inlineStr">
        <is>
          <t>Semana 29</t>
        </is>
      </c>
      <c r="B36" s="5" t="inlineStr">
        <is>
          <t>Providencia</t>
        </is>
      </c>
      <c r="C36" s="6" t="n">
        <v>1000</v>
      </c>
      <c r="D36" s="7" t="n">
        <v>27000</v>
      </c>
      <c r="E36" s="6" t="n">
        <v>600</v>
      </c>
      <c r="F36" s="7" t="n">
        <v>16200</v>
      </c>
      <c r="G36" s="6" t="n">
        <v>594</v>
      </c>
      <c r="H36" s="7" t="n">
        <v>16038</v>
      </c>
      <c r="I36" s="6" t="n">
        <v>6</v>
      </c>
      <c r="J36" s="7" t="n">
        <v>162</v>
      </c>
      <c r="K36" s="8" t="inlineStr">
        <is>
          <t>🔹 FACTURADO MAYOR (Stock en frente)</t>
        </is>
      </c>
      <c r="L36" s="9" t="inlineStr">
        <is>
          <t>Ajuste a favor de facturación (+6.00 Lts en reserva)</t>
        </is>
      </c>
    </row>
    <row r="37">
      <c r="A37" s="4" t="inlineStr">
        <is>
          <t>Semana 29</t>
        </is>
      </c>
      <c r="B37" s="5" t="inlineStr">
        <is>
          <t>Vicente Lombardo</t>
        </is>
      </c>
      <c r="C37" s="6" t="n">
        <v>975</v>
      </c>
      <c r="D37" s="7" t="n">
        <v>26325</v>
      </c>
      <c r="E37" s="6" t="n">
        <v>0</v>
      </c>
      <c r="F37" s="7" t="n">
        <v>0</v>
      </c>
      <c r="G37" s="6" t="n">
        <v>0</v>
      </c>
      <c r="H37" s="7" t="n">
        <v>0</v>
      </c>
      <c r="I37" s="6" t="n">
        <v>0</v>
      </c>
      <c r="J37" s="7" t="n">
        <v>0</v>
      </c>
      <c r="K37" s="10" t="inlineStr">
        <is>
          <t>🔸 CONSUMO MAYOR (Uso de remanente)</t>
        </is>
      </c>
      <c r="L37" s="9" t="inlineStr">
        <is>
          <t>Consumo mayor amparado por remanente previo (0.00 Lts)</t>
        </is>
      </c>
    </row>
    <row r="38">
      <c r="A38" s="11" t="inlineStr">
        <is>
          <t>SUBTOTAL SEMANA 29</t>
        </is>
      </c>
      <c r="B38" s="11" t="inlineStr"/>
      <c r="C38" s="12">
        <f>SUM(C28:C37)</f>
        <v/>
      </c>
      <c r="D38" s="13">
        <f>SUM(D28:D37)</f>
        <v/>
      </c>
      <c r="E38" s="12">
        <f>SUM(E28:E37)</f>
        <v/>
      </c>
      <c r="F38" s="13">
        <f>SUM(F28:F37)</f>
        <v/>
      </c>
      <c r="G38" s="12">
        <f>SUM(G28:G37)</f>
        <v/>
      </c>
      <c r="H38" s="13">
        <f>SUM(H28:H37)</f>
        <v/>
      </c>
      <c r="I38" s="12">
        <f>SUM(I28:I37)</f>
        <v/>
      </c>
      <c r="J38" s="13">
        <f>SUM(J28:J37)</f>
        <v/>
      </c>
      <c r="K38" s="11" t="inlineStr">
        <is>
          <t>SUBTOTAL</t>
        </is>
      </c>
      <c r="L38" s="11" t="inlineStr"/>
    </row>
    <row r="39">
      <c r="A39" s="4" t="inlineStr">
        <is>
          <t>Semana 30</t>
        </is>
      </c>
      <c r="B39" s="5" t="inlineStr">
        <is>
          <t>Alfredo del Mazo</t>
        </is>
      </c>
      <c r="C39" s="6" t="n">
        <v>3250</v>
      </c>
      <c r="D39" s="7" t="n">
        <v>87750</v>
      </c>
      <c r="E39" s="6" t="n">
        <v>3250.04</v>
      </c>
      <c r="F39" s="7" t="n">
        <v>87751.08</v>
      </c>
      <c r="G39" s="6" t="n">
        <v>3263.04</v>
      </c>
      <c r="H39" s="7" t="n">
        <v>88102.08</v>
      </c>
      <c r="I39" s="6" t="n">
        <v>-13</v>
      </c>
      <c r="J39" s="7" t="n">
        <v>-351</v>
      </c>
      <c r="K39" s="10" t="inlineStr">
        <is>
          <t>🔸 CONSUMO MAYOR (Uso de remanente)</t>
        </is>
      </c>
      <c r="L39" s="9" t="inlineStr">
        <is>
          <t>Consumo mayor amparado por remanente previo (-13.00 Lts)</t>
        </is>
      </c>
    </row>
    <row r="40">
      <c r="A40" s="4" t="inlineStr">
        <is>
          <t>Semana 30</t>
        </is>
      </c>
      <c r="B40" s="5" t="inlineStr">
        <is>
          <t>Bacheo Toluca</t>
        </is>
      </c>
      <c r="C40" s="6" t="n">
        <v>715</v>
      </c>
      <c r="D40" s="7" t="n">
        <v>19305</v>
      </c>
      <c r="E40" s="6" t="n">
        <v>770</v>
      </c>
      <c r="F40" s="7" t="n">
        <v>20790</v>
      </c>
      <c r="G40" s="6" t="n">
        <v>776</v>
      </c>
      <c r="H40" s="7" t="n">
        <v>20952</v>
      </c>
      <c r="I40" s="6" t="n">
        <v>-6</v>
      </c>
      <c r="J40" s="7" t="n">
        <v>-162</v>
      </c>
      <c r="K40" s="10" t="inlineStr">
        <is>
          <t>🔸 CONSUMO MAYOR (Uso de remanente)</t>
        </is>
      </c>
      <c r="L40" s="9" t="inlineStr">
        <is>
          <t>Consumo mayor amparado por remanente previo (-6.00 Lts)</t>
        </is>
      </c>
    </row>
    <row r="41">
      <c r="A41" s="4" t="inlineStr">
        <is>
          <t>Semana 30</t>
        </is>
      </c>
      <c r="B41" s="5" t="inlineStr">
        <is>
          <t>Desasolve</t>
        </is>
      </c>
      <c r="C41" s="6" t="n">
        <v>3747</v>
      </c>
      <c r="D41" s="7" t="n">
        <v>101169</v>
      </c>
      <c r="E41" s="6" t="n">
        <v>2912</v>
      </c>
      <c r="F41" s="7" t="n">
        <v>78624</v>
      </c>
      <c r="G41" s="6" t="n">
        <v>2920</v>
      </c>
      <c r="H41" s="7" t="n">
        <v>78840</v>
      </c>
      <c r="I41" s="6" t="n">
        <v>-8</v>
      </c>
      <c r="J41" s="7" t="n">
        <v>-216</v>
      </c>
      <c r="K41" s="10" t="inlineStr">
        <is>
          <t>🔸 CONSUMO MAYOR (Uso de remanente)</t>
        </is>
      </c>
      <c r="L41" s="9" t="inlineStr">
        <is>
          <t>Consumo mayor amparado por remanente previo (-8.00 Lts)</t>
        </is>
      </c>
    </row>
    <row r="42">
      <c r="A42" s="4" t="inlineStr">
        <is>
          <t>Semana 30</t>
        </is>
      </c>
      <c r="B42" s="5" t="inlineStr">
        <is>
          <t>Lerma - Tres Marías</t>
        </is>
      </c>
      <c r="C42" s="6" t="n">
        <v>545</v>
      </c>
      <c r="D42" s="7" t="n">
        <v>14715</v>
      </c>
      <c r="E42" s="6" t="n">
        <v>545</v>
      </c>
      <c r="F42" s="7" t="n">
        <v>14715</v>
      </c>
      <c r="G42" s="6" t="n">
        <v>554</v>
      </c>
      <c r="H42" s="7" t="n">
        <v>14958</v>
      </c>
      <c r="I42" s="6" t="n">
        <v>-9</v>
      </c>
      <c r="J42" s="7" t="n">
        <v>-243</v>
      </c>
      <c r="K42" s="10" t="inlineStr">
        <is>
          <t>🔸 CONSUMO MAYOR (Uso de remanente)</t>
        </is>
      </c>
      <c r="L42" s="9" t="inlineStr">
        <is>
          <t>Consumo mayor amparado por remanente previo (-9.00 Lts)</t>
        </is>
      </c>
    </row>
    <row r="43">
      <c r="A43" s="4" t="inlineStr">
        <is>
          <t>Semana 30</t>
        </is>
      </c>
      <c r="B43" s="5" t="inlineStr">
        <is>
          <t>México - Toluca</t>
        </is>
      </c>
      <c r="C43" s="6" t="n">
        <v>2870</v>
      </c>
      <c r="D43" s="7" t="n">
        <v>77490</v>
      </c>
      <c r="E43" s="6" t="n">
        <v>2870.18</v>
      </c>
      <c r="F43" s="7" t="n">
        <v>77494.86000000002</v>
      </c>
      <c r="G43" s="6" t="n">
        <v>2876.18</v>
      </c>
      <c r="H43" s="7" t="n">
        <v>77656.86</v>
      </c>
      <c r="I43" s="6" t="n">
        <v>-5.999999999999545</v>
      </c>
      <c r="J43" s="7" t="n">
        <v>-161.9999999999877</v>
      </c>
      <c r="K43" s="10" t="inlineStr">
        <is>
          <t>🔸 CONSUMO MAYOR (Uso de remanente)</t>
        </is>
      </c>
      <c r="L43" s="9" t="inlineStr">
        <is>
          <t>Consumo mayor amparado por remanente previo (-6.00 Lts)</t>
        </is>
      </c>
    </row>
    <row r="44">
      <c r="A44" s="4" t="inlineStr">
        <is>
          <t>Semana 30</t>
        </is>
      </c>
      <c r="B44" s="5" t="inlineStr">
        <is>
          <t>Planta Huixquilucan</t>
        </is>
      </c>
      <c r="C44" s="6" t="n">
        <v>2350</v>
      </c>
      <c r="D44" s="7" t="n">
        <v>63450</v>
      </c>
      <c r="E44" s="6" t="n">
        <v>2350</v>
      </c>
      <c r="F44" s="7" t="n">
        <v>63450</v>
      </c>
      <c r="G44" s="6" t="n">
        <v>2358</v>
      </c>
      <c r="H44" s="7" t="n">
        <v>63666</v>
      </c>
      <c r="I44" s="6" t="n">
        <v>-8</v>
      </c>
      <c r="J44" s="7" t="n">
        <v>-216</v>
      </c>
      <c r="K44" s="10" t="inlineStr">
        <is>
          <t>🔸 CONSUMO MAYOR (Uso de remanente)</t>
        </is>
      </c>
      <c r="L44" s="9" t="inlineStr">
        <is>
          <t>Consumo mayor amparado por remanente previo (-8.00 Lts)</t>
        </is>
      </c>
    </row>
    <row r="45">
      <c r="A45" s="4" t="inlineStr">
        <is>
          <t>Semana 30</t>
        </is>
      </c>
      <c r="B45" s="5" t="inlineStr">
        <is>
          <t>Planta Pegaso</t>
        </is>
      </c>
      <c r="C45" s="6" t="n">
        <v>1600</v>
      </c>
      <c r="D45" s="7" t="n">
        <v>43200</v>
      </c>
      <c r="E45" s="6" t="n">
        <v>1600</v>
      </c>
      <c r="F45" s="7" t="n">
        <v>43200</v>
      </c>
      <c r="G45" s="6" t="n">
        <v>1608</v>
      </c>
      <c r="H45" s="7" t="n">
        <v>43416</v>
      </c>
      <c r="I45" s="6" t="n">
        <v>-8</v>
      </c>
      <c r="J45" s="7" t="n">
        <v>-216</v>
      </c>
      <c r="K45" s="10" t="inlineStr">
        <is>
          <t>🔸 CONSUMO MAYOR (Uso de remanente)</t>
        </is>
      </c>
      <c r="L45" s="9" t="inlineStr">
        <is>
          <t>Consumo mayor amparado por remanente previo (-8.00 Lts)</t>
        </is>
      </c>
    </row>
    <row r="46">
      <c r="A46" s="4" t="inlineStr">
        <is>
          <t>Semana 30</t>
        </is>
      </c>
      <c r="B46" s="5" t="inlineStr">
        <is>
          <t>Providencia</t>
        </is>
      </c>
      <c r="C46" s="6" t="n">
        <v>455</v>
      </c>
      <c r="D46" s="7" t="n">
        <v>12285</v>
      </c>
      <c r="E46" s="6" t="n">
        <v>455</v>
      </c>
      <c r="F46" s="7" t="n">
        <v>12285</v>
      </c>
      <c r="G46" s="6" t="n">
        <v>460</v>
      </c>
      <c r="H46" s="7" t="n">
        <v>12420</v>
      </c>
      <c r="I46" s="6" t="n">
        <v>-5</v>
      </c>
      <c r="J46" s="7" t="n">
        <v>-135</v>
      </c>
      <c r="K46" s="10" t="inlineStr">
        <is>
          <t>🔸 CONSUMO MAYOR (Uso de remanente)</t>
        </is>
      </c>
      <c r="L46" s="9" t="inlineStr">
        <is>
          <t>Consumo mayor amparado por remanente previo (-5.00 Lts)</t>
        </is>
      </c>
    </row>
    <row r="47">
      <c r="A47" s="11" t="inlineStr">
        <is>
          <t>SUBTOTAL SEMANA 30</t>
        </is>
      </c>
      <c r="B47" s="11" t="inlineStr"/>
      <c r="C47" s="12">
        <f>SUM(C39:C46)</f>
        <v/>
      </c>
      <c r="D47" s="13">
        <f>SUM(D39:D46)</f>
        <v/>
      </c>
      <c r="E47" s="12">
        <f>SUM(E39:E46)</f>
        <v/>
      </c>
      <c r="F47" s="13">
        <f>SUM(F39:F46)</f>
        <v/>
      </c>
      <c r="G47" s="12">
        <f>SUM(G39:G46)</f>
        <v/>
      </c>
      <c r="H47" s="13">
        <f>SUM(H39:H46)</f>
        <v/>
      </c>
      <c r="I47" s="12">
        <f>SUM(I39:I46)</f>
        <v/>
      </c>
      <c r="J47" s="13">
        <f>SUM(J39:J46)</f>
        <v/>
      </c>
      <c r="K47" s="11" t="inlineStr">
        <is>
          <t>SUBTOTAL</t>
        </is>
      </c>
      <c r="L47" s="11" t="inlineStr"/>
    </row>
    <row r="48">
      <c r="A48" s="4" t="inlineStr">
        <is>
          <t>Semana 31</t>
        </is>
      </c>
      <c r="B48" s="5" t="inlineStr">
        <is>
          <t>Alfredo del Mazo</t>
        </is>
      </c>
      <c r="C48" s="6" t="n">
        <v>2360</v>
      </c>
      <c r="D48" s="7" t="n">
        <v>63720</v>
      </c>
      <c r="E48" s="6" t="n">
        <v>1400.62</v>
      </c>
      <c r="F48" s="7" t="n">
        <v>37816.74</v>
      </c>
      <c r="G48" s="6" t="n">
        <v>1388.62</v>
      </c>
      <c r="H48" s="7" t="n">
        <v>37492.74</v>
      </c>
      <c r="I48" s="6" t="n">
        <v>12</v>
      </c>
      <c r="J48" s="7" t="n">
        <v>324</v>
      </c>
      <c r="K48" s="8" t="inlineStr">
        <is>
          <t>🔹 FACTURADO MAYOR (Stock en frente)</t>
        </is>
      </c>
      <c r="L48" s="9" t="inlineStr">
        <is>
          <t>Ajuste a favor de facturación (+12.00 Lts en reserva)</t>
        </is>
      </c>
    </row>
    <row r="49">
      <c r="A49" s="4" t="inlineStr">
        <is>
          <t>Semana 31</t>
        </is>
      </c>
      <c r="B49" s="5" t="inlineStr">
        <is>
          <t>Bacheo Toluca</t>
        </is>
      </c>
      <c r="C49" s="6" t="n">
        <v>115</v>
      </c>
      <c r="D49" s="7" t="n">
        <v>3105</v>
      </c>
      <c r="E49" s="6" t="n">
        <v>115</v>
      </c>
      <c r="F49" s="7" t="n">
        <v>3105</v>
      </c>
      <c r="G49" s="6" t="n">
        <v>106</v>
      </c>
      <c r="H49" s="7" t="n">
        <v>2862</v>
      </c>
      <c r="I49" s="6" t="n">
        <v>9</v>
      </c>
      <c r="J49" s="7" t="n">
        <v>243</v>
      </c>
      <c r="K49" s="8" t="inlineStr">
        <is>
          <t>🔹 FACTURADO MAYOR (Stock en frente)</t>
        </is>
      </c>
      <c r="L49" s="9" t="inlineStr">
        <is>
          <t>Ajuste a favor de facturación (+9.00 Lts en reserva)</t>
        </is>
      </c>
    </row>
    <row r="50">
      <c r="A50" s="4" t="inlineStr">
        <is>
          <t>Semana 31</t>
        </is>
      </c>
      <c r="B50" s="5" t="inlineStr">
        <is>
          <t>Desasolve</t>
        </is>
      </c>
      <c r="C50" s="6" t="n">
        <v>3500</v>
      </c>
      <c r="D50" s="7" t="n">
        <v>94500</v>
      </c>
      <c r="E50" s="6" t="n">
        <v>3500.45</v>
      </c>
      <c r="F50" s="7" t="n">
        <v>94512.14999999999</v>
      </c>
      <c r="G50" s="6" t="n">
        <v>3493.45</v>
      </c>
      <c r="H50" s="7" t="n">
        <v>94323.14999999999</v>
      </c>
      <c r="I50" s="6" t="n">
        <v>7</v>
      </c>
      <c r="J50" s="7" t="n">
        <v>189</v>
      </c>
      <c r="K50" s="8" t="inlineStr">
        <is>
          <t>🔹 FACTURADO MAYOR (Stock en frente)</t>
        </is>
      </c>
      <c r="L50" s="9" t="inlineStr">
        <is>
          <t>Ajuste a favor de facturación (+7.00 Lts en reserva)</t>
        </is>
      </c>
    </row>
    <row r="51">
      <c r="A51" s="4" t="inlineStr">
        <is>
          <t>Semana 31</t>
        </is>
      </c>
      <c r="B51" s="5" t="inlineStr">
        <is>
          <t>Lerma - Tres Marías</t>
        </is>
      </c>
      <c r="C51" s="6" t="n">
        <v>1270</v>
      </c>
      <c r="D51" s="7" t="n">
        <v>34290</v>
      </c>
      <c r="E51" s="6" t="n">
        <v>1269.78</v>
      </c>
      <c r="F51" s="7" t="n">
        <v>34284.06</v>
      </c>
      <c r="G51" s="6" t="n">
        <v>1259.78</v>
      </c>
      <c r="H51" s="7" t="n">
        <v>34014.06</v>
      </c>
      <c r="I51" s="6" t="n">
        <v>10</v>
      </c>
      <c r="J51" s="7" t="n">
        <v>270</v>
      </c>
      <c r="K51" s="8" t="inlineStr">
        <is>
          <t>🔹 FACTURADO MAYOR (Stock en frente)</t>
        </is>
      </c>
      <c r="L51" s="9" t="inlineStr">
        <is>
          <t>Ajuste a favor de facturación (+10.00 Lts en reserva)</t>
        </is>
      </c>
    </row>
    <row r="52">
      <c r="A52" s="4" t="inlineStr">
        <is>
          <t>Semana 31</t>
        </is>
      </c>
      <c r="B52" s="5" t="inlineStr">
        <is>
          <t>México - Toluca</t>
        </is>
      </c>
      <c r="C52" s="6" t="n">
        <v>3010</v>
      </c>
      <c r="D52" s="7" t="n">
        <v>81270</v>
      </c>
      <c r="E52" s="6" t="n">
        <v>3009.71</v>
      </c>
      <c r="F52" s="7" t="n">
        <v>81262.17</v>
      </c>
      <c r="G52" s="6" t="n">
        <v>2997.71</v>
      </c>
      <c r="H52" s="7" t="n">
        <v>80938.17</v>
      </c>
      <c r="I52" s="6" t="n">
        <v>12</v>
      </c>
      <c r="J52" s="7" t="n">
        <v>324</v>
      </c>
      <c r="K52" s="8" t="inlineStr">
        <is>
          <t>🔹 FACTURADO MAYOR (Stock en frente)</t>
        </is>
      </c>
      <c r="L52" s="9" t="inlineStr">
        <is>
          <t>Ajuste a favor de facturación (+12.00 Lts en reserva)</t>
        </is>
      </c>
    </row>
    <row r="53">
      <c r="A53" s="4" t="inlineStr">
        <is>
          <t>Semana 31</t>
        </is>
      </c>
      <c r="B53" s="5" t="inlineStr">
        <is>
          <t>Planta Huixquilucan</t>
        </is>
      </c>
      <c r="C53" s="6" t="n">
        <v>2245</v>
      </c>
      <c r="D53" s="7" t="n">
        <v>60615</v>
      </c>
      <c r="E53" s="6" t="n">
        <v>2645.02</v>
      </c>
      <c r="F53" s="7" t="n">
        <v>71415.53999999999</v>
      </c>
      <c r="G53" s="6" t="n">
        <v>2640.02</v>
      </c>
      <c r="H53" s="7" t="n">
        <v>71280.53999999999</v>
      </c>
      <c r="I53" s="6" t="n">
        <v>5</v>
      </c>
      <c r="J53" s="7" t="n">
        <v>135</v>
      </c>
      <c r="K53" s="8" t="inlineStr">
        <is>
          <t>🔹 FACTURADO MAYOR (Stock en frente)</t>
        </is>
      </c>
      <c r="L53" s="9" t="inlineStr">
        <is>
          <t>Ajuste a favor de facturación (+5.00 Lts en reserva)</t>
        </is>
      </c>
    </row>
    <row r="54">
      <c r="A54" s="4" t="inlineStr">
        <is>
          <t>Semana 31</t>
        </is>
      </c>
      <c r="B54" s="5" t="inlineStr">
        <is>
          <t>Planta Pegaso</t>
        </is>
      </c>
      <c r="C54" s="6" t="n">
        <v>1600</v>
      </c>
      <c r="D54" s="7" t="n">
        <v>43200</v>
      </c>
      <c r="E54" s="6" t="n">
        <v>1598.51</v>
      </c>
      <c r="F54" s="7" t="n">
        <v>43159.77</v>
      </c>
      <c r="G54" s="6" t="n">
        <v>1588.51</v>
      </c>
      <c r="H54" s="7" t="n">
        <v>42889.77</v>
      </c>
      <c r="I54" s="6" t="n">
        <v>10</v>
      </c>
      <c r="J54" s="7" t="n">
        <v>270</v>
      </c>
      <c r="K54" s="8" t="inlineStr">
        <is>
          <t>🔹 FACTURADO MAYOR (Stock en frente)</t>
        </is>
      </c>
      <c r="L54" s="9" t="inlineStr">
        <is>
          <t>Ajuste a favor de facturación (+10.00 Lts en reserva)</t>
        </is>
      </c>
    </row>
    <row r="55">
      <c r="A55" s="4" t="inlineStr">
        <is>
          <t>Semana 31</t>
        </is>
      </c>
      <c r="B55" s="5" t="inlineStr">
        <is>
          <t>Providencia</t>
        </is>
      </c>
      <c r="C55" s="6" t="n">
        <v>310</v>
      </c>
      <c r="D55" s="7" t="n">
        <v>8370</v>
      </c>
      <c r="E55" s="6" t="n">
        <v>310</v>
      </c>
      <c r="F55" s="7" t="n">
        <v>8370</v>
      </c>
      <c r="G55" s="6" t="n">
        <v>302</v>
      </c>
      <c r="H55" s="7" t="n">
        <v>8154</v>
      </c>
      <c r="I55" s="6" t="n">
        <v>8</v>
      </c>
      <c r="J55" s="7" t="n">
        <v>216</v>
      </c>
      <c r="K55" s="8" t="inlineStr">
        <is>
          <t>🔹 FACTURADO MAYOR (Stock en frente)</t>
        </is>
      </c>
      <c r="L55" s="9" t="inlineStr">
        <is>
          <t>Ajuste a favor de facturación (+8.00 Lts en reserva)</t>
        </is>
      </c>
    </row>
    <row r="56">
      <c r="A56" s="11" t="inlineStr">
        <is>
          <t>SUBTOTAL SEMANA 31</t>
        </is>
      </c>
      <c r="B56" s="11" t="inlineStr"/>
      <c r="C56" s="12">
        <f>SUM(C48:C55)</f>
        <v/>
      </c>
      <c r="D56" s="13">
        <f>SUM(D48:D55)</f>
        <v/>
      </c>
      <c r="E56" s="12">
        <f>SUM(E48:E55)</f>
        <v/>
      </c>
      <c r="F56" s="13">
        <f>SUM(F48:F55)</f>
        <v/>
      </c>
      <c r="G56" s="12">
        <f>SUM(G48:G55)</f>
        <v/>
      </c>
      <c r="H56" s="13">
        <f>SUM(H48:H55)</f>
        <v/>
      </c>
      <c r="I56" s="12">
        <f>SUM(I48:I55)</f>
        <v/>
      </c>
      <c r="J56" s="13">
        <f>SUM(J48:J55)</f>
        <v/>
      </c>
      <c r="K56" s="11" t="inlineStr">
        <is>
          <t>SUBTOTAL</t>
        </is>
      </c>
      <c r="L56" s="11" t="inlineStr"/>
    </row>
    <row r="57">
      <c r="A57" s="4" t="inlineStr">
        <is>
          <t>Semana 32</t>
        </is>
      </c>
      <c r="B57" s="5" t="inlineStr">
        <is>
          <t>Alfredo del Mazo</t>
        </is>
      </c>
      <c r="C57" s="6" t="n">
        <v>850</v>
      </c>
      <c r="D57" s="7" t="n">
        <v>22950</v>
      </c>
      <c r="E57" s="6" t="n">
        <v>850</v>
      </c>
      <c r="F57" s="7" t="n">
        <v>22950</v>
      </c>
      <c r="G57" s="6" t="n">
        <v>863</v>
      </c>
      <c r="H57" s="7" t="n">
        <v>23301</v>
      </c>
      <c r="I57" s="6" t="n">
        <v>-13</v>
      </c>
      <c r="J57" s="7" t="n">
        <v>-351</v>
      </c>
      <c r="K57" s="10" t="inlineStr">
        <is>
          <t>🔸 CONSUMO MAYOR (Uso de remanente)</t>
        </is>
      </c>
      <c r="L57" s="9" t="inlineStr">
        <is>
          <t>Consumo mayor amparado por remanente previo (-13.00 Lts)</t>
        </is>
      </c>
    </row>
    <row r="58">
      <c r="A58" s="4" t="inlineStr">
        <is>
          <t>Semana 32</t>
        </is>
      </c>
      <c r="B58" s="5" t="inlineStr">
        <is>
          <t>Aurelio Venegas</t>
        </is>
      </c>
      <c r="C58" s="6" t="n">
        <v>350</v>
      </c>
      <c r="D58" s="7" t="n">
        <v>9450</v>
      </c>
      <c r="E58" s="6" t="n">
        <v>350</v>
      </c>
      <c r="F58" s="7" t="n">
        <v>9450</v>
      </c>
      <c r="G58" s="6" t="n">
        <v>360</v>
      </c>
      <c r="H58" s="7" t="n">
        <v>9720</v>
      </c>
      <c r="I58" s="6" t="n">
        <v>-10</v>
      </c>
      <c r="J58" s="7" t="n">
        <v>-270</v>
      </c>
      <c r="K58" s="10" t="inlineStr">
        <is>
          <t>🔸 CONSUMO MAYOR (Uso de remanente)</t>
        </is>
      </c>
      <c r="L58" s="9" t="inlineStr">
        <is>
          <t>Consumo mayor amparado por remanente previo (-10.00 Lts)</t>
        </is>
      </c>
    </row>
    <row r="59">
      <c r="A59" s="4" t="inlineStr">
        <is>
          <t>Semana 32</t>
        </is>
      </c>
      <c r="B59" s="5" t="inlineStr">
        <is>
          <t>Bacheo Toluca</t>
        </is>
      </c>
      <c r="C59" s="6" t="n">
        <v>165</v>
      </c>
      <c r="D59" s="7" t="n">
        <v>4455</v>
      </c>
      <c r="E59" s="6" t="n">
        <v>165</v>
      </c>
      <c r="F59" s="7" t="n">
        <v>4455</v>
      </c>
      <c r="G59" s="6" t="n">
        <v>175</v>
      </c>
      <c r="H59" s="7" t="n">
        <v>4725</v>
      </c>
      <c r="I59" s="6" t="n">
        <v>-10</v>
      </c>
      <c r="J59" s="7" t="n">
        <v>-270</v>
      </c>
      <c r="K59" s="10" t="inlineStr">
        <is>
          <t>🔸 CONSUMO MAYOR (Uso de remanente)</t>
        </is>
      </c>
      <c r="L59" s="9" t="inlineStr">
        <is>
          <t>Consumo mayor amparado por remanente previo (-10.00 Lts)</t>
        </is>
      </c>
    </row>
    <row r="60">
      <c r="A60" s="4" t="inlineStr">
        <is>
          <t>Semana 32</t>
        </is>
      </c>
      <c r="B60" s="5" t="inlineStr">
        <is>
          <t>Constitución</t>
        </is>
      </c>
      <c r="C60" s="6" t="n">
        <v>675</v>
      </c>
      <c r="D60" s="7" t="n">
        <v>18225</v>
      </c>
      <c r="E60" s="6" t="n">
        <v>675</v>
      </c>
      <c r="F60" s="7" t="n">
        <v>18225</v>
      </c>
      <c r="G60" s="6" t="n">
        <v>680</v>
      </c>
      <c r="H60" s="7" t="n">
        <v>18360</v>
      </c>
      <c r="I60" s="6" t="n">
        <v>-5</v>
      </c>
      <c r="J60" s="7" t="n">
        <v>-135</v>
      </c>
      <c r="K60" s="10" t="inlineStr">
        <is>
          <t>🔸 CONSUMO MAYOR (Uso de remanente)</t>
        </is>
      </c>
      <c r="L60" s="9" t="inlineStr">
        <is>
          <t>Consumo mayor amparado por remanente previo (-5.00 Lts)</t>
        </is>
      </c>
    </row>
    <row r="61">
      <c r="A61" s="4" t="inlineStr">
        <is>
          <t>Semana 32</t>
        </is>
      </c>
      <c r="B61" s="5" t="inlineStr">
        <is>
          <t>Desasolve</t>
        </is>
      </c>
      <c r="C61" s="6" t="n">
        <v>1430</v>
      </c>
      <c r="D61" s="7" t="n">
        <v>38610</v>
      </c>
      <c r="E61" s="6" t="n">
        <v>1430</v>
      </c>
      <c r="F61" s="7" t="n">
        <v>38610</v>
      </c>
      <c r="G61" s="6" t="n">
        <v>1440</v>
      </c>
      <c r="H61" s="7" t="n">
        <v>38880</v>
      </c>
      <c r="I61" s="6" t="n">
        <v>-10</v>
      </c>
      <c r="J61" s="7" t="n">
        <v>-270</v>
      </c>
      <c r="K61" s="10" t="inlineStr">
        <is>
          <t>🔸 CONSUMO MAYOR (Uso de remanente)</t>
        </is>
      </c>
      <c r="L61" s="9" t="inlineStr">
        <is>
          <t>Consumo mayor amparado por remanente previo (-10.00 Lts)</t>
        </is>
      </c>
    </row>
    <row r="62">
      <c r="A62" s="4" t="inlineStr">
        <is>
          <t>Semana 32</t>
        </is>
      </c>
      <c r="B62" s="5" t="inlineStr">
        <is>
          <t>Lerma - Tres Marías</t>
        </is>
      </c>
      <c r="C62" s="6" t="n">
        <v>940</v>
      </c>
      <c r="D62" s="7" t="n">
        <v>25380</v>
      </c>
      <c r="E62" s="6" t="n">
        <v>940</v>
      </c>
      <c r="F62" s="7" t="n">
        <v>25380</v>
      </c>
      <c r="G62" s="6" t="n">
        <v>949</v>
      </c>
      <c r="H62" s="7" t="n">
        <v>25623</v>
      </c>
      <c r="I62" s="6" t="n">
        <v>-9</v>
      </c>
      <c r="J62" s="7" t="n">
        <v>-243</v>
      </c>
      <c r="K62" s="10" t="inlineStr">
        <is>
          <t>🔸 CONSUMO MAYOR (Uso de remanente)</t>
        </is>
      </c>
      <c r="L62" s="9" t="inlineStr">
        <is>
          <t>Consumo mayor amparado por remanente previo (-9.00 Lts)</t>
        </is>
      </c>
    </row>
    <row r="63">
      <c r="A63" s="4" t="inlineStr">
        <is>
          <t>Semana 32</t>
        </is>
      </c>
      <c r="B63" s="5" t="inlineStr">
        <is>
          <t>Maquinaria</t>
        </is>
      </c>
      <c r="C63" s="6" t="n">
        <v>150</v>
      </c>
      <c r="D63" s="7" t="n">
        <v>4050</v>
      </c>
      <c r="E63" s="6" t="n">
        <v>150</v>
      </c>
      <c r="F63" s="7" t="n">
        <v>4050</v>
      </c>
      <c r="G63" s="6" t="n">
        <v>161</v>
      </c>
      <c r="H63" s="7" t="n">
        <v>4347</v>
      </c>
      <c r="I63" s="6" t="n">
        <v>-11</v>
      </c>
      <c r="J63" s="7" t="n">
        <v>-297</v>
      </c>
      <c r="K63" s="10" t="inlineStr">
        <is>
          <t>🔸 CONSUMO MAYOR (Uso de remanente)</t>
        </is>
      </c>
      <c r="L63" s="9" t="inlineStr">
        <is>
          <t>Consumo mayor amparado por remanente previo (-11.00 Lts)</t>
        </is>
      </c>
    </row>
    <row r="64">
      <c r="A64" s="4" t="inlineStr">
        <is>
          <t>Semana 32</t>
        </is>
      </c>
      <c r="B64" s="5" t="inlineStr">
        <is>
          <t>METEPEC</t>
        </is>
      </c>
      <c r="C64" s="6" t="n">
        <v>0</v>
      </c>
      <c r="D64" s="7" t="n">
        <v>0</v>
      </c>
      <c r="E64" s="6" t="n">
        <v>160</v>
      </c>
      <c r="F64" s="7" t="n">
        <v>4320</v>
      </c>
      <c r="G64" s="6" t="n">
        <v>169</v>
      </c>
      <c r="H64" s="7" t="n">
        <v>4563</v>
      </c>
      <c r="I64" s="6" t="n">
        <v>-9</v>
      </c>
      <c r="J64" s="7" t="n">
        <v>-243</v>
      </c>
      <c r="K64" s="10" t="inlineStr">
        <is>
          <t>🔸 CONSUMO MAYOR (Uso de remanente)</t>
        </is>
      </c>
      <c r="L64" s="9" t="inlineStr">
        <is>
          <t>Consumo mayor amparado por remanente previo (-9.00 Lts)</t>
        </is>
      </c>
    </row>
    <row r="65">
      <c r="A65" s="4" t="inlineStr">
        <is>
          <t>Semana 32</t>
        </is>
      </c>
      <c r="B65" s="5" t="inlineStr">
        <is>
          <t>METEPEC ARBOL DE LA VIDA</t>
        </is>
      </c>
      <c r="C65" s="6" t="n">
        <v>0</v>
      </c>
      <c r="D65" s="7" t="n">
        <v>0</v>
      </c>
      <c r="E65" s="6" t="n">
        <v>120</v>
      </c>
      <c r="F65" s="7" t="n">
        <v>3240</v>
      </c>
      <c r="G65" s="6" t="n">
        <v>129</v>
      </c>
      <c r="H65" s="7" t="n">
        <v>3483</v>
      </c>
      <c r="I65" s="6" t="n">
        <v>-9</v>
      </c>
      <c r="J65" s="7" t="n">
        <v>-243</v>
      </c>
      <c r="K65" s="10" t="inlineStr">
        <is>
          <t>🔸 CONSUMO MAYOR (Uso de remanente)</t>
        </is>
      </c>
      <c r="L65" s="9" t="inlineStr">
        <is>
          <t>Consumo mayor amparado por remanente previo (-9.00 Lts)</t>
        </is>
      </c>
    </row>
    <row r="66">
      <c r="A66" s="4" t="inlineStr">
        <is>
          <t>Semana 32</t>
        </is>
      </c>
      <c r="B66" s="5" t="inlineStr">
        <is>
          <t>México - Toluca</t>
        </is>
      </c>
      <c r="C66" s="6" t="n">
        <v>3145</v>
      </c>
      <c r="D66" s="7" t="n">
        <v>84915</v>
      </c>
      <c r="E66" s="6" t="n">
        <v>2745</v>
      </c>
      <c r="F66" s="7" t="n">
        <v>74115</v>
      </c>
      <c r="G66" s="6" t="n">
        <v>2756</v>
      </c>
      <c r="H66" s="7" t="n">
        <v>74412</v>
      </c>
      <c r="I66" s="6" t="n">
        <v>-11</v>
      </c>
      <c r="J66" s="7" t="n">
        <v>-297</v>
      </c>
      <c r="K66" s="10" t="inlineStr">
        <is>
          <t>🔸 CONSUMO MAYOR (Uso de remanente)</t>
        </is>
      </c>
      <c r="L66" s="9" t="inlineStr">
        <is>
          <t>Consumo mayor amparado por remanente previo (-11.00 Lts)</t>
        </is>
      </c>
    </row>
    <row r="67">
      <c r="A67" s="4" t="inlineStr">
        <is>
          <t>Semana 32</t>
        </is>
      </c>
      <c r="B67" s="5" t="inlineStr">
        <is>
          <t>Planta Huixquilucan</t>
        </is>
      </c>
      <c r="C67" s="6" t="n">
        <v>2400</v>
      </c>
      <c r="D67" s="7" t="n">
        <v>64800</v>
      </c>
      <c r="E67" s="6" t="n">
        <v>2450</v>
      </c>
      <c r="F67" s="7" t="n">
        <v>66150</v>
      </c>
      <c r="G67" s="6" t="n">
        <v>2461</v>
      </c>
      <c r="H67" s="7" t="n">
        <v>66447</v>
      </c>
      <c r="I67" s="6" t="n">
        <v>-11</v>
      </c>
      <c r="J67" s="7" t="n">
        <v>-297</v>
      </c>
      <c r="K67" s="10" t="inlineStr">
        <is>
          <t>🔸 CONSUMO MAYOR (Uso de remanente)</t>
        </is>
      </c>
      <c r="L67" s="9" t="inlineStr">
        <is>
          <t>Consumo mayor amparado por remanente previo (-11.00 Lts)</t>
        </is>
      </c>
    </row>
    <row r="68">
      <c r="A68" s="4" t="inlineStr">
        <is>
          <t>Semana 32</t>
        </is>
      </c>
      <c r="B68" s="5" t="inlineStr">
        <is>
          <t>Planta Pegaso</t>
        </is>
      </c>
      <c r="C68" s="6" t="n">
        <v>1600</v>
      </c>
      <c r="D68" s="7" t="n">
        <v>43200</v>
      </c>
      <c r="E68" s="6" t="n">
        <v>1600</v>
      </c>
      <c r="F68" s="7" t="n">
        <v>43200</v>
      </c>
      <c r="G68" s="6" t="n">
        <v>1610</v>
      </c>
      <c r="H68" s="7" t="n">
        <v>43470</v>
      </c>
      <c r="I68" s="6" t="n">
        <v>-10</v>
      </c>
      <c r="J68" s="7" t="n">
        <v>-270</v>
      </c>
      <c r="K68" s="10" t="inlineStr">
        <is>
          <t>🔸 CONSUMO MAYOR (Uso de remanente)</t>
        </is>
      </c>
      <c r="L68" s="9" t="inlineStr">
        <is>
          <t>Consumo mayor amparado por remanente previo (-10.00 Lts)</t>
        </is>
      </c>
    </row>
    <row r="69">
      <c r="A69" s="4" t="inlineStr">
        <is>
          <t>Semana 32</t>
        </is>
      </c>
      <c r="B69" s="5" t="inlineStr">
        <is>
          <t>Providencia</t>
        </is>
      </c>
      <c r="C69" s="6" t="n">
        <v>240</v>
      </c>
      <c r="D69" s="7" t="n">
        <v>6480</v>
      </c>
      <c r="E69" s="6" t="n">
        <v>170</v>
      </c>
      <c r="F69" s="7" t="n">
        <v>4590</v>
      </c>
      <c r="G69" s="6" t="n">
        <v>177</v>
      </c>
      <c r="H69" s="7" t="n">
        <v>4779</v>
      </c>
      <c r="I69" s="6" t="n">
        <v>-7</v>
      </c>
      <c r="J69" s="7" t="n">
        <v>-189</v>
      </c>
      <c r="K69" s="10" t="inlineStr">
        <is>
          <t>🔸 CONSUMO MAYOR (Uso de remanente)</t>
        </is>
      </c>
      <c r="L69" s="9" t="inlineStr">
        <is>
          <t>Consumo mayor amparado por remanente previo (-7.00 Lts)</t>
        </is>
      </c>
    </row>
    <row r="70">
      <c r="A70" s="4" t="inlineStr">
        <is>
          <t>Semana 32</t>
        </is>
      </c>
      <c r="B70" s="5" t="inlineStr">
        <is>
          <t>San Felipe Tlalminilolpan</t>
        </is>
      </c>
      <c r="C70" s="6" t="n">
        <v>400</v>
      </c>
      <c r="D70" s="7" t="n">
        <v>10800</v>
      </c>
      <c r="E70" s="6" t="n">
        <v>400</v>
      </c>
      <c r="F70" s="7" t="n">
        <v>10800</v>
      </c>
      <c r="G70" s="6" t="n">
        <v>407</v>
      </c>
      <c r="H70" s="7" t="n">
        <v>10989</v>
      </c>
      <c r="I70" s="6" t="n">
        <v>-7</v>
      </c>
      <c r="J70" s="7" t="n">
        <v>-189</v>
      </c>
      <c r="K70" s="10" t="inlineStr">
        <is>
          <t>🔸 CONSUMO MAYOR (Uso de remanente)</t>
        </is>
      </c>
      <c r="L70" s="9" t="inlineStr">
        <is>
          <t>Consumo mayor amparado por remanente previo (-7.00 Lts)</t>
        </is>
      </c>
    </row>
    <row r="71">
      <c r="A71" s="11" t="inlineStr">
        <is>
          <t>SUBTOTAL SEMANA 32</t>
        </is>
      </c>
      <c r="B71" s="11" t="inlineStr"/>
      <c r="C71" s="12">
        <f>SUM(C57:C70)</f>
        <v/>
      </c>
      <c r="D71" s="13">
        <f>SUM(D57:D70)</f>
        <v/>
      </c>
      <c r="E71" s="12">
        <f>SUM(E57:E70)</f>
        <v/>
      </c>
      <c r="F71" s="13">
        <f>SUM(F57:F70)</f>
        <v/>
      </c>
      <c r="G71" s="12">
        <f>SUM(G57:G70)</f>
        <v/>
      </c>
      <c r="H71" s="13">
        <f>SUM(H57:H70)</f>
        <v/>
      </c>
      <c r="I71" s="12">
        <f>SUM(I57:I70)</f>
        <v/>
      </c>
      <c r="J71" s="13">
        <f>SUM(J57:J70)</f>
        <v/>
      </c>
      <c r="K71" s="11" t="inlineStr">
        <is>
          <t>SUBTOTAL</t>
        </is>
      </c>
      <c r="L71" s="11" t="inlineStr"/>
    </row>
    <row r="72">
      <c r="A72" s="4" t="inlineStr">
        <is>
          <t>Semana 33</t>
        </is>
      </c>
      <c r="B72" s="5" t="inlineStr">
        <is>
          <t>Alfredo del Mazo</t>
        </is>
      </c>
      <c r="C72" s="6" t="n">
        <v>1275</v>
      </c>
      <c r="D72" s="7" t="n">
        <v>34425</v>
      </c>
      <c r="E72" s="6" t="n">
        <v>905</v>
      </c>
      <c r="F72" s="7" t="n">
        <v>24435</v>
      </c>
      <c r="G72" s="6" t="n">
        <v>890</v>
      </c>
      <c r="H72" s="7" t="n">
        <v>24030</v>
      </c>
      <c r="I72" s="6" t="n">
        <v>15</v>
      </c>
      <c r="J72" s="7" t="n">
        <v>405</v>
      </c>
      <c r="K72" s="10" t="inlineStr">
        <is>
          <t>✅ FACTURADO AMAPARA</t>
        </is>
      </c>
      <c r="L72" s="9" t="inlineStr">
        <is>
          <t>Conciliado con factura semanal</t>
        </is>
      </c>
    </row>
    <row r="73">
      <c r="A73" s="4" t="inlineStr">
        <is>
          <t>Semana 33</t>
        </is>
      </c>
      <c r="B73" s="5" t="inlineStr">
        <is>
          <t>Bacheo Toluca</t>
        </is>
      </c>
      <c r="C73" s="6" t="n">
        <v>460</v>
      </c>
      <c r="D73" s="7" t="n">
        <v>12420</v>
      </c>
      <c r="E73" s="6" t="n">
        <v>340</v>
      </c>
      <c r="F73" s="7" t="n">
        <v>9180</v>
      </c>
      <c r="G73" s="6" t="n">
        <v>140</v>
      </c>
      <c r="H73" s="7" t="n">
        <v>3780</v>
      </c>
      <c r="I73" s="6" t="n">
        <v>200</v>
      </c>
      <c r="J73" s="7" t="n">
        <v>5400</v>
      </c>
      <c r="K73" s="14" t="inlineStr">
        <is>
          <t>⚠️ INVENTARIO EN TANQUE (&gt;2,000L)</t>
        </is>
      </c>
      <c r="L73" s="9" t="inlineStr">
        <is>
          <t>Diésel facturado en tanque pendiente de consumir (Inventario / Reserva)</t>
        </is>
      </c>
    </row>
    <row r="74">
      <c r="A74" s="4" t="inlineStr">
        <is>
          <t>Semana 33</t>
        </is>
      </c>
      <c r="B74" s="5" t="inlineStr">
        <is>
          <t>Chalma-Mexico</t>
        </is>
      </c>
      <c r="C74" s="6" t="n">
        <v>200</v>
      </c>
      <c r="D74" s="7" t="n">
        <v>5400</v>
      </c>
      <c r="E74" s="6" t="n">
        <v>200</v>
      </c>
      <c r="F74" s="7" t="n">
        <v>5400</v>
      </c>
      <c r="G74" s="6" t="n">
        <v>0</v>
      </c>
      <c r="H74" s="7" t="n">
        <v>0</v>
      </c>
      <c r="I74" s="6" t="n">
        <v>200</v>
      </c>
      <c r="J74" s="7" t="n">
        <v>5400</v>
      </c>
      <c r="K74" s="14" t="inlineStr">
        <is>
          <t>⚠️ INVENTARIO EN TANQUE (&gt;2,000L)</t>
        </is>
      </c>
      <c r="L74" s="9" t="inlineStr">
        <is>
          <t>Diésel facturado en tanque pendiente de consumir (Inventario / Reserva)</t>
        </is>
      </c>
    </row>
    <row r="75">
      <c r="A75" s="4" t="inlineStr">
        <is>
          <t>Semana 33</t>
        </is>
      </c>
      <c r="B75" s="5" t="inlineStr">
        <is>
          <t>México - Toluca</t>
        </is>
      </c>
      <c r="C75" s="6" t="n">
        <v>2170</v>
      </c>
      <c r="D75" s="7" t="n">
        <v>58590</v>
      </c>
      <c r="E75" s="6" t="n">
        <v>3080</v>
      </c>
      <c r="F75" s="7" t="n">
        <v>83160</v>
      </c>
      <c r="G75" s="6" t="n">
        <v>3040</v>
      </c>
      <c r="H75" s="7" t="n">
        <v>82080</v>
      </c>
      <c r="I75" s="6" t="n">
        <v>40</v>
      </c>
      <c r="J75" s="7" t="n">
        <v>1080</v>
      </c>
      <c r="K75" s="14" t="inlineStr">
        <is>
          <t>⚠️ INVENTARIO EN TANQUE (&gt;2,000L)</t>
        </is>
      </c>
      <c r="L75" s="9" t="inlineStr">
        <is>
          <t>Diésel facturado en tanque pendiente de consumir (Inventario / Reserva)</t>
        </is>
      </c>
    </row>
    <row r="76">
      <c r="A76" s="4" t="inlineStr">
        <is>
          <t>Semana 33</t>
        </is>
      </c>
      <c r="B76" s="5" t="inlineStr">
        <is>
          <t>Mina Tabernillas</t>
        </is>
      </c>
      <c r="C76" s="6" t="n">
        <v>0</v>
      </c>
      <c r="D76" s="7" t="n">
        <v>0</v>
      </c>
      <c r="E76" s="6" t="n">
        <v>370</v>
      </c>
      <c r="F76" s="7" t="n">
        <v>9990</v>
      </c>
      <c r="G76" s="6" t="n">
        <v>0</v>
      </c>
      <c r="H76" s="7" t="n">
        <v>0</v>
      </c>
      <c r="I76" s="6" t="n">
        <v>370</v>
      </c>
      <c r="J76" s="7" t="n">
        <v>9990</v>
      </c>
      <c r="K76" s="14" t="inlineStr">
        <is>
          <t>⚠️ INVENTARIO EN TANQUE (&gt;2,000L)</t>
        </is>
      </c>
      <c r="L76" s="9" t="inlineStr">
        <is>
          <t>Diésel facturado en tanque pendiente de consumir (Inventario / Reserva)</t>
        </is>
      </c>
    </row>
    <row r="77">
      <c r="A77" s="4" t="inlineStr">
        <is>
          <t>Semana 33</t>
        </is>
      </c>
      <c r="B77" s="5" t="inlineStr">
        <is>
          <t>Planta Huixquilucan</t>
        </is>
      </c>
      <c r="C77" s="6" t="n">
        <v>2900</v>
      </c>
      <c r="D77" s="7" t="n">
        <v>78300</v>
      </c>
      <c r="E77" s="6" t="n">
        <v>2900.48</v>
      </c>
      <c r="F77" s="7" t="n">
        <v>78312.96000000001</v>
      </c>
      <c r="G77" s="6" t="n">
        <v>2800</v>
      </c>
      <c r="H77" s="7" t="n">
        <v>75600</v>
      </c>
      <c r="I77" s="6" t="n">
        <v>100.48</v>
      </c>
      <c r="J77" s="7" t="n">
        <v>2712.96</v>
      </c>
      <c r="K77" s="14" t="inlineStr">
        <is>
          <t>⚠️ INVENTARIO EN TANQUE (&gt;2,000L)</t>
        </is>
      </c>
      <c r="L77" s="9" t="inlineStr">
        <is>
          <t>Diésel facturado en tanque pendiente de consumir (Inventario / Reserva)</t>
        </is>
      </c>
    </row>
    <row r="78">
      <c r="A78" s="4" t="inlineStr">
        <is>
          <t>Semana 33</t>
        </is>
      </c>
      <c r="B78" s="5" t="inlineStr">
        <is>
          <t>Planta Pegaso</t>
        </is>
      </c>
      <c r="C78" s="6" t="n">
        <v>7200</v>
      </c>
      <c r="D78" s="7" t="n">
        <v>194400</v>
      </c>
      <c r="E78" s="6" t="n">
        <v>6801.29</v>
      </c>
      <c r="F78" s="7" t="n">
        <v>183634.83</v>
      </c>
      <c r="G78" s="6" t="n">
        <v>5000</v>
      </c>
      <c r="H78" s="7" t="n">
        <v>135000</v>
      </c>
      <c r="I78" s="6" t="n">
        <v>1801.29</v>
      </c>
      <c r="J78" s="7" t="n">
        <v>48634.83</v>
      </c>
      <c r="K78" s="14" t="inlineStr">
        <is>
          <t>⚠️ INVENTARIO EN TANQUE (&gt;2,000L)</t>
        </is>
      </c>
      <c r="L78" s="9" t="inlineStr">
        <is>
          <t>Diésel facturado en tanque pendiente de consumir (Inventario / Reserva)</t>
        </is>
      </c>
    </row>
    <row r="79">
      <c r="A79" s="4" t="inlineStr">
        <is>
          <t>Semana 33</t>
        </is>
      </c>
      <c r="B79" s="5" t="inlineStr">
        <is>
          <t>Providencia</t>
        </is>
      </c>
      <c r="C79" s="6" t="n">
        <v>200</v>
      </c>
      <c r="D79" s="7" t="n">
        <v>5400</v>
      </c>
      <c r="E79" s="6" t="n">
        <v>200</v>
      </c>
      <c r="F79" s="7" t="n">
        <v>5400</v>
      </c>
      <c r="G79" s="6" t="n">
        <v>100</v>
      </c>
      <c r="H79" s="7" t="n">
        <v>2700</v>
      </c>
      <c r="I79" s="6" t="n">
        <v>100</v>
      </c>
      <c r="J79" s="7" t="n">
        <v>2700</v>
      </c>
      <c r="K79" s="14" t="inlineStr">
        <is>
          <t>⚠️ INVENTARIO EN TANQUE (&gt;2,000L)</t>
        </is>
      </c>
      <c r="L79" s="9" t="inlineStr">
        <is>
          <t>Diésel facturado en tanque pendiente de consumir (Inventario / Reserva)</t>
        </is>
      </c>
    </row>
    <row r="80">
      <c r="A80" s="4" t="inlineStr">
        <is>
          <t>Semana 33</t>
        </is>
      </c>
      <c r="B80" s="5" t="inlineStr">
        <is>
          <t>San Felipe Tlalminilolpan</t>
        </is>
      </c>
      <c r="C80" s="6" t="n">
        <v>560</v>
      </c>
      <c r="D80" s="7" t="n">
        <v>15120</v>
      </c>
      <c r="E80" s="6" t="n">
        <v>560</v>
      </c>
      <c r="F80" s="7" t="n">
        <v>15120</v>
      </c>
      <c r="G80" s="6" t="n">
        <v>260</v>
      </c>
      <c r="H80" s="7" t="n">
        <v>7020</v>
      </c>
      <c r="I80" s="6" t="n">
        <v>300</v>
      </c>
      <c r="J80" s="7" t="n">
        <v>8100</v>
      </c>
      <c r="K80" s="14" t="inlineStr">
        <is>
          <t>⚠️ INVENTARIO EN TANQUE (&gt;2,000L)</t>
        </is>
      </c>
      <c r="L80" s="9" t="inlineStr">
        <is>
          <t>Diésel facturado en tanque pendiente de consumir (Inventario / Reserva)</t>
        </is>
      </c>
    </row>
    <row r="81">
      <c r="A81" s="11" t="inlineStr">
        <is>
          <t>SUBTOTAL SEMANA 33</t>
        </is>
      </c>
      <c r="B81" s="11" t="inlineStr"/>
      <c r="C81" s="12">
        <f>SUM(C72:C80)</f>
        <v/>
      </c>
      <c r="D81" s="13">
        <f>SUM(D72:D80)</f>
        <v/>
      </c>
      <c r="E81" s="12">
        <f>SUM(E72:E80)</f>
        <v/>
      </c>
      <c r="F81" s="13">
        <f>SUM(F72:F80)</f>
        <v/>
      </c>
      <c r="G81" s="12">
        <f>SUM(G72:G80)</f>
        <v/>
      </c>
      <c r="H81" s="13">
        <f>SUM(H72:H80)</f>
        <v/>
      </c>
      <c r="I81" s="12">
        <f>SUM(I72:I80)</f>
        <v/>
      </c>
      <c r="J81" s="13">
        <f>SUM(J72:J80)</f>
        <v/>
      </c>
      <c r="K81" s="11" t="inlineStr">
        <is>
          <t>SUBTOTAL</t>
        </is>
      </c>
      <c r="L81" s="11" t="inlineStr"/>
    </row>
    <row r="82">
      <c r="A82" s="4" t="inlineStr">
        <is>
          <t>Semana 34</t>
        </is>
      </c>
      <c r="B82" s="5" t="inlineStr">
        <is>
          <t>METEPEC ARBOL DE LA VIDA</t>
        </is>
      </c>
      <c r="C82" s="6" t="n">
        <v>0</v>
      </c>
      <c r="D82" s="7" t="n">
        <v>0</v>
      </c>
      <c r="E82" s="6" t="n">
        <v>520</v>
      </c>
      <c r="F82" s="7" t="n">
        <v>14040</v>
      </c>
      <c r="G82" s="6" t="n">
        <v>513</v>
      </c>
      <c r="H82" s="7" t="n">
        <v>13851</v>
      </c>
      <c r="I82" s="6" t="n">
        <v>7</v>
      </c>
      <c r="J82" s="7" t="n">
        <v>189</v>
      </c>
      <c r="K82" s="8" t="inlineStr">
        <is>
          <t>🔹 FACTURADO MAYOR (Stock en frente)</t>
        </is>
      </c>
      <c r="L82" s="9" t="inlineStr">
        <is>
          <t>Ajuste a favor de facturación (+7.00 Lts en reserva)</t>
        </is>
      </c>
    </row>
    <row r="83">
      <c r="A83" s="4" t="inlineStr">
        <is>
          <t>Semana 34</t>
        </is>
      </c>
      <c r="B83" s="5" t="inlineStr">
        <is>
          <t>México - Toluca</t>
        </is>
      </c>
      <c r="C83" s="6" t="n">
        <v>0</v>
      </c>
      <c r="D83" s="7" t="n">
        <v>0</v>
      </c>
      <c r="E83" s="6" t="n">
        <v>2780</v>
      </c>
      <c r="F83" s="7" t="n">
        <v>75060</v>
      </c>
      <c r="G83" s="6" t="n">
        <v>2775</v>
      </c>
      <c r="H83" s="7" t="n">
        <v>74925</v>
      </c>
      <c r="I83" s="6" t="n">
        <v>5</v>
      </c>
      <c r="J83" s="7" t="n">
        <v>135</v>
      </c>
      <c r="K83" s="8" t="inlineStr">
        <is>
          <t>🔹 FACTURADO MAYOR (Stock en frente)</t>
        </is>
      </c>
      <c r="L83" s="9" t="inlineStr">
        <is>
          <t>Ajuste a favor de facturación (+5.00 Lts en reserva)</t>
        </is>
      </c>
    </row>
    <row r="84">
      <c r="A84" s="4" t="inlineStr">
        <is>
          <t>Semana 34</t>
        </is>
      </c>
      <c r="B84" s="5" t="inlineStr">
        <is>
          <t>Planta Huixquilucan</t>
        </is>
      </c>
      <c r="C84" s="6" t="n">
        <v>0</v>
      </c>
      <c r="D84" s="7" t="n">
        <v>0</v>
      </c>
      <c r="E84" s="6" t="n">
        <v>1600</v>
      </c>
      <c r="F84" s="7" t="n">
        <v>43200</v>
      </c>
      <c r="G84" s="6" t="n">
        <v>1594</v>
      </c>
      <c r="H84" s="7" t="n">
        <v>43038</v>
      </c>
      <c r="I84" s="6" t="n">
        <v>6</v>
      </c>
      <c r="J84" s="7" t="n">
        <v>162</v>
      </c>
      <c r="K84" s="8" t="inlineStr">
        <is>
          <t>🔹 FACTURADO MAYOR (Stock en frente)</t>
        </is>
      </c>
      <c r="L84" s="9" t="inlineStr">
        <is>
          <t>Ajuste a favor de facturación (+6.00 Lts en reserva)</t>
        </is>
      </c>
    </row>
    <row r="85">
      <c r="A85" s="4" t="inlineStr">
        <is>
          <t>Semana 34</t>
        </is>
      </c>
      <c r="B85" s="5" t="inlineStr">
        <is>
          <t>Planta Pegaso</t>
        </is>
      </c>
      <c r="C85" s="6" t="n">
        <v>0</v>
      </c>
      <c r="D85" s="7" t="n">
        <v>0</v>
      </c>
      <c r="E85" s="6" t="n">
        <v>1000</v>
      </c>
      <c r="F85" s="7" t="n">
        <v>27000</v>
      </c>
      <c r="G85" s="6" t="n">
        <v>995</v>
      </c>
      <c r="H85" s="7" t="n">
        <v>26865</v>
      </c>
      <c r="I85" s="6" t="n">
        <v>5</v>
      </c>
      <c r="J85" s="7" t="n">
        <v>135</v>
      </c>
      <c r="K85" s="8" t="inlineStr">
        <is>
          <t>🔹 FACTURADO MAYOR (Stock en frente)</t>
        </is>
      </c>
      <c r="L85" s="9" t="inlineStr">
        <is>
          <t>Ajuste a favor de facturación (+5.00 Lts en reserva)</t>
        </is>
      </c>
    </row>
    <row r="86">
      <c r="A86" s="4" t="inlineStr">
        <is>
          <t>Semana 34</t>
        </is>
      </c>
      <c r="B86" s="5" t="inlineStr">
        <is>
          <t>Providencia</t>
        </is>
      </c>
      <c r="C86" s="6" t="n">
        <v>0</v>
      </c>
      <c r="D86" s="7" t="n">
        <v>0</v>
      </c>
      <c r="E86" s="6" t="n">
        <v>420</v>
      </c>
      <c r="F86" s="7" t="n">
        <v>11340</v>
      </c>
      <c r="G86" s="6" t="n">
        <v>412</v>
      </c>
      <c r="H86" s="7" t="n">
        <v>11124</v>
      </c>
      <c r="I86" s="6" t="n">
        <v>8</v>
      </c>
      <c r="J86" s="7" t="n">
        <v>216</v>
      </c>
      <c r="K86" s="8" t="inlineStr">
        <is>
          <t>🔹 FACTURADO MAYOR (Stock en frente)</t>
        </is>
      </c>
      <c r="L86" s="9" t="inlineStr">
        <is>
          <t>Ajuste a favor de facturación (+8.00 Lts en reserva)</t>
        </is>
      </c>
    </row>
    <row r="87">
      <c r="A87" s="4" t="inlineStr">
        <is>
          <t>Semana 34</t>
        </is>
      </c>
      <c r="B87" s="5" t="inlineStr">
        <is>
          <t>San Felipe Tlalminilolpan</t>
        </is>
      </c>
      <c r="C87" s="6" t="n">
        <v>0</v>
      </c>
      <c r="D87" s="7" t="n">
        <v>0</v>
      </c>
      <c r="E87" s="6" t="n">
        <v>620</v>
      </c>
      <c r="F87" s="7" t="n">
        <v>16740</v>
      </c>
      <c r="G87" s="6" t="n">
        <v>608</v>
      </c>
      <c r="H87" s="7" t="n">
        <v>16416</v>
      </c>
      <c r="I87" s="6" t="n">
        <v>12</v>
      </c>
      <c r="J87" s="7" t="n">
        <v>324</v>
      </c>
      <c r="K87" s="8" t="inlineStr">
        <is>
          <t>🔹 FACTURADO MAYOR (Stock en frente)</t>
        </is>
      </c>
      <c r="L87" s="9" t="inlineStr">
        <is>
          <t>Ajuste a favor de facturación (+12.00 Lts en reserva)</t>
        </is>
      </c>
    </row>
    <row r="88">
      <c r="A88" s="11" t="inlineStr">
        <is>
          <t>SUBTOTAL SEMANA 34</t>
        </is>
      </c>
      <c r="B88" s="11" t="inlineStr"/>
      <c r="C88" s="12">
        <f>SUM(C82:C87)</f>
        <v/>
      </c>
      <c r="D88" s="13">
        <f>SUM(D82:D87)</f>
        <v/>
      </c>
      <c r="E88" s="12">
        <f>SUM(E82:E87)</f>
        <v/>
      </c>
      <c r="F88" s="13">
        <f>SUM(F82:F87)</f>
        <v/>
      </c>
      <c r="G88" s="12">
        <f>SUM(G82:G87)</f>
        <v/>
      </c>
      <c r="H88" s="13">
        <f>SUM(H82:H87)</f>
        <v/>
      </c>
      <c r="I88" s="12">
        <f>SUM(I82:I87)</f>
        <v/>
      </c>
      <c r="J88" s="13">
        <f>SUM(J82:J87)</f>
        <v/>
      </c>
      <c r="K88" s="11" t="inlineStr">
        <is>
          <t>SUBTOTAL</t>
        </is>
      </c>
      <c r="L88" s="11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2026-08-25T16:20:00Z</dcterms:created>
  <dcterms:modified xsi:type="dcterms:W3CDTF">2026-08-25T16:20:00Z</dcterms:modified>
</cp:coreProperties>
</file>