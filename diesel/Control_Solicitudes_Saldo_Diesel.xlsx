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D08E9873-B489-4CAC-9469-D2D72E7390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_Saldos_Semanales" sheetId="1" r:id="rId1"/>
    <sheet name="Catalogos" sheetId="2" r:id="rId2"/>
    <sheet name="Captura_Solicitu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5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C22" i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B5" i="1"/>
  <c r="D22" i="1" l="1"/>
  <c r="F22" i="1" s="1"/>
  <c r="E9" i="1"/>
  <c r="E11" i="1"/>
  <c r="G11" i="1" s="1"/>
  <c r="E13" i="1"/>
  <c r="G13" i="1" s="1"/>
  <c r="E15" i="1"/>
  <c r="G15" i="1" s="1"/>
  <c r="E17" i="1"/>
  <c r="G17" i="1" s="1"/>
  <c r="E19" i="1"/>
  <c r="G19" i="1" s="1"/>
  <c r="E21" i="1"/>
  <c r="G21" i="1" s="1"/>
  <c r="F9" i="1"/>
  <c r="C5" i="1"/>
  <c r="E5" i="1" s="1"/>
  <c r="E10" i="1"/>
  <c r="G10" i="1" s="1"/>
  <c r="E12" i="1"/>
  <c r="G12" i="1" s="1"/>
  <c r="E14" i="1"/>
  <c r="G14" i="1" s="1"/>
  <c r="E16" i="1"/>
  <c r="G16" i="1" s="1"/>
  <c r="E18" i="1"/>
  <c r="G18" i="1" s="1"/>
  <c r="E20" i="1"/>
  <c r="G20" i="1" s="1"/>
  <c r="E22" i="1" l="1"/>
  <c r="D5" i="1"/>
  <c r="G9" i="1"/>
</calcChain>
</file>

<file path=xl/sharedStrings.xml><?xml version="1.0" encoding="utf-8"?>
<sst xmlns="http://schemas.openxmlformats.org/spreadsheetml/2006/main" count="321" uniqueCount="121">
  <si>
    <t>LISTA DE OBRAS</t>
  </si>
  <si>
    <t>RESPONSABLE DEFAULT</t>
  </si>
  <si>
    <t>México - Toluca</t>
  </si>
  <si>
    <t>Francisco Javier</t>
  </si>
  <si>
    <t>Lerma - Tres Marías</t>
  </si>
  <si>
    <t>Apolinar</t>
  </si>
  <si>
    <t>Chamapa - Lechería</t>
  </si>
  <si>
    <t>Sin responsable</t>
  </si>
  <si>
    <t>Bacheo Toluca</t>
  </si>
  <si>
    <t>Diego Carreola</t>
  </si>
  <si>
    <t>Planta Huixquilucan</t>
  </si>
  <si>
    <t>Luis</t>
  </si>
  <si>
    <t>Planta Pegaso</t>
  </si>
  <si>
    <t>Jack</t>
  </si>
  <si>
    <t>Desasolve</t>
  </si>
  <si>
    <t>Providencia</t>
  </si>
  <si>
    <t>Samuel</t>
  </si>
  <si>
    <t>Alfredo del Mazo</t>
  </si>
  <si>
    <t>Variable</t>
  </si>
  <si>
    <t>Colegio Militar</t>
  </si>
  <si>
    <t>Explanada Damián Carmona</t>
  </si>
  <si>
    <t>Calle Revolución y Calle Lerdo</t>
  </si>
  <si>
    <t>Constitución</t>
  </si>
  <si>
    <t>PCW G3-G1</t>
  </si>
  <si>
    <t>RAM-700 PCW G3-G1</t>
  </si>
  <si>
    <t>PCW9238</t>
  </si>
  <si>
    <t>Vehiculo PCW9238</t>
  </si>
  <si>
    <t>PCW9391</t>
  </si>
  <si>
    <t>Vehiculo PCW9391</t>
  </si>
  <si>
    <t>PEG-01</t>
  </si>
  <si>
    <t>Pickup Pegaso 1</t>
  </si>
  <si>
    <t>PEG-02</t>
  </si>
  <si>
    <t>Pickup Pegaso 2</t>
  </si>
  <si>
    <t>PER-200</t>
  </si>
  <si>
    <t>Perfiladora Wirtgen W-200</t>
  </si>
  <si>
    <t>PET-02</t>
  </si>
  <si>
    <t>Petrolizadora</t>
  </si>
  <si>
    <t>PL-01</t>
  </si>
  <si>
    <t>PAYLOADER</t>
  </si>
  <si>
    <t>PL-02</t>
  </si>
  <si>
    <t>Payloder 644k</t>
  </si>
  <si>
    <t>PL-03</t>
  </si>
  <si>
    <t>Payloder 930K</t>
  </si>
  <si>
    <t>PP-01</t>
  </si>
  <si>
    <t>PIPA DE AGUA (IMPACTO 01) FORD None</t>
  </si>
  <si>
    <t>PR-01</t>
  </si>
  <si>
    <t>PERFILADORA RODATEC RX600-4-4008</t>
  </si>
  <si>
    <t>PR-02</t>
  </si>
  <si>
    <t>PERFILADORA RODATEC RX600E</t>
  </si>
  <si>
    <t>PRR-01</t>
  </si>
  <si>
    <t>Perfiladora(Rentada)</t>
  </si>
  <si>
    <t>PT-01</t>
  </si>
  <si>
    <t>PETROLIZADORA (IMPACTO 04) FORD F800</t>
  </si>
  <si>
    <t>PT-02</t>
  </si>
  <si>
    <t>PETROLIZADORA INTERNATIONAL None</t>
  </si>
  <si>
    <t>RAM-01</t>
  </si>
  <si>
    <t>RAM 1500 Supervisión</t>
  </si>
  <si>
    <t>RET-02</t>
  </si>
  <si>
    <t>Retroexcavadora CAT</t>
  </si>
  <si>
    <t>RT-01</t>
  </si>
  <si>
    <t>RETROEXCAVADORA CASE 580 N</t>
  </si>
  <si>
    <t>RT-02</t>
  </si>
  <si>
    <t>RETROEXCAVADORA JHONDEREE 310 K</t>
  </si>
  <si>
    <t>RT-03</t>
  </si>
  <si>
    <t>RT-04</t>
  </si>
  <si>
    <t>RETROEXCAVADORA CASE 420DN</t>
  </si>
  <si>
    <t>RT-05</t>
  </si>
  <si>
    <t>RETROEXCAVADORA JHONDEREE 310SK</t>
  </si>
  <si>
    <t>RT-06</t>
  </si>
  <si>
    <t>RETROEXCAVADORA CASE 420E</t>
  </si>
  <si>
    <t>TB-T1-229</t>
  </si>
  <si>
    <t>CAMIONETA URBAN TB-T1-229</t>
  </si>
  <si>
    <t>TBT1229</t>
  </si>
  <si>
    <t>Vehiculo TBT1229</t>
  </si>
  <si>
    <t>TD-01</t>
  </si>
  <si>
    <t>TANDEM DOBLE RODILLO / VIBROCOMPACTOR RODILLO CAT CB54</t>
  </si>
  <si>
    <t>TL-01</t>
  </si>
  <si>
    <t>Torre de Luces Maxilight</t>
  </si>
  <si>
    <t>TP-01</t>
  </si>
  <si>
    <t>Tanque de Pipa</t>
  </si>
  <si>
    <t>TR-01</t>
  </si>
  <si>
    <t>TRACTOR D6R</t>
  </si>
  <si>
    <t>TT-01</t>
  </si>
  <si>
    <t>Tanque Triaso</t>
  </si>
  <si>
    <t>VC-01</t>
  </si>
  <si>
    <t>VIBROCOMPACTADOR CATERPILLAR CB66B</t>
  </si>
  <si>
    <t>VG-01</t>
  </si>
  <si>
    <t>PAVIMENTADORA VOGELE 1800-3 i</t>
  </si>
  <si>
    <t>VG-02</t>
  </si>
  <si>
    <t>PAVIMENTADORA VOGELE 1800-2 SJ</t>
  </si>
  <si>
    <t>VG-03</t>
  </si>
  <si>
    <t>PAVIMENTADORA VOGELE SJ 1800-3</t>
  </si>
  <si>
    <t>VOG-03</t>
  </si>
  <si>
    <t>Pavimentadora Vögele-03</t>
  </si>
  <si>
    <t>GRUPO TRUJANO — CONTROL DE SALDOS Y SOLICITUDES DE DIÉSEL</t>
  </si>
  <si>
    <t>SEGUIMIENTO EN TIEMPO REAL: LÍMITE SEMANAL AUTORIZADO VS. CONSUMO / SOLICITADO</t>
  </si>
  <si>
    <t>AUTORIZADO TOTAL</t>
  </si>
  <si>
    <t>TOTAL SOLICITADO</t>
  </si>
  <si>
    <t>SALDO DISPONIBLE</t>
  </si>
  <si>
    <t>% EJECUTADO GLOBAL</t>
  </si>
  <si>
    <t>Obra / Frente de Trabajo</t>
  </si>
  <si>
    <t>Responsable de Obra</t>
  </si>
  <si>
    <t>Límite Autorizado (Lts)</t>
  </si>
  <si>
    <t>Litros Solicitados (Lts)</t>
  </si>
  <si>
    <t>Saldo Disponible (Lts)</t>
  </si>
  <si>
    <t>% Utilizado</t>
  </si>
  <si>
    <t>Estatus / Alerta</t>
  </si>
  <si>
    <t>TOTAL GENERAL</t>
  </si>
  <si>
    <t>GRUPO TRUJANO — PROYECTO FÉNIX</t>
  </si>
  <si>
    <t>MÓDULO DE CAPTURA DIARIA DE SOLICITUDES DE DIÉSEL PARA OBRAS</t>
  </si>
  <si>
    <t>Folio Solicitud</t>
  </si>
  <si>
    <t>Fecha</t>
  </si>
  <si>
    <t>Obra / Frente Destino</t>
  </si>
  <si>
    <t>Responsable Obra</t>
  </si>
  <si>
    <t>Litros Solicitados</t>
  </si>
  <si>
    <t>Uso / Actividad</t>
  </si>
  <si>
    <t>Estatus</t>
  </si>
  <si>
    <t>Observaciones</t>
  </si>
  <si>
    <t>2026-07-24</t>
  </si>
  <si>
    <t>Pendiente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</si>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</sst>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Lts&quot;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</font>
    <font>
      <i/>
      <sz val="11"/>
      <color rgb="FFD9E1F2"/>
      <name val="Calibri"/>
    </font>
    <font>
      <b/>
      <sz val="11"/>
      <color rgb="FFFFFFFF"/>
      <name val="Calibri"/>
    </font>
    <font>
      <sz val="11"/>
      <name val="Calibri"/>
    </font>
    <font>
      <b/>
      <sz val="9"/>
      <color rgb="FF595959"/>
      <name val="Calibri"/>
    </font>
    <font>
      <b/>
      <sz val="14"/>
      <color rgb="FF1F4E7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E9EEF4"/>
        <bgColor rgb="FFE9EEF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5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5" fillId="4" borderId="1" xfId="0" applyFont="1" applyFill="1" applyBorder="1"/>
    <xf numFmtId="49" fontId="5" fillId="0" borderId="3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left" vertical="center"/>
    </xf>
    <xf numFmtId="164" fontId="5" fillId="6" borderId="3" xfId="0" applyNumberFormat="1" applyFont="1" applyFill="1" applyBorder="1" applyAlignment="1">
      <alignment horizontal="right" vertical="center"/>
    </xf>
    <xf numFmtId="165" fontId="5" fillId="6" borderId="3" xfId="0" applyNumberFormat="1" applyFont="1" applyFill="1" applyBorder="1" applyAlignment="1">
      <alignment horizontal="right" vertical="center"/>
    </xf>
    <xf numFmtId="49" fontId="1" fillId="6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/>
    <xf numFmtId="164" fontId="1" fillId="7" borderId="3" xfId="0" applyNumberFormat="1" applyFont="1" applyFill="1" applyBorder="1" applyAlignment="1">
      <alignment horizontal="right" vertical="center"/>
    </xf>
    <xf numFmtId="165" fontId="1" fillId="7" borderId="3" xfId="0" applyNumberFormat="1" applyFont="1" applyFill="1" applyBorder="1" applyAlignment="1">
      <alignment horizontal="right" vertical="center"/>
    </xf>
    <xf numFmtId="0" fontId="5" fillId="0" borderId="0" xfId="0" applyFont="1"/>
    <xf numFmtId="49" fontId="1" fillId="0" borderId="3" xfId="0" applyNumberFormat="1" applyFont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5" workbookViewId="0">
      <selection activeCell="D15" sqref="D15"/>
    </sheetView>
  </sheetViews>
  <sheetFormatPr baseColWidth="10" defaultColWidth="8.88671875" defaultRowHeight="14.4" x14ac:dyDescent="0.3"/>
  <cols>
    <col min="1" max="1" width="32" customWidth="1"/>
    <col min="2" max="5" width="24" customWidth="1"/>
    <col min="6" max="6" width="16" customWidth="1"/>
    <col min="7" max="7" width="20" customWidth="1"/>
  </cols>
  <sheetData>
    <row r="1" spans="1:7" ht="25.05" customHeight="1" x14ac:dyDescent="0.3">
      <c r="A1" s="33" t="s">
        <v>94</v>
      </c>
      <c r="B1" s="32"/>
      <c r="C1" s="32"/>
      <c r="D1" s="32"/>
      <c r="E1" s="32"/>
      <c r="F1" s="32"/>
      <c r="G1" s="32"/>
    </row>
    <row r="2" spans="1:7" ht="18" customHeight="1" x14ac:dyDescent="0.3">
      <c r="A2" s="31" t="s">
        <v>95</v>
      </c>
      <c r="B2" s="32"/>
      <c r="C2" s="32"/>
      <c r="D2" s="32"/>
      <c r="E2" s="32"/>
      <c r="F2" s="32"/>
      <c r="G2" s="32"/>
    </row>
    <row r="4" spans="1:7" ht="18" customHeight="1" x14ac:dyDescent="0.3">
      <c r="B4" s="1" t="s">
        <v>96</v>
      </c>
      <c r="C4" s="1" t="s">
        <v>97</v>
      </c>
      <c r="D4" s="1" t="s">
        <v>98</v>
      </c>
      <c r="E4" s="1" t="s">
        <v>99</v>
      </c>
    </row>
    <row r="5" spans="1:7" ht="25.95" customHeight="1" x14ac:dyDescent="0.3">
      <c r="B5" s="2">
        <f>SUM(C9:C21)</f>
        <v>31200</v>
      </c>
      <c r="C5" s="2">
        <f>SUM(D9:D21)</f>
        <v>3786</v>
      </c>
      <c r="D5" s="2">
        <f>SUM(E9:E21)</f>
        <v>27414</v>
      </c>
      <c r="E5" s="3">
        <f>IF(B5&gt;0, C5/B5, 0)</f>
        <v>0.12134615384615384</v>
      </c>
    </row>
    <row r="8" spans="1:7" ht="25.95" customHeight="1" x14ac:dyDescent="0.3">
      <c r="A8" s="4" t="s">
        <v>100</v>
      </c>
      <c r="B8" s="4" t="s">
        <v>101</v>
      </c>
      <c r="C8" s="4" t="s">
        <v>102</v>
      </c>
      <c r="D8" s="4" t="s">
        <v>103</v>
      </c>
      <c r="E8" s="4" t="s">
        <v>104</v>
      </c>
      <c r="F8" s="4" t="s">
        <v>105</v>
      </c>
      <c r="G8" s="4" t="s">
        <v>106</v>
      </c>
    </row>
    <row r="9" spans="1:7" ht="22.05" customHeight="1" x14ac:dyDescent="0.3">
      <c r="A9" s="14" t="s">
        <v>2</v>
      </c>
      <c r="B9" s="14" t="s">
        <v>3</v>
      </c>
      <c r="C9" s="15">
        <v>5000</v>
      </c>
      <c r="D9" s="15">
        <v>2836</v>
      </c>
      <c r="E9" s="15">
        <f t="shared" ref="E9:E21" si="0">C9-D9</f>
        <v>2164</v>
      </c>
      <c r="F9" s="16">
        <f t="shared" ref="F9:F22" si="1">IF(C9&gt;0, D9/C9, 0)</f>
        <v>0.56720000000000004</v>
      </c>
      <c r="G9" s="17" t="str">
        <f t="shared" ref="G9:G21" si="2">IF(E9&lt;0, "⚠️ EXCEDIDO", IF(F9&gt;=0.8, "⚡ POR AGOTAR", "✅ DISPONIBLE"))</f>
        <v>✅ DISPONIBLE</v>
      </c>
    </row>
    <row r="10" spans="1:7" ht="22.05" customHeight="1" x14ac:dyDescent="0.3">
      <c r="A10" s="18" t="s">
        <v>4</v>
      </c>
      <c r="B10" s="18" t="s">
        <v>5</v>
      </c>
      <c r="C10" s="19">
        <v>3500</v>
      </c>
      <c r="D10" s="19">
        <f>SUMIFS(Captura_Solicitudes!E:E, Captura_Solicitudes!C:C, A10)</f>
        <v>0</v>
      </c>
      <c r="E10" s="19">
        <f t="shared" si="0"/>
        <v>3500</v>
      </c>
      <c r="F10" s="20">
        <f t="shared" si="1"/>
        <v>0</v>
      </c>
      <c r="G10" s="21" t="str">
        <f t="shared" si="2"/>
        <v>✅ DISPONIBLE</v>
      </c>
    </row>
    <row r="11" spans="1:7" ht="22.05" customHeight="1" x14ac:dyDescent="0.3">
      <c r="A11" s="14" t="s">
        <v>6</v>
      </c>
      <c r="B11" s="14" t="s">
        <v>7</v>
      </c>
      <c r="C11" s="15">
        <v>2500</v>
      </c>
      <c r="D11" s="15">
        <f>SUMIFS(Captura_Solicitudes!E:E, Captura_Solicitudes!C:C, A11)</f>
        <v>0</v>
      </c>
      <c r="E11" s="15">
        <f t="shared" si="0"/>
        <v>2500</v>
      </c>
      <c r="F11" s="16">
        <f t="shared" si="1"/>
        <v>0</v>
      </c>
      <c r="G11" s="17" t="str">
        <f t="shared" si="2"/>
        <v>✅ DISPONIBLE</v>
      </c>
    </row>
    <row r="12" spans="1:7" ht="22.05" customHeight="1" x14ac:dyDescent="0.3">
      <c r="A12" s="18" t="s">
        <v>8</v>
      </c>
      <c r="B12" s="18" t="s">
        <v>9</v>
      </c>
      <c r="C12" s="19">
        <v>2000</v>
      </c>
      <c r="D12" s="19">
        <f>SUMIFS(Captura_Solicitudes!E:E, Captura_Solicitudes!C:C, A12)</f>
        <v>0</v>
      </c>
      <c r="E12" s="19">
        <f t="shared" si="0"/>
        <v>2000</v>
      </c>
      <c r="F12" s="20">
        <f t="shared" si="1"/>
        <v>0</v>
      </c>
      <c r="G12" s="21" t="str">
        <f t="shared" si="2"/>
        <v>✅ DISPONIBLE</v>
      </c>
    </row>
    <row r="13" spans="1:7" ht="22.05" customHeight="1" x14ac:dyDescent="0.3">
      <c r="A13" s="14" t="s">
        <v>10</v>
      </c>
      <c r="B13" s="14" t="s">
        <v>11</v>
      </c>
      <c r="C13" s="15">
        <v>4000</v>
      </c>
      <c r="D13" s="15">
        <f>SUMIFS(Captura_Solicitudes!E:E, Captura_Solicitudes!C:C, A13)</f>
        <v>0</v>
      </c>
      <c r="E13" s="15">
        <f t="shared" si="0"/>
        <v>4000</v>
      </c>
      <c r="F13" s="16">
        <f t="shared" si="1"/>
        <v>0</v>
      </c>
      <c r="G13" s="17" t="str">
        <f t="shared" si="2"/>
        <v>✅ DISPONIBLE</v>
      </c>
    </row>
    <row r="14" spans="1:7" ht="22.05" customHeight="1" x14ac:dyDescent="0.3">
      <c r="A14" s="18" t="s">
        <v>12</v>
      </c>
      <c r="B14" s="18" t="s">
        <v>13</v>
      </c>
      <c r="C14" s="19">
        <v>3000</v>
      </c>
      <c r="D14" s="19">
        <f>SUMIFS(Captura_Solicitudes!E:E, Captura_Solicitudes!C:C, A14)</f>
        <v>0</v>
      </c>
      <c r="E14" s="19">
        <f t="shared" si="0"/>
        <v>3000</v>
      </c>
      <c r="F14" s="20">
        <f t="shared" si="1"/>
        <v>0</v>
      </c>
      <c r="G14" s="21" t="str">
        <f t="shared" si="2"/>
        <v>✅ DISPONIBLE</v>
      </c>
    </row>
    <row r="15" spans="1:7" ht="22.05" customHeight="1" x14ac:dyDescent="0.3">
      <c r="A15" s="14" t="s">
        <v>14</v>
      </c>
      <c r="B15" s="14" t="s">
        <v>9</v>
      </c>
      <c r="C15" s="15">
        <v>1200</v>
      </c>
      <c r="D15" s="15">
        <f>SUMIFS(Captura_Solicitudes!E:E, Captura_Solicitudes!C:C, A15)</f>
        <v>950</v>
      </c>
      <c r="E15" s="15">
        <f t="shared" si="0"/>
        <v>250</v>
      </c>
      <c r="F15" s="16">
        <f t="shared" si="1"/>
        <v>0.79166666666666663</v>
      </c>
      <c r="G15" s="17" t="str">
        <f t="shared" si="2"/>
        <v>✅ DISPONIBLE</v>
      </c>
    </row>
    <row r="16" spans="1:7" ht="22.05" customHeight="1" x14ac:dyDescent="0.3">
      <c r="A16" s="18" t="s">
        <v>15</v>
      </c>
      <c r="B16" s="18" t="s">
        <v>16</v>
      </c>
      <c r="C16" s="19">
        <v>1500</v>
      </c>
      <c r="D16" s="19">
        <f>SUMIFS(Captura_Solicitudes!E:E, Captura_Solicitudes!C:C, A16)</f>
        <v>0</v>
      </c>
      <c r="E16" s="19">
        <f t="shared" si="0"/>
        <v>1500</v>
      </c>
      <c r="F16" s="20">
        <f t="shared" si="1"/>
        <v>0</v>
      </c>
      <c r="G16" s="21" t="str">
        <f t="shared" si="2"/>
        <v>✅ DISPONIBLE</v>
      </c>
    </row>
    <row r="17" spans="1:7" ht="22.05" customHeight="1" x14ac:dyDescent="0.3">
      <c r="A17" s="14" t="s">
        <v>17</v>
      </c>
      <c r="B17" s="14" t="s">
        <v>18</v>
      </c>
      <c r="C17" s="15">
        <v>2500</v>
      </c>
      <c r="D17" s="15">
        <f>SUMIFS(Captura_Solicitudes!E:E, Captura_Solicitudes!C:C, A17)</f>
        <v>0</v>
      </c>
      <c r="E17" s="15">
        <f t="shared" si="0"/>
        <v>2500</v>
      </c>
      <c r="F17" s="16">
        <f t="shared" si="1"/>
        <v>0</v>
      </c>
      <c r="G17" s="17" t="str">
        <f t="shared" si="2"/>
        <v>✅ DISPONIBLE</v>
      </c>
    </row>
    <row r="18" spans="1:7" ht="22.05" customHeight="1" x14ac:dyDescent="0.3">
      <c r="A18" s="18" t="s">
        <v>19</v>
      </c>
      <c r="B18" s="18" t="s">
        <v>5</v>
      </c>
      <c r="C18" s="19">
        <v>1500</v>
      </c>
      <c r="D18" s="19">
        <f>SUMIFS(Captura_Solicitudes!E:E, Captura_Solicitudes!C:C, A18)</f>
        <v>0</v>
      </c>
      <c r="E18" s="19">
        <f t="shared" si="0"/>
        <v>1500</v>
      </c>
      <c r="F18" s="20">
        <f t="shared" si="1"/>
        <v>0</v>
      </c>
      <c r="G18" s="21" t="str">
        <f t="shared" si="2"/>
        <v>✅ DISPONIBLE</v>
      </c>
    </row>
    <row r="19" spans="1:7" ht="22.05" customHeight="1" x14ac:dyDescent="0.3">
      <c r="A19" s="14" t="s">
        <v>20</v>
      </c>
      <c r="B19" s="14" t="s">
        <v>7</v>
      </c>
      <c r="C19" s="15">
        <v>1500</v>
      </c>
      <c r="D19" s="15">
        <f>SUMIFS(Captura_Solicitudes!E:E, Captura_Solicitudes!C:C, A19)</f>
        <v>0</v>
      </c>
      <c r="E19" s="15">
        <f t="shared" si="0"/>
        <v>1500</v>
      </c>
      <c r="F19" s="16">
        <f t="shared" si="1"/>
        <v>0</v>
      </c>
      <c r="G19" s="17" t="str">
        <f t="shared" si="2"/>
        <v>✅ DISPONIBLE</v>
      </c>
    </row>
    <row r="20" spans="1:7" ht="22.05" customHeight="1" x14ac:dyDescent="0.3">
      <c r="A20" s="18" t="s">
        <v>21</v>
      </c>
      <c r="B20" s="18" t="s">
        <v>7</v>
      </c>
      <c r="C20" s="19">
        <v>1000</v>
      </c>
      <c r="D20" s="19">
        <f>SUMIFS(Captura_Solicitudes!E:E, Captura_Solicitudes!C:C, A20)</f>
        <v>0</v>
      </c>
      <c r="E20" s="19">
        <f t="shared" si="0"/>
        <v>1000</v>
      </c>
      <c r="F20" s="20">
        <f t="shared" si="1"/>
        <v>0</v>
      </c>
      <c r="G20" s="21" t="str">
        <f t="shared" si="2"/>
        <v>✅ DISPONIBLE</v>
      </c>
    </row>
    <row r="21" spans="1:7" ht="22.05" customHeight="1" x14ac:dyDescent="0.3">
      <c r="A21" s="14" t="s">
        <v>22</v>
      </c>
      <c r="B21" s="14" t="s">
        <v>7</v>
      </c>
      <c r="C21" s="15">
        <v>2000</v>
      </c>
      <c r="D21" s="15">
        <f>SUMIFS(Captura_Solicitudes!E:E, Captura_Solicitudes!C:C, A21)</f>
        <v>0</v>
      </c>
      <c r="E21" s="15">
        <f t="shared" si="0"/>
        <v>2000</v>
      </c>
      <c r="F21" s="16">
        <f t="shared" si="1"/>
        <v>0</v>
      </c>
      <c r="G21" s="17" t="str">
        <f t="shared" si="2"/>
        <v>✅ DISPONIBLE</v>
      </c>
    </row>
    <row r="22" spans="1:7" ht="24" customHeight="1" x14ac:dyDescent="0.3">
      <c r="A22" s="27" t="s">
        <v>107</v>
      </c>
      <c r="B22" s="14"/>
      <c r="C22" s="24">
        <f>SUM(C9:C21)</f>
        <v>31200</v>
      </c>
      <c r="D22" s="24">
        <f>SUM(D9:D21)</f>
        <v>3786</v>
      </c>
      <c r="E22" s="24">
        <f>SUM(E9:E21)</f>
        <v>27414</v>
      </c>
      <c r="F22" s="25">
        <f t="shared" si="1"/>
        <v>0.12134615384615384</v>
      </c>
      <c r="G22" s="28"/>
    </row>
    <row r="23" spans="1:7" ht="22.05" customHeight="1" x14ac:dyDescent="0.3">
      <c r="A23" s="14"/>
      <c r="B23" s="14"/>
      <c r="C23" s="15"/>
      <c r="D23" s="15"/>
      <c r="E23" s="15"/>
      <c r="F23" s="16"/>
      <c r="G23" s="17"/>
    </row>
    <row r="24" spans="1:7" ht="22.05" customHeight="1" x14ac:dyDescent="0.3">
      <c r="A24" s="14"/>
      <c r="B24" s="14"/>
      <c r="C24" s="15"/>
      <c r="D24" s="15"/>
      <c r="E24" s="15"/>
      <c r="F24" s="16"/>
      <c r="G24" s="17"/>
    </row>
    <row r="25" spans="1:7" ht="24" customHeight="1" x14ac:dyDescent="0.3">
      <c r="A25" s="22"/>
      <c r="B25" s="23"/>
      <c r="C25" s="29"/>
      <c r="D25" s="29"/>
      <c r="E25" s="29"/>
      <c r="F25" s="30"/>
      <c r="G25" s="23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32" customWidth="1"/>
    <col min="2" max="2" width="24" customWidth="1"/>
    <col min="3" max="4" width="15" customWidth="1"/>
    <col min="5" max="5" width="58" customWidth="1"/>
    <col min="6" max="10" width="15" customWidth="1"/>
  </cols>
  <sheetData>
    <row r="1" spans="1:7" x14ac:dyDescent="0.3">
      <c r="A1" s="5" t="s">
        <v>0</v>
      </c>
      <c r="B1" s="5" t="s">
        <v>1</v>
      </c>
      <c r="D1" s="5"/>
      <c r="E1" s="5"/>
      <c r="G1" s="5"/>
    </row>
    <row r="2" spans="1:7" x14ac:dyDescent="0.3">
      <c r="A2" s="26" t="s">
        <v>2</v>
      </c>
      <c r="B2" s="26" t="s">
        <v>3</v>
      </c>
    </row>
    <row r="3" spans="1:7" x14ac:dyDescent="0.3">
      <c r="A3" s="26" t="s">
        <v>4</v>
      </c>
      <c r="B3" s="26" t="s">
        <v>5</v>
      </c>
    </row>
    <row r="4" spans="1:7" x14ac:dyDescent="0.3">
      <c r="A4" s="26" t="s">
        <v>6</v>
      </c>
      <c r="B4" s="26" t="s">
        <v>7</v>
      </c>
    </row>
    <row r="5" spans="1:7" x14ac:dyDescent="0.3">
      <c r="A5" s="26" t="s">
        <v>8</v>
      </c>
      <c r="B5" s="26" t="s">
        <v>9</v>
      </c>
    </row>
    <row r="6" spans="1:7" x14ac:dyDescent="0.3">
      <c r="A6" s="26" t="s">
        <v>10</v>
      </c>
      <c r="B6" s="26" t="s">
        <v>11</v>
      </c>
    </row>
    <row r="7" spans="1:7" x14ac:dyDescent="0.3">
      <c r="A7" s="26" t="s">
        <v>12</v>
      </c>
      <c r="B7" s="26" t="s">
        <v>13</v>
      </c>
    </row>
    <row r="8" spans="1:7" x14ac:dyDescent="0.3">
      <c r="A8" s="26" t="s">
        <v>14</v>
      </c>
      <c r="B8" s="26" t="s">
        <v>9</v>
      </c>
    </row>
    <row r="9" spans="1:7" x14ac:dyDescent="0.3">
      <c r="A9" s="26" t="s">
        <v>15</v>
      </c>
      <c r="B9" s="26" t="s">
        <v>16</v>
      </c>
    </row>
    <row r="10" spans="1:7" x14ac:dyDescent="0.3">
      <c r="A10" s="26" t="s">
        <v>17</v>
      </c>
      <c r="B10" s="26" t="s">
        <v>18</v>
      </c>
    </row>
    <row r="11" spans="1:7" x14ac:dyDescent="0.3">
      <c r="A11" s="26" t="s">
        <v>19</v>
      </c>
      <c r="B11" s="26" t="s">
        <v>5</v>
      </c>
    </row>
    <row r="12" spans="1:7" x14ac:dyDescent="0.3">
      <c r="A12" s="26"/>
      <c r="B12" s="26"/>
    </row>
    <row r="13" spans="1:7" x14ac:dyDescent="0.3">
      <c r="A13" s="26"/>
      <c r="B13" s="26"/>
    </row>
    <row r="14" spans="1:7" x14ac:dyDescent="0.3">
      <c r="A14" s="26"/>
      <c r="B14" s="26"/>
    </row>
    <row r="15" spans="1:7" x14ac:dyDescent="0.3">
      <c r="A15" s="26"/>
      <c r="B15" s="26"/>
    </row>
    <row r="16" spans="1:7" x14ac:dyDescent="0.3">
      <c r="A16" s="26"/>
      <c r="B16" s="26"/>
    </row>
    <row r="17" spans="1:2" x14ac:dyDescent="0.3">
      <c r="A17" s="26"/>
      <c r="B17" s="26"/>
    </row>
    <row r="101" spans="4:5" x14ac:dyDescent="0.3">
      <c r="D101" t="s">
        <v>23</v>
      </c>
      <c r="E101" t="s">
        <v>24</v>
      </c>
    </row>
    <row r="102" spans="4:5" x14ac:dyDescent="0.3">
      <c r="D102" t="s">
        <v>25</v>
      </c>
      <c r="E102" t="s">
        <v>26</v>
      </c>
    </row>
    <row r="103" spans="4:5" x14ac:dyDescent="0.3">
      <c r="D103" t="s">
        <v>27</v>
      </c>
      <c r="E103" t="s">
        <v>28</v>
      </c>
    </row>
    <row r="104" spans="4:5" x14ac:dyDescent="0.3">
      <c r="D104" t="s">
        <v>29</v>
      </c>
      <c r="E104" t="s">
        <v>30</v>
      </c>
    </row>
    <row r="105" spans="4:5" x14ac:dyDescent="0.3">
      <c r="D105" t="s">
        <v>31</v>
      </c>
      <c r="E105" t="s">
        <v>32</v>
      </c>
    </row>
    <row r="106" spans="4:5" x14ac:dyDescent="0.3">
      <c r="D106" t="s">
        <v>33</v>
      </c>
      <c r="E106" t="s">
        <v>34</v>
      </c>
    </row>
    <row r="107" spans="4:5" x14ac:dyDescent="0.3">
      <c r="D107" t="s">
        <v>35</v>
      </c>
      <c r="E107" t="s">
        <v>36</v>
      </c>
    </row>
    <row r="108" spans="4:5" x14ac:dyDescent="0.3">
      <c r="D108" t="s">
        <v>37</v>
      </c>
      <c r="E108" t="s">
        <v>38</v>
      </c>
    </row>
    <row r="109" spans="4:5" x14ac:dyDescent="0.3">
      <c r="D109" t="s">
        <v>39</v>
      </c>
      <c r="E109" t="s">
        <v>40</v>
      </c>
    </row>
    <row r="110" spans="4:5" x14ac:dyDescent="0.3">
      <c r="D110" t="s">
        <v>41</v>
      </c>
      <c r="E110" t="s">
        <v>42</v>
      </c>
    </row>
    <row r="111" spans="4:5" x14ac:dyDescent="0.3">
      <c r="D111" t="s">
        <v>43</v>
      </c>
      <c r="E111" t="s">
        <v>44</v>
      </c>
    </row>
    <row r="112" spans="4:5" x14ac:dyDescent="0.3">
      <c r="D112" t="s">
        <v>45</v>
      </c>
      <c r="E112" t="s">
        <v>46</v>
      </c>
    </row>
    <row r="113" spans="4:5" x14ac:dyDescent="0.3">
      <c r="D113" t="s">
        <v>47</v>
      </c>
      <c r="E113" t="s">
        <v>48</v>
      </c>
    </row>
    <row r="114" spans="4:5" x14ac:dyDescent="0.3">
      <c r="D114" t="s">
        <v>49</v>
      </c>
      <c r="E114" t="s">
        <v>50</v>
      </c>
    </row>
    <row r="115" spans="4:5" x14ac:dyDescent="0.3">
      <c r="D115" t="s">
        <v>51</v>
      </c>
      <c r="E115" t="s">
        <v>52</v>
      </c>
    </row>
    <row r="116" spans="4:5" x14ac:dyDescent="0.3">
      <c r="D116" t="s">
        <v>53</v>
      </c>
      <c r="E116" t="s">
        <v>54</v>
      </c>
    </row>
    <row r="117" spans="4:5" x14ac:dyDescent="0.3">
      <c r="D117" t="s">
        <v>55</v>
      </c>
      <c r="E117" t="s">
        <v>56</v>
      </c>
    </row>
    <row r="118" spans="4:5" x14ac:dyDescent="0.3">
      <c r="D118" t="s">
        <v>57</v>
      </c>
      <c r="E118" t="s">
        <v>58</v>
      </c>
    </row>
    <row r="119" spans="4:5" x14ac:dyDescent="0.3">
      <c r="D119" t="s">
        <v>59</v>
      </c>
      <c r="E119" t="s">
        <v>60</v>
      </c>
    </row>
    <row r="120" spans="4:5" x14ac:dyDescent="0.3">
      <c r="D120" t="s">
        <v>61</v>
      </c>
      <c r="E120" t="s">
        <v>62</v>
      </c>
    </row>
    <row r="121" spans="4:5" x14ac:dyDescent="0.3">
      <c r="D121" t="s">
        <v>63</v>
      </c>
      <c r="E121" t="s">
        <v>60</v>
      </c>
    </row>
    <row r="122" spans="4:5" x14ac:dyDescent="0.3">
      <c r="D122" t="s">
        <v>64</v>
      </c>
      <c r="E122" t="s">
        <v>65</v>
      </c>
    </row>
    <row r="123" spans="4:5" x14ac:dyDescent="0.3">
      <c r="D123" t="s">
        <v>66</v>
      </c>
      <c r="E123" t="s">
        <v>67</v>
      </c>
    </row>
    <row r="124" spans="4:5" x14ac:dyDescent="0.3">
      <c r="D124" t="s">
        <v>68</v>
      </c>
      <c r="E124" t="s">
        <v>69</v>
      </c>
    </row>
    <row r="125" spans="4:5" x14ac:dyDescent="0.3">
      <c r="D125" t="s">
        <v>70</v>
      </c>
      <c r="E125" t="s">
        <v>71</v>
      </c>
    </row>
    <row r="126" spans="4:5" x14ac:dyDescent="0.3">
      <c r="D126" t="s">
        <v>72</v>
      </c>
      <c r="E126" t="s">
        <v>73</v>
      </c>
    </row>
    <row r="127" spans="4:5" x14ac:dyDescent="0.3">
      <c r="D127" t="s">
        <v>74</v>
      </c>
      <c r="E127" t="s">
        <v>75</v>
      </c>
    </row>
    <row r="128" spans="4:5" x14ac:dyDescent="0.3">
      <c r="D128" t="s">
        <v>76</v>
      </c>
      <c r="E128" t="s">
        <v>77</v>
      </c>
    </row>
    <row r="129" spans="4:5" x14ac:dyDescent="0.3">
      <c r="D129" t="s">
        <v>78</v>
      </c>
      <c r="E129" t="s">
        <v>79</v>
      </c>
    </row>
    <row r="130" spans="4:5" x14ac:dyDescent="0.3">
      <c r="D130" t="s">
        <v>80</v>
      </c>
      <c r="E130" t="s">
        <v>81</v>
      </c>
    </row>
    <row r="131" spans="4:5" x14ac:dyDescent="0.3">
      <c r="D131" t="s">
        <v>82</v>
      </c>
      <c r="E131" t="s">
        <v>83</v>
      </c>
    </row>
    <row r="132" spans="4:5" x14ac:dyDescent="0.3">
      <c r="D132" t="s">
        <v>84</v>
      </c>
      <c r="E132" t="s">
        <v>85</v>
      </c>
    </row>
    <row r="133" spans="4:5" x14ac:dyDescent="0.3">
      <c r="D133" t="s">
        <v>86</v>
      </c>
      <c r="E133" t="s">
        <v>87</v>
      </c>
    </row>
    <row r="134" spans="4:5" x14ac:dyDescent="0.3">
      <c r="D134" t="s">
        <v>88</v>
      </c>
      <c r="E134" t="s">
        <v>89</v>
      </c>
    </row>
    <row r="135" spans="4:5" x14ac:dyDescent="0.3">
      <c r="D135" t="s">
        <v>90</v>
      </c>
      <c r="E135" t="s">
        <v>91</v>
      </c>
    </row>
    <row r="136" spans="4:5" x14ac:dyDescent="0.3">
      <c r="D136" t="s">
        <v>92</v>
      </c>
      <c r="E136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1" max="1" width="18" customWidth="1"/>
    <col min="2" max="2" width="14" customWidth="1"/>
    <col min="3" max="3" width="28" customWidth="1"/>
    <col min="4" max="4" width="22" customWidth="1"/>
    <col min="5" max="5" width="18" customWidth="1"/>
    <col min="6" max="6" width="32" customWidth="1"/>
    <col min="7" max="7" width="14" customWidth="1"/>
    <col min="8" max="8" width="54.33203125" customWidth="1"/>
  </cols>
  <sheetData>
    <row r="1" spans="1:8" ht="25.05" customHeight="1" x14ac:dyDescent="0.3">
      <c r="A1" s="33" t="s">
        <v>108</v>
      </c>
      <c r="B1" s="32"/>
      <c r="C1" s="32"/>
      <c r="D1" s="32"/>
      <c r="E1" s="32"/>
      <c r="F1" s="32"/>
      <c r="G1" s="32"/>
      <c r="H1" s="32"/>
    </row>
    <row r="2" spans="1:8" ht="18" customHeight="1" x14ac:dyDescent="0.3">
      <c r="A2" s="31" t="s">
        <v>109</v>
      </c>
      <c r="B2" s="32"/>
      <c r="C2" s="32"/>
      <c r="D2" s="32"/>
      <c r="E2" s="32"/>
      <c r="F2" s="32"/>
      <c r="G2" s="32"/>
      <c r="H2" s="32"/>
    </row>
    <row r="4" spans="1:8" ht="25.95" customHeight="1" x14ac:dyDescent="0.3">
      <c r="A4" s="6" t="s">
        <v>110</v>
      </c>
      <c r="B4" s="6" t="s">
        <v>111</v>
      </c>
      <c r="C4" s="6" t="s">
        <v>112</v>
      </c>
      <c r="D4" s="6" t="s">
        <v>113</v>
      </c>
      <c r="E4" s="6" t="s">
        <v>114</v>
      </c>
      <c r="F4" s="6" t="s">
        <v>115</v>
      </c>
      <c r="G4" s="6" t="s">
        <v>116</v>
      </c>
      <c r="H4" s="6" t="s">
        <v>117</v>
      </c>
    </row>
    <row r="5" spans="1:8" ht="19.95" customHeight="1" x14ac:dyDescent="0.3">
      <c r="A5" s="7" t="str">
        <f>IF(C5&lt;&gt;"", "SOL-2026-" &amp; TEXT(13-4, "000"), "")</f>
        <v>SOL-2026-009</v>
      </c>
      <c r="B5" s="34">
        <v>46223</v>
      </c>
      <c r="C5" s="12" t="s">
        <v>2</v>
      </c>
      <c r="D5" s="8" t="str">
        <f>VLOOKUP(C5,Catalogos!$A$2:$B$11,2,FALSE)</f>
        <v>Francisco Javier</v>
      </c>
      <c r="E5" s="9">
        <v>500</v>
      </c>
      <c r="F5" s="12"/>
      <c r="G5" s="7" t="s">
        <v>120</v>
      </c>
      <c r="H5" s="12"/>
    </row>
    <row r="6" spans="1:8" ht="19.95" customHeight="1" x14ac:dyDescent="0.3">
      <c r="A6" s="10" t="str">
        <f>IF(C6&lt;&gt;"", "SOL-2026-" &amp; TEXT(14-4, "000"), "")</f>
        <v>SOL-2026-010</v>
      </c>
      <c r="B6" s="10" t="s">
        <v>118</v>
      </c>
      <c r="C6" s="13" t="s">
        <v>14</v>
      </c>
      <c r="D6" s="8" t="str">
        <f>VLOOKUP(C6,Catalogos!$A$2:$B$11,2,FALSE)</f>
        <v>Diego Carreola</v>
      </c>
      <c r="E6" s="11">
        <v>950</v>
      </c>
      <c r="F6" s="13"/>
      <c r="G6" s="10" t="s">
        <v>119</v>
      </c>
      <c r="H6" s="13"/>
    </row>
    <row r="7" spans="1:8" ht="19.95" customHeight="1" x14ac:dyDescent="0.3">
      <c r="A7" s="7" t="str">
        <f>IF(C7&lt;&gt;"", "SOL-2026-" &amp; TEXT(15-4, "000"), "")</f>
        <v/>
      </c>
      <c r="B7" s="7" t="s">
        <v>118</v>
      </c>
      <c r="C7" s="12"/>
      <c r="D7" s="8" t="e">
        <f>VLOOKUP(C7,Catalogos!$A$2:$B$11,2,FALSE)</f>
        <v>#N/A</v>
      </c>
      <c r="E7" s="9"/>
      <c r="F7" s="12"/>
      <c r="G7" s="7" t="s">
        <v>119</v>
      </c>
      <c r="H7" s="12"/>
    </row>
    <row r="8" spans="1:8" ht="19.95" customHeight="1" x14ac:dyDescent="0.3">
      <c r="A8" s="10" t="str">
        <f>IF(C8&lt;&gt;"", "SOL-2026-" &amp; TEXT(16-4, "000"), "")</f>
        <v/>
      </c>
      <c r="B8" s="10" t="s">
        <v>118</v>
      </c>
      <c r="C8" s="13"/>
      <c r="D8" s="8" t="e">
        <f>VLOOKUP(C8,Catalogos!$A$2:$B$11,2,FALSE)</f>
        <v>#N/A</v>
      </c>
      <c r="E8" s="11"/>
      <c r="F8" s="13"/>
      <c r="G8" s="10" t="s">
        <v>119</v>
      </c>
      <c r="H8" s="13"/>
    </row>
    <row r="9" spans="1:8" ht="19.95" customHeight="1" x14ac:dyDescent="0.3">
      <c r="A9" s="7" t="str">
        <f>IF(C9&lt;&gt;"", "SOL-2026-" &amp; TEXT(17-4, "000"), "")</f>
        <v/>
      </c>
      <c r="B9" s="7" t="s">
        <v>118</v>
      </c>
      <c r="C9" s="12"/>
      <c r="D9" s="8" t="e">
        <f>VLOOKUP(C9,Catalogos!$A$2:$B$11,2,FALSE)</f>
        <v>#N/A</v>
      </c>
      <c r="E9" s="9"/>
      <c r="F9" s="12"/>
      <c r="G9" s="7" t="s">
        <v>119</v>
      </c>
      <c r="H9" s="12"/>
    </row>
    <row r="10" spans="1:8" ht="19.95" customHeight="1" x14ac:dyDescent="0.3">
      <c r="A10" s="10" t="str">
        <f>IF(C10&lt;&gt;"", "SOL-2026-" &amp; TEXT(18-4, "000"), "")</f>
        <v/>
      </c>
      <c r="B10" s="10" t="s">
        <v>118</v>
      </c>
      <c r="C10" s="13"/>
      <c r="D10" s="8" t="e">
        <f>VLOOKUP(C10,Catalogos!$A$2:$B$11,2,FALSE)</f>
        <v>#N/A</v>
      </c>
      <c r="E10" s="11"/>
      <c r="F10" s="13"/>
      <c r="G10" s="10" t="s">
        <v>119</v>
      </c>
      <c r="H10" s="13"/>
    </row>
    <row r="11" spans="1:8" ht="19.95" customHeight="1" x14ac:dyDescent="0.3">
      <c r="A11" s="7" t="str">
        <f>IF(C11&lt;&gt;"", "SOL-2026-" &amp; TEXT(19-4, "000"), "")</f>
        <v/>
      </c>
      <c r="B11" s="7" t="s">
        <v>118</v>
      </c>
      <c r="C11" s="12"/>
      <c r="D11" s="8" t="e">
        <f>VLOOKUP(C11,Catalogos!$A$2:$B$11,2,FALSE)</f>
        <v>#N/A</v>
      </c>
      <c r="E11" s="9"/>
      <c r="F11" s="12"/>
      <c r="G11" s="7" t="s">
        <v>119</v>
      </c>
      <c r="H11" s="12"/>
    </row>
    <row r="12" spans="1:8" ht="19.95" customHeight="1" x14ac:dyDescent="0.3">
      <c r="A12" s="10" t="str">
        <f>IF(C12&lt;&gt;"", "SOL-2026-" &amp; TEXT(20-4, "000"), "")</f>
        <v/>
      </c>
      <c r="B12" s="10" t="s">
        <v>118</v>
      </c>
      <c r="C12" s="13"/>
      <c r="D12" s="8" t="e">
        <f>VLOOKUP(C12,Catalogos!$A$2:$B$11,2,FALSE)</f>
        <v>#N/A</v>
      </c>
      <c r="E12" s="11"/>
      <c r="F12" s="13"/>
      <c r="G12" s="10" t="s">
        <v>119</v>
      </c>
      <c r="H12" s="13"/>
    </row>
    <row r="13" spans="1:8" ht="19.95" customHeight="1" x14ac:dyDescent="0.3">
      <c r="A13" s="7" t="str">
        <f>IF(C13&lt;&gt;"", "SOL-2026-" &amp; TEXT(21-4, "000"), "")</f>
        <v/>
      </c>
      <c r="B13" s="7" t="s">
        <v>118</v>
      </c>
      <c r="C13" s="12"/>
      <c r="D13" s="8" t="e">
        <f>VLOOKUP(C13,Catalogos!$A$2:$B$11,2,FALSE)</f>
        <v>#N/A</v>
      </c>
      <c r="E13" s="9"/>
      <c r="F13" s="12"/>
      <c r="G13" s="7" t="s">
        <v>119</v>
      </c>
      <c r="H13" s="12"/>
    </row>
    <row r="14" spans="1:8" ht="19.95" customHeight="1" x14ac:dyDescent="0.3">
      <c r="A14" s="10" t="str">
        <f>IF(C14&lt;&gt;"", "SOL-2026-" &amp; TEXT(22-4, "000"), "")</f>
        <v/>
      </c>
      <c r="B14" s="10" t="s">
        <v>118</v>
      </c>
      <c r="C14" s="13"/>
      <c r="D14" s="8" t="e">
        <f>VLOOKUP(C14,Catalogos!$A$2:$B$11,2,FALSE)</f>
        <v>#N/A</v>
      </c>
      <c r="E14" s="11"/>
      <c r="F14" s="13"/>
      <c r="G14" s="10" t="s">
        <v>119</v>
      </c>
      <c r="H14" s="13"/>
    </row>
    <row r="15" spans="1:8" ht="19.95" customHeight="1" x14ac:dyDescent="0.3">
      <c r="A15" s="7" t="str">
        <f>IF(C15&lt;&gt;"", "SOL-2026-" &amp; TEXT(23-4, "000"), "")</f>
        <v/>
      </c>
      <c r="B15" s="7" t="s">
        <v>118</v>
      </c>
      <c r="C15" s="12"/>
      <c r="D15" s="8" t="e">
        <f>VLOOKUP(C15,Catalogos!$A$2:$B$11,2,FALSE)</f>
        <v>#N/A</v>
      </c>
      <c r="E15" s="9"/>
      <c r="F15" s="12"/>
      <c r="G15" s="7" t="s">
        <v>119</v>
      </c>
      <c r="H15" s="12"/>
    </row>
    <row r="16" spans="1:8" ht="19.95" customHeight="1" x14ac:dyDescent="0.3">
      <c r="A16" s="10" t="str">
        <f>IF(C16&lt;&gt;"", "SOL-2026-" &amp; TEXT(24-4, "000"), "")</f>
        <v/>
      </c>
      <c r="B16" s="10" t="s">
        <v>118</v>
      </c>
      <c r="C16" s="13"/>
      <c r="D16" s="8" t="e">
        <f>VLOOKUP(C16,Catalogos!$A$2:$B$11,2,FALSE)</f>
        <v>#N/A</v>
      </c>
      <c r="E16" s="11"/>
      <c r="F16" s="13"/>
      <c r="G16" s="10" t="s">
        <v>119</v>
      </c>
      <c r="H16" s="13"/>
    </row>
    <row r="17" spans="1:8" ht="19.95" customHeight="1" x14ac:dyDescent="0.3">
      <c r="A17" s="7" t="str">
        <f>IF(C17&lt;&gt;"", "SOL-2026-" &amp; TEXT(25-4, "000"), "")</f>
        <v/>
      </c>
      <c r="B17" s="7" t="s">
        <v>118</v>
      </c>
      <c r="C17" s="12"/>
      <c r="D17" s="8" t="e">
        <f>VLOOKUP(C17,Catalogos!$A$2:$B$11,2,FALSE)</f>
        <v>#N/A</v>
      </c>
      <c r="E17" s="9"/>
      <c r="F17" s="12"/>
      <c r="G17" s="7" t="s">
        <v>119</v>
      </c>
      <c r="H17" s="12"/>
    </row>
    <row r="18" spans="1:8" ht="19.95" customHeight="1" x14ac:dyDescent="0.3">
      <c r="A18" s="10" t="str">
        <f>IF(C18&lt;&gt;"", "SOL-2026-" &amp; TEXT(26-4, "000"), "")</f>
        <v/>
      </c>
      <c r="B18" s="10" t="s">
        <v>118</v>
      </c>
      <c r="C18" s="13"/>
      <c r="D18" s="8" t="e">
        <f>VLOOKUP(C18,Catalogos!$A$2:$B$11,2,FALSE)</f>
        <v>#N/A</v>
      </c>
      <c r="E18" s="11"/>
      <c r="F18" s="13"/>
      <c r="G18" s="10" t="s">
        <v>119</v>
      </c>
      <c r="H18" s="13"/>
    </row>
    <row r="19" spans="1:8" ht="19.95" customHeight="1" x14ac:dyDescent="0.3">
      <c r="A19" s="7" t="str">
        <f>IF(C19&lt;&gt;"", "SOL-2026-" &amp; TEXT(27-4, "000"), "")</f>
        <v/>
      </c>
      <c r="B19" s="7" t="s">
        <v>118</v>
      </c>
      <c r="C19" s="12"/>
      <c r="D19" s="8" t="e">
        <f>VLOOKUP(C19,Catalogos!$A$2:$B$11,2,FALSE)</f>
        <v>#N/A</v>
      </c>
      <c r="E19" s="9"/>
      <c r="F19" s="12"/>
      <c r="G19" s="7" t="s">
        <v>119</v>
      </c>
      <c r="H19" s="12"/>
    </row>
    <row r="20" spans="1:8" ht="19.95" customHeight="1" x14ac:dyDescent="0.3">
      <c r="A20" s="10" t="str">
        <f>IF(C20&lt;&gt;"", "SOL-2026-" &amp; TEXT(28-4, "000"), "")</f>
        <v/>
      </c>
      <c r="B20" s="10" t="s">
        <v>118</v>
      </c>
      <c r="C20" s="13"/>
      <c r="D20" s="8" t="e">
        <f>VLOOKUP(C20,Catalogos!$A$2:$B$11,2,FALSE)</f>
        <v>#N/A</v>
      </c>
      <c r="E20" s="11"/>
      <c r="F20" s="13"/>
      <c r="G20" s="10" t="s">
        <v>119</v>
      </c>
      <c r="H20" s="13"/>
    </row>
    <row r="21" spans="1:8" ht="19.95" customHeight="1" x14ac:dyDescent="0.3">
      <c r="A21" s="7" t="str">
        <f>IF(C21&lt;&gt;"", "SOL-2026-" &amp; TEXT(29-4, "000"), "")</f>
        <v/>
      </c>
      <c r="B21" s="7" t="s">
        <v>118</v>
      </c>
      <c r="C21" s="12"/>
      <c r="D21" s="8" t="e">
        <f>VLOOKUP(C21,Catalogos!$A$2:$B$11,2,FALSE)</f>
        <v>#N/A</v>
      </c>
      <c r="E21" s="9"/>
      <c r="F21" s="12"/>
      <c r="G21" s="7" t="s">
        <v>119</v>
      </c>
      <c r="H21" s="12"/>
    </row>
    <row r="22" spans="1:8" ht="19.95" customHeight="1" x14ac:dyDescent="0.3">
      <c r="A22" s="10" t="str">
        <f>IF(C22&lt;&gt;"", "SOL-2026-" &amp; TEXT(30-4, "000"), "")</f>
        <v/>
      </c>
      <c r="B22" s="10" t="s">
        <v>118</v>
      </c>
      <c r="C22" s="13"/>
      <c r="D22" s="8" t="e">
        <f>VLOOKUP(C22,Catalogos!$A$2:$B$11,2,FALSE)</f>
        <v>#N/A</v>
      </c>
      <c r="E22" s="11"/>
      <c r="F22" s="13"/>
      <c r="G22" s="10" t="s">
        <v>119</v>
      </c>
      <c r="H22" s="13"/>
    </row>
    <row r="23" spans="1:8" ht="19.95" customHeight="1" x14ac:dyDescent="0.3">
      <c r="A23" s="7" t="str">
        <f>IF(C23&lt;&gt;"", "SOL-2026-" &amp; TEXT(31-4, "000"), "")</f>
        <v/>
      </c>
      <c r="B23" s="7" t="s">
        <v>118</v>
      </c>
      <c r="C23" s="12"/>
      <c r="D23" s="8" t="e">
        <f>VLOOKUP(C23,Catalogos!$A$2:$B$11,2,FALSE)</f>
        <v>#N/A</v>
      </c>
      <c r="E23" s="9"/>
      <c r="F23" s="12"/>
      <c r="G23" s="7" t="s">
        <v>119</v>
      </c>
      <c r="H23" s="12"/>
    </row>
    <row r="24" spans="1:8" ht="19.95" customHeight="1" x14ac:dyDescent="0.3">
      <c r="A24" s="10" t="str">
        <f>IF(C24&lt;&gt;"", "SOL-2026-" &amp; TEXT(32-4, "000"), "")</f>
        <v/>
      </c>
      <c r="B24" s="10" t="s">
        <v>118</v>
      </c>
      <c r="C24" s="13"/>
      <c r="D24" s="8" t="e">
        <f>VLOOKUP(C24,Catalogos!$A$2:$B$11,2,FALSE)</f>
        <v>#N/A</v>
      </c>
      <c r="E24" s="11"/>
      <c r="F24" s="13"/>
      <c r="G24" s="10" t="s">
        <v>119</v>
      </c>
      <c r="H24" s="13"/>
    </row>
    <row r="25" spans="1:8" ht="19.95" customHeight="1" x14ac:dyDescent="0.3">
      <c r="A25" s="7" t="str">
        <f>IF(C25&lt;&gt;"", "SOL-2026-" &amp; TEXT(33-4, "000"), "")</f>
        <v/>
      </c>
      <c r="B25" s="7" t="s">
        <v>118</v>
      </c>
      <c r="C25" s="12"/>
      <c r="D25" s="8" t="e">
        <f>VLOOKUP(C25,Catalogos!$A$2:$B$11,2,FALSE)</f>
        <v>#N/A</v>
      </c>
      <c r="E25" s="9"/>
      <c r="F25" s="12"/>
      <c r="G25" s="7" t="s">
        <v>119</v>
      </c>
      <c r="H25" s="12"/>
    </row>
    <row r="26" spans="1:8" ht="19.95" customHeight="1" x14ac:dyDescent="0.3">
      <c r="A26" s="10" t="str">
        <f>IF(C26&lt;&gt;"", "SOL-2026-" &amp; TEXT(34-4, "000"), "")</f>
        <v/>
      </c>
      <c r="B26" s="10" t="s">
        <v>118</v>
      </c>
      <c r="C26" s="13"/>
      <c r="D26" s="8" t="e">
        <f>VLOOKUP(C26,Catalogos!$A$2:$B$11,2,FALSE)</f>
        <v>#N/A</v>
      </c>
      <c r="E26" s="11"/>
      <c r="F26" s="13"/>
      <c r="G26" s="10" t="s">
        <v>119</v>
      </c>
      <c r="H26" s="13"/>
    </row>
    <row r="27" spans="1:8" ht="19.95" customHeight="1" x14ac:dyDescent="0.3">
      <c r="A27" s="7" t="str">
        <f>IF(C27&lt;&gt;"", "SOL-2026-" &amp; TEXT(35-4, "000"), "")</f>
        <v/>
      </c>
      <c r="B27" s="7" t="s">
        <v>118</v>
      </c>
      <c r="C27" s="12"/>
      <c r="D27" s="8" t="e">
        <f>VLOOKUP(C27,Catalogos!$A$2:$B$11,2,FALSE)</f>
        <v>#N/A</v>
      </c>
      <c r="E27" s="9"/>
      <c r="F27" s="12"/>
      <c r="G27" s="7" t="s">
        <v>119</v>
      </c>
      <c r="H27" s="12"/>
    </row>
    <row r="28" spans="1:8" ht="19.95" customHeight="1" x14ac:dyDescent="0.3">
      <c r="A28" s="10" t="str">
        <f>IF(C28&lt;&gt;"", "SOL-2026-" &amp; TEXT(36-4, "000"), "")</f>
        <v/>
      </c>
      <c r="B28" s="10" t="s">
        <v>118</v>
      </c>
      <c r="C28" s="13"/>
      <c r="D28" s="8" t="e">
        <f>VLOOKUP(C28,Catalogos!$A$2:$B$11,2,FALSE)</f>
        <v>#N/A</v>
      </c>
      <c r="E28" s="11"/>
      <c r="F28" s="13"/>
      <c r="G28" s="10" t="s">
        <v>119</v>
      </c>
      <c r="H28" s="13"/>
    </row>
    <row r="29" spans="1:8" ht="19.95" customHeight="1" x14ac:dyDescent="0.3">
      <c r="A29" s="7" t="str">
        <f>IF(C29&lt;&gt;"", "SOL-2026-" &amp; TEXT(37-4, "000"), "")</f>
        <v/>
      </c>
      <c r="B29" s="7" t="s">
        <v>118</v>
      </c>
      <c r="C29" s="12"/>
      <c r="D29" s="8" t="e">
        <f>VLOOKUP(C29,Catalogos!$A$2:$B$11,2,FALSE)</f>
        <v>#N/A</v>
      </c>
      <c r="E29" s="9"/>
      <c r="F29" s="12"/>
      <c r="G29" s="7" t="s">
        <v>119</v>
      </c>
      <c r="H29" s="12"/>
    </row>
    <row r="30" spans="1:8" ht="19.95" customHeight="1" x14ac:dyDescent="0.3">
      <c r="A30" s="10" t="str">
        <f>IF(C30&lt;&gt;"", "SOL-2026-" &amp; TEXT(38-4, "000"), "")</f>
        <v/>
      </c>
      <c r="B30" s="10" t="s">
        <v>118</v>
      </c>
      <c r="C30" s="13"/>
      <c r="D30" s="8" t="e">
        <f>VLOOKUP(C30,Catalogos!$A$2:$B$11,2,FALSE)</f>
        <v>#N/A</v>
      </c>
      <c r="E30" s="11"/>
      <c r="F30" s="13"/>
      <c r="G30" s="10" t="s">
        <v>119</v>
      </c>
      <c r="H30" s="13"/>
    </row>
    <row r="31" spans="1:8" ht="19.95" customHeight="1" x14ac:dyDescent="0.3">
      <c r="A31" s="7" t="str">
        <f>IF(C31&lt;&gt;"", "SOL-2026-" &amp; TEXT(39-4, "000"), "")</f>
        <v/>
      </c>
      <c r="B31" s="7" t="s">
        <v>118</v>
      </c>
      <c r="C31" s="12"/>
      <c r="D31" s="8" t="e">
        <f>VLOOKUP(C31,Catalogos!$A$2:$B$11,2,FALSE)</f>
        <v>#N/A</v>
      </c>
      <c r="E31" s="9"/>
      <c r="F31" s="12"/>
      <c r="G31" s="7" t="s">
        <v>119</v>
      </c>
      <c r="H31" s="12"/>
    </row>
    <row r="32" spans="1:8" ht="19.95" customHeight="1" x14ac:dyDescent="0.3">
      <c r="A32" s="10" t="str">
        <f>IF(C32&lt;&gt;"", "SOL-2026-" &amp; TEXT(40-4, "000"), "")</f>
        <v/>
      </c>
      <c r="B32" s="10" t="s">
        <v>118</v>
      </c>
      <c r="C32" s="13"/>
      <c r="D32" s="8" t="e">
        <f>VLOOKUP(C32,Catalogos!$A$2:$B$11,2,FALSE)</f>
        <v>#N/A</v>
      </c>
      <c r="E32" s="11"/>
      <c r="F32" s="13"/>
      <c r="G32" s="10" t="s">
        <v>119</v>
      </c>
      <c r="H32" s="13"/>
    </row>
    <row r="33" spans="1:8" ht="19.95" customHeight="1" x14ac:dyDescent="0.3">
      <c r="A33" s="7" t="str">
        <f>IF(C33&lt;&gt;"", "SOL-2026-" &amp; TEXT(41-4, "000"), "")</f>
        <v/>
      </c>
      <c r="B33" s="7" t="s">
        <v>118</v>
      </c>
      <c r="C33" s="12"/>
      <c r="D33" s="8" t="e">
        <f>VLOOKUP(C33,Catalogos!$A$2:$B$11,2,FALSE)</f>
        <v>#N/A</v>
      </c>
      <c r="E33" s="9"/>
      <c r="F33" s="12"/>
      <c r="G33" s="7" t="s">
        <v>119</v>
      </c>
      <c r="H33" s="12"/>
    </row>
    <row r="34" spans="1:8" ht="19.95" customHeight="1" x14ac:dyDescent="0.3">
      <c r="A34" s="10" t="str">
        <f>IF(C34&lt;&gt;"", "SOL-2026-" &amp; TEXT(42-4, "000"), "")</f>
        <v/>
      </c>
      <c r="B34" s="10" t="s">
        <v>118</v>
      </c>
      <c r="C34" s="13"/>
      <c r="D34" s="8" t="e">
        <f>VLOOKUP(C34,Catalogos!$A$2:$B$11,2,FALSE)</f>
        <v>#N/A</v>
      </c>
      <c r="E34" s="11"/>
      <c r="F34" s="13"/>
      <c r="G34" s="10" t="s">
        <v>119</v>
      </c>
      <c r="H34" s="13"/>
    </row>
    <row r="35" spans="1:8" ht="19.95" customHeight="1" x14ac:dyDescent="0.3">
      <c r="A35" s="7" t="str">
        <f>IF(C35&lt;&gt;"", "SOL-2026-" &amp; TEXT(43-4, "000"), "")</f>
        <v/>
      </c>
      <c r="B35" s="7" t="s">
        <v>118</v>
      </c>
      <c r="C35" s="12"/>
      <c r="D35" s="8" t="e">
        <f>VLOOKUP(C35,Catalogos!$A$2:$B$11,2,FALSE)</f>
        <v>#N/A</v>
      </c>
      <c r="E35" s="9"/>
      <c r="F35" s="12"/>
      <c r="G35" s="7" t="s">
        <v>119</v>
      </c>
      <c r="H35" s="12"/>
    </row>
    <row r="36" spans="1:8" ht="19.95" customHeight="1" x14ac:dyDescent="0.3">
      <c r="A36" s="10" t="str">
        <f>IF(C36&lt;&gt;"", "SOL-2026-" &amp; TEXT(44-4, "000"), "")</f>
        <v/>
      </c>
      <c r="B36" s="10" t="s">
        <v>118</v>
      </c>
      <c r="C36" s="13"/>
      <c r="D36" s="8" t="e">
        <f>VLOOKUP(C36,Catalogos!$A$2:$B$11,2,FALSE)</f>
        <v>#N/A</v>
      </c>
      <c r="E36" s="11"/>
      <c r="F36" s="13"/>
      <c r="G36" s="10" t="s">
        <v>119</v>
      </c>
      <c r="H36" s="13"/>
    </row>
    <row r="37" spans="1:8" ht="19.95" customHeight="1" x14ac:dyDescent="0.3">
      <c r="A37" s="7" t="str">
        <f>IF(C37&lt;&gt;"", "SOL-2026-" &amp; TEXT(45-4, "000"), "")</f>
        <v/>
      </c>
      <c r="B37" s="7" t="s">
        <v>118</v>
      </c>
      <c r="C37" s="12"/>
      <c r="D37" s="8" t="e">
        <f>VLOOKUP(C37,Catalogos!$A$2:$B$11,2,FALSE)</f>
        <v>#N/A</v>
      </c>
      <c r="E37" s="9"/>
      <c r="F37" s="12"/>
      <c r="G37" s="7" t="s">
        <v>119</v>
      </c>
      <c r="H37" s="12"/>
    </row>
    <row r="38" spans="1:8" ht="19.95" customHeight="1" x14ac:dyDescent="0.3">
      <c r="A38" s="10" t="str">
        <f>IF(C38&lt;&gt;"", "SOL-2026-" &amp; TEXT(46-4, "000"), "")</f>
        <v/>
      </c>
      <c r="B38" s="10" t="s">
        <v>118</v>
      </c>
      <c r="C38" s="13"/>
      <c r="D38" s="8" t="e">
        <f>VLOOKUP(C38,Catalogos!$A$2:$B$11,2,FALSE)</f>
        <v>#N/A</v>
      </c>
      <c r="E38" s="11"/>
      <c r="F38" s="13"/>
      <c r="G38" s="10" t="s">
        <v>119</v>
      </c>
      <c r="H38" s="13"/>
    </row>
    <row r="39" spans="1:8" ht="19.95" customHeight="1" x14ac:dyDescent="0.3">
      <c r="A39" s="7" t="str">
        <f>IF(C39&lt;&gt;"", "SOL-2026-" &amp; TEXT(47-4, "000"), "")</f>
        <v/>
      </c>
      <c r="B39" s="7" t="s">
        <v>118</v>
      </c>
      <c r="C39" s="12"/>
      <c r="D39" s="8" t="e">
        <f>VLOOKUP(C39,Catalogos!$A$2:$B$11,2,FALSE)</f>
        <v>#N/A</v>
      </c>
      <c r="E39" s="9"/>
      <c r="F39" s="12"/>
      <c r="G39" s="7" t="s">
        <v>119</v>
      </c>
      <c r="H39" s="12"/>
    </row>
    <row r="40" spans="1:8" ht="19.95" customHeight="1" x14ac:dyDescent="0.3">
      <c r="A40" s="10" t="str">
        <f>IF(C40&lt;&gt;"", "SOL-2026-" &amp; TEXT(48-4, "000"), "")</f>
        <v/>
      </c>
      <c r="B40" s="10" t="s">
        <v>118</v>
      </c>
      <c r="C40" s="13"/>
      <c r="D40" s="8" t="e">
        <f>VLOOKUP(C40,Catalogos!$A$2:$B$11,2,FALSE)</f>
        <v>#N/A</v>
      </c>
      <c r="E40" s="11"/>
      <c r="F40" s="13"/>
      <c r="G40" s="10" t="s">
        <v>119</v>
      </c>
      <c r="H40" s="13"/>
    </row>
    <row r="41" spans="1:8" ht="19.95" customHeight="1" x14ac:dyDescent="0.3">
      <c r="A41" s="7" t="str">
        <f>IF(C41&lt;&gt;"", "SOL-2026-" &amp; TEXT(49-4, "000"), "")</f>
        <v/>
      </c>
      <c r="B41" s="7" t="s">
        <v>118</v>
      </c>
      <c r="C41" s="12"/>
      <c r="D41" s="8" t="e">
        <f>VLOOKUP(C41,Catalogos!$A$2:$B$11,2,FALSE)</f>
        <v>#N/A</v>
      </c>
      <c r="E41" s="9"/>
      <c r="F41" s="12"/>
      <c r="G41" s="7" t="s">
        <v>119</v>
      </c>
      <c r="H41" s="12"/>
    </row>
    <row r="42" spans="1:8" ht="19.95" customHeight="1" x14ac:dyDescent="0.3">
      <c r="A42" s="10" t="str">
        <f>IF(C42&lt;&gt;"", "SOL-2026-" &amp; TEXT(50-4, "000"), "")</f>
        <v/>
      </c>
      <c r="B42" s="10" t="s">
        <v>118</v>
      </c>
      <c r="C42" s="13"/>
      <c r="D42" s="8" t="e">
        <f>VLOOKUP(C42,Catalogos!$A$2:$B$11,2,FALSE)</f>
        <v>#N/A</v>
      </c>
      <c r="E42" s="11"/>
      <c r="F42" s="13"/>
      <c r="G42" s="10" t="s">
        <v>119</v>
      </c>
      <c r="H42" s="13"/>
    </row>
    <row r="43" spans="1:8" ht="19.95" customHeight="1" x14ac:dyDescent="0.3">
      <c r="A43" s="7" t="str">
        <f>IF(C43&lt;&gt;"", "SOL-2026-" &amp; TEXT(51-4, "000"), "")</f>
        <v/>
      </c>
      <c r="B43" s="7" t="s">
        <v>118</v>
      </c>
      <c r="C43" s="12"/>
      <c r="D43" s="8" t="e">
        <f>VLOOKUP(C43,Catalogos!$A$2:$B$11,2,FALSE)</f>
        <v>#N/A</v>
      </c>
      <c r="E43" s="9"/>
      <c r="F43" s="12"/>
      <c r="G43" s="7" t="s">
        <v>119</v>
      </c>
      <c r="H43" s="12"/>
    </row>
    <row r="44" spans="1:8" ht="19.95" customHeight="1" x14ac:dyDescent="0.3">
      <c r="A44" s="10" t="str">
        <f>IF(C44&lt;&gt;"", "SOL-2026-" &amp; TEXT(52-4, "000"), "")</f>
        <v/>
      </c>
      <c r="B44" s="10" t="s">
        <v>118</v>
      </c>
      <c r="C44" s="13"/>
      <c r="D44" s="8" t="e">
        <f>VLOOKUP(C44,Catalogos!$A$2:$B$11,2,FALSE)</f>
        <v>#N/A</v>
      </c>
      <c r="E44" s="11"/>
      <c r="F44" s="13"/>
      <c r="G44" s="10" t="s">
        <v>119</v>
      </c>
      <c r="H44" s="13"/>
    </row>
    <row r="45" spans="1:8" ht="19.95" customHeight="1" x14ac:dyDescent="0.3">
      <c r="A45" s="7" t="str">
        <f>IF(C45&lt;&gt;"", "SOL-2026-" &amp; TEXT(53-4, "000"), "")</f>
        <v/>
      </c>
      <c r="B45" s="7" t="s">
        <v>118</v>
      </c>
      <c r="C45" s="12"/>
      <c r="D45" s="8" t="e">
        <f>VLOOKUP(C45,Catalogos!$A$2:$B$11,2,FALSE)</f>
        <v>#N/A</v>
      </c>
      <c r="E45" s="9"/>
      <c r="F45" s="12"/>
      <c r="G45" s="7" t="s">
        <v>119</v>
      </c>
      <c r="H45" s="12"/>
    </row>
    <row r="46" spans="1:8" ht="19.95" customHeight="1" x14ac:dyDescent="0.3">
      <c r="A46" s="10" t="str">
        <f>IF(C46&lt;&gt;"", "SOL-2026-" &amp; TEXT(54-4, "000"), "")</f>
        <v/>
      </c>
      <c r="B46" s="10" t="s">
        <v>118</v>
      </c>
      <c r="C46" s="13"/>
      <c r="D46" s="8" t="e">
        <f>VLOOKUP(C46,Catalogos!$A$2:$B$11,2,FALSE)</f>
        <v>#N/A</v>
      </c>
      <c r="E46" s="11"/>
      <c r="F46" s="13"/>
      <c r="G46" s="10" t="s">
        <v>119</v>
      </c>
      <c r="H46" s="13"/>
    </row>
    <row r="47" spans="1:8" ht="19.95" customHeight="1" x14ac:dyDescent="0.3">
      <c r="A47" s="7" t="str">
        <f>IF(C47&lt;&gt;"", "SOL-2026-" &amp; TEXT(55-4, "000"), "")</f>
        <v/>
      </c>
      <c r="B47" s="7" t="s">
        <v>118</v>
      </c>
      <c r="C47" s="12"/>
      <c r="D47" s="8" t="e">
        <f>VLOOKUP(C47,Catalogos!$A$2:$B$11,2,FALSE)</f>
        <v>#N/A</v>
      </c>
      <c r="E47" s="9"/>
      <c r="F47" s="12"/>
      <c r="G47" s="7" t="s">
        <v>119</v>
      </c>
      <c r="H47" s="12"/>
    </row>
    <row r="48" spans="1:8" ht="19.95" customHeight="1" x14ac:dyDescent="0.3">
      <c r="A48" s="10" t="str">
        <f>IF(C48&lt;&gt;"", "SOL-2026-" &amp; TEXT(56-4, "000"), "")</f>
        <v/>
      </c>
      <c r="B48" s="10" t="s">
        <v>118</v>
      </c>
      <c r="C48" s="13"/>
      <c r="D48" s="8" t="e">
        <f>VLOOKUP(C48,Catalogos!$A$2:$B$11,2,FALSE)</f>
        <v>#N/A</v>
      </c>
      <c r="E48" s="11"/>
      <c r="F48" s="13"/>
      <c r="G48" s="10" t="s">
        <v>119</v>
      </c>
      <c r="H48" s="13"/>
    </row>
    <row r="49" spans="1:8" ht="19.95" customHeight="1" x14ac:dyDescent="0.3">
      <c r="A49" s="7" t="str">
        <f>IF(C49&lt;&gt;"", "SOL-2026-" &amp; TEXT(57-4, "000"), "")</f>
        <v/>
      </c>
      <c r="B49" s="7" t="s">
        <v>118</v>
      </c>
      <c r="C49" s="12"/>
      <c r="D49" s="8" t="e">
        <f>VLOOKUP(C49,Catalogos!$A$2:$B$11,2,FALSE)</f>
        <v>#N/A</v>
      </c>
      <c r="E49" s="9"/>
      <c r="F49" s="12"/>
      <c r="G49" s="7" t="s">
        <v>119</v>
      </c>
      <c r="H49" s="12"/>
    </row>
    <row r="50" spans="1:8" ht="19.95" customHeight="1" x14ac:dyDescent="0.3">
      <c r="A50" s="10" t="str">
        <f>IF(C50&lt;&gt;"", "SOL-2026-" &amp; TEXT(58-4, "000"), "")</f>
        <v/>
      </c>
      <c r="B50" s="10" t="s">
        <v>118</v>
      </c>
      <c r="C50" s="13"/>
      <c r="D50" s="8" t="e">
        <f>VLOOKUP(C50,Catalogos!$A$2:$B$11,2,FALSE)</f>
        <v>#N/A</v>
      </c>
      <c r="E50" s="11"/>
      <c r="F50" s="13"/>
      <c r="G50" s="10" t="s">
        <v>119</v>
      </c>
      <c r="H50" s="13"/>
    </row>
    <row r="51" spans="1:8" ht="19.95" customHeight="1" x14ac:dyDescent="0.3">
      <c r="A51" s="7" t="str">
        <f>IF(C51&lt;&gt;"", "SOL-2026-" &amp; TEXT(59-4, "000"), "")</f>
        <v/>
      </c>
      <c r="B51" s="7" t="s">
        <v>118</v>
      </c>
      <c r="C51" s="12"/>
      <c r="D51" s="8" t="e">
        <f>VLOOKUP(C51,Catalogos!$A$2:$B$11,2,FALSE)</f>
        <v>#N/A</v>
      </c>
      <c r="E51" s="9"/>
      <c r="F51" s="12"/>
      <c r="G51" s="7" t="s">
        <v>119</v>
      </c>
      <c r="H51" s="12"/>
    </row>
    <row r="52" spans="1:8" ht="19.95" customHeight="1" x14ac:dyDescent="0.3">
      <c r="A52" s="10" t="str">
        <f>IF(C52&lt;&gt;"", "SOL-2026-" &amp; TEXT(60-4, "000"), "")</f>
        <v/>
      </c>
      <c r="B52" s="10" t="s">
        <v>118</v>
      </c>
      <c r="C52" s="13"/>
      <c r="D52" s="8" t="e">
        <f>VLOOKUP(C52,Catalogos!$A$2:$B$11,2,FALSE)</f>
        <v>#N/A</v>
      </c>
      <c r="E52" s="11"/>
      <c r="F52" s="13"/>
      <c r="G52" s="10" t="s">
        <v>119</v>
      </c>
      <c r="H52" s="13"/>
    </row>
    <row r="53" spans="1:8" ht="19.95" customHeight="1" x14ac:dyDescent="0.3">
      <c r="A53" s="7" t="str">
        <f>IF(C53&lt;&gt;"", "SOL-2026-" &amp; TEXT(61-4, "000"), "")</f>
        <v/>
      </c>
      <c r="B53" s="7" t="s">
        <v>118</v>
      </c>
      <c r="C53" s="12"/>
      <c r="D53" s="8" t="e">
        <f>VLOOKUP(C53,Catalogos!$A$2:$B$11,2,FALSE)</f>
        <v>#N/A</v>
      </c>
      <c r="E53" s="9"/>
      <c r="F53" s="12"/>
      <c r="G53" s="7" t="s">
        <v>119</v>
      </c>
      <c r="H53" s="12"/>
    </row>
    <row r="54" spans="1:8" ht="19.95" customHeight="1" x14ac:dyDescent="0.3">
      <c r="A54" s="10" t="str">
        <f>IF(C54&lt;&gt;"", "SOL-2026-" &amp; TEXT(62-4, "000"), "")</f>
        <v/>
      </c>
      <c r="B54" s="10" t="s">
        <v>118</v>
      </c>
      <c r="C54" s="13"/>
      <c r="D54" s="8" t="e">
        <f>VLOOKUP(C54,Catalogos!$A$2:$B$11,2,FALSE)</f>
        <v>#N/A</v>
      </c>
      <c r="E54" s="11"/>
      <c r="F54" s="13"/>
      <c r="G54" s="10" t="s">
        <v>119</v>
      </c>
      <c r="H54" s="13"/>
    </row>
    <row r="55" spans="1:8" ht="19.95" customHeight="1" x14ac:dyDescent="0.3">
      <c r="A55" s="7" t="str">
        <f>IF(C55&lt;&gt;"", "SOL-2026-" &amp; TEXT(63-4, "000"), "")</f>
        <v/>
      </c>
      <c r="B55" s="7" t="s">
        <v>118</v>
      </c>
      <c r="C55" s="12"/>
      <c r="D55" s="8" t="e">
        <f>VLOOKUP(C55,Catalogos!$A$2:$B$11,2,FALSE)</f>
        <v>#N/A</v>
      </c>
      <c r="E55" s="9"/>
      <c r="F55" s="12"/>
      <c r="G55" s="7" t="s">
        <v>119</v>
      </c>
      <c r="H55" s="12"/>
    </row>
    <row r="56" spans="1:8" ht="19.95" customHeight="1" x14ac:dyDescent="0.3">
      <c r="A56" s="10" t="str">
        <f>IF(C56&lt;&gt;"", "SOL-2026-" &amp; TEXT(64-4, "000"), "")</f>
        <v/>
      </c>
      <c r="B56" s="10" t="s">
        <v>118</v>
      </c>
      <c r="C56" s="13"/>
      <c r="D56" s="8" t="e">
        <f>VLOOKUP(C56,Catalogos!$A$2:$B$11,2,FALSE)</f>
        <v>#N/A</v>
      </c>
      <c r="E56" s="11"/>
      <c r="F56" s="13"/>
      <c r="G56" s="10" t="s">
        <v>119</v>
      </c>
      <c r="H56" s="13"/>
    </row>
    <row r="57" spans="1:8" ht="19.95" customHeight="1" x14ac:dyDescent="0.3">
      <c r="A57" s="7" t="str">
        <f>IF(C57&lt;&gt;"", "SOL-2026-" &amp; TEXT(65-4, "000"), "")</f>
        <v/>
      </c>
      <c r="B57" s="7" t="s">
        <v>118</v>
      </c>
      <c r="C57" s="12"/>
      <c r="D57" s="8" t="e">
        <f>VLOOKUP(C57,Catalogos!$A$2:$B$11,2,FALSE)</f>
        <v>#N/A</v>
      </c>
      <c r="E57" s="9"/>
      <c r="F57" s="12"/>
      <c r="G57" s="7" t="s">
        <v>119</v>
      </c>
      <c r="H57" s="12"/>
    </row>
    <row r="58" spans="1:8" ht="19.95" customHeight="1" x14ac:dyDescent="0.3">
      <c r="A58" s="10" t="str">
        <f>IF(C58&lt;&gt;"", "SOL-2026-" &amp; TEXT(66-4, "000"), "")</f>
        <v/>
      </c>
      <c r="B58" s="10" t="s">
        <v>118</v>
      </c>
      <c r="C58" s="13"/>
      <c r="D58" s="8" t="e">
        <f>VLOOKUP(C58,Catalogos!$A$2:$B$11,2,FALSE)</f>
        <v>#N/A</v>
      </c>
      <c r="E58" s="11"/>
      <c r="F58" s="13"/>
      <c r="G58" s="10" t="s">
        <v>119</v>
      </c>
      <c r="H58" s="13"/>
    </row>
    <row r="59" spans="1:8" ht="19.95" customHeight="1" x14ac:dyDescent="0.3">
      <c r="A59" s="7" t="str">
        <f>IF(C59&lt;&gt;"", "SOL-2026-" &amp; TEXT(67-4, "000"), "")</f>
        <v/>
      </c>
      <c r="B59" s="7" t="s">
        <v>118</v>
      </c>
      <c r="C59" s="12"/>
      <c r="D59" s="8" t="e">
        <f>VLOOKUP(C59,Catalogos!$A$2:$B$11,2,FALSE)</f>
        <v>#N/A</v>
      </c>
      <c r="E59" s="9"/>
      <c r="F59" s="12"/>
      <c r="G59" s="7" t="s">
        <v>119</v>
      </c>
      <c r="H59" s="12"/>
    </row>
    <row r="60" spans="1:8" ht="19.95" customHeight="1" x14ac:dyDescent="0.3">
      <c r="A60" s="10" t="str">
        <f>IF(C60&lt;&gt;"", "SOL-2026-" &amp; TEXT(68-4, "000"), "")</f>
        <v/>
      </c>
      <c r="B60" s="10" t="s">
        <v>118</v>
      </c>
      <c r="C60" s="13"/>
      <c r="D60" s="8" t="e">
        <f>VLOOKUP(C60,Catalogos!$A$2:$B$11,2,FALSE)</f>
        <v>#N/A</v>
      </c>
      <c r="E60" s="11"/>
      <c r="F60" s="13"/>
      <c r="G60" s="10" t="s">
        <v>119</v>
      </c>
      <c r="H60" s="13"/>
    </row>
    <row r="61" spans="1:8" ht="19.95" customHeight="1" x14ac:dyDescent="0.3">
      <c r="A61" s="7" t="str">
        <f>IF(C61&lt;&gt;"", "SOL-2026-" &amp; TEXT(69-4, "000"), "")</f>
        <v/>
      </c>
      <c r="B61" s="7" t="s">
        <v>118</v>
      </c>
      <c r="C61" s="12"/>
      <c r="D61" s="8" t="e">
        <f>VLOOKUP(C61,Catalogos!$A$2:$B$11,2,FALSE)</f>
        <v>#N/A</v>
      </c>
      <c r="E61" s="9"/>
      <c r="F61" s="12"/>
      <c r="G61" s="7" t="s">
        <v>119</v>
      </c>
      <c r="H61" s="12"/>
    </row>
    <row r="62" spans="1:8" ht="19.95" customHeight="1" x14ac:dyDescent="0.3">
      <c r="A62" s="10" t="str">
        <f>IF(C62&lt;&gt;"", "SOL-2026-" &amp; TEXT(70-4, "000"), "")</f>
        <v/>
      </c>
      <c r="B62" s="10" t="s">
        <v>118</v>
      </c>
      <c r="C62" s="13"/>
      <c r="D62" s="8" t="e">
        <f>VLOOKUP(C62,Catalogos!$A$2:$B$11,2,FALSE)</f>
        <v>#N/A</v>
      </c>
      <c r="E62" s="11"/>
      <c r="F62" s="13"/>
      <c r="G62" s="10" t="s">
        <v>119</v>
      </c>
      <c r="H62" s="13"/>
    </row>
    <row r="63" spans="1:8" ht="19.95" customHeight="1" x14ac:dyDescent="0.3">
      <c r="A63" s="7" t="str">
        <f>IF(C63&lt;&gt;"", "SOL-2026-" &amp; TEXT(71-4, "000"), "")</f>
        <v/>
      </c>
      <c r="B63" s="7" t="s">
        <v>118</v>
      </c>
      <c r="C63" s="12"/>
      <c r="D63" s="8" t="e">
        <f>VLOOKUP(C63,Catalogos!$A$2:$B$11,2,FALSE)</f>
        <v>#N/A</v>
      </c>
      <c r="E63" s="9"/>
      <c r="F63" s="12"/>
      <c r="G63" s="7" t="s">
        <v>119</v>
      </c>
      <c r="H63" s="12"/>
    </row>
    <row r="64" spans="1:8" ht="19.95" customHeight="1" x14ac:dyDescent="0.3">
      <c r="A64" s="10" t="str">
        <f>IF(C64&lt;&gt;"", "SOL-2026-" &amp; TEXT(72-4, "000"), "")</f>
        <v/>
      </c>
      <c r="B64" s="10" t="s">
        <v>118</v>
      </c>
      <c r="C64" s="13"/>
      <c r="D64" s="8" t="e">
        <f>VLOOKUP(C64,Catalogos!$A$2:$B$11,2,FALSE)</f>
        <v>#N/A</v>
      </c>
      <c r="E64" s="11"/>
      <c r="F64" s="13"/>
      <c r="G64" s="10" t="s">
        <v>119</v>
      </c>
      <c r="H64" s="13"/>
    </row>
    <row r="65" spans="1:8" ht="19.95" customHeight="1" x14ac:dyDescent="0.3">
      <c r="A65" s="7" t="str">
        <f>IF(C65&lt;&gt;"", "SOL-2026-" &amp; TEXT(73-4, "000"), "")</f>
        <v/>
      </c>
      <c r="B65" s="7" t="s">
        <v>118</v>
      </c>
      <c r="C65" s="12"/>
      <c r="D65" s="8" t="e">
        <f>VLOOKUP(C65,Catalogos!$A$2:$B$11,2,FALSE)</f>
        <v>#N/A</v>
      </c>
      <c r="E65" s="9"/>
      <c r="F65" s="12"/>
      <c r="G65" s="7" t="s">
        <v>119</v>
      </c>
      <c r="H65" s="12"/>
    </row>
    <row r="66" spans="1:8" ht="19.95" customHeight="1" x14ac:dyDescent="0.3">
      <c r="A66" s="10" t="str">
        <f>IF(C66&lt;&gt;"", "SOL-2026-" &amp; TEXT(74-4, "000"), "")</f>
        <v/>
      </c>
      <c r="B66" s="10" t="s">
        <v>118</v>
      </c>
      <c r="C66" s="13"/>
      <c r="D66" s="8" t="e">
        <f>VLOOKUP(C66,Catalogos!$A$2:$B$11,2,FALSE)</f>
        <v>#N/A</v>
      </c>
      <c r="E66" s="11"/>
      <c r="F66" s="13"/>
      <c r="G66" s="10" t="s">
        <v>119</v>
      </c>
      <c r="H66" s="13"/>
    </row>
    <row r="67" spans="1:8" ht="19.95" customHeight="1" x14ac:dyDescent="0.3">
      <c r="A67" s="7" t="str">
        <f>IF(C67&lt;&gt;"", "SOL-2026-" &amp; TEXT(75-4, "000"), "")</f>
        <v/>
      </c>
      <c r="B67" s="7" t="s">
        <v>118</v>
      </c>
      <c r="C67" s="12"/>
      <c r="D67" s="8" t="e">
        <f>VLOOKUP(C67,Catalogos!$A$2:$B$11,2,FALSE)</f>
        <v>#N/A</v>
      </c>
      <c r="E67" s="9"/>
      <c r="F67" s="12"/>
      <c r="G67" s="7" t="s">
        <v>119</v>
      </c>
      <c r="H67" s="12"/>
    </row>
    <row r="68" spans="1:8" ht="19.95" customHeight="1" x14ac:dyDescent="0.3">
      <c r="A68" s="10" t="str">
        <f>IF(C68&lt;&gt;"", "SOL-2026-" &amp; TEXT(76-4, "000"), "")</f>
        <v/>
      </c>
      <c r="B68" s="10" t="s">
        <v>118</v>
      </c>
      <c r="C68" s="13"/>
      <c r="D68" s="8" t="e">
        <f>VLOOKUP(C68,Catalogos!$A$2:$B$11,2,FALSE)</f>
        <v>#N/A</v>
      </c>
      <c r="E68" s="11"/>
      <c r="F68" s="13"/>
      <c r="G68" s="10" t="s">
        <v>119</v>
      </c>
      <c r="H68" s="13"/>
    </row>
    <row r="69" spans="1:8" ht="19.95" customHeight="1" x14ac:dyDescent="0.3">
      <c r="A69" s="7" t="str">
        <f>IF(C69&lt;&gt;"", "SOL-2026-" &amp; TEXT(77-4, "000"), "")</f>
        <v/>
      </c>
      <c r="B69" s="7" t="s">
        <v>118</v>
      </c>
      <c r="C69" s="12"/>
      <c r="D69" s="8" t="e">
        <f>VLOOKUP(C69,Catalogos!$A$2:$B$11,2,FALSE)</f>
        <v>#N/A</v>
      </c>
      <c r="E69" s="9"/>
      <c r="F69" s="12"/>
      <c r="G69" s="7" t="s">
        <v>119</v>
      </c>
      <c r="H69" s="12"/>
    </row>
    <row r="70" spans="1:8" ht="19.95" customHeight="1" x14ac:dyDescent="0.3">
      <c r="A70" s="10" t="str">
        <f>IF(C70&lt;&gt;"", "SOL-2026-" &amp; TEXT(78-4, "000"), "")</f>
        <v/>
      </c>
      <c r="B70" s="10" t="s">
        <v>118</v>
      </c>
      <c r="C70" s="13"/>
      <c r="D70" s="8" t="e">
        <f>VLOOKUP(C70,Catalogos!$A$2:$B$11,2,FALSE)</f>
        <v>#N/A</v>
      </c>
      <c r="E70" s="11"/>
      <c r="F70" s="13"/>
      <c r="G70" s="10" t="s">
        <v>119</v>
      </c>
      <c r="H70" s="13"/>
    </row>
    <row r="71" spans="1:8" ht="19.95" customHeight="1" x14ac:dyDescent="0.3">
      <c r="A71" s="7" t="str">
        <f>IF(C71&lt;&gt;"", "SOL-2026-" &amp; TEXT(79-4, "000"), "")</f>
        <v/>
      </c>
      <c r="B71" s="7" t="s">
        <v>118</v>
      </c>
      <c r="C71" s="12"/>
      <c r="D71" s="8" t="e">
        <f>VLOOKUP(C71,Catalogos!$A$2:$B$11,2,FALSE)</f>
        <v>#N/A</v>
      </c>
      <c r="E71" s="9"/>
      <c r="F71" s="12"/>
      <c r="G71" s="7" t="s">
        <v>119</v>
      </c>
      <c r="H71" s="12"/>
    </row>
    <row r="72" spans="1:8" ht="19.95" customHeight="1" x14ac:dyDescent="0.3">
      <c r="A72" s="10" t="str">
        <f>IF(C72&lt;&gt;"", "SOL-2026-" &amp; TEXT(80-4, "000"), "")</f>
        <v/>
      </c>
      <c r="B72" s="10" t="s">
        <v>118</v>
      </c>
      <c r="C72" s="13"/>
      <c r="D72" s="8" t="e">
        <f>VLOOKUP(C72,Catalogos!$A$2:$B$11,2,FALSE)</f>
        <v>#N/A</v>
      </c>
      <c r="E72" s="11"/>
      <c r="F72" s="13"/>
      <c r="G72" s="10" t="s">
        <v>119</v>
      </c>
      <c r="H72" s="13"/>
    </row>
    <row r="73" spans="1:8" ht="19.95" customHeight="1" x14ac:dyDescent="0.3">
      <c r="A73" s="7" t="str">
        <f>IF(C73&lt;&gt;"", "SOL-2026-" &amp; TEXT(81-4, "000"), "")</f>
        <v/>
      </c>
      <c r="B73" s="7" t="s">
        <v>118</v>
      </c>
      <c r="C73" s="12"/>
      <c r="D73" s="8" t="e">
        <f>VLOOKUP(C73,Catalogos!$A$2:$B$11,2,FALSE)</f>
        <v>#N/A</v>
      </c>
      <c r="E73" s="9"/>
      <c r="F73" s="12"/>
      <c r="G73" s="7" t="s">
        <v>119</v>
      </c>
      <c r="H73" s="12"/>
    </row>
    <row r="74" spans="1:8" ht="19.95" customHeight="1" x14ac:dyDescent="0.3">
      <c r="A74" s="10" t="str">
        <f>IF(C74&lt;&gt;"", "SOL-2026-" &amp; TEXT(82-4, "000"), "")</f>
        <v/>
      </c>
      <c r="B74" s="10" t="s">
        <v>118</v>
      </c>
      <c r="C74" s="13"/>
      <c r="D74" s="8" t="e">
        <f>VLOOKUP(C74,Catalogos!$A$2:$B$11,2,FALSE)</f>
        <v>#N/A</v>
      </c>
      <c r="E74" s="11"/>
      <c r="F74" s="13"/>
      <c r="G74" s="10" t="s">
        <v>119</v>
      </c>
      <c r="H74" s="13"/>
    </row>
    <row r="75" spans="1:8" ht="19.95" customHeight="1" x14ac:dyDescent="0.3">
      <c r="A75" s="7" t="str">
        <f>IF(C75&lt;&gt;"", "SOL-2026-" &amp; TEXT(83-4, "000"), "")</f>
        <v/>
      </c>
      <c r="B75" s="7" t="s">
        <v>118</v>
      </c>
      <c r="C75" s="12"/>
      <c r="D75" s="8" t="e">
        <f>VLOOKUP(C75,Catalogos!$A$2:$B$11,2,FALSE)</f>
        <v>#N/A</v>
      </c>
      <c r="E75" s="9"/>
      <c r="F75" s="12"/>
      <c r="G75" s="7" t="s">
        <v>119</v>
      </c>
      <c r="H75" s="12"/>
    </row>
    <row r="76" spans="1:8" ht="19.95" customHeight="1" x14ac:dyDescent="0.3">
      <c r="A76" s="10" t="str">
        <f>IF(C76&lt;&gt;"", "SOL-2026-" &amp; TEXT(84-4, "000"), "")</f>
        <v/>
      </c>
      <c r="B76" s="10" t="s">
        <v>118</v>
      </c>
      <c r="C76" s="13"/>
      <c r="D76" s="8" t="e">
        <f>VLOOKUP(C76,Catalogos!$A$2:$B$11,2,FALSE)</f>
        <v>#N/A</v>
      </c>
      <c r="E76" s="11"/>
      <c r="F76" s="13"/>
      <c r="G76" s="10" t="s">
        <v>119</v>
      </c>
      <c r="H76" s="13"/>
    </row>
    <row r="77" spans="1:8" ht="19.95" customHeight="1" x14ac:dyDescent="0.3">
      <c r="A77" s="7" t="str">
        <f>IF(C77&lt;&gt;"", "SOL-2026-" &amp; TEXT(85-4, "000"), "")</f>
        <v/>
      </c>
      <c r="B77" s="7" t="s">
        <v>118</v>
      </c>
      <c r="C77" s="12"/>
      <c r="D77" s="8" t="e">
        <f>VLOOKUP(C77,Catalogos!$A$2:$B$11,2,FALSE)</f>
        <v>#N/A</v>
      </c>
      <c r="E77" s="9"/>
      <c r="F77" s="12"/>
      <c r="G77" s="7" t="s">
        <v>119</v>
      </c>
      <c r="H77" s="12"/>
    </row>
    <row r="78" spans="1:8" ht="19.95" customHeight="1" x14ac:dyDescent="0.3">
      <c r="A78" s="10" t="str">
        <f>IF(C78&lt;&gt;"", "SOL-2026-" &amp; TEXT(86-4, "000"), "")</f>
        <v/>
      </c>
      <c r="B78" s="10" t="s">
        <v>118</v>
      </c>
      <c r="C78" s="13"/>
      <c r="D78" s="8" t="e">
        <f>VLOOKUP(C78,Catalogos!$A$2:$B$11,2,FALSE)</f>
        <v>#N/A</v>
      </c>
      <c r="E78" s="11"/>
      <c r="F78" s="13"/>
      <c r="G78" s="10" t="s">
        <v>119</v>
      </c>
      <c r="H78" s="13"/>
    </row>
    <row r="79" spans="1:8" ht="19.95" customHeight="1" x14ac:dyDescent="0.3">
      <c r="A79" s="7" t="str">
        <f>IF(C79&lt;&gt;"", "SOL-2026-" &amp; TEXT(87-4, "000"), "")</f>
        <v/>
      </c>
      <c r="B79" s="7" t="s">
        <v>118</v>
      </c>
      <c r="C79" s="12"/>
      <c r="D79" s="8" t="e">
        <f>VLOOKUP(C79,Catalogos!$A$2:$B$11,2,FALSE)</f>
        <v>#N/A</v>
      </c>
      <c r="E79" s="9"/>
      <c r="F79" s="12"/>
      <c r="G79" s="7" t="s">
        <v>119</v>
      </c>
      <c r="H79" s="12"/>
    </row>
    <row r="80" spans="1:8" ht="19.95" customHeight="1" x14ac:dyDescent="0.3">
      <c r="A80" s="10" t="str">
        <f>IF(C80&lt;&gt;"", "SOL-2026-" &amp; TEXT(88-4, "000"), "")</f>
        <v/>
      </c>
      <c r="B80" s="10" t="s">
        <v>118</v>
      </c>
      <c r="C80" s="13"/>
      <c r="D80" s="8" t="e">
        <f>VLOOKUP(C80,Catalogos!$A$2:$B$11,2,FALSE)</f>
        <v>#N/A</v>
      </c>
      <c r="E80" s="11"/>
      <c r="F80" s="13"/>
      <c r="G80" s="10" t="s">
        <v>119</v>
      </c>
      <c r="H80" s="13"/>
    </row>
    <row r="81" spans="1:8" ht="19.95" customHeight="1" x14ac:dyDescent="0.3">
      <c r="A81" s="7" t="str">
        <f>IF(C81&lt;&gt;"", "SOL-2026-" &amp; TEXT(89-4, "000"), "")</f>
        <v/>
      </c>
      <c r="B81" s="7" t="s">
        <v>118</v>
      </c>
      <c r="C81" s="12"/>
      <c r="D81" s="8" t="e">
        <f>VLOOKUP(C81,Catalogos!$A$2:$B$11,2,FALSE)</f>
        <v>#N/A</v>
      </c>
      <c r="E81" s="9"/>
      <c r="F81" s="12"/>
      <c r="G81" s="7" t="s">
        <v>119</v>
      </c>
      <c r="H81" s="12"/>
    </row>
    <row r="82" spans="1:8" ht="19.95" customHeight="1" x14ac:dyDescent="0.3">
      <c r="A82" s="10" t="str">
        <f>IF(C82&lt;&gt;"", "SOL-2026-" &amp; TEXT(90-4, "000"), "")</f>
        <v/>
      </c>
      <c r="B82" s="10" t="s">
        <v>118</v>
      </c>
      <c r="C82" s="13"/>
      <c r="D82" s="8" t="e">
        <f>VLOOKUP(C82,Catalogos!$A$2:$B$11,2,FALSE)</f>
        <v>#N/A</v>
      </c>
      <c r="E82" s="11"/>
      <c r="F82" s="13"/>
      <c r="G82" s="10" t="s">
        <v>119</v>
      </c>
      <c r="H82" s="13"/>
    </row>
    <row r="83" spans="1:8" ht="19.95" customHeight="1" x14ac:dyDescent="0.3">
      <c r="A83" s="7" t="str">
        <f>IF(C83&lt;&gt;"", "SOL-2026-" &amp; TEXT(91-4, "000"), "")</f>
        <v/>
      </c>
      <c r="B83" s="7" t="s">
        <v>118</v>
      </c>
      <c r="C83" s="12"/>
      <c r="D83" s="8" t="e">
        <f>VLOOKUP(C83,Catalogos!$A$2:$B$11,2,FALSE)</f>
        <v>#N/A</v>
      </c>
      <c r="E83" s="9"/>
      <c r="F83" s="12"/>
      <c r="G83" s="7" t="s">
        <v>119</v>
      </c>
      <c r="H83" s="12"/>
    </row>
    <row r="84" spans="1:8" ht="19.95" customHeight="1" x14ac:dyDescent="0.3">
      <c r="A84" s="10" t="str">
        <f>IF(C84&lt;&gt;"", "SOL-2026-" &amp; TEXT(92-4, "000"), "")</f>
        <v/>
      </c>
      <c r="B84" s="10" t="s">
        <v>118</v>
      </c>
      <c r="C84" s="13"/>
      <c r="D84" s="8" t="e">
        <f>VLOOKUP(C84,Catalogos!$A$2:$B$11,2,FALSE)</f>
        <v>#N/A</v>
      </c>
      <c r="E84" s="11"/>
      <c r="F84" s="13"/>
      <c r="G84" s="10" t="s">
        <v>119</v>
      </c>
      <c r="H84" s="13"/>
    </row>
    <row r="85" spans="1:8" ht="19.95" customHeight="1" x14ac:dyDescent="0.3">
      <c r="A85" s="7" t="str">
        <f>IF(C85&lt;&gt;"", "SOL-2026-" &amp; TEXT(93-4, "000"), "")</f>
        <v/>
      </c>
      <c r="B85" s="7" t="s">
        <v>118</v>
      </c>
      <c r="C85" s="12"/>
      <c r="D85" s="8" t="e">
        <f>VLOOKUP(C85,Catalogos!$A$2:$B$11,2,FALSE)</f>
        <v>#N/A</v>
      </c>
      <c r="E85" s="9"/>
      <c r="F85" s="12"/>
      <c r="G85" s="7" t="s">
        <v>119</v>
      </c>
      <c r="H85" s="12"/>
    </row>
    <row r="86" spans="1:8" ht="19.95" customHeight="1" x14ac:dyDescent="0.3">
      <c r="A86" s="10" t="str">
        <f>IF(C86&lt;&gt;"", "SOL-2026-" &amp; TEXT(94-4, "000"), "")</f>
        <v/>
      </c>
      <c r="B86" s="10" t="s">
        <v>118</v>
      </c>
      <c r="C86" s="13"/>
      <c r="D86" s="8" t="e">
        <f>VLOOKUP(C86,Catalogos!$A$2:$B$11,2,FALSE)</f>
        <v>#N/A</v>
      </c>
      <c r="E86" s="11"/>
      <c r="F86" s="13"/>
      <c r="G86" s="10" t="s">
        <v>119</v>
      </c>
      <c r="H86" s="13"/>
    </row>
    <row r="87" spans="1:8" ht="19.95" customHeight="1" x14ac:dyDescent="0.3">
      <c r="A87" s="7" t="str">
        <f>IF(C87&lt;&gt;"", "SOL-2026-" &amp; TEXT(95-4, "000"), "")</f>
        <v/>
      </c>
      <c r="B87" s="7" t="s">
        <v>118</v>
      </c>
      <c r="C87" s="12"/>
      <c r="D87" s="8" t="e">
        <f>VLOOKUP(C87,Catalogos!$A$2:$B$11,2,FALSE)</f>
        <v>#N/A</v>
      </c>
      <c r="E87" s="9"/>
      <c r="F87" s="12"/>
      <c r="G87" s="7" t="s">
        <v>119</v>
      </c>
      <c r="H87" s="12"/>
    </row>
    <row r="88" spans="1:8" ht="19.95" customHeight="1" x14ac:dyDescent="0.3">
      <c r="A88" s="10" t="str">
        <f>IF(C88&lt;&gt;"", "SOL-2026-" &amp; TEXT(96-4, "000"), "")</f>
        <v/>
      </c>
      <c r="B88" s="10" t="s">
        <v>118</v>
      </c>
      <c r="C88" s="13"/>
      <c r="D88" s="8" t="e">
        <f>VLOOKUP(C88,Catalogos!$A$2:$B$11,2,FALSE)</f>
        <v>#N/A</v>
      </c>
      <c r="E88" s="11"/>
      <c r="F88" s="13"/>
      <c r="G88" s="10" t="s">
        <v>119</v>
      </c>
      <c r="H88" s="13"/>
    </row>
    <row r="89" spans="1:8" ht="19.95" customHeight="1" x14ac:dyDescent="0.3">
      <c r="A89" s="7" t="str">
        <f>IF(C89&lt;&gt;"", "SOL-2026-" &amp; TEXT(97-4, "000"), "")</f>
        <v/>
      </c>
      <c r="B89" s="7" t="s">
        <v>118</v>
      </c>
      <c r="C89" s="12"/>
      <c r="D89" s="8" t="e">
        <f>VLOOKUP(C89,Catalogos!$A$2:$B$11,2,FALSE)</f>
        <v>#N/A</v>
      </c>
      <c r="E89" s="9"/>
      <c r="F89" s="12"/>
      <c r="G89" s="7" t="s">
        <v>119</v>
      </c>
      <c r="H89" s="12"/>
    </row>
    <row r="90" spans="1:8" ht="19.95" customHeight="1" x14ac:dyDescent="0.3">
      <c r="A90" s="10" t="str">
        <f>IF(C90&lt;&gt;"", "SOL-2026-" &amp; TEXT(98-4, "000"), "")</f>
        <v/>
      </c>
      <c r="B90" s="10" t="s">
        <v>118</v>
      </c>
      <c r="C90" s="13"/>
      <c r="D90" s="8" t="e">
        <f>VLOOKUP(C90,Catalogos!$A$2:$B$11,2,FALSE)</f>
        <v>#N/A</v>
      </c>
      <c r="E90" s="11"/>
      <c r="F90" s="13"/>
      <c r="G90" s="10" t="s">
        <v>119</v>
      </c>
      <c r="H90" s="13"/>
    </row>
    <row r="91" spans="1:8" ht="19.95" customHeight="1" x14ac:dyDescent="0.3">
      <c r="A91" s="7" t="str">
        <f>IF(C91&lt;&gt;"", "SOL-2026-" &amp; TEXT(99-4, "000"), "")</f>
        <v/>
      </c>
      <c r="B91" s="7" t="s">
        <v>118</v>
      </c>
      <c r="C91" s="12"/>
      <c r="D91" s="8" t="e">
        <f>VLOOKUP(C91,Catalogos!$A$2:$B$11,2,FALSE)</f>
        <v>#N/A</v>
      </c>
      <c r="E91" s="9"/>
      <c r="F91" s="12"/>
      <c r="G91" s="7" t="s">
        <v>119</v>
      </c>
      <c r="H91" s="12"/>
    </row>
    <row r="92" spans="1:8" ht="19.95" customHeight="1" x14ac:dyDescent="0.3">
      <c r="A92" s="10" t="str">
        <f>IF(C92&lt;&gt;"", "SOL-2026-" &amp; TEXT(100-4, "000"), "")</f>
        <v/>
      </c>
      <c r="B92" s="10" t="s">
        <v>118</v>
      </c>
      <c r="C92" s="13"/>
      <c r="D92" s="8" t="e">
        <f>VLOOKUP(C92,Catalogos!$A$2:$B$11,2,FALSE)</f>
        <v>#N/A</v>
      </c>
      <c r="E92" s="11"/>
      <c r="F92" s="13"/>
      <c r="G92" s="10" t="s">
        <v>119</v>
      </c>
      <c r="H92" s="13"/>
    </row>
  </sheetData>
  <mergeCells count="2">
    <mergeCell ref="A2:H2"/>
    <mergeCell ref="A1:H1"/>
  </mergeCells>
  <dataValidations count="1">
    <dataValidation type="list" allowBlank="1" sqref="G5:G92" xr:uid="{00000000-0002-0000-0200-000000000000}">
      <formula1>"Pendiente,Aprobado,Rechazado,Despachado"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B65122-CD22-4ED9-926A-60084DC5BE01}">
          <x14:formula1>
            <xm:f>Catalogos!$A$2:$A$22</xm:f>
          </x14:formula1>
          <xm:sqref>C5:C1048576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Resumen_Saldos_Semanales</vt:lpstr>
      <vt:lpstr>Catalogos</vt:lpstr>
      <vt:lpstr>Captura_Solicitudes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2026-07-24T20:52:37Z</dcterms:created>
  <dcterms:modified xsi:type="dcterms:W3CDTF">2026-07-28T17:53:57Z</dcterms:modified>
</cp:coreProperties>
</file>