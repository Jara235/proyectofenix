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9ccdb0716c683fc/Documentos/"/>
    </mc:Choice>
  </mc:AlternateContent>
  <xr:revisionPtr revIDLastSave="0" documentId="8_{0496D790-BD9F-4FA7-BE96-60D0BD9C1760}" xr6:coauthVersionLast="47" xr6:coauthVersionMax="47" xr10:uidLastSave="{00000000-0000-0000-0000-000000000000}"/>
  <bookViews>
    <workbookView xWindow="-108" yWindow="-108" windowWidth="23256" windowHeight="12456" xr2:uid="{63C0F551-604D-4FA0-BEC5-19A2958D1EE5}"/>
  </bookViews>
  <sheets>
    <sheet name="SEMANA 28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41" i="1" l="1"/>
  <c r="R42" i="1" s="1"/>
  <c r="Q41" i="1"/>
  <c r="Q42" i="1" s="1"/>
  <c r="P41" i="1"/>
  <c r="P42" i="1" s="1"/>
  <c r="O41" i="1"/>
  <c r="O42" i="1" s="1"/>
  <c r="N41" i="1"/>
  <c r="N42" i="1" s="1"/>
  <c r="M41" i="1"/>
  <c r="M42" i="1" s="1"/>
  <c r="L41" i="1"/>
  <c r="L42" i="1" s="1"/>
  <c r="S40" i="1"/>
  <c r="U40" i="1" s="1"/>
  <c r="U39" i="1"/>
  <c r="S39" i="1"/>
  <c r="U38" i="1"/>
  <c r="S38" i="1"/>
  <c r="S37" i="1"/>
  <c r="U37" i="1" s="1"/>
  <c r="S36" i="1"/>
  <c r="U36" i="1" s="1"/>
  <c r="U35" i="1"/>
  <c r="S35" i="1"/>
  <c r="U34" i="1"/>
  <c r="S34" i="1"/>
  <c r="S33" i="1"/>
  <c r="U33" i="1" s="1"/>
  <c r="S32" i="1"/>
  <c r="U32" i="1" s="1"/>
  <c r="U31" i="1"/>
  <c r="S31" i="1"/>
  <c r="U30" i="1"/>
  <c r="S30" i="1"/>
  <c r="S41" i="1" s="1"/>
  <c r="J18" i="1"/>
  <c r="K14" i="1"/>
  <c r="K13" i="1"/>
  <c r="I13" i="1"/>
  <c r="L13" i="1" s="1"/>
  <c r="K12" i="1"/>
  <c r="I12" i="1"/>
  <c r="L12" i="1" s="1"/>
  <c r="K9" i="1"/>
  <c r="I9" i="1"/>
  <c r="L9" i="1" s="1"/>
  <c r="K7" i="1"/>
  <c r="I7" i="1"/>
  <c r="L7" i="1" s="1"/>
  <c r="K4" i="1"/>
  <c r="K18" i="1" s="1"/>
  <c r="I4" i="1"/>
  <c r="I18" i="1" s="1"/>
  <c r="S42" i="1" l="1"/>
  <c r="U42" i="1" s="1"/>
  <c r="U41" i="1"/>
  <c r="L4" i="1"/>
</calcChain>
</file>

<file path=xl/sharedStrings.xml><?xml version="1.0" encoding="utf-8"?>
<sst xmlns="http://schemas.openxmlformats.org/spreadsheetml/2006/main" count="54" uniqueCount="51">
  <si>
    <t>CONSUMO SEMANA 28</t>
  </si>
  <si>
    <t>RESPONSABLE</t>
  </si>
  <si>
    <t>OBRA</t>
  </si>
  <si>
    <t>AUTORIZADO DIARIO</t>
  </si>
  <si>
    <t>SEMANAL (7 DÍAS)</t>
  </si>
  <si>
    <t>CONSUMO POR OBRA</t>
  </si>
  <si>
    <t>CONSUMO  POR INGENIERO</t>
  </si>
  <si>
    <t>REMANENTE POR INGENIERO</t>
  </si>
  <si>
    <t>APOLINAR</t>
  </si>
  <si>
    <t>LERMA 3 MARIAS</t>
  </si>
  <si>
    <t xml:space="preserve">COLEGIO MILITAR </t>
  </si>
  <si>
    <t>ALFREDO DEL MAZO</t>
  </si>
  <si>
    <t>FRANCISCO JAVIER</t>
  </si>
  <si>
    <t xml:space="preserve">TOLUCA MÉXICO </t>
  </si>
  <si>
    <t>DIEGO CARREOLA</t>
  </si>
  <si>
    <t>BACHEO</t>
  </si>
  <si>
    <t>DESASOLVE</t>
  </si>
  <si>
    <t>VECENTE L</t>
  </si>
  <si>
    <t>LUIS</t>
  </si>
  <si>
    <t>PLANTA HUIXQUILUCAN</t>
  </si>
  <si>
    <t>JACK</t>
  </si>
  <si>
    <t xml:space="preserve">PLANTA PEGASO </t>
  </si>
  <si>
    <t>SAMUEL</t>
  </si>
  <si>
    <t>PROVIDENCIA</t>
  </si>
  <si>
    <t>DRAGONES</t>
  </si>
  <si>
    <t>MAQUINARIA</t>
  </si>
  <si>
    <t>TOTALES:</t>
  </si>
  <si>
    <t xml:space="preserve">FRANCISCO JAVIER </t>
  </si>
  <si>
    <t>RESONSABLE</t>
  </si>
  <si>
    <t>CENTRO DE TRABAJO</t>
  </si>
  <si>
    <t>UNIDAD / EQUIPO</t>
  </si>
  <si>
    <t>OPERADOR</t>
  </si>
  <si>
    <t xml:space="preserve">IMPORTE SEMANAL AUTORIZADO </t>
  </si>
  <si>
    <t xml:space="preserve">LITROS TOTAL </t>
  </si>
  <si>
    <t xml:space="preserve">PRECIO UNITARIO </t>
  </si>
  <si>
    <t xml:space="preserve">TOTAL </t>
  </si>
  <si>
    <t xml:space="preserve">OBRA </t>
  </si>
  <si>
    <t>M-T</t>
  </si>
  <si>
    <t>ALFRE</t>
  </si>
  <si>
    <t xml:space="preserve">MÉXICO TOLUCA </t>
  </si>
  <si>
    <t>PAVIMENTADORA VOGELE 1800-3 I</t>
  </si>
  <si>
    <t>NEUMATICO VOLVO PT-240R</t>
  </si>
  <si>
    <t>DOBLE RODILLO/VIBROCOMPACTADOR DE RODILLOS HAMM 120HD VV</t>
  </si>
  <si>
    <t>RETROEXCAVADORA JHONDEREE 310 K</t>
  </si>
  <si>
    <t>PERFILADORA RODATEC RX600-4-4008</t>
  </si>
  <si>
    <t>PERFILADORA RODATEC RX600E</t>
  </si>
  <si>
    <t>BARREDORA BROCE RJ350</t>
  </si>
  <si>
    <t>TANDEM DOBLE RODILLO / VIBROCOMPACTOR RODILLO CAT CB54</t>
  </si>
  <si>
    <t>PETROLIZADORA    INTERNATIONAL</t>
  </si>
  <si>
    <t>NEUMATICO / COMPACTADOR DE NEUMATICOS DINAPAC CP271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</si>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</sst>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20"/>
      <color theme="1"/>
      <name val="Arial"/>
      <family val="2"/>
    </font>
    <font>
      <b/>
      <sz val="20"/>
      <color theme="1"/>
      <name val="Arial"/>
      <family val="2"/>
    </font>
    <font>
      <sz val="11"/>
      <name val="Carlito"/>
    </font>
  </fonts>
  <fills count="9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6" fillId="0" borderId="0"/>
  </cellStyleXfs>
  <cellXfs count="44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44" fontId="3" fillId="0" borderId="1" xfId="1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1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1" applyNumberFormat="1" applyFont="1" applyBorder="1" applyAlignment="1">
      <alignment horizontal="center" vertical="center" wrapText="1"/>
    </xf>
    <xf numFmtId="44" fontId="0" fillId="0" borderId="1" xfId="1" applyFont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1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wrapText="1"/>
    </xf>
    <xf numFmtId="0" fontId="0" fillId="5" borderId="1" xfId="0" applyFill="1" applyBorder="1" applyAlignment="1">
      <alignment wrapText="1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3" fillId="6" borderId="1" xfId="0" applyFont="1" applyFill="1" applyBorder="1" applyAlignment="1">
      <alignment horizontal="center" vertical="center" wrapText="1"/>
    </xf>
    <xf numFmtId="44" fontId="3" fillId="6" borderId="1" xfId="1" applyFont="1" applyFill="1" applyBorder="1" applyAlignment="1">
      <alignment horizontal="center" vertical="center" wrapText="1"/>
    </xf>
    <xf numFmtId="14" fontId="3" fillId="2" borderId="1" xfId="0" applyNumberFormat="1" applyFont="1" applyFill="1" applyBorder="1" applyAlignment="1">
      <alignment vertical="center"/>
    </xf>
    <xf numFmtId="14" fontId="3" fillId="2" borderId="1" xfId="0" applyNumberFormat="1" applyFont="1" applyFill="1" applyBorder="1" applyAlignment="1">
      <alignment horizontal="center" vertical="center" wrapText="1"/>
    </xf>
    <xf numFmtId="14" fontId="3" fillId="2" borderId="1" xfId="0" applyNumberFormat="1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6" fillId="0" borderId="1" xfId="2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44" fontId="0" fillId="0" borderId="1" xfId="1" applyFont="1" applyFill="1" applyBorder="1" applyAlignment="1">
      <alignment horizontal="center" vertical="center"/>
    </xf>
    <xf numFmtId="44" fontId="0" fillId="0" borderId="1" xfId="1" applyFont="1" applyBorder="1"/>
    <xf numFmtId="44" fontId="0" fillId="0" borderId="1" xfId="0" applyNumberFormat="1" applyBorder="1"/>
    <xf numFmtId="2" fontId="3" fillId="7" borderId="2" xfId="1" applyNumberFormat="1" applyFont="1" applyFill="1" applyBorder="1" applyAlignment="1">
      <alignment horizontal="center" vertical="center"/>
    </xf>
    <xf numFmtId="2" fontId="3" fillId="7" borderId="3" xfId="1" applyNumberFormat="1" applyFont="1" applyFill="1" applyBorder="1" applyAlignment="1">
      <alignment horizontal="center" vertical="center"/>
    </xf>
    <xf numFmtId="2" fontId="3" fillId="7" borderId="4" xfId="1" applyNumberFormat="1" applyFont="1" applyFill="1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2" fontId="0" fillId="5" borderId="1" xfId="0" applyNumberFormat="1" applyFill="1" applyBorder="1" applyAlignment="1">
      <alignment horizontal="center"/>
    </xf>
    <xf numFmtId="0" fontId="0" fillId="0" borderId="1" xfId="0" applyBorder="1"/>
    <xf numFmtId="44" fontId="0" fillId="8" borderId="1" xfId="0" applyNumberFormat="1" applyFill="1" applyBorder="1"/>
    <xf numFmtId="2" fontId="3" fillId="7" borderId="5" xfId="1" applyNumberFormat="1" applyFont="1" applyFill="1" applyBorder="1" applyAlignment="1">
      <alignment horizontal="center" vertical="center"/>
    </xf>
    <xf numFmtId="2" fontId="3" fillId="7" borderId="6" xfId="1" applyNumberFormat="1" applyFont="1" applyFill="1" applyBorder="1" applyAlignment="1">
      <alignment horizontal="center" vertical="center"/>
    </xf>
    <xf numFmtId="2" fontId="3" fillId="7" borderId="7" xfId="1" applyNumberFormat="1" applyFont="1" applyFill="1" applyBorder="1" applyAlignment="1">
      <alignment horizontal="center" vertical="center"/>
    </xf>
    <xf numFmtId="4" fontId="0" fillId="0" borderId="1" xfId="0" applyNumberFormat="1" applyBorder="1" applyAlignment="1">
      <alignment horizontal="center"/>
    </xf>
  </cellXfs>
  <cellStyles count="3">
    <cellStyle name="Moneda" xfId="1" builtinId="4"/>
    <cellStyle name="Normal" xfId="0" builtinId="0"/>
    <cellStyle name="Normal 2" xfId="2" xr:uid="{FCFEA2B8-59B9-4131-98DC-7D9B0082CD6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54DFC-3138-476A-A895-F22C98815DF6}">
  <dimension ref="F2:X42"/>
  <sheetViews>
    <sheetView tabSelected="1" topLeftCell="B1" zoomScale="65" workbookViewId="0">
      <selection activeCell="F26" sqref="F26:U40"/>
    </sheetView>
  </sheetViews>
  <sheetFormatPr baseColWidth="10" defaultRowHeight="14.4"/>
  <cols>
    <col min="6" max="6" width="16.21875" customWidth="1"/>
    <col min="9" max="9" width="18.21875" customWidth="1"/>
    <col min="11" max="11" width="14.44140625" customWidth="1"/>
    <col min="12" max="12" width="19.44140625" customWidth="1"/>
    <col min="21" max="21" width="15.6640625" customWidth="1"/>
  </cols>
  <sheetData>
    <row r="2" spans="6:12">
      <c r="F2" s="1" t="s">
        <v>0</v>
      </c>
      <c r="G2" s="1"/>
      <c r="H2" s="1"/>
      <c r="I2" s="1"/>
      <c r="J2" s="1"/>
      <c r="K2" s="1"/>
      <c r="L2" s="1"/>
    </row>
    <row r="3" spans="6:12" ht="28.8">
      <c r="F3" s="2" t="s">
        <v>1</v>
      </c>
      <c r="G3" s="2" t="s">
        <v>2</v>
      </c>
      <c r="H3" s="2" t="s">
        <v>3</v>
      </c>
      <c r="I3" s="3" t="s">
        <v>4</v>
      </c>
      <c r="J3" s="4" t="s">
        <v>5</v>
      </c>
      <c r="K3" s="2" t="s">
        <v>6</v>
      </c>
      <c r="L3" s="5" t="s">
        <v>7</v>
      </c>
    </row>
    <row r="4" spans="6:12" ht="28.8">
      <c r="F4" s="6" t="s">
        <v>8</v>
      </c>
      <c r="G4" s="7" t="s">
        <v>9</v>
      </c>
      <c r="H4" s="6">
        <v>400</v>
      </c>
      <c r="I4" s="8">
        <f>H4*7</f>
        <v>2800</v>
      </c>
      <c r="J4" s="7">
        <v>1163.2660000000001</v>
      </c>
      <c r="K4" s="6">
        <f>J4+J5+J6</f>
        <v>1753.2660000000001</v>
      </c>
      <c r="L4" s="6">
        <f>I4-K4</f>
        <v>1046.7339999999999</v>
      </c>
    </row>
    <row r="5" spans="6:12" ht="28.8">
      <c r="F5" s="6"/>
      <c r="G5" s="7" t="s">
        <v>10</v>
      </c>
      <c r="H5" s="6"/>
      <c r="I5" s="8"/>
      <c r="J5" s="7">
        <v>590</v>
      </c>
      <c r="K5" s="6"/>
      <c r="L5" s="6"/>
    </row>
    <row r="6" spans="6:12" ht="28.8">
      <c r="F6" s="6"/>
      <c r="G6" s="7" t="s">
        <v>11</v>
      </c>
      <c r="H6" s="6"/>
      <c r="I6" s="8"/>
      <c r="J6" s="7"/>
      <c r="K6" s="6"/>
      <c r="L6" s="6"/>
    </row>
    <row r="7" spans="6:12" ht="28.8">
      <c r="F7" s="6" t="s">
        <v>12</v>
      </c>
      <c r="G7" s="7" t="s">
        <v>13</v>
      </c>
      <c r="H7" s="6">
        <v>550</v>
      </c>
      <c r="I7" s="8">
        <f>H7*7</f>
        <v>3850</v>
      </c>
      <c r="J7" s="7">
        <v>553</v>
      </c>
      <c r="K7" s="6">
        <f>J7+J8</f>
        <v>753</v>
      </c>
      <c r="L7" s="6">
        <f>I7-K7</f>
        <v>3097</v>
      </c>
    </row>
    <row r="8" spans="6:12" ht="28.8">
      <c r="F8" s="6"/>
      <c r="G8" s="7" t="s">
        <v>11</v>
      </c>
      <c r="H8" s="6"/>
      <c r="I8" s="8"/>
      <c r="J8" s="7">
        <v>200</v>
      </c>
      <c r="K8" s="6"/>
      <c r="L8" s="6"/>
    </row>
    <row r="9" spans="6:12">
      <c r="F9" s="6" t="s">
        <v>14</v>
      </c>
      <c r="G9" s="7" t="s">
        <v>15</v>
      </c>
      <c r="H9" s="6">
        <v>500</v>
      </c>
      <c r="I9" s="8">
        <f>500*7</f>
        <v>3500</v>
      </c>
      <c r="J9" s="7">
        <v>420</v>
      </c>
      <c r="K9" s="6">
        <f>J9+J10+J11</f>
        <v>4349.49</v>
      </c>
      <c r="L9" s="9">
        <f>I9-K9</f>
        <v>-849.48999999999978</v>
      </c>
    </row>
    <row r="10" spans="6:12">
      <c r="F10" s="6"/>
      <c r="G10" s="7" t="s">
        <v>16</v>
      </c>
      <c r="H10" s="6"/>
      <c r="I10" s="8"/>
      <c r="J10" s="7">
        <v>1774.49</v>
      </c>
      <c r="K10" s="6"/>
      <c r="L10" s="9"/>
    </row>
    <row r="11" spans="6:12">
      <c r="F11" s="6"/>
      <c r="G11" s="7" t="s">
        <v>17</v>
      </c>
      <c r="H11" s="6"/>
      <c r="I11" s="8"/>
      <c r="J11" s="7">
        <v>2155</v>
      </c>
      <c r="K11" s="6"/>
      <c r="L11" s="9"/>
    </row>
    <row r="12" spans="6:12" ht="43.2">
      <c r="F12" s="7" t="s">
        <v>18</v>
      </c>
      <c r="G12" s="7" t="s">
        <v>19</v>
      </c>
      <c r="H12" s="7">
        <v>400</v>
      </c>
      <c r="I12" s="10">
        <f>400*7</f>
        <v>2800</v>
      </c>
      <c r="J12" s="7">
        <v>2078</v>
      </c>
      <c r="K12" s="7">
        <f>J12</f>
        <v>2078</v>
      </c>
      <c r="L12" s="7">
        <f>I12-K12</f>
        <v>722</v>
      </c>
    </row>
    <row r="13" spans="6:12" ht="28.8">
      <c r="F13" s="7" t="s">
        <v>20</v>
      </c>
      <c r="G13" s="7" t="s">
        <v>21</v>
      </c>
      <c r="H13" s="7">
        <v>400</v>
      </c>
      <c r="I13" s="10">
        <f>400*7</f>
        <v>2800</v>
      </c>
      <c r="J13" s="7">
        <v>2657</v>
      </c>
      <c r="K13" s="7">
        <f>J13</f>
        <v>2657</v>
      </c>
      <c r="L13" s="7">
        <f>I13-K13</f>
        <v>143</v>
      </c>
    </row>
    <row r="14" spans="6:12" ht="28.8">
      <c r="F14" s="7" t="s">
        <v>22</v>
      </c>
      <c r="G14" s="7" t="s">
        <v>23</v>
      </c>
      <c r="H14" s="7"/>
      <c r="I14" s="11"/>
      <c r="J14" s="7">
        <v>339</v>
      </c>
      <c r="K14" s="7">
        <f>J14</f>
        <v>339</v>
      </c>
      <c r="L14" s="7"/>
    </row>
    <row r="15" spans="6:12">
      <c r="F15" s="7"/>
      <c r="G15" s="7" t="s">
        <v>24</v>
      </c>
      <c r="H15" s="7"/>
      <c r="I15" s="11"/>
      <c r="J15" s="7">
        <v>30</v>
      </c>
      <c r="K15" s="7">
        <v>30</v>
      </c>
      <c r="L15" s="7"/>
    </row>
    <row r="16" spans="6:12" ht="28.8">
      <c r="F16" s="7"/>
      <c r="G16" s="7" t="s">
        <v>25</v>
      </c>
      <c r="H16" s="7"/>
      <c r="I16" s="11"/>
      <c r="J16" s="7"/>
      <c r="K16" s="7"/>
      <c r="L16" s="7"/>
    </row>
    <row r="17" spans="6:24">
      <c r="F17" s="7"/>
      <c r="G17" s="7"/>
      <c r="H17" s="7"/>
      <c r="I17" s="11"/>
      <c r="J17" s="12"/>
      <c r="K17" s="12"/>
      <c r="L17" s="12"/>
    </row>
    <row r="18" spans="6:24">
      <c r="F18" s="13" t="s">
        <v>26</v>
      </c>
      <c r="G18" s="13"/>
      <c r="H18" s="7"/>
      <c r="I18" s="14">
        <f>SUM(I4:I17)</f>
        <v>15750</v>
      </c>
      <c r="J18" s="15">
        <f>SUM(J4:J17)</f>
        <v>11959.756000000001</v>
      </c>
      <c r="K18" s="16">
        <f>SUM(K4:K16)</f>
        <v>11959.755999999999</v>
      </c>
      <c r="L18" s="12"/>
    </row>
    <row r="26" spans="6:24" ht="24.6">
      <c r="F26" s="17" t="s">
        <v>27</v>
      </c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9"/>
      <c r="W26" s="19"/>
      <c r="X26" s="19"/>
    </row>
    <row r="27" spans="6:24">
      <c r="F27" s="20" t="s">
        <v>28</v>
      </c>
      <c r="G27" s="20"/>
      <c r="H27" s="20" t="s">
        <v>29</v>
      </c>
      <c r="I27" s="20" t="s">
        <v>30</v>
      </c>
      <c r="J27" s="20" t="s">
        <v>31</v>
      </c>
      <c r="K27" s="21" t="s">
        <v>32</v>
      </c>
      <c r="L27" s="22">
        <v>46195</v>
      </c>
      <c r="M27" s="22">
        <v>46196</v>
      </c>
      <c r="N27" s="22">
        <v>46197</v>
      </c>
      <c r="O27" s="22">
        <v>46198</v>
      </c>
      <c r="P27" s="22">
        <v>46199</v>
      </c>
      <c r="Q27" s="22">
        <v>46200</v>
      </c>
      <c r="R27" s="22">
        <v>46201</v>
      </c>
      <c r="S27" s="23" t="s">
        <v>33</v>
      </c>
      <c r="T27" s="23" t="s">
        <v>34</v>
      </c>
      <c r="U27" s="24" t="s">
        <v>35</v>
      </c>
    </row>
    <row r="28" spans="6:24">
      <c r="F28" s="20"/>
      <c r="G28" s="20"/>
      <c r="H28" s="20"/>
      <c r="I28" s="20"/>
      <c r="J28" s="20"/>
      <c r="K28" s="21"/>
      <c r="L28" s="25"/>
      <c r="M28" s="25"/>
      <c r="N28" s="25"/>
      <c r="O28" s="25"/>
      <c r="P28" s="25"/>
      <c r="Q28" s="25"/>
      <c r="R28" s="25"/>
      <c r="S28" s="23"/>
      <c r="T28" s="23"/>
      <c r="U28" s="24"/>
    </row>
    <row r="29" spans="6:24">
      <c r="F29" s="20" t="s">
        <v>36</v>
      </c>
      <c r="G29" s="20"/>
      <c r="H29" s="20"/>
      <c r="I29" s="20"/>
      <c r="J29" s="20"/>
      <c r="K29" s="20"/>
      <c r="L29" s="25" t="s">
        <v>37</v>
      </c>
      <c r="M29" s="25" t="s">
        <v>38</v>
      </c>
      <c r="N29" s="25"/>
      <c r="O29" s="25"/>
      <c r="P29" s="25"/>
      <c r="Q29" s="25"/>
      <c r="R29" s="25"/>
      <c r="S29" s="26"/>
      <c r="T29" s="26"/>
      <c r="U29" s="25"/>
    </row>
    <row r="30" spans="6:24" ht="27.6">
      <c r="F30" s="27">
        <v>1</v>
      </c>
      <c r="G30" s="6" t="s">
        <v>12</v>
      </c>
      <c r="H30" s="6" t="s">
        <v>39</v>
      </c>
      <c r="I30" s="28" t="s">
        <v>40</v>
      </c>
      <c r="J30" s="29"/>
      <c r="K30" s="30"/>
      <c r="L30" s="29"/>
      <c r="M30" s="29"/>
      <c r="N30" s="29"/>
      <c r="O30" s="29"/>
      <c r="P30" s="29"/>
      <c r="Q30" s="29"/>
      <c r="R30" s="29"/>
      <c r="S30" s="29">
        <f>SUM(L30:R30)</f>
        <v>0</v>
      </c>
      <c r="T30" s="31">
        <v>27</v>
      </c>
      <c r="U30" s="32">
        <f>S30*T30</f>
        <v>0</v>
      </c>
    </row>
    <row r="31" spans="6:24" ht="27.6">
      <c r="F31" s="27"/>
      <c r="G31" s="6"/>
      <c r="H31" s="6"/>
      <c r="I31" s="28" t="s">
        <v>41</v>
      </c>
      <c r="J31" s="29"/>
      <c r="K31" s="30"/>
      <c r="L31" s="29"/>
      <c r="M31" s="29"/>
      <c r="N31" s="29"/>
      <c r="O31" s="29"/>
      <c r="P31" s="29"/>
      <c r="Q31" s="29"/>
      <c r="R31" s="29"/>
      <c r="S31" s="29">
        <f>SUM(L31:R31)</f>
        <v>0</v>
      </c>
      <c r="T31" s="31">
        <v>27</v>
      </c>
      <c r="U31" s="32">
        <f t="shared" ref="U31:U40" si="0">S31*T31</f>
        <v>0</v>
      </c>
    </row>
    <row r="32" spans="6:24" ht="69">
      <c r="F32" s="27"/>
      <c r="G32" s="6"/>
      <c r="H32" s="6"/>
      <c r="I32" s="28" t="s">
        <v>42</v>
      </c>
      <c r="J32" s="29"/>
      <c r="K32" s="30"/>
      <c r="L32" s="29">
        <v>100</v>
      </c>
      <c r="M32" s="29"/>
      <c r="N32" s="29"/>
      <c r="O32" s="29"/>
      <c r="P32" s="29"/>
      <c r="Q32" s="29"/>
      <c r="R32" s="29"/>
      <c r="S32" s="29">
        <f>SUM(L32:R32)</f>
        <v>100</v>
      </c>
      <c r="T32" s="31">
        <v>27</v>
      </c>
      <c r="U32" s="32">
        <f t="shared" si="0"/>
        <v>2700</v>
      </c>
    </row>
    <row r="33" spans="6:21" ht="41.4">
      <c r="F33" s="27"/>
      <c r="G33" s="6"/>
      <c r="H33" s="6"/>
      <c r="I33" s="28" t="s">
        <v>43</v>
      </c>
      <c r="J33" s="29"/>
      <c r="K33" s="30"/>
      <c r="L33" s="29">
        <v>50</v>
      </c>
      <c r="M33" s="29"/>
      <c r="N33" s="29"/>
      <c r="O33" s="29"/>
      <c r="P33" s="29"/>
      <c r="Q33" s="29"/>
      <c r="R33" s="29"/>
      <c r="S33" s="29">
        <f>SUM(L33:R33)</f>
        <v>50</v>
      </c>
      <c r="T33" s="31">
        <v>27</v>
      </c>
      <c r="U33" s="32">
        <f t="shared" si="0"/>
        <v>1350</v>
      </c>
    </row>
    <row r="34" spans="6:21" ht="41.4">
      <c r="F34" s="27"/>
      <c r="G34" s="6"/>
      <c r="H34" s="6"/>
      <c r="I34" s="28" t="s">
        <v>44</v>
      </c>
      <c r="J34" s="29"/>
      <c r="K34" s="30"/>
      <c r="L34" s="29"/>
      <c r="M34" s="29"/>
      <c r="N34" s="29"/>
      <c r="O34" s="29"/>
      <c r="P34" s="29"/>
      <c r="Q34" s="29"/>
      <c r="R34" s="29"/>
      <c r="S34" s="29">
        <f>SUM(L34:R34)</f>
        <v>0</v>
      </c>
      <c r="T34" s="31">
        <v>27</v>
      </c>
      <c r="U34" s="32">
        <f t="shared" si="0"/>
        <v>0</v>
      </c>
    </row>
    <row r="35" spans="6:21" ht="41.4">
      <c r="F35" s="27"/>
      <c r="G35" s="6"/>
      <c r="H35" s="6"/>
      <c r="I35" s="28" t="s">
        <v>45</v>
      </c>
      <c r="J35" s="29"/>
      <c r="K35" s="30"/>
      <c r="L35" s="29"/>
      <c r="M35" s="29"/>
      <c r="N35" s="29"/>
      <c r="O35" s="29"/>
      <c r="P35" s="29"/>
      <c r="Q35" s="29"/>
      <c r="R35" s="29"/>
      <c r="S35" s="29">
        <f>SUM(L35:R35)</f>
        <v>0</v>
      </c>
      <c r="T35" s="31">
        <v>27</v>
      </c>
      <c r="U35" s="32">
        <f t="shared" si="0"/>
        <v>0</v>
      </c>
    </row>
    <row r="36" spans="6:21" ht="27.6">
      <c r="F36" s="27"/>
      <c r="G36" s="6"/>
      <c r="H36" s="6"/>
      <c r="I36" s="28" t="s">
        <v>46</v>
      </c>
      <c r="J36" s="29"/>
      <c r="K36" s="30"/>
      <c r="L36" s="29"/>
      <c r="M36" s="29"/>
      <c r="N36" s="29"/>
      <c r="O36" s="29"/>
      <c r="P36" s="29"/>
      <c r="Q36" s="29"/>
      <c r="R36" s="29"/>
      <c r="S36" s="29">
        <f>SUM(L36:R36)</f>
        <v>0</v>
      </c>
      <c r="T36" s="31">
        <v>27</v>
      </c>
      <c r="U36" s="32">
        <f t="shared" si="0"/>
        <v>0</v>
      </c>
    </row>
    <row r="37" spans="6:21" ht="57.6">
      <c r="F37" s="27"/>
      <c r="G37" s="6"/>
      <c r="H37" s="6"/>
      <c r="I37" s="7" t="s">
        <v>47</v>
      </c>
      <c r="J37" s="29"/>
      <c r="K37" s="30"/>
      <c r="L37" s="29"/>
      <c r="M37" s="29"/>
      <c r="N37" s="29"/>
      <c r="O37" s="29"/>
      <c r="P37" s="29"/>
      <c r="Q37" s="29"/>
      <c r="R37" s="29"/>
      <c r="S37" s="29">
        <f>SUM(L37:R37)</f>
        <v>0</v>
      </c>
      <c r="T37" s="31">
        <v>27</v>
      </c>
      <c r="U37" s="32">
        <f t="shared" si="0"/>
        <v>0</v>
      </c>
    </row>
    <row r="38" spans="6:21" ht="57.6">
      <c r="F38" s="27"/>
      <c r="G38" s="6"/>
      <c r="H38" s="6"/>
      <c r="I38" s="7" t="s">
        <v>47</v>
      </c>
      <c r="J38" s="29"/>
      <c r="K38" s="30"/>
      <c r="L38" s="29"/>
      <c r="M38" s="29"/>
      <c r="N38" s="29"/>
      <c r="O38" s="29"/>
      <c r="P38" s="29"/>
      <c r="Q38" s="29"/>
      <c r="R38" s="29"/>
      <c r="S38" s="29">
        <f>SUM(L38:R38)</f>
        <v>0</v>
      </c>
      <c r="T38" s="31">
        <v>27</v>
      </c>
      <c r="U38" s="32">
        <f t="shared" si="0"/>
        <v>0</v>
      </c>
    </row>
    <row r="39" spans="6:21" ht="28.8">
      <c r="F39" s="27"/>
      <c r="G39" s="6"/>
      <c r="H39" s="6"/>
      <c r="I39" s="7" t="s">
        <v>48</v>
      </c>
      <c r="J39" s="29"/>
      <c r="K39" s="30"/>
      <c r="L39" s="29"/>
      <c r="M39" s="29"/>
      <c r="N39" s="29"/>
      <c r="O39" s="29"/>
      <c r="P39" s="29"/>
      <c r="Q39" s="29"/>
      <c r="R39" s="29"/>
      <c r="S39" s="29">
        <f>SUM(L39:R39)</f>
        <v>0</v>
      </c>
      <c r="T39" s="31">
        <v>27</v>
      </c>
      <c r="U39" s="32">
        <f t="shared" si="0"/>
        <v>0</v>
      </c>
    </row>
    <row r="40" spans="6:21" ht="57.6">
      <c r="F40" s="27"/>
      <c r="G40" s="6"/>
      <c r="H40" s="6"/>
      <c r="I40" s="7" t="s">
        <v>49</v>
      </c>
      <c r="J40" s="29"/>
      <c r="K40" s="30"/>
      <c r="L40" s="29"/>
      <c r="M40" s="29"/>
      <c r="N40" s="29"/>
      <c r="O40" s="29"/>
      <c r="P40" s="29"/>
      <c r="Q40" s="29"/>
      <c r="R40" s="29"/>
      <c r="S40" s="29">
        <f>SUM(L40:R40)</f>
        <v>0</v>
      </c>
      <c r="T40" s="31">
        <v>27</v>
      </c>
      <c r="U40" s="32">
        <f t="shared" si="0"/>
        <v>0</v>
      </c>
    </row>
    <row r="41" spans="6:21">
      <c r="F41" s="33" t="s">
        <v>50</v>
      </c>
      <c r="G41" s="34"/>
      <c r="H41" s="34"/>
      <c r="I41" s="34"/>
      <c r="J41" s="34"/>
      <c r="K41" s="35"/>
      <c r="L41" s="29">
        <f>SUM(L30:L40)</f>
        <v>150</v>
      </c>
      <c r="M41" s="29">
        <f t="shared" ref="M41:R41" si="1">SUM(M30:M40)</f>
        <v>0</v>
      </c>
      <c r="N41" s="36">
        <f t="shared" si="1"/>
        <v>0</v>
      </c>
      <c r="O41" s="29">
        <f t="shared" si="1"/>
        <v>0</v>
      </c>
      <c r="P41" s="29">
        <f t="shared" si="1"/>
        <v>0</v>
      </c>
      <c r="Q41" s="29">
        <f t="shared" si="1"/>
        <v>0</v>
      </c>
      <c r="R41" s="29">
        <f t="shared" si="1"/>
        <v>0</v>
      </c>
      <c r="S41" s="37">
        <f>SUM(S30:S40)</f>
        <v>150</v>
      </c>
      <c r="T41" s="38"/>
      <c r="U41" s="39">
        <f>SUM(U30:U40)</f>
        <v>4050</v>
      </c>
    </row>
    <row r="42" spans="6:21">
      <c r="F42" s="40"/>
      <c r="G42" s="41"/>
      <c r="H42" s="41"/>
      <c r="I42" s="41"/>
      <c r="J42" s="41"/>
      <c r="K42" s="42"/>
      <c r="L42" s="43">
        <f>L41*27</f>
        <v>4050</v>
      </c>
      <c r="M42" s="43">
        <f t="shared" ref="M42:R42" si="2">M41*27</f>
        <v>0</v>
      </c>
      <c r="N42" s="43">
        <f t="shared" si="2"/>
        <v>0</v>
      </c>
      <c r="O42" s="43">
        <f t="shared" si="2"/>
        <v>0</v>
      </c>
      <c r="P42" s="43">
        <f t="shared" si="2"/>
        <v>0</v>
      </c>
      <c r="Q42" s="43">
        <f t="shared" si="2"/>
        <v>0</v>
      </c>
      <c r="R42" s="43">
        <f t="shared" si="2"/>
        <v>0</v>
      </c>
      <c r="S42" s="43">
        <f>SUM(L42:R42)</f>
        <v>4050</v>
      </c>
      <c r="T42" s="38"/>
      <c r="U42" s="39">
        <f>S42*T40</f>
        <v>109350</v>
      </c>
    </row>
  </sheetData>
  <mergeCells count="31">
    <mergeCell ref="F29:K29"/>
    <mergeCell ref="F30:F40"/>
    <mergeCell ref="G30:G40"/>
    <mergeCell ref="H30:H40"/>
    <mergeCell ref="F41:K42"/>
    <mergeCell ref="F18:G18"/>
    <mergeCell ref="F26:U26"/>
    <mergeCell ref="F27:G28"/>
    <mergeCell ref="H27:H28"/>
    <mergeCell ref="I27:I28"/>
    <mergeCell ref="J27:J28"/>
    <mergeCell ref="K27:K28"/>
    <mergeCell ref="S27:S28"/>
    <mergeCell ref="T27:T28"/>
    <mergeCell ref="U27:U28"/>
    <mergeCell ref="F7:F8"/>
    <mergeCell ref="H7:H8"/>
    <mergeCell ref="I7:I8"/>
    <mergeCell ref="K7:K8"/>
    <mergeCell ref="L7:L8"/>
    <mergeCell ref="F9:F11"/>
    <mergeCell ref="H9:H11"/>
    <mergeCell ref="I9:I11"/>
    <mergeCell ref="K9:K11"/>
    <mergeCell ref="L9:L11"/>
    <mergeCell ref="F2:L2"/>
    <mergeCell ref="F4:F6"/>
    <mergeCell ref="H4:H6"/>
    <mergeCell ref="I4:I6"/>
    <mergeCell ref="K4:K6"/>
    <mergeCell ref="L4:L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SEMANA 28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Luisa Paola Kassandri Jaramillo Rangel y Saldaña</dc:creator>
  <cp:lastModifiedBy>Luisa Paola Kassandri Jaramillo Rangel y Saldaña</cp:lastModifiedBy>
  <dcterms:created xsi:type="dcterms:W3CDTF">2026-07-21T15:17:44Z</dcterms:created>
  <dcterms:modified xsi:type="dcterms:W3CDTF">2026-07-21T15:18:22Z</dcterms:modified>
</cp:coreProperties>
</file>