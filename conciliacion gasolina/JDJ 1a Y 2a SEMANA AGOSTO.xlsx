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A78AF825-59D2-4096-BAC7-4C5F30F8D001}" xr6:coauthVersionLast="47" xr6:coauthVersionMax="47" xr10:uidLastSave="{00000000-0000-0000-0000-000000000000}"/>
  <bookViews>
    <workbookView xWindow="-108" yWindow="-108" windowWidth="23256" windowHeight="12456" xr2:uid="{71C89964-B350-4218-ADE7-8FD070632AD1}"/>
  </bookViews>
  <sheets>
    <sheet name="AGOSTO 2026" sheetId="1" r:id="rId1"/>
  </sheets>
  <definedNames>
    <definedName name="_xlnm._FilterDatabase" localSheetId="0" hidden="1">'AGOSTO 2026'!$B$4:$J$107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1" i="1" l="1"/>
  <c r="K93" i="1"/>
  <c r="K91" i="1"/>
  <c r="K84" i="1"/>
  <c r="K79" i="1"/>
  <c r="K77" i="1"/>
  <c r="K69" i="1"/>
  <c r="J98" i="1"/>
  <c r="J101" i="1" s="1"/>
  <c r="K49" i="1"/>
  <c r="K47" i="1"/>
  <c r="K41" i="1"/>
  <c r="K36" i="1"/>
  <c r="K32" i="1"/>
  <c r="K26" i="1"/>
  <c r="K5" i="1"/>
</calcChain>
</file>

<file path=xl/sharedStrings.xml><?xml version="1.0" encoding="utf-8"?>
<sst xmlns="http://schemas.openxmlformats.org/spreadsheetml/2006/main" count="273" uniqueCount="95">
  <si>
    <t>JDJ</t>
  </si>
  <si>
    <t>REPORTE  DE COMBUSTIBLE</t>
  </si>
  <si>
    <t>CONTROL 2026</t>
  </si>
  <si>
    <t>TICKET</t>
  </si>
  <si>
    <t>FECHA</t>
  </si>
  <si>
    <t>UNID.</t>
  </si>
  <si>
    <t>KILOMETRAJE</t>
  </si>
  <si>
    <t>CONDUCTOR</t>
  </si>
  <si>
    <t>OBRA</t>
  </si>
  <si>
    <t>LTS. DE COMBUST.</t>
  </si>
  <si>
    <t>PRECIO</t>
  </si>
  <si>
    <t>IMPORTE DE CARGA</t>
  </si>
  <si>
    <t>NYZ828C</t>
  </si>
  <si>
    <t>ABNER OSORNIO</t>
  </si>
  <si>
    <t>MINA ZUMPAHUACAN</t>
  </si>
  <si>
    <t>LKC7940</t>
  </si>
  <si>
    <t>CRISTOBAL SILVA</t>
  </si>
  <si>
    <t>AUT JARAMILLO</t>
  </si>
  <si>
    <t>NYZ839C</t>
  </si>
  <si>
    <t>ISAAC GONZALEZ</t>
  </si>
  <si>
    <t>PCU8771</t>
  </si>
  <si>
    <t>JESUS MARIN</t>
  </si>
  <si>
    <t>MINA CUAJOMAC</t>
  </si>
  <si>
    <t>PBT1229</t>
  </si>
  <si>
    <t>DIEGO FERNANDEZ</t>
  </si>
  <si>
    <t>LERMA-TENANGO</t>
  </si>
  <si>
    <t>EQ.MENORES</t>
  </si>
  <si>
    <t>PCW9238</t>
  </si>
  <si>
    <t>CARLOS NOE</t>
  </si>
  <si>
    <t xml:space="preserve">MAQUINARIA </t>
  </si>
  <si>
    <t>LH49746</t>
  </si>
  <si>
    <t>CARMELO ALVZ</t>
  </si>
  <si>
    <t>LLY083A</t>
  </si>
  <si>
    <t>PAOLA J.</t>
  </si>
  <si>
    <t>CORPORATIVO</t>
  </si>
  <si>
    <t>NXP4918</t>
  </si>
  <si>
    <t>HENRY PINEDA</t>
  </si>
  <si>
    <t>LICITACION</t>
  </si>
  <si>
    <t>33K68</t>
  </si>
  <si>
    <t>CARLOS TRUJANO</t>
  </si>
  <si>
    <t>MINA TABERNILLAS</t>
  </si>
  <si>
    <t>MHL755A</t>
  </si>
  <si>
    <t>JAVIERZ PRZ</t>
  </si>
  <si>
    <t>MEXICO TOLUCA</t>
  </si>
  <si>
    <t>LHB176D</t>
  </si>
  <si>
    <t>JUAN WILLIAMS</t>
  </si>
  <si>
    <t>PLANTA PEGASSO</t>
  </si>
  <si>
    <t>LF05470</t>
  </si>
  <si>
    <t>TOMAS ARANDA</t>
  </si>
  <si>
    <t>OBRAS PUBLICAS</t>
  </si>
  <si>
    <t>NYZ971C</t>
  </si>
  <si>
    <t>APOLINAR REYES</t>
  </si>
  <si>
    <t>NYZ790C</t>
  </si>
  <si>
    <t>LEONICIO</t>
  </si>
  <si>
    <t>NYZ829C</t>
  </si>
  <si>
    <t>DIEGO CARREOLA</t>
  </si>
  <si>
    <t>BACHEO TOLUCA CALLE VICENTE LOMBARDO</t>
  </si>
  <si>
    <t>MHL758A</t>
  </si>
  <si>
    <t>CARLOS ALARCON</t>
  </si>
  <si>
    <t>MNX601B</t>
  </si>
  <si>
    <t>ROBERTO ARTEAGA</t>
  </si>
  <si>
    <t>REVOLUCION Y BACHEO TOLUCA</t>
  </si>
  <si>
    <t>LHB184D</t>
  </si>
  <si>
    <t>BRYAN CHAVEZ</t>
  </si>
  <si>
    <t>PCW9391</t>
  </si>
  <si>
    <t>EDGAR VLZQZ</t>
  </si>
  <si>
    <t>MAQUINARIA PEGASSO</t>
  </si>
  <si>
    <t>MAQ. MENOR</t>
  </si>
  <si>
    <t>MAQUINARIA</t>
  </si>
  <si>
    <t>MHL757A</t>
  </si>
  <si>
    <t>LAZARO PINAL</t>
  </si>
  <si>
    <t>NUZ948C</t>
  </si>
  <si>
    <t>TRANSPORTES FLOTILLA</t>
  </si>
  <si>
    <t>LOWBOYS</t>
  </si>
  <si>
    <t>LHB188D</t>
  </si>
  <si>
    <t>JOSE ANTONIO</t>
  </si>
  <si>
    <t>ALFREDO DEL MAZO</t>
  </si>
  <si>
    <t>PAT8298</t>
  </si>
  <si>
    <t>33K844</t>
  </si>
  <si>
    <t>JAVIER PRZ</t>
  </si>
  <si>
    <t>NZT266B</t>
  </si>
  <si>
    <t>SAMUEL SILVA</t>
  </si>
  <si>
    <t>CARLOS</t>
  </si>
  <si>
    <t>33K849</t>
  </si>
  <si>
    <t>CARLOS REYES</t>
  </si>
  <si>
    <t>TOTAL</t>
  </si>
  <si>
    <t>SALDO X PAGAR</t>
  </si>
  <si>
    <t>LHB180D</t>
  </si>
  <si>
    <t>ARMANDO LANDIN</t>
  </si>
  <si>
    <t>CALLE REVOLUCION Y BACHEO</t>
  </si>
  <si>
    <t>LLY085A</t>
  </si>
  <si>
    <t>LKC794D</t>
  </si>
  <si>
    <t>ALBERTO HDZ</t>
  </si>
  <si>
    <t>PCU7482</t>
  </si>
  <si>
    <t>PLANTA HUIXQUILUCAN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</si>
</sst>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/>
    <xf numFmtId="0" fontId="3" fillId="0" borderId="9" xfId="0" applyFont="1" applyBorder="1" applyAlignment="1">
      <alignment horizontal="justify" vertical="center" wrapText="1"/>
    </xf>
    <xf numFmtId="14" fontId="3" fillId="0" borderId="10" xfId="0" applyNumberFormat="1" applyFont="1" applyBorder="1" applyAlignment="1">
      <alignment horizontal="justify" vertical="center" wrapText="1"/>
    </xf>
    <xf numFmtId="16" fontId="3" fillId="0" borderId="10" xfId="0" applyNumberFormat="1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left" vertical="center"/>
    </xf>
    <xf numFmtId="43" fontId="3" fillId="0" borderId="11" xfId="0" applyNumberFormat="1" applyFont="1" applyBorder="1" applyAlignment="1">
      <alignment horizontal="justify" vertical="center" wrapText="1"/>
    </xf>
    <xf numFmtId="43" fontId="0" fillId="0" borderId="0" xfId="0" applyNumberFormat="1"/>
    <xf numFmtId="0" fontId="3" fillId="0" borderId="12" xfId="0" applyFont="1" applyBorder="1" applyAlignment="1">
      <alignment horizontal="justify" vertical="center" wrapText="1"/>
    </xf>
    <xf numFmtId="14" fontId="3" fillId="0" borderId="13" xfId="0" applyNumberFormat="1" applyFont="1" applyBorder="1" applyAlignment="1">
      <alignment horizontal="justify" vertical="center" wrapText="1"/>
    </xf>
    <xf numFmtId="16" fontId="3" fillId="0" borderId="13" xfId="0" applyNumberFormat="1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left" vertical="center"/>
    </xf>
    <xf numFmtId="43" fontId="3" fillId="0" borderId="14" xfId="0" applyNumberFormat="1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14" fontId="3" fillId="0" borderId="7" xfId="0" applyNumberFormat="1" applyFont="1" applyBorder="1" applyAlignment="1">
      <alignment horizontal="justify" vertical="center" wrapText="1"/>
    </xf>
    <xf numFmtId="16" fontId="3" fillId="0" borderId="7" xfId="0" applyNumberFormat="1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left" vertical="center"/>
    </xf>
    <xf numFmtId="43" fontId="3" fillId="0" borderId="8" xfId="0" applyNumberFormat="1" applyFont="1" applyBorder="1" applyAlignment="1">
      <alignment horizontal="justify" vertical="center" wrapText="1"/>
    </xf>
    <xf numFmtId="0" fontId="4" fillId="0" borderId="0" xfId="0" applyFont="1"/>
    <xf numFmtId="0" fontId="2" fillId="0" borderId="4" xfId="0" applyFont="1" applyBorder="1"/>
    <xf numFmtId="0" fontId="3" fillId="0" borderId="5" xfId="0" applyFont="1" applyBorder="1"/>
    <xf numFmtId="44" fontId="2" fillId="0" borderId="15" xfId="1" applyFont="1" applyBorder="1"/>
    <xf numFmtId="44" fontId="3" fillId="0" borderId="0" xfId="1" applyFont="1"/>
    <xf numFmtId="0" fontId="5" fillId="0" borderId="0" xfId="0" applyFont="1"/>
    <xf numFmtId="44" fontId="3" fillId="0" borderId="18" xfId="1" applyFont="1" applyBorder="1"/>
    <xf numFmtId="44" fontId="3" fillId="0" borderId="0" xfId="0" applyNumberFormat="1" applyFont="1"/>
    <xf numFmtId="0" fontId="3" fillId="2" borderId="9" xfId="0" applyFont="1" applyFill="1" applyBorder="1" applyAlignment="1">
      <alignment horizontal="justify" vertical="center" wrapText="1"/>
    </xf>
    <xf numFmtId="14" fontId="3" fillId="2" borderId="10" xfId="0" applyNumberFormat="1" applyFont="1" applyFill="1" applyBorder="1" applyAlignment="1">
      <alignment horizontal="justify" vertical="center" wrapText="1"/>
    </xf>
    <xf numFmtId="0" fontId="3" fillId="2" borderId="10" xfId="0" applyFont="1" applyFill="1" applyBorder="1" applyAlignment="1">
      <alignment horizontal="justify" vertical="center" wrapText="1"/>
    </xf>
    <xf numFmtId="0" fontId="3" fillId="2" borderId="10" xfId="0" applyFont="1" applyFill="1" applyBorder="1" applyAlignment="1">
      <alignment horizontal="left" vertical="center"/>
    </xf>
    <xf numFmtId="43" fontId="3" fillId="2" borderId="11" xfId="0" applyNumberFormat="1" applyFont="1" applyFill="1" applyBorder="1" applyAlignment="1">
      <alignment horizontal="justify" vertical="center" wrapText="1"/>
    </xf>
    <xf numFmtId="0" fontId="3" fillId="3" borderId="9" xfId="0" applyFont="1" applyFill="1" applyBorder="1" applyAlignment="1">
      <alignment horizontal="justify" vertical="center" wrapText="1"/>
    </xf>
    <xf numFmtId="14" fontId="3" fillId="3" borderId="10" xfId="0" applyNumberFormat="1" applyFont="1" applyFill="1" applyBorder="1" applyAlignment="1">
      <alignment horizontal="justify" vertical="center" wrapText="1"/>
    </xf>
    <xf numFmtId="0" fontId="3" fillId="3" borderId="10" xfId="0" applyFont="1" applyFill="1" applyBorder="1" applyAlignment="1">
      <alignment horizontal="justify" vertical="center" wrapText="1"/>
    </xf>
    <xf numFmtId="0" fontId="3" fillId="3" borderId="10" xfId="0" applyFont="1" applyFill="1" applyBorder="1" applyAlignment="1">
      <alignment horizontal="left" vertical="center"/>
    </xf>
    <xf numFmtId="43" fontId="3" fillId="3" borderId="11" xfId="0" applyNumberFormat="1" applyFont="1" applyFill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D12D-298E-4DC0-9C98-4279D762013B}">
  <sheetPr>
    <pageSetUpPr fitToPage="1"/>
  </sheetPr>
  <dimension ref="A1:M116"/>
  <sheetViews>
    <sheetView tabSelected="1" topLeftCell="A90" zoomScale="85" zoomScaleNormal="85" workbookViewId="0">
      <selection activeCell="L101" sqref="L101"/>
    </sheetView>
  </sheetViews>
  <sheetFormatPr baseColWidth="10" defaultRowHeight="14.4" x14ac:dyDescent="0.3"/>
  <cols>
    <col min="1" max="1" width="5.33203125" style="24" customWidth="1"/>
    <col min="2" max="2" width="15" style="29" customWidth="1"/>
    <col min="3" max="3" width="18.5546875" style="29" customWidth="1"/>
    <col min="4" max="4" width="9.88671875" style="29" customWidth="1"/>
    <col min="5" max="5" width="11.44140625" style="29" hidden="1" customWidth="1"/>
    <col min="6" max="7" width="36.88671875" style="29" customWidth="1"/>
    <col min="8" max="8" width="8.5546875" style="29" bestFit="1" customWidth="1"/>
    <col min="9" max="9" width="6.5546875" style="29" bestFit="1" customWidth="1"/>
    <col min="10" max="10" width="22.44140625" style="29" customWidth="1"/>
    <col min="13" max="13" width="13.33203125" customWidth="1"/>
  </cols>
  <sheetData>
    <row r="1" spans="2:12" x14ac:dyDescent="0.3">
      <c r="B1" s="42" t="s">
        <v>0</v>
      </c>
      <c r="C1" s="43"/>
      <c r="D1" s="43"/>
      <c r="E1" s="43"/>
      <c r="F1" s="43"/>
      <c r="G1" s="43"/>
      <c r="H1" s="43"/>
      <c r="I1" s="43"/>
      <c r="J1" s="43"/>
    </row>
    <row r="2" spans="2:12" x14ac:dyDescent="0.3">
      <c r="B2" s="44" t="s">
        <v>1</v>
      </c>
      <c r="C2" s="45"/>
      <c r="D2" s="45"/>
      <c r="E2" s="45"/>
      <c r="F2" s="45"/>
      <c r="G2" s="45"/>
      <c r="H2" s="45"/>
      <c r="I2" s="45"/>
      <c r="J2" s="45"/>
    </row>
    <row r="3" spans="2:12" ht="15" thickBot="1" x14ac:dyDescent="0.35">
      <c r="B3" s="46" t="s">
        <v>2</v>
      </c>
      <c r="C3" s="47"/>
      <c r="D3" s="47"/>
      <c r="E3" s="47"/>
      <c r="F3" s="47"/>
      <c r="G3" s="47"/>
      <c r="H3" s="47"/>
      <c r="I3" s="47"/>
      <c r="J3" s="47"/>
    </row>
    <row r="4" spans="2:12" s="4" customFormat="1" ht="36.75" customHeight="1" x14ac:dyDescent="0.3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3" t="s">
        <v>11</v>
      </c>
    </row>
    <row r="5" spans="2:12" ht="30" customHeight="1" x14ac:dyDescent="0.3">
      <c r="B5" s="5">
        <v>412994</v>
      </c>
      <c r="C5" s="6">
        <v>46235</v>
      </c>
      <c r="D5" s="7" t="s">
        <v>12</v>
      </c>
      <c r="E5" s="8"/>
      <c r="F5" s="8" t="s">
        <v>13</v>
      </c>
      <c r="G5" s="8" t="s">
        <v>14</v>
      </c>
      <c r="H5" s="8">
        <v>21.844000000000001</v>
      </c>
      <c r="I5" s="9">
        <v>22.89</v>
      </c>
      <c r="J5" s="10">
        <v>500</v>
      </c>
      <c r="K5" s="11">
        <f>SUM(J5)</f>
        <v>500</v>
      </c>
    </row>
    <row r="6" spans="2:12" ht="30" customHeight="1" x14ac:dyDescent="0.3">
      <c r="B6" s="5">
        <v>413387</v>
      </c>
      <c r="C6" s="6">
        <v>46237</v>
      </c>
      <c r="D6" s="7" t="s">
        <v>15</v>
      </c>
      <c r="E6" s="8"/>
      <c r="F6" s="8" t="s">
        <v>16</v>
      </c>
      <c r="G6" s="8" t="s">
        <v>17</v>
      </c>
      <c r="H6" s="8">
        <v>63.889000000000003</v>
      </c>
      <c r="I6" s="9">
        <v>27.89</v>
      </c>
      <c r="J6" s="10">
        <v>1782.14</v>
      </c>
    </row>
    <row r="7" spans="2:12" ht="30" customHeight="1" x14ac:dyDescent="0.3">
      <c r="B7" s="5">
        <v>413383</v>
      </c>
      <c r="C7" s="6">
        <v>46237</v>
      </c>
      <c r="D7" s="7" t="s">
        <v>18</v>
      </c>
      <c r="E7" s="8"/>
      <c r="F7" s="8" t="s">
        <v>19</v>
      </c>
      <c r="G7" s="8" t="s">
        <v>14</v>
      </c>
      <c r="H7" s="8">
        <v>65.531000000000006</v>
      </c>
      <c r="I7" s="9">
        <v>22.89</v>
      </c>
      <c r="J7" s="10">
        <v>1500</v>
      </c>
    </row>
    <row r="8" spans="2:12" ht="30" customHeight="1" x14ac:dyDescent="0.3">
      <c r="B8" s="5">
        <v>413380</v>
      </c>
      <c r="C8" s="6">
        <v>46237</v>
      </c>
      <c r="D8" s="7" t="s">
        <v>20</v>
      </c>
      <c r="E8" s="8"/>
      <c r="F8" s="8" t="s">
        <v>21</v>
      </c>
      <c r="G8" s="8" t="s">
        <v>22</v>
      </c>
      <c r="H8" s="8">
        <v>29.875</v>
      </c>
      <c r="I8" s="9">
        <v>22.89</v>
      </c>
      <c r="J8" s="10">
        <v>683.85</v>
      </c>
    </row>
    <row r="9" spans="2:12" ht="30" customHeight="1" x14ac:dyDescent="0.3">
      <c r="B9" s="5">
        <v>413378</v>
      </c>
      <c r="C9" s="6">
        <v>46237</v>
      </c>
      <c r="D9" s="7" t="s">
        <v>20</v>
      </c>
      <c r="E9" s="8"/>
      <c r="F9" s="8" t="s">
        <v>21</v>
      </c>
      <c r="G9" s="8" t="s">
        <v>22</v>
      </c>
      <c r="H9" s="8">
        <v>57.499000000000002</v>
      </c>
      <c r="I9" s="9">
        <v>22.89</v>
      </c>
      <c r="J9" s="10">
        <v>1316.15</v>
      </c>
    </row>
    <row r="10" spans="2:12" ht="30" customHeight="1" x14ac:dyDescent="0.3">
      <c r="B10" s="5">
        <v>413446</v>
      </c>
      <c r="C10" s="6">
        <v>46237</v>
      </c>
      <c r="D10" s="7" t="s">
        <v>23</v>
      </c>
      <c r="E10" s="8"/>
      <c r="F10" s="8" t="s">
        <v>24</v>
      </c>
      <c r="G10" s="8" t="s">
        <v>25</v>
      </c>
      <c r="H10" s="8">
        <v>41.438000000000002</v>
      </c>
      <c r="I10" s="9">
        <v>22.89</v>
      </c>
      <c r="J10" s="10">
        <v>948.52</v>
      </c>
    </row>
    <row r="11" spans="2:12" ht="30" customHeight="1" x14ac:dyDescent="0.3">
      <c r="B11" s="5">
        <v>413448</v>
      </c>
      <c r="C11" s="6">
        <v>46237</v>
      </c>
      <c r="D11" s="7" t="s">
        <v>26</v>
      </c>
      <c r="E11" s="8"/>
      <c r="F11" s="8" t="s">
        <v>24</v>
      </c>
      <c r="G11" s="8" t="s">
        <v>25</v>
      </c>
      <c r="H11" s="8">
        <v>43.686999999999998</v>
      </c>
      <c r="I11" s="9">
        <v>22.89</v>
      </c>
      <c r="J11" s="10">
        <v>1000</v>
      </c>
      <c r="K11" s="11"/>
      <c r="L11" s="11"/>
    </row>
    <row r="12" spans="2:12" ht="30" customHeight="1" x14ac:dyDescent="0.3">
      <c r="B12" s="5">
        <v>413451</v>
      </c>
      <c r="C12" s="6">
        <v>46237</v>
      </c>
      <c r="D12" s="7" t="s">
        <v>27</v>
      </c>
      <c r="E12" s="8"/>
      <c r="F12" s="8" t="s">
        <v>28</v>
      </c>
      <c r="G12" s="8" t="s">
        <v>29</v>
      </c>
      <c r="H12" s="8">
        <v>47.529000000000003</v>
      </c>
      <c r="I12" s="9">
        <v>22.89</v>
      </c>
      <c r="J12" s="10">
        <v>1087.94</v>
      </c>
      <c r="K12" s="11"/>
    </row>
    <row r="13" spans="2:12" ht="30" customHeight="1" x14ac:dyDescent="0.3">
      <c r="B13" s="5">
        <v>413443</v>
      </c>
      <c r="C13" s="6">
        <v>46237</v>
      </c>
      <c r="D13" s="7" t="s">
        <v>30</v>
      </c>
      <c r="E13" s="8"/>
      <c r="F13" s="8" t="s">
        <v>31</v>
      </c>
      <c r="G13" s="8" t="s">
        <v>25</v>
      </c>
      <c r="H13" s="8">
        <v>131.06200000000001</v>
      </c>
      <c r="I13" s="9">
        <v>22.89</v>
      </c>
      <c r="J13" s="10">
        <v>3000</v>
      </c>
    </row>
    <row r="14" spans="2:12" ht="30" customHeight="1" x14ac:dyDescent="0.3">
      <c r="B14" s="5">
        <v>413394</v>
      </c>
      <c r="C14" s="6">
        <v>46237</v>
      </c>
      <c r="D14" s="7" t="s">
        <v>12</v>
      </c>
      <c r="E14" s="8"/>
      <c r="F14" s="8" t="s">
        <v>13</v>
      </c>
      <c r="G14" s="8" t="s">
        <v>14</v>
      </c>
      <c r="H14" s="8">
        <v>63.426000000000002</v>
      </c>
      <c r="I14" s="9">
        <v>22.89</v>
      </c>
      <c r="J14" s="10">
        <v>1451.82</v>
      </c>
    </row>
    <row r="15" spans="2:12" ht="30" customHeight="1" x14ac:dyDescent="0.3">
      <c r="B15" s="5">
        <v>413441</v>
      </c>
      <c r="C15" s="6">
        <v>46237</v>
      </c>
      <c r="D15" s="7" t="s">
        <v>32</v>
      </c>
      <c r="E15" s="8"/>
      <c r="F15" s="8" t="s">
        <v>33</v>
      </c>
      <c r="G15" s="8" t="s">
        <v>34</v>
      </c>
      <c r="H15" s="8">
        <v>30.581</v>
      </c>
      <c r="I15" s="9">
        <v>22.89</v>
      </c>
      <c r="J15" s="10">
        <v>700</v>
      </c>
    </row>
    <row r="16" spans="2:12" ht="30" customHeight="1" x14ac:dyDescent="0.3">
      <c r="B16" s="5">
        <v>413450</v>
      </c>
      <c r="C16" s="6">
        <v>46237</v>
      </c>
      <c r="D16" s="7" t="s">
        <v>35</v>
      </c>
      <c r="E16" s="8"/>
      <c r="F16" s="8" t="s">
        <v>36</v>
      </c>
      <c r="G16" s="8" t="s">
        <v>37</v>
      </c>
      <c r="H16" s="8">
        <v>34.950000000000003</v>
      </c>
      <c r="I16" s="9">
        <v>22.89</v>
      </c>
      <c r="J16" s="10">
        <v>800</v>
      </c>
    </row>
    <row r="17" spans="2:11" ht="30" customHeight="1" x14ac:dyDescent="0.3">
      <c r="B17" s="5">
        <v>413462</v>
      </c>
      <c r="C17" s="6">
        <v>46237</v>
      </c>
      <c r="D17" s="7" t="s">
        <v>38</v>
      </c>
      <c r="E17" s="8"/>
      <c r="F17" s="8" t="s">
        <v>39</v>
      </c>
      <c r="G17" s="8" t="s">
        <v>40</v>
      </c>
      <c r="H17" s="8">
        <v>57.381999999999998</v>
      </c>
      <c r="I17" s="9">
        <v>27.89</v>
      </c>
      <c r="J17" s="10">
        <v>1600.38</v>
      </c>
      <c r="K17" s="11"/>
    </row>
    <row r="18" spans="2:11" ht="30" customHeight="1" x14ac:dyDescent="0.3">
      <c r="B18" s="5">
        <v>413454</v>
      </c>
      <c r="C18" s="6">
        <v>46237</v>
      </c>
      <c r="D18" s="7" t="s">
        <v>41</v>
      </c>
      <c r="E18" s="8"/>
      <c r="F18" s="8" t="s">
        <v>42</v>
      </c>
      <c r="G18" s="8" t="s">
        <v>43</v>
      </c>
      <c r="H18" s="8">
        <v>65.531000000000006</v>
      </c>
      <c r="I18" s="9">
        <v>22.89</v>
      </c>
      <c r="J18" s="10">
        <v>1500</v>
      </c>
      <c r="K18" s="11"/>
    </row>
    <row r="19" spans="2:11" ht="30" customHeight="1" x14ac:dyDescent="0.3">
      <c r="B19" s="5">
        <v>413478</v>
      </c>
      <c r="C19" s="6">
        <v>46237</v>
      </c>
      <c r="D19" s="7" t="s">
        <v>44</v>
      </c>
      <c r="E19" s="8"/>
      <c r="F19" s="8" t="s">
        <v>45</v>
      </c>
      <c r="G19" s="8" t="s">
        <v>46</v>
      </c>
      <c r="H19" s="8">
        <v>35.32</v>
      </c>
      <c r="I19" s="9">
        <v>27.89</v>
      </c>
      <c r="J19" s="10">
        <v>985.07</v>
      </c>
      <c r="K19" s="11"/>
    </row>
    <row r="20" spans="2:11" ht="30" customHeight="1" x14ac:dyDescent="0.3">
      <c r="B20" s="5">
        <v>413487</v>
      </c>
      <c r="C20" s="6">
        <v>46237</v>
      </c>
      <c r="D20" s="7" t="s">
        <v>47</v>
      </c>
      <c r="E20" s="8"/>
      <c r="F20" s="8" t="s">
        <v>48</v>
      </c>
      <c r="G20" s="8" t="s">
        <v>49</v>
      </c>
      <c r="H20" s="8">
        <v>65.531000000000006</v>
      </c>
      <c r="I20" s="9">
        <v>22.89</v>
      </c>
      <c r="J20" s="10">
        <v>1500</v>
      </c>
      <c r="K20" s="11"/>
    </row>
    <row r="21" spans="2:11" ht="30" customHeight="1" thickBot="1" x14ac:dyDescent="0.35">
      <c r="B21" s="12">
        <v>413479</v>
      </c>
      <c r="C21" s="13">
        <v>46237</v>
      </c>
      <c r="D21" s="14" t="s">
        <v>50</v>
      </c>
      <c r="E21" s="15"/>
      <c r="F21" s="15" t="s">
        <v>51</v>
      </c>
      <c r="G21" s="15" t="s">
        <v>25</v>
      </c>
      <c r="H21" s="15">
        <v>41.383000000000003</v>
      </c>
      <c r="I21" s="16">
        <v>22.89</v>
      </c>
      <c r="J21" s="17">
        <v>947.26</v>
      </c>
      <c r="K21" s="11"/>
    </row>
    <row r="22" spans="2:11" ht="30" customHeight="1" x14ac:dyDescent="0.3">
      <c r="B22" s="18">
        <v>413574</v>
      </c>
      <c r="C22" s="19">
        <v>46237</v>
      </c>
      <c r="D22" s="20" t="s">
        <v>52</v>
      </c>
      <c r="E22" s="21"/>
      <c r="F22" s="21" t="s">
        <v>53</v>
      </c>
      <c r="G22" s="21" t="s">
        <v>25</v>
      </c>
      <c r="H22" s="21">
        <v>59.985999999999997</v>
      </c>
      <c r="I22" s="22">
        <v>22.89</v>
      </c>
      <c r="J22" s="23">
        <v>1373.08</v>
      </c>
      <c r="K22" s="11"/>
    </row>
    <row r="23" spans="2:11" ht="30" customHeight="1" x14ac:dyDescent="0.3">
      <c r="B23" s="5">
        <v>413586</v>
      </c>
      <c r="C23" s="6">
        <v>46237</v>
      </c>
      <c r="D23" s="7" t="s">
        <v>54</v>
      </c>
      <c r="E23" s="8"/>
      <c r="F23" s="8" t="s">
        <v>55</v>
      </c>
      <c r="G23" s="8" t="s">
        <v>56</v>
      </c>
      <c r="H23" s="8">
        <v>65.531000000000006</v>
      </c>
      <c r="I23" s="9">
        <v>22.89</v>
      </c>
      <c r="J23" s="10">
        <v>1500</v>
      </c>
      <c r="K23" s="11"/>
    </row>
    <row r="24" spans="2:11" ht="30" customHeight="1" x14ac:dyDescent="0.3">
      <c r="B24" s="5">
        <v>413599</v>
      </c>
      <c r="C24" s="6">
        <v>46237</v>
      </c>
      <c r="D24" s="7" t="s">
        <v>57</v>
      </c>
      <c r="E24" s="8"/>
      <c r="F24" s="8" t="s">
        <v>58</v>
      </c>
      <c r="G24" s="8" t="s">
        <v>43</v>
      </c>
      <c r="H24" s="8">
        <v>60.094000000000001</v>
      </c>
      <c r="I24" s="9">
        <v>22.89</v>
      </c>
      <c r="J24" s="10">
        <v>1375.55</v>
      </c>
      <c r="K24" s="11"/>
    </row>
    <row r="25" spans="2:11" ht="30" customHeight="1" x14ac:dyDescent="0.3">
      <c r="B25" s="5">
        <v>413551</v>
      </c>
      <c r="C25" s="6">
        <v>46237</v>
      </c>
      <c r="D25" s="7" t="s">
        <v>59</v>
      </c>
      <c r="E25" s="8"/>
      <c r="F25" s="8" t="s">
        <v>60</v>
      </c>
      <c r="G25" s="8" t="s">
        <v>61</v>
      </c>
      <c r="H25" s="8">
        <v>34.950000000000003</v>
      </c>
      <c r="I25" s="9">
        <v>22.89</v>
      </c>
      <c r="J25" s="10">
        <v>800</v>
      </c>
      <c r="K25" s="11"/>
    </row>
    <row r="26" spans="2:11" ht="30" customHeight="1" x14ac:dyDescent="0.3">
      <c r="B26" s="5">
        <v>413593</v>
      </c>
      <c r="C26" s="6">
        <v>46237</v>
      </c>
      <c r="D26" s="7" t="s">
        <v>62</v>
      </c>
      <c r="E26" s="8"/>
      <c r="F26" s="8" t="s">
        <v>63</v>
      </c>
      <c r="G26" s="8" t="s">
        <v>29</v>
      </c>
      <c r="H26" s="8">
        <v>80.004000000000005</v>
      </c>
      <c r="I26" s="9">
        <v>27.89</v>
      </c>
      <c r="J26" s="10">
        <v>2231.31</v>
      </c>
      <c r="K26" s="11">
        <f>SUM(J6:J26)</f>
        <v>28083.07</v>
      </c>
    </row>
    <row r="27" spans="2:11" ht="30" customHeight="1" x14ac:dyDescent="0.3">
      <c r="B27" s="5">
        <v>413827</v>
      </c>
      <c r="C27" s="6">
        <v>46238</v>
      </c>
      <c r="D27" s="7" t="s">
        <v>64</v>
      </c>
      <c r="E27" s="8"/>
      <c r="F27" s="8" t="s">
        <v>65</v>
      </c>
      <c r="G27" s="8" t="s">
        <v>66</v>
      </c>
      <c r="H27" s="8">
        <v>65.531000000000006</v>
      </c>
      <c r="I27" s="9">
        <v>22.89</v>
      </c>
      <c r="J27" s="10">
        <v>1500</v>
      </c>
      <c r="K27" s="11"/>
    </row>
    <row r="28" spans="2:11" ht="30" customHeight="1" x14ac:dyDescent="0.3">
      <c r="B28" s="5">
        <v>413828</v>
      </c>
      <c r="C28" s="6">
        <v>46238</v>
      </c>
      <c r="D28" s="7" t="s">
        <v>67</v>
      </c>
      <c r="E28" s="8"/>
      <c r="F28" s="8" t="s">
        <v>65</v>
      </c>
      <c r="G28" s="8" t="s">
        <v>68</v>
      </c>
      <c r="H28" s="8">
        <v>30</v>
      </c>
      <c r="I28" s="9">
        <v>22.89</v>
      </c>
      <c r="J28" s="10">
        <v>686.7</v>
      </c>
      <c r="K28" s="11"/>
    </row>
    <row r="29" spans="2:11" ht="30" customHeight="1" x14ac:dyDescent="0.3">
      <c r="B29" s="5">
        <v>413830</v>
      </c>
      <c r="C29" s="6">
        <v>46238</v>
      </c>
      <c r="D29" s="8" t="s">
        <v>69</v>
      </c>
      <c r="E29" s="8"/>
      <c r="F29" s="8" t="s">
        <v>70</v>
      </c>
      <c r="G29" s="8" t="s">
        <v>40</v>
      </c>
      <c r="H29" s="8">
        <v>65.531000000000006</v>
      </c>
      <c r="I29" s="9">
        <v>22.89</v>
      </c>
      <c r="J29" s="10">
        <v>1500</v>
      </c>
      <c r="K29" s="11"/>
    </row>
    <row r="30" spans="2:11" ht="30" customHeight="1" x14ac:dyDescent="0.3">
      <c r="B30" s="5">
        <v>413831</v>
      </c>
      <c r="C30" s="6">
        <v>46238</v>
      </c>
      <c r="D30" s="8" t="s">
        <v>71</v>
      </c>
      <c r="E30" s="8"/>
      <c r="F30" s="8" t="s">
        <v>63</v>
      </c>
      <c r="G30" s="8" t="s">
        <v>72</v>
      </c>
      <c r="H30" s="8">
        <v>43.686999999999998</v>
      </c>
      <c r="I30" s="9">
        <v>22.89</v>
      </c>
      <c r="J30" s="10">
        <v>1000</v>
      </c>
      <c r="K30" s="11"/>
    </row>
    <row r="31" spans="2:11" ht="30" customHeight="1" x14ac:dyDescent="0.3">
      <c r="B31" s="5">
        <v>413832</v>
      </c>
      <c r="C31" s="6">
        <v>46238</v>
      </c>
      <c r="D31" s="8" t="s">
        <v>73</v>
      </c>
      <c r="E31" s="8"/>
      <c r="F31" s="8" t="s">
        <v>63</v>
      </c>
      <c r="G31" s="8" t="s">
        <v>72</v>
      </c>
      <c r="H31" s="8">
        <v>21.844000000000001</v>
      </c>
      <c r="I31" s="9">
        <v>22.89</v>
      </c>
      <c r="J31" s="10">
        <v>500</v>
      </c>
      <c r="K31" s="11"/>
    </row>
    <row r="32" spans="2:11" ht="30" customHeight="1" x14ac:dyDescent="0.3">
      <c r="B32" s="5">
        <v>413753</v>
      </c>
      <c r="C32" s="6">
        <v>46238</v>
      </c>
      <c r="D32" s="8" t="s">
        <v>74</v>
      </c>
      <c r="E32" s="8"/>
      <c r="F32" s="8" t="s">
        <v>75</v>
      </c>
      <c r="G32" s="8" t="s">
        <v>68</v>
      </c>
      <c r="H32" s="8">
        <v>65.736999999999995</v>
      </c>
      <c r="I32" s="9">
        <v>22.89</v>
      </c>
      <c r="J32" s="10">
        <v>1504.72</v>
      </c>
      <c r="K32" s="11">
        <f>SUM(J27:J32)</f>
        <v>6691.42</v>
      </c>
    </row>
    <row r="33" spans="1:13" ht="30" customHeight="1" x14ac:dyDescent="0.3">
      <c r="B33" s="5">
        <v>414448</v>
      </c>
      <c r="C33" s="6">
        <v>46239</v>
      </c>
      <c r="D33" s="8" t="s">
        <v>23</v>
      </c>
      <c r="E33" s="8"/>
      <c r="F33" s="8" t="s">
        <v>24</v>
      </c>
      <c r="G33" s="8" t="s">
        <v>76</v>
      </c>
      <c r="H33" s="8">
        <v>57.009</v>
      </c>
      <c r="I33" s="9">
        <v>22.89</v>
      </c>
      <c r="J33" s="10">
        <v>1304.94</v>
      </c>
      <c r="K33" s="11"/>
    </row>
    <row r="34" spans="1:13" ht="30" customHeight="1" x14ac:dyDescent="0.3">
      <c r="B34" s="5">
        <v>414417</v>
      </c>
      <c r="C34" s="6">
        <v>46239</v>
      </c>
      <c r="D34" s="8" t="s">
        <v>47</v>
      </c>
      <c r="E34" s="8"/>
      <c r="F34" s="8" t="s">
        <v>48</v>
      </c>
      <c r="G34" s="8" t="s">
        <v>49</v>
      </c>
      <c r="H34" s="8">
        <v>65.531000000000006</v>
      </c>
      <c r="I34" s="9">
        <v>22.89</v>
      </c>
      <c r="J34" s="10">
        <v>1500</v>
      </c>
      <c r="K34" s="11"/>
    </row>
    <row r="35" spans="1:13" ht="30" customHeight="1" x14ac:dyDescent="0.3">
      <c r="B35" s="5">
        <v>414220</v>
      </c>
      <c r="C35" s="6">
        <v>46239</v>
      </c>
      <c r="D35" s="8" t="s">
        <v>77</v>
      </c>
      <c r="E35" s="8"/>
      <c r="F35" s="8" t="s">
        <v>63</v>
      </c>
      <c r="G35" s="8" t="s">
        <v>40</v>
      </c>
      <c r="H35" s="8">
        <v>20</v>
      </c>
      <c r="I35" s="9">
        <v>22.89</v>
      </c>
      <c r="J35" s="10">
        <v>457.8</v>
      </c>
    </row>
    <row r="36" spans="1:13" ht="30" customHeight="1" x14ac:dyDescent="0.3">
      <c r="B36" s="5">
        <v>414205</v>
      </c>
      <c r="C36" s="6">
        <v>46239</v>
      </c>
      <c r="D36" s="8" t="s">
        <v>78</v>
      </c>
      <c r="E36" s="8"/>
      <c r="F36" s="8" t="s">
        <v>39</v>
      </c>
      <c r="G36" s="8" t="s">
        <v>40</v>
      </c>
      <c r="H36" s="8">
        <v>37.655000000000001</v>
      </c>
      <c r="I36" s="9">
        <v>27.89</v>
      </c>
      <c r="J36" s="10">
        <v>1050.2</v>
      </c>
      <c r="K36" s="11">
        <f>SUM(J33:J36)</f>
        <v>4312.9400000000005</v>
      </c>
    </row>
    <row r="37" spans="1:13" ht="30" customHeight="1" x14ac:dyDescent="0.3">
      <c r="B37" s="5">
        <v>414989</v>
      </c>
      <c r="C37" s="6">
        <v>46240</v>
      </c>
      <c r="D37" s="8" t="s">
        <v>54</v>
      </c>
      <c r="E37" s="8"/>
      <c r="F37" s="8" t="s">
        <v>55</v>
      </c>
      <c r="G37" s="8" t="s">
        <v>56</v>
      </c>
      <c r="H37" s="8">
        <v>28.716999999999999</v>
      </c>
      <c r="I37" s="9">
        <v>22.89</v>
      </c>
      <c r="J37" s="10">
        <v>657.33</v>
      </c>
      <c r="K37" s="11"/>
    </row>
    <row r="38" spans="1:13" ht="30" customHeight="1" x14ac:dyDescent="0.3">
      <c r="B38" s="5">
        <v>414994</v>
      </c>
      <c r="C38" s="6">
        <v>46240</v>
      </c>
      <c r="D38" s="8" t="s">
        <v>41</v>
      </c>
      <c r="E38" s="8"/>
      <c r="F38" s="8" t="s">
        <v>79</v>
      </c>
      <c r="G38" s="8" t="s">
        <v>43</v>
      </c>
      <c r="H38" s="8">
        <v>46.329000000000001</v>
      </c>
      <c r="I38" s="9">
        <v>22.89</v>
      </c>
      <c r="J38" s="10">
        <v>1060.47</v>
      </c>
      <c r="K38" s="11"/>
    </row>
    <row r="39" spans="1:13" ht="30" customHeight="1" x14ac:dyDescent="0.3">
      <c r="B39" s="5">
        <v>414959</v>
      </c>
      <c r="C39" s="6">
        <v>46240</v>
      </c>
      <c r="D39" s="8" t="s">
        <v>80</v>
      </c>
      <c r="E39" s="8"/>
      <c r="F39" s="8" t="s">
        <v>81</v>
      </c>
      <c r="G39" s="8" t="s">
        <v>76</v>
      </c>
      <c r="H39" s="8">
        <v>43.686999999999998</v>
      </c>
      <c r="I39" s="9">
        <v>22.89</v>
      </c>
      <c r="J39" s="10">
        <v>1000</v>
      </c>
      <c r="K39" s="11"/>
    </row>
    <row r="40" spans="1:13" ht="30" customHeight="1" x14ac:dyDescent="0.3">
      <c r="B40" s="5">
        <v>414990</v>
      </c>
      <c r="C40" s="6">
        <v>46240</v>
      </c>
      <c r="D40" s="8" t="s">
        <v>30</v>
      </c>
      <c r="E40" s="8"/>
      <c r="F40" s="8" t="s">
        <v>31</v>
      </c>
      <c r="G40" s="8" t="s">
        <v>76</v>
      </c>
      <c r="H40" s="8">
        <v>43.686999999999998</v>
      </c>
      <c r="I40" s="9">
        <v>22.89</v>
      </c>
      <c r="J40" s="10">
        <v>1000</v>
      </c>
      <c r="K40" s="11"/>
    </row>
    <row r="41" spans="1:13" ht="30" customHeight="1" x14ac:dyDescent="0.3">
      <c r="B41" s="5">
        <v>414949</v>
      </c>
      <c r="C41" s="6">
        <v>46240</v>
      </c>
      <c r="D41" s="8" t="s">
        <v>57</v>
      </c>
      <c r="E41" s="8"/>
      <c r="F41" s="8" t="s">
        <v>58</v>
      </c>
      <c r="G41" s="8" t="s">
        <v>43</v>
      </c>
      <c r="H41" s="8">
        <v>49.103999999999999</v>
      </c>
      <c r="I41" s="9">
        <v>22.89</v>
      </c>
      <c r="J41" s="10">
        <v>1124</v>
      </c>
      <c r="K41" s="11">
        <f>SUM(J37:J41)</f>
        <v>4841.8</v>
      </c>
    </row>
    <row r="42" spans="1:13" ht="30" customHeight="1" x14ac:dyDescent="0.3">
      <c r="B42" s="5">
        <v>415457</v>
      </c>
      <c r="C42" s="6">
        <v>46241</v>
      </c>
      <c r="D42" s="8" t="s">
        <v>73</v>
      </c>
      <c r="E42" s="8"/>
      <c r="F42" s="8" t="s">
        <v>63</v>
      </c>
      <c r="G42" s="8" t="s">
        <v>72</v>
      </c>
      <c r="H42" s="8">
        <v>21.844000000000001</v>
      </c>
      <c r="I42" s="9">
        <v>22.89</v>
      </c>
      <c r="J42" s="10">
        <v>500</v>
      </c>
      <c r="K42" s="11"/>
    </row>
    <row r="43" spans="1:13" ht="30" customHeight="1" x14ac:dyDescent="0.3">
      <c r="B43" s="5">
        <v>415260</v>
      </c>
      <c r="C43" s="6">
        <v>46241</v>
      </c>
      <c r="D43" s="8" t="s">
        <v>44</v>
      </c>
      <c r="E43" s="8"/>
      <c r="F43" s="8" t="s">
        <v>45</v>
      </c>
      <c r="G43" s="8" t="s">
        <v>46</v>
      </c>
      <c r="H43" s="8">
        <v>35.244999999999997</v>
      </c>
      <c r="I43" s="9">
        <v>22.89</v>
      </c>
      <c r="J43" s="10">
        <v>806.76</v>
      </c>
      <c r="K43" s="11"/>
    </row>
    <row r="44" spans="1:13" ht="30" customHeight="1" x14ac:dyDescent="0.3">
      <c r="B44" s="5">
        <v>415263</v>
      </c>
      <c r="C44" s="6">
        <v>46241</v>
      </c>
      <c r="D44" s="8" t="s">
        <v>26</v>
      </c>
      <c r="E44" s="8"/>
      <c r="F44" s="8" t="s">
        <v>45</v>
      </c>
      <c r="G44" s="8" t="s">
        <v>46</v>
      </c>
      <c r="H44" s="8">
        <v>20</v>
      </c>
      <c r="I44" s="9">
        <v>22.89</v>
      </c>
      <c r="J44" s="10">
        <v>457.8</v>
      </c>
      <c r="K44" s="11"/>
    </row>
    <row r="45" spans="1:13" ht="30" customHeight="1" x14ac:dyDescent="0.3">
      <c r="A45" s="24">
        <v>0</v>
      </c>
      <c r="B45" s="5">
        <v>415168</v>
      </c>
      <c r="C45" s="6">
        <v>46241</v>
      </c>
      <c r="D45" s="7" t="s">
        <v>27</v>
      </c>
      <c r="E45" s="8"/>
      <c r="F45" s="8" t="s">
        <v>82</v>
      </c>
      <c r="G45" s="8" t="s">
        <v>68</v>
      </c>
      <c r="H45" s="8">
        <v>17.989999999999998</v>
      </c>
      <c r="I45" s="9">
        <v>22.89</v>
      </c>
      <c r="J45" s="10">
        <v>412</v>
      </c>
      <c r="K45" s="11"/>
    </row>
    <row r="46" spans="1:13" ht="30" customHeight="1" x14ac:dyDescent="0.3">
      <c r="B46" s="5">
        <v>415251</v>
      </c>
      <c r="C46" s="6">
        <v>46241</v>
      </c>
      <c r="D46" s="8" t="s">
        <v>83</v>
      </c>
      <c r="E46" s="8"/>
      <c r="F46" s="8" t="s">
        <v>39</v>
      </c>
      <c r="G46" s="8" t="s">
        <v>40</v>
      </c>
      <c r="H46" s="8">
        <v>4.8920000000000003</v>
      </c>
      <c r="I46" s="9">
        <v>27.89</v>
      </c>
      <c r="J46" s="10">
        <v>136.44</v>
      </c>
      <c r="K46" s="11"/>
    </row>
    <row r="47" spans="1:13" ht="30" customHeight="1" x14ac:dyDescent="0.3">
      <c r="B47" s="5">
        <v>415250</v>
      </c>
      <c r="C47" s="6">
        <v>46241</v>
      </c>
      <c r="D47" s="8" t="s">
        <v>83</v>
      </c>
      <c r="E47" s="8"/>
      <c r="F47" s="8" t="s">
        <v>39</v>
      </c>
      <c r="G47" s="8" t="s">
        <v>40</v>
      </c>
      <c r="H47" s="8">
        <v>29.17</v>
      </c>
      <c r="I47" s="9">
        <v>27.89</v>
      </c>
      <c r="J47" s="10">
        <v>813.56</v>
      </c>
      <c r="K47" s="11">
        <f>SUM(J42:J47)</f>
        <v>3126.56</v>
      </c>
      <c r="M47" s="11"/>
    </row>
    <row r="48" spans="1:13" ht="30" customHeight="1" x14ac:dyDescent="0.3">
      <c r="B48" s="5">
        <v>415727</v>
      </c>
      <c r="C48" s="6">
        <v>46242</v>
      </c>
      <c r="D48" s="8" t="s">
        <v>27</v>
      </c>
      <c r="E48" s="8"/>
      <c r="F48" s="8" t="s">
        <v>84</v>
      </c>
      <c r="G48" s="8" t="s">
        <v>68</v>
      </c>
      <c r="H48" s="8">
        <v>1.538</v>
      </c>
      <c r="I48" s="9">
        <v>22.89</v>
      </c>
      <c r="J48" s="10">
        <v>35.200000000000003</v>
      </c>
      <c r="K48" s="11"/>
    </row>
    <row r="49" spans="2:11" ht="30" customHeight="1" x14ac:dyDescent="0.3">
      <c r="B49" s="5">
        <v>415728</v>
      </c>
      <c r="C49" s="6">
        <v>46242</v>
      </c>
      <c r="D49" s="8" t="s">
        <v>27</v>
      </c>
      <c r="E49" s="8"/>
      <c r="F49" s="8" t="s">
        <v>84</v>
      </c>
      <c r="G49" s="8" t="s">
        <v>68</v>
      </c>
      <c r="H49" s="8">
        <v>42.149000000000001</v>
      </c>
      <c r="I49" s="9">
        <v>22.89</v>
      </c>
      <c r="J49" s="10">
        <v>964.8</v>
      </c>
      <c r="K49" s="11">
        <f>SUM(J48:J49)</f>
        <v>1000</v>
      </c>
    </row>
    <row r="50" spans="2:11" ht="30" customHeight="1" x14ac:dyDescent="0.3">
      <c r="B50" s="5">
        <v>416725</v>
      </c>
      <c r="C50" s="6">
        <v>46244</v>
      </c>
      <c r="D50" s="8" t="s">
        <v>50</v>
      </c>
      <c r="E50" s="8"/>
      <c r="F50" s="8" t="s">
        <v>51</v>
      </c>
      <c r="G50" s="8" t="s">
        <v>25</v>
      </c>
      <c r="H50" s="8">
        <v>60.142000000000003</v>
      </c>
      <c r="I50" s="9">
        <v>22.89</v>
      </c>
      <c r="J50" s="10">
        <v>1376.65</v>
      </c>
      <c r="K50" s="11"/>
    </row>
    <row r="51" spans="2:11" ht="30" customHeight="1" x14ac:dyDescent="0.3">
      <c r="B51" s="5">
        <v>416693</v>
      </c>
      <c r="C51" s="6">
        <v>46244</v>
      </c>
      <c r="D51" s="8" t="s">
        <v>73</v>
      </c>
      <c r="E51" s="8"/>
      <c r="F51" s="8" t="s">
        <v>63</v>
      </c>
      <c r="G51" s="8" t="s">
        <v>72</v>
      </c>
      <c r="H51" s="8">
        <v>21.844000000000001</v>
      </c>
      <c r="I51" s="9">
        <v>22.89</v>
      </c>
      <c r="J51" s="10">
        <v>500</v>
      </c>
      <c r="K51" s="11"/>
    </row>
    <row r="52" spans="2:11" ht="30" customHeight="1" x14ac:dyDescent="0.3">
      <c r="B52" s="5">
        <v>416692</v>
      </c>
      <c r="C52" s="6">
        <v>46244</v>
      </c>
      <c r="D52" s="8" t="s">
        <v>62</v>
      </c>
      <c r="E52" s="8"/>
      <c r="F52" s="8" t="s">
        <v>63</v>
      </c>
      <c r="G52" s="8" t="s">
        <v>72</v>
      </c>
      <c r="H52" s="8">
        <v>71.712000000000003</v>
      </c>
      <c r="I52" s="9">
        <v>27.89</v>
      </c>
      <c r="J52" s="10">
        <v>2000.05</v>
      </c>
      <c r="K52" s="11"/>
    </row>
    <row r="53" spans="2:11" ht="30" customHeight="1" x14ac:dyDescent="0.3">
      <c r="B53" s="5">
        <v>416713</v>
      </c>
      <c r="C53" s="6">
        <v>46244</v>
      </c>
      <c r="D53" s="8" t="s">
        <v>87</v>
      </c>
      <c r="E53" s="8"/>
      <c r="F53" s="8" t="s">
        <v>88</v>
      </c>
      <c r="G53" s="8" t="s">
        <v>40</v>
      </c>
      <c r="H53" s="8">
        <v>54.49</v>
      </c>
      <c r="I53" s="9">
        <v>22.89</v>
      </c>
      <c r="J53" s="10">
        <v>1247.28</v>
      </c>
      <c r="K53" s="11"/>
    </row>
    <row r="54" spans="2:11" ht="30" customHeight="1" x14ac:dyDescent="0.3">
      <c r="B54" s="5">
        <v>416707</v>
      </c>
      <c r="C54" s="6">
        <v>46244</v>
      </c>
      <c r="D54" s="8" t="s">
        <v>59</v>
      </c>
      <c r="E54" s="8"/>
      <c r="F54" s="8" t="s">
        <v>60</v>
      </c>
      <c r="G54" s="8" t="s">
        <v>89</v>
      </c>
      <c r="H54" s="8">
        <v>34.950000000000003</v>
      </c>
      <c r="I54" s="9">
        <v>22.89</v>
      </c>
      <c r="J54" s="10">
        <v>800</v>
      </c>
      <c r="K54" s="11"/>
    </row>
    <row r="55" spans="2:11" ht="30" customHeight="1" x14ac:dyDescent="0.3">
      <c r="B55" s="5">
        <v>416440</v>
      </c>
      <c r="C55" s="6">
        <v>46244</v>
      </c>
      <c r="D55" s="8" t="s">
        <v>83</v>
      </c>
      <c r="E55" s="8"/>
      <c r="F55" s="8" t="s">
        <v>39</v>
      </c>
      <c r="G55" s="8" t="s">
        <v>40</v>
      </c>
      <c r="H55" s="8">
        <v>35.865000000000002</v>
      </c>
      <c r="I55" s="9">
        <v>27.89</v>
      </c>
      <c r="J55" s="10">
        <v>1000.27</v>
      </c>
      <c r="K55" s="11"/>
    </row>
    <row r="56" spans="2:11" ht="30" customHeight="1" x14ac:dyDescent="0.3">
      <c r="B56" s="5">
        <v>416475</v>
      </c>
      <c r="C56" s="6">
        <v>46244</v>
      </c>
      <c r="D56" s="8" t="s">
        <v>35</v>
      </c>
      <c r="E56" s="8"/>
      <c r="F56" s="8" t="s">
        <v>36</v>
      </c>
      <c r="G56" s="8" t="s">
        <v>37</v>
      </c>
      <c r="H56" s="8">
        <v>34.950000000000003</v>
      </c>
      <c r="I56" s="9">
        <v>22.89</v>
      </c>
      <c r="J56" s="10">
        <v>800</v>
      </c>
      <c r="K56" s="11"/>
    </row>
    <row r="57" spans="2:11" ht="30" customHeight="1" x14ac:dyDescent="0.3">
      <c r="B57" s="5">
        <v>416476</v>
      </c>
      <c r="C57" s="6">
        <v>46244</v>
      </c>
      <c r="D57" s="8" t="s">
        <v>47</v>
      </c>
      <c r="E57" s="8"/>
      <c r="F57" s="8" t="s">
        <v>48</v>
      </c>
      <c r="G57" s="8" t="s">
        <v>49</v>
      </c>
      <c r="H57" s="8">
        <v>65.531000000000006</v>
      </c>
      <c r="I57" s="9">
        <v>22.89</v>
      </c>
      <c r="J57" s="10">
        <v>1500</v>
      </c>
      <c r="K57" s="11"/>
    </row>
    <row r="58" spans="2:11" ht="30" customHeight="1" x14ac:dyDescent="0.3">
      <c r="B58" s="5">
        <v>416453</v>
      </c>
      <c r="C58" s="6">
        <v>46244</v>
      </c>
      <c r="D58" s="8" t="s">
        <v>90</v>
      </c>
      <c r="E58" s="8"/>
      <c r="F58" s="8" t="s">
        <v>33</v>
      </c>
      <c r="G58" s="8" t="s">
        <v>34</v>
      </c>
      <c r="H58" s="8">
        <v>30.581</v>
      </c>
      <c r="I58" s="9">
        <v>22.89</v>
      </c>
      <c r="J58" s="10">
        <v>700</v>
      </c>
      <c r="K58" s="11"/>
    </row>
    <row r="59" spans="2:11" ht="30" customHeight="1" x14ac:dyDescent="0.3">
      <c r="B59" s="5">
        <v>416378</v>
      </c>
      <c r="C59" s="6">
        <v>46244</v>
      </c>
      <c r="D59" s="8" t="s">
        <v>74</v>
      </c>
      <c r="E59" s="8"/>
      <c r="F59" s="8" t="s">
        <v>75</v>
      </c>
      <c r="G59" s="8" t="s">
        <v>68</v>
      </c>
      <c r="H59" s="8">
        <v>62.484999999999999</v>
      </c>
      <c r="I59" s="9">
        <v>22.89</v>
      </c>
      <c r="J59" s="10">
        <v>1430.28</v>
      </c>
      <c r="K59" s="11"/>
    </row>
    <row r="60" spans="2:11" ht="30" customHeight="1" x14ac:dyDescent="0.3">
      <c r="B60" s="5">
        <v>416361</v>
      </c>
      <c r="C60" s="6">
        <v>46244</v>
      </c>
      <c r="D60" s="8" t="s">
        <v>18</v>
      </c>
      <c r="E60" s="8"/>
      <c r="F60" s="8" t="s">
        <v>19</v>
      </c>
      <c r="G60" s="8" t="s">
        <v>14</v>
      </c>
      <c r="H60" s="8">
        <v>65.531000000000006</v>
      </c>
      <c r="I60" s="9">
        <v>22.89</v>
      </c>
      <c r="J60" s="10">
        <v>1500</v>
      </c>
      <c r="K60" s="11"/>
    </row>
    <row r="61" spans="2:11" ht="30" customHeight="1" x14ac:dyDescent="0.3">
      <c r="B61" s="32">
        <v>416442</v>
      </c>
      <c r="C61" s="33">
        <v>46244</v>
      </c>
      <c r="D61" s="34" t="s">
        <v>80</v>
      </c>
      <c r="E61" s="34"/>
      <c r="F61" s="34" t="s">
        <v>81</v>
      </c>
      <c r="G61" s="34"/>
      <c r="H61" s="34">
        <v>43.686999999999998</v>
      </c>
      <c r="I61" s="35">
        <v>22.89</v>
      </c>
      <c r="J61" s="36">
        <v>1000</v>
      </c>
      <c r="K61" s="11"/>
    </row>
    <row r="62" spans="2:11" ht="30" customHeight="1" x14ac:dyDescent="0.3">
      <c r="B62" s="5">
        <v>416459</v>
      </c>
      <c r="C62" s="6">
        <v>46244</v>
      </c>
      <c r="D62" s="8" t="s">
        <v>91</v>
      </c>
      <c r="E62" s="8"/>
      <c r="F62" s="8" t="s">
        <v>16</v>
      </c>
      <c r="G62" s="8" t="s">
        <v>17</v>
      </c>
      <c r="H62" s="8">
        <v>65.531000000000006</v>
      </c>
      <c r="I62" s="9">
        <v>22.89</v>
      </c>
      <c r="J62" s="10">
        <v>1500</v>
      </c>
      <c r="K62" s="11"/>
    </row>
    <row r="63" spans="2:11" ht="30" customHeight="1" x14ac:dyDescent="0.3">
      <c r="B63" s="5">
        <v>416383</v>
      </c>
      <c r="C63" s="6">
        <v>46244</v>
      </c>
      <c r="D63" s="8" t="s">
        <v>30</v>
      </c>
      <c r="E63" s="8"/>
      <c r="F63" s="8" t="s">
        <v>31</v>
      </c>
      <c r="G63" s="8" t="s">
        <v>49</v>
      </c>
      <c r="H63" s="8">
        <v>131.06200000000001</v>
      </c>
      <c r="I63" s="9">
        <v>22.89</v>
      </c>
      <c r="J63" s="10">
        <v>3000</v>
      </c>
      <c r="K63" s="11"/>
    </row>
    <row r="64" spans="2:11" ht="30" customHeight="1" x14ac:dyDescent="0.3">
      <c r="B64" s="5">
        <v>416427</v>
      </c>
      <c r="C64" s="6">
        <v>46244</v>
      </c>
      <c r="D64" s="8" t="s">
        <v>57</v>
      </c>
      <c r="E64" s="8"/>
      <c r="F64" s="8" t="s">
        <v>58</v>
      </c>
      <c r="G64" s="8" t="s">
        <v>43</v>
      </c>
      <c r="H64" s="8">
        <v>21.844000000000001</v>
      </c>
      <c r="I64" s="9">
        <v>22.89</v>
      </c>
      <c r="J64" s="10">
        <v>500</v>
      </c>
      <c r="K64" s="11"/>
    </row>
    <row r="65" spans="2:11" ht="30" customHeight="1" x14ac:dyDescent="0.3">
      <c r="B65" s="5">
        <v>416424</v>
      </c>
      <c r="C65" s="6">
        <v>46244</v>
      </c>
      <c r="D65" s="8" t="s">
        <v>57</v>
      </c>
      <c r="E65" s="8"/>
      <c r="F65" s="8" t="s">
        <v>58</v>
      </c>
      <c r="G65" s="8" t="s">
        <v>43</v>
      </c>
      <c r="H65" s="8">
        <v>59.826999999999998</v>
      </c>
      <c r="I65" s="9">
        <v>22.89</v>
      </c>
      <c r="J65" s="10">
        <v>1369.44</v>
      </c>
      <c r="K65" s="11"/>
    </row>
    <row r="66" spans="2:11" ht="30" customHeight="1" x14ac:dyDescent="0.3">
      <c r="B66" s="5">
        <v>416732</v>
      </c>
      <c r="C66" s="6">
        <v>46244</v>
      </c>
      <c r="D66" s="8" t="s">
        <v>52</v>
      </c>
      <c r="E66" s="8"/>
      <c r="F66" s="8" t="s">
        <v>53</v>
      </c>
      <c r="G66" s="8" t="s">
        <v>25</v>
      </c>
      <c r="H66" s="8">
        <v>47.165999999999997</v>
      </c>
      <c r="I66" s="9">
        <v>22.89</v>
      </c>
      <c r="J66" s="10">
        <v>1079.6300000000001</v>
      </c>
      <c r="K66" s="11"/>
    </row>
    <row r="67" spans="2:11" ht="30" customHeight="1" x14ac:dyDescent="0.3">
      <c r="B67" s="37">
        <v>416727</v>
      </c>
      <c r="C67" s="38">
        <v>46244</v>
      </c>
      <c r="D67" s="39"/>
      <c r="E67" s="39"/>
      <c r="F67" s="39"/>
      <c r="G67" s="39"/>
      <c r="H67" s="39">
        <v>39.015999999999998</v>
      </c>
      <c r="I67" s="40">
        <v>22.89</v>
      </c>
      <c r="J67" s="41">
        <v>893.08</v>
      </c>
      <c r="K67" s="11"/>
    </row>
    <row r="68" spans="2:11" ht="30" customHeight="1" x14ac:dyDescent="0.3">
      <c r="B68" s="5">
        <v>416728</v>
      </c>
      <c r="C68" s="6">
        <v>46244</v>
      </c>
      <c r="D68" s="8" t="s">
        <v>23</v>
      </c>
      <c r="E68" s="8"/>
      <c r="F68" s="8" t="s">
        <v>24</v>
      </c>
      <c r="G68" s="8" t="s">
        <v>76</v>
      </c>
      <c r="H68" s="8">
        <v>53.055</v>
      </c>
      <c r="I68" s="9">
        <v>22.89</v>
      </c>
      <c r="J68" s="10">
        <v>1214.43</v>
      </c>
      <c r="K68" s="11"/>
    </row>
    <row r="69" spans="2:11" ht="30" customHeight="1" x14ac:dyDescent="0.3">
      <c r="B69" s="5">
        <v>416729</v>
      </c>
      <c r="C69" s="6">
        <v>46244</v>
      </c>
      <c r="D69" s="8" t="s">
        <v>26</v>
      </c>
      <c r="E69" s="8"/>
      <c r="F69" s="8" t="s">
        <v>24</v>
      </c>
      <c r="G69" s="8" t="s">
        <v>76</v>
      </c>
      <c r="H69" s="8">
        <v>43.686999999999998</v>
      </c>
      <c r="I69" s="9">
        <v>22.89</v>
      </c>
      <c r="J69" s="10">
        <v>1000</v>
      </c>
      <c r="K69" s="11">
        <f>SUM(J50:J69)</f>
        <v>24411.11</v>
      </c>
    </row>
    <row r="70" spans="2:11" ht="30" customHeight="1" x14ac:dyDescent="0.3">
      <c r="B70" s="5">
        <v>417027</v>
      </c>
      <c r="C70" s="6">
        <v>46245</v>
      </c>
      <c r="D70" s="8" t="s">
        <v>12</v>
      </c>
      <c r="E70" s="8"/>
      <c r="F70" s="8" t="s">
        <v>13</v>
      </c>
      <c r="G70" s="8" t="s">
        <v>14</v>
      </c>
      <c r="H70" s="8">
        <v>64.043999999999997</v>
      </c>
      <c r="I70" s="9">
        <v>22.89</v>
      </c>
      <c r="J70" s="10">
        <v>1465.97</v>
      </c>
      <c r="K70" s="11"/>
    </row>
    <row r="71" spans="2:11" ht="30" customHeight="1" x14ac:dyDescent="0.3">
      <c r="B71" s="5">
        <v>416951</v>
      </c>
      <c r="C71" s="6">
        <v>46245</v>
      </c>
      <c r="D71" s="8" t="s">
        <v>41</v>
      </c>
      <c r="E71" s="8"/>
      <c r="F71" s="8" t="s">
        <v>79</v>
      </c>
      <c r="G71" s="8" t="s">
        <v>43</v>
      </c>
      <c r="H71" s="8">
        <v>65.531000000000006</v>
      </c>
      <c r="I71" s="9">
        <v>22.89</v>
      </c>
      <c r="J71" s="10">
        <v>1500</v>
      </c>
      <c r="K71" s="11"/>
    </row>
    <row r="72" spans="2:11" ht="30" customHeight="1" x14ac:dyDescent="0.3">
      <c r="B72" s="5">
        <v>417001</v>
      </c>
      <c r="C72" s="6">
        <v>46245</v>
      </c>
      <c r="D72" s="8" t="s">
        <v>20</v>
      </c>
      <c r="E72" s="8"/>
      <c r="F72" s="8" t="s">
        <v>84</v>
      </c>
      <c r="G72" s="8" t="s">
        <v>22</v>
      </c>
      <c r="H72" s="8">
        <v>71.343000000000004</v>
      </c>
      <c r="I72" s="9">
        <v>22.89</v>
      </c>
      <c r="J72" s="10">
        <v>1633.04</v>
      </c>
      <c r="K72" s="11"/>
    </row>
    <row r="73" spans="2:11" ht="30" customHeight="1" x14ac:dyDescent="0.3">
      <c r="B73" s="5">
        <v>417002</v>
      </c>
      <c r="C73" s="6">
        <v>46245</v>
      </c>
      <c r="D73" s="8" t="s">
        <v>20</v>
      </c>
      <c r="E73" s="8"/>
      <c r="F73" s="8" t="s">
        <v>84</v>
      </c>
      <c r="G73" s="8" t="s">
        <v>22</v>
      </c>
      <c r="H73" s="8">
        <v>16.030999999999999</v>
      </c>
      <c r="I73" s="9">
        <v>22.89</v>
      </c>
      <c r="J73" s="10">
        <v>366.96</v>
      </c>
      <c r="K73" s="11"/>
    </row>
    <row r="74" spans="2:11" ht="30" customHeight="1" x14ac:dyDescent="0.3">
      <c r="B74" s="5">
        <v>417009</v>
      </c>
      <c r="C74" s="6">
        <v>46245</v>
      </c>
      <c r="D74" s="8" t="s">
        <v>71</v>
      </c>
      <c r="E74" s="8"/>
      <c r="F74" s="8" t="s">
        <v>63</v>
      </c>
      <c r="G74" s="8" t="s">
        <v>72</v>
      </c>
      <c r="H74" s="8">
        <v>43.686999999999998</v>
      </c>
      <c r="I74" s="9">
        <v>22.89</v>
      </c>
      <c r="J74" s="10">
        <v>1000</v>
      </c>
      <c r="K74" s="11"/>
    </row>
    <row r="75" spans="2:11" ht="30" customHeight="1" x14ac:dyDescent="0.3">
      <c r="B75" s="5">
        <v>417256</v>
      </c>
      <c r="C75" s="6">
        <v>46245</v>
      </c>
      <c r="D75" s="8" t="s">
        <v>54</v>
      </c>
      <c r="E75" s="8"/>
      <c r="F75" s="8" t="s">
        <v>55</v>
      </c>
      <c r="G75" s="8" t="s">
        <v>56</v>
      </c>
      <c r="H75" s="8">
        <v>64.855000000000004</v>
      </c>
      <c r="I75" s="9">
        <v>22.89</v>
      </c>
      <c r="J75" s="10">
        <v>1484.53</v>
      </c>
      <c r="K75" s="11"/>
    </row>
    <row r="76" spans="2:11" ht="30" customHeight="1" x14ac:dyDescent="0.3">
      <c r="B76" s="5">
        <v>417222</v>
      </c>
      <c r="C76" s="6">
        <v>46245</v>
      </c>
      <c r="D76" s="8" t="s">
        <v>64</v>
      </c>
      <c r="E76" s="8"/>
      <c r="F76" s="8" t="s">
        <v>92</v>
      </c>
      <c r="G76" s="8" t="s">
        <v>66</v>
      </c>
      <c r="H76" s="8">
        <v>61.183</v>
      </c>
      <c r="I76" s="9">
        <v>22.89</v>
      </c>
      <c r="J76" s="10">
        <v>1400.48</v>
      </c>
      <c r="K76" s="11"/>
    </row>
    <row r="77" spans="2:11" ht="30" customHeight="1" x14ac:dyDescent="0.3">
      <c r="B77" s="5">
        <v>417247</v>
      </c>
      <c r="C77" s="6">
        <v>46245</v>
      </c>
      <c r="D77" s="8" t="s">
        <v>87</v>
      </c>
      <c r="E77" s="8"/>
      <c r="F77" s="8" t="s">
        <v>88</v>
      </c>
      <c r="G77" s="8" t="s">
        <v>40</v>
      </c>
      <c r="H77" s="8">
        <v>50</v>
      </c>
      <c r="I77" s="9">
        <v>22.89</v>
      </c>
      <c r="J77" s="10">
        <v>1144.5</v>
      </c>
      <c r="K77" s="11">
        <f>SUM(J70:J77)</f>
        <v>9995.48</v>
      </c>
    </row>
    <row r="78" spans="2:11" ht="30" customHeight="1" x14ac:dyDescent="0.3">
      <c r="B78" s="5">
        <v>417730</v>
      </c>
      <c r="C78" s="6">
        <v>46246</v>
      </c>
      <c r="D78" s="8" t="s">
        <v>69</v>
      </c>
      <c r="E78" s="8"/>
      <c r="F78" s="8" t="s">
        <v>70</v>
      </c>
      <c r="G78" s="8" t="s">
        <v>40</v>
      </c>
      <c r="H78" s="8">
        <v>65.531000000000006</v>
      </c>
      <c r="I78" s="9">
        <v>22.89</v>
      </c>
      <c r="J78" s="10">
        <v>1500</v>
      </c>
      <c r="K78" s="11"/>
    </row>
    <row r="79" spans="2:11" ht="30" customHeight="1" x14ac:dyDescent="0.3">
      <c r="B79" s="5">
        <v>417466</v>
      </c>
      <c r="C79" s="6">
        <v>46246</v>
      </c>
      <c r="D79" s="8" t="s">
        <v>74</v>
      </c>
      <c r="E79" s="8"/>
      <c r="F79" s="8" t="s">
        <v>75</v>
      </c>
      <c r="G79" s="8" t="s">
        <v>68</v>
      </c>
      <c r="H79" s="8">
        <v>46.732999999999997</v>
      </c>
      <c r="I79" s="9">
        <v>22.89</v>
      </c>
      <c r="J79" s="10">
        <v>1069.72</v>
      </c>
      <c r="K79" s="11">
        <f>SUM(J78:J79)</f>
        <v>2569.7200000000003</v>
      </c>
    </row>
    <row r="80" spans="2:11" ht="30" customHeight="1" x14ac:dyDescent="0.3">
      <c r="B80" s="5">
        <v>418238</v>
      </c>
      <c r="C80" s="6">
        <v>46247</v>
      </c>
      <c r="D80" s="8" t="s">
        <v>59</v>
      </c>
      <c r="E80" s="8"/>
      <c r="F80" s="8" t="s">
        <v>60</v>
      </c>
      <c r="G80" s="8" t="s">
        <v>89</v>
      </c>
      <c r="H80" s="8">
        <v>30.581</v>
      </c>
      <c r="I80" s="9">
        <v>22.89</v>
      </c>
      <c r="J80" s="10">
        <v>700</v>
      </c>
      <c r="K80" s="11"/>
    </row>
    <row r="81" spans="2:11" ht="30" customHeight="1" x14ac:dyDescent="0.3">
      <c r="B81" s="5">
        <v>418235</v>
      </c>
      <c r="C81" s="6">
        <v>46247</v>
      </c>
      <c r="D81" s="8" t="s">
        <v>57</v>
      </c>
      <c r="E81" s="8"/>
      <c r="F81" s="8" t="s">
        <v>58</v>
      </c>
      <c r="G81" s="8" t="s">
        <v>43</v>
      </c>
      <c r="H81" s="8">
        <v>39.320999999999998</v>
      </c>
      <c r="I81" s="9">
        <v>22.89</v>
      </c>
      <c r="J81" s="10">
        <v>900.06</v>
      </c>
      <c r="K81" s="11"/>
    </row>
    <row r="82" spans="2:11" ht="30" customHeight="1" x14ac:dyDescent="0.3">
      <c r="B82" s="5">
        <v>418241</v>
      </c>
      <c r="C82" s="6">
        <v>46247</v>
      </c>
      <c r="D82" s="8" t="s">
        <v>30</v>
      </c>
      <c r="E82" s="8"/>
      <c r="F82" s="8" t="s">
        <v>31</v>
      </c>
      <c r="G82" s="8" t="s">
        <v>76</v>
      </c>
      <c r="H82" s="8">
        <v>43.686999999999998</v>
      </c>
      <c r="I82" s="9">
        <v>22.89</v>
      </c>
      <c r="J82" s="10">
        <v>1000</v>
      </c>
      <c r="K82" s="11"/>
    </row>
    <row r="83" spans="2:11" ht="30" customHeight="1" x14ac:dyDescent="0.3">
      <c r="B83" s="5">
        <v>418245</v>
      </c>
      <c r="C83" s="6">
        <v>46247</v>
      </c>
      <c r="D83" s="8" t="s">
        <v>52</v>
      </c>
      <c r="E83" s="8"/>
      <c r="F83" s="8" t="s">
        <v>53</v>
      </c>
      <c r="G83" s="8" t="s">
        <v>76</v>
      </c>
      <c r="H83" s="8">
        <v>18.349</v>
      </c>
      <c r="I83" s="9">
        <v>22.89</v>
      </c>
      <c r="J83" s="10">
        <v>420</v>
      </c>
      <c r="K83" s="11"/>
    </row>
    <row r="84" spans="2:11" ht="30" customHeight="1" x14ac:dyDescent="0.3">
      <c r="B84" s="5">
        <v>417998</v>
      </c>
      <c r="C84" s="6">
        <v>46247</v>
      </c>
      <c r="D84" s="8" t="s">
        <v>93</v>
      </c>
      <c r="E84" s="8"/>
      <c r="F84" s="8" t="s">
        <v>45</v>
      </c>
      <c r="G84" s="8" t="s">
        <v>94</v>
      </c>
      <c r="H84" s="8">
        <v>43.686999999999998</v>
      </c>
      <c r="I84" s="9">
        <v>22.89</v>
      </c>
      <c r="J84" s="10">
        <v>1000</v>
      </c>
      <c r="K84" s="11">
        <f>SUM(J80:J84)</f>
        <v>4020.06</v>
      </c>
    </row>
    <row r="85" spans="2:11" ht="30" customHeight="1" x14ac:dyDescent="0.3">
      <c r="B85" s="5">
        <v>418715</v>
      </c>
      <c r="C85" s="6">
        <v>46248</v>
      </c>
      <c r="D85" s="8" t="s">
        <v>71</v>
      </c>
      <c r="E85" s="8"/>
      <c r="F85" s="8" t="s">
        <v>63</v>
      </c>
      <c r="G85" s="8" t="s">
        <v>72</v>
      </c>
      <c r="H85" s="8">
        <v>13.106</v>
      </c>
      <c r="I85" s="9">
        <v>22.89</v>
      </c>
      <c r="J85" s="10">
        <v>300</v>
      </c>
      <c r="K85" s="11"/>
    </row>
    <row r="86" spans="2:11" ht="30" customHeight="1" x14ac:dyDescent="0.3">
      <c r="B86" s="5">
        <v>418714</v>
      </c>
      <c r="C86" s="6">
        <v>46248</v>
      </c>
      <c r="D86" s="8" t="s">
        <v>73</v>
      </c>
      <c r="E86" s="8"/>
      <c r="F86" s="8" t="s">
        <v>63</v>
      </c>
      <c r="G86" s="8" t="s">
        <v>72</v>
      </c>
      <c r="H86" s="8">
        <v>21.844000000000001</v>
      </c>
      <c r="I86" s="9">
        <v>22.89</v>
      </c>
      <c r="J86" s="10">
        <v>500</v>
      </c>
      <c r="K86" s="11"/>
    </row>
    <row r="87" spans="2:11" ht="30" customHeight="1" x14ac:dyDescent="0.3">
      <c r="B87" s="32">
        <v>418713</v>
      </c>
      <c r="C87" s="33">
        <v>46248</v>
      </c>
      <c r="D87" s="34" t="s">
        <v>80</v>
      </c>
      <c r="E87" s="34"/>
      <c r="F87" s="34" t="s">
        <v>81</v>
      </c>
      <c r="G87" s="34"/>
      <c r="H87" s="34">
        <v>43.686999999999998</v>
      </c>
      <c r="I87" s="35">
        <v>22.89</v>
      </c>
      <c r="J87" s="36">
        <v>1000</v>
      </c>
      <c r="K87" s="11"/>
    </row>
    <row r="88" spans="2:11" ht="30" customHeight="1" x14ac:dyDescent="0.3">
      <c r="B88" s="5">
        <v>418541</v>
      </c>
      <c r="C88" s="6">
        <v>46248</v>
      </c>
      <c r="D88" s="8" t="s">
        <v>77</v>
      </c>
      <c r="E88" s="8"/>
      <c r="F88" s="8" t="s">
        <v>45</v>
      </c>
      <c r="G88" s="8" t="s">
        <v>46</v>
      </c>
      <c r="H88" s="8">
        <v>30.581</v>
      </c>
      <c r="I88" s="9">
        <v>22.89</v>
      </c>
      <c r="J88" s="10">
        <v>700</v>
      </c>
      <c r="K88" s="11"/>
    </row>
    <row r="89" spans="2:11" ht="30" customHeight="1" x14ac:dyDescent="0.3">
      <c r="B89" s="37">
        <v>418502</v>
      </c>
      <c r="C89" s="38">
        <v>46248</v>
      </c>
      <c r="D89" s="39"/>
      <c r="E89" s="39"/>
      <c r="F89" s="39"/>
      <c r="G89" s="39"/>
      <c r="H89" s="39">
        <v>50</v>
      </c>
      <c r="I89" s="40">
        <v>22.89</v>
      </c>
      <c r="J89" s="41">
        <v>1144.5</v>
      </c>
      <c r="K89" s="11"/>
    </row>
    <row r="90" spans="2:11" ht="30" customHeight="1" x14ac:dyDescent="0.3">
      <c r="B90" s="5">
        <v>418496</v>
      </c>
      <c r="C90" s="6">
        <v>46248</v>
      </c>
      <c r="D90" s="8" t="s">
        <v>83</v>
      </c>
      <c r="E90" s="8"/>
      <c r="F90" s="8" t="s">
        <v>39</v>
      </c>
      <c r="G90" s="8" t="s">
        <v>40</v>
      </c>
      <c r="H90" s="8">
        <v>53.783000000000001</v>
      </c>
      <c r="I90" s="9">
        <v>27.89</v>
      </c>
      <c r="J90" s="10">
        <v>1500</v>
      </c>
      <c r="K90" s="11"/>
    </row>
    <row r="91" spans="2:11" ht="30" customHeight="1" x14ac:dyDescent="0.3">
      <c r="B91" s="5">
        <v>418743</v>
      </c>
      <c r="C91" s="6">
        <v>46248</v>
      </c>
      <c r="D91" s="8" t="s">
        <v>30</v>
      </c>
      <c r="E91" s="8"/>
      <c r="F91" s="8" t="s">
        <v>31</v>
      </c>
      <c r="G91" s="8" t="s">
        <v>76</v>
      </c>
      <c r="H91" s="8">
        <v>21.844000000000001</v>
      </c>
      <c r="I91" s="9">
        <v>22.89</v>
      </c>
      <c r="J91" s="10">
        <v>500</v>
      </c>
      <c r="K91" s="11">
        <f>SUM(J85:J91)</f>
        <v>5644.5</v>
      </c>
    </row>
    <row r="92" spans="2:11" ht="30" customHeight="1" x14ac:dyDescent="0.3">
      <c r="B92" s="5">
        <v>418885</v>
      </c>
      <c r="C92" s="6">
        <v>46249</v>
      </c>
      <c r="D92" s="8" t="s">
        <v>54</v>
      </c>
      <c r="E92" s="8"/>
      <c r="F92" s="8" t="s">
        <v>55</v>
      </c>
      <c r="G92" s="8" t="s">
        <v>14</v>
      </c>
      <c r="H92" s="8">
        <v>21.844000000000001</v>
      </c>
      <c r="I92" s="9">
        <v>22.89</v>
      </c>
      <c r="J92" s="10">
        <v>500</v>
      </c>
      <c r="K92" s="11"/>
    </row>
    <row r="93" spans="2:11" ht="30" customHeight="1" x14ac:dyDescent="0.3">
      <c r="B93" s="5">
        <v>419097</v>
      </c>
      <c r="C93" s="6">
        <v>46249</v>
      </c>
      <c r="D93" s="8" t="s">
        <v>18</v>
      </c>
      <c r="E93" s="8"/>
      <c r="F93" s="8" t="s">
        <v>19</v>
      </c>
      <c r="G93" s="8" t="s">
        <v>14</v>
      </c>
      <c r="H93" s="8">
        <v>17.475000000000001</v>
      </c>
      <c r="I93" s="9">
        <v>22.89</v>
      </c>
      <c r="J93" s="10">
        <v>400</v>
      </c>
      <c r="K93" s="11">
        <f>SUM(J92:J93)</f>
        <v>900</v>
      </c>
    </row>
    <row r="94" spans="2:11" ht="30" customHeight="1" x14ac:dyDescent="0.3">
      <c r="B94" s="5"/>
      <c r="C94" s="6"/>
      <c r="D94" s="8"/>
      <c r="E94" s="8"/>
      <c r="F94" s="8"/>
      <c r="G94" s="8"/>
      <c r="H94" s="8"/>
      <c r="I94" s="9"/>
      <c r="J94" s="10"/>
      <c r="K94" s="11"/>
    </row>
    <row r="95" spans="2:11" ht="30" customHeight="1" x14ac:dyDescent="0.3">
      <c r="B95" s="5"/>
      <c r="C95" s="6"/>
      <c r="D95" s="8"/>
      <c r="E95" s="8"/>
      <c r="F95" s="8"/>
      <c r="G95" s="8"/>
      <c r="H95" s="8"/>
      <c r="I95" s="9"/>
      <c r="J95" s="10"/>
      <c r="K95" s="11"/>
    </row>
    <row r="96" spans="2:11" ht="30" customHeight="1" x14ac:dyDescent="0.3">
      <c r="B96" s="5"/>
      <c r="C96" s="6"/>
      <c r="D96" s="8"/>
      <c r="E96" s="8"/>
      <c r="F96" s="8"/>
      <c r="G96" s="8"/>
      <c r="H96" s="8"/>
      <c r="I96" s="9"/>
      <c r="J96" s="10"/>
      <c r="K96" s="11"/>
    </row>
    <row r="97" spans="2:12" ht="30" customHeight="1" thickBot="1" x14ac:dyDescent="0.35">
      <c r="B97" s="12"/>
      <c r="C97" s="13"/>
      <c r="D97" s="15"/>
      <c r="E97" s="15"/>
      <c r="F97" s="15"/>
      <c r="G97" s="15"/>
      <c r="H97" s="15"/>
      <c r="I97" s="16"/>
      <c r="J97" s="17"/>
      <c r="K97" s="11"/>
    </row>
    <row r="98" spans="2:12" ht="30" customHeight="1" thickBot="1" x14ac:dyDescent="0.35">
      <c r="B98" s="4"/>
      <c r="C98" s="4"/>
      <c r="D98" s="4"/>
      <c r="E98" s="4"/>
      <c r="F98" s="4"/>
      <c r="G98" s="4"/>
      <c r="H98" s="25" t="s">
        <v>85</v>
      </c>
      <c r="I98" s="26"/>
      <c r="J98" s="27">
        <f>SUM(J5:J97)</f>
        <v>96096.66</v>
      </c>
      <c r="K98" s="11"/>
    </row>
    <row r="99" spans="2:12" ht="30" customHeight="1" x14ac:dyDescent="0.3">
      <c r="B99" s="4"/>
      <c r="C99" s="28"/>
      <c r="D99" s="4"/>
      <c r="E99" s="4"/>
      <c r="F99" s="4"/>
      <c r="G99" s="4"/>
      <c r="K99" s="11"/>
    </row>
    <row r="100" spans="2:12" ht="30" customHeight="1" thickBot="1" x14ac:dyDescent="0.35">
      <c r="B100" s="4"/>
      <c r="C100" s="28"/>
      <c r="D100" s="4"/>
      <c r="E100" s="4"/>
      <c r="F100" s="4"/>
      <c r="G100" s="4"/>
      <c r="H100" s="4"/>
      <c r="I100" s="4"/>
      <c r="J100" s="4"/>
      <c r="K100" s="11"/>
    </row>
    <row r="101" spans="2:12" ht="30" customHeight="1" thickBot="1" x14ac:dyDescent="0.35">
      <c r="B101" s="4"/>
      <c r="C101" s="28"/>
      <c r="D101" s="4"/>
      <c r="E101" s="4"/>
      <c r="F101" s="4"/>
      <c r="G101" s="4"/>
      <c r="H101" s="48" t="s">
        <v>86</v>
      </c>
      <c r="I101" s="49"/>
      <c r="J101" s="30">
        <f>J98-C109</f>
        <v>96096.66</v>
      </c>
      <c r="K101" s="11"/>
      <c r="L101" s="11">
        <f>K93+K91+K84+K79+K77+K69</f>
        <v>47540.869999999995</v>
      </c>
    </row>
    <row r="102" spans="2:12" ht="30" customHeight="1" x14ac:dyDescent="0.3">
      <c r="B102" s="4"/>
      <c r="C102" s="28"/>
      <c r="D102" s="4"/>
      <c r="E102" s="4"/>
      <c r="F102" s="4"/>
      <c r="G102" s="4"/>
      <c r="H102" s="4"/>
      <c r="I102" s="4"/>
      <c r="J102" s="4"/>
      <c r="K102" s="11"/>
    </row>
    <row r="103" spans="2:12" x14ac:dyDescent="0.3">
      <c r="B103" s="4"/>
      <c r="C103" s="28"/>
      <c r="D103" s="4"/>
      <c r="E103" s="4"/>
      <c r="F103" s="4"/>
      <c r="G103" s="4"/>
      <c r="H103" s="4"/>
      <c r="I103" s="4"/>
      <c r="J103" s="4"/>
      <c r="K103" s="11"/>
    </row>
    <row r="104" spans="2:12" x14ac:dyDescent="0.3">
      <c r="B104" s="4"/>
      <c r="C104" s="28"/>
      <c r="D104" s="4"/>
      <c r="E104" s="4"/>
      <c r="F104" s="4"/>
      <c r="G104" s="4"/>
      <c r="H104" s="4"/>
      <c r="I104" s="4"/>
      <c r="J104" s="31"/>
    </row>
    <row r="105" spans="2:12" x14ac:dyDescent="0.3">
      <c r="B105" s="4"/>
      <c r="C105" s="28"/>
      <c r="D105" s="4"/>
      <c r="E105" s="4"/>
      <c r="F105" s="4"/>
      <c r="G105" s="4"/>
      <c r="H105" s="4"/>
      <c r="I105" s="4"/>
      <c r="J105" s="31"/>
    </row>
    <row r="106" spans="2:12" x14ac:dyDescent="0.3">
      <c r="B106" s="4"/>
      <c r="C106" s="28"/>
      <c r="D106" s="4"/>
      <c r="E106" s="4"/>
      <c r="F106" s="4"/>
      <c r="G106" s="4"/>
      <c r="H106" s="4"/>
      <c r="I106" s="4"/>
      <c r="J106" s="31"/>
    </row>
    <row r="107" spans="2:12" x14ac:dyDescent="0.3">
      <c r="B107" s="4"/>
      <c r="C107" s="28"/>
      <c r="D107" s="4"/>
      <c r="E107" s="4"/>
      <c r="F107" s="4"/>
      <c r="G107" s="4"/>
      <c r="H107" s="4"/>
      <c r="I107" s="4"/>
      <c r="J107" s="31"/>
    </row>
    <row r="108" spans="2:12" x14ac:dyDescent="0.3">
      <c r="B108" s="4"/>
      <c r="C108" s="4"/>
      <c r="D108" s="4"/>
      <c r="E108" s="4"/>
      <c r="F108" s="4"/>
      <c r="G108" s="4"/>
      <c r="H108" s="4"/>
      <c r="I108" s="4"/>
      <c r="J108" s="4"/>
    </row>
    <row r="109" spans="2:12" x14ac:dyDescent="0.3">
      <c r="B109" s="4"/>
      <c r="C109" s="31"/>
      <c r="D109" s="4"/>
      <c r="E109" s="4"/>
      <c r="F109" s="4"/>
      <c r="G109" s="4"/>
      <c r="H109" s="4"/>
      <c r="I109" s="4"/>
      <c r="J109" s="4"/>
    </row>
    <row r="110" spans="2:12" x14ac:dyDescent="0.3">
      <c r="B110" s="4"/>
      <c r="C110" s="4"/>
      <c r="D110" s="4"/>
      <c r="E110" s="4"/>
      <c r="F110" s="4"/>
      <c r="G110" s="4"/>
      <c r="H110" s="4"/>
      <c r="I110" s="4"/>
      <c r="J110" s="4"/>
    </row>
    <row r="111" spans="2:12" x14ac:dyDescent="0.3">
      <c r="B111" s="4"/>
      <c r="C111" s="4"/>
      <c r="D111" s="4"/>
      <c r="E111" s="4"/>
      <c r="F111" s="4"/>
      <c r="G111" s="4"/>
    </row>
    <row r="113" spans="2:3" x14ac:dyDescent="0.3">
      <c r="B113" s="4"/>
      <c r="C113" s="31"/>
    </row>
    <row r="114" spans="2:3" x14ac:dyDescent="0.3">
      <c r="C114" s="31"/>
    </row>
    <row r="115" spans="2:3" x14ac:dyDescent="0.3">
      <c r="C115" s="31"/>
    </row>
    <row r="116" spans="2:3" x14ac:dyDescent="0.3">
      <c r="B116" s="4"/>
      <c r="C116" s="31"/>
    </row>
  </sheetData>
  <autoFilter ref="B4:J107" xr:uid="{91CA0CFB-1CE1-46C4-BC4D-ACE3246243A8}">
    <sortState xmlns:xlrd2="http://schemas.microsoft.com/office/spreadsheetml/2017/richdata2" ref="B5:J107">
      <sortCondition ref="C4:C44"/>
    </sortState>
  </autoFilter>
  <mergeCells count="4">
    <mergeCell ref="B1:J1"/>
    <mergeCell ref="B2:J2"/>
    <mergeCell ref="B3:J3"/>
    <mergeCell ref="H101:I101"/>
  </mergeCells>
  <printOptions horizontalCentered="1" verticalCentered="1"/>
  <pageMargins left="0.70866141732283472" right="0.70866141732283472" top="0.55118110236220474" bottom="0.55118110236220474" header="0.31496062992125984" footer="0.31496062992125984"/>
  <pageSetup scale="2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Levet 2</dc:creator>
  <cp:lastModifiedBy>GRUPO TRUJANO 03</cp:lastModifiedBy>
  <dcterms:created xsi:type="dcterms:W3CDTF">2026-08-10T17:32:18Z</dcterms:created>
  <dcterms:modified xsi:type="dcterms:W3CDTF">2026-08-18T15:28:17Z</dcterms:modified>
</cp:coreProperties>
</file>