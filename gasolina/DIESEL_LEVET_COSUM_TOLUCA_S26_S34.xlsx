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DIESEL LEVET" sheetId="1" state="visible" r:id="rId1"/>
    <sheet name="RESUMEN POR SEM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00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2B6CB0"/>
      <sz val="10"/>
    </font>
    <font>
      <name val="Calibri"/>
      <i val="1"/>
      <color rgb="0071809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EDF2F7"/>
        <bgColor rgb="00EDF2F7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A365D"/>
      </top>
      <bottom style="double">
        <color rgb="001A365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165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4" fillId="5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6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5" customWidth="1" min="6" max="6"/>
    <col width="16" customWidth="1" min="7" max="7"/>
    <col width="16" customWidth="1" min="8" max="8"/>
  </cols>
  <sheetData>
    <row r="1">
      <c r="A1" s="1" t="inlineStr">
        <is>
          <t>GRUPO TRUJANO — CONTROL DE COMBUSTIBLE</t>
        </is>
      </c>
    </row>
    <row r="2">
      <c r="A2" s="2" t="inlineStr">
        <is>
          <t>DIESEL LEVET | CENTRO DE TRABAJO: COSUM TOLUCA</t>
        </is>
      </c>
    </row>
    <row r="3">
      <c r="A3" s="3" t="inlineStr">
        <is>
          <t>PERIODO: DEL 24 DE JUNIO AL 19 DE AGOSTO DE 2026 (SEMANAS 26 A 34)</t>
        </is>
      </c>
    </row>
    <row r="4"/>
    <row r="5" ht="24" customHeight="1">
      <c r="A5" s="4" t="inlineStr">
        <is>
          <t>SEMANA</t>
        </is>
      </c>
      <c r="B5" s="4" t="inlineStr">
        <is>
          <t>FECHA</t>
        </is>
      </c>
      <c r="C5" s="4" t="inlineStr">
        <is>
          <t>RESPONSABLE</t>
        </is>
      </c>
      <c r="D5" s="4" t="inlineStr">
        <is>
          <t>PLACAS</t>
        </is>
      </c>
      <c r="E5" s="4" t="inlineStr">
        <is>
          <t>FOLIO</t>
        </is>
      </c>
      <c r="F5" s="4" t="inlineStr">
        <is>
          <t>PRECIO / LT</t>
        </is>
      </c>
      <c r="G5" s="4" t="inlineStr">
        <is>
          <t>LITROS</t>
        </is>
      </c>
      <c r="H5" s="4" t="inlineStr">
        <is>
          <t>IMPORTE ($)</t>
        </is>
      </c>
    </row>
    <row r="6">
      <c r="A6" s="5" t="inlineStr">
        <is>
          <t>Semana 26</t>
        </is>
      </c>
      <c r="B6" s="5" t="inlineStr">
        <is>
          <t>24/06/2026</t>
        </is>
      </c>
      <c r="C6" s="6" t="inlineStr">
        <is>
          <t>ARTURO HDZ</t>
        </is>
      </c>
      <c r="D6" s="5" t="inlineStr">
        <is>
          <t>LD57526</t>
        </is>
      </c>
      <c r="E6" s="5" t="inlineStr">
        <is>
          <t>S/F</t>
        </is>
      </c>
      <c r="F6" s="7" t="n">
        <v>27</v>
      </c>
      <c r="G6" s="8" t="n">
        <v>370</v>
      </c>
      <c r="H6" s="7">
        <f>F6*G6</f>
        <v/>
      </c>
    </row>
    <row r="7">
      <c r="A7" s="9" t="inlineStr">
        <is>
          <t>Semana 26</t>
        </is>
      </c>
      <c r="B7" s="9" t="inlineStr">
        <is>
          <t>24/06/2026</t>
        </is>
      </c>
      <c r="C7" s="10" t="inlineStr">
        <is>
          <t>ARTURO HDZ</t>
        </is>
      </c>
      <c r="D7" s="9" t="inlineStr">
        <is>
          <t>LD57526</t>
        </is>
      </c>
      <c r="E7" s="9" t="inlineStr">
        <is>
          <t>S/F</t>
        </is>
      </c>
      <c r="F7" s="11" t="n">
        <v>27</v>
      </c>
      <c r="G7" s="12" t="n">
        <v>130</v>
      </c>
      <c r="H7" s="11">
        <f>F7*G7</f>
        <v/>
      </c>
    </row>
    <row r="8">
      <c r="A8" s="5" t="inlineStr">
        <is>
          <t>Semana 26</t>
        </is>
      </c>
      <c r="B8" s="5" t="inlineStr">
        <is>
          <t>24/06/2026</t>
        </is>
      </c>
      <c r="C8" s="6" t="inlineStr">
        <is>
          <t>SANTOS SOTERO</t>
        </is>
      </c>
      <c r="D8" s="5" t="inlineStr">
        <is>
          <t>NB1258D</t>
        </is>
      </c>
      <c r="E8" s="5" t="inlineStr">
        <is>
          <t>S/F</t>
        </is>
      </c>
      <c r="F8" s="7" t="n">
        <v>27</v>
      </c>
      <c r="G8" s="8" t="n">
        <v>300.004</v>
      </c>
      <c r="H8" s="7">
        <f>F8*G8</f>
        <v/>
      </c>
    </row>
    <row r="9">
      <c r="A9" s="9" t="inlineStr">
        <is>
          <t>Semana 26</t>
        </is>
      </c>
      <c r="B9" s="9" t="inlineStr">
        <is>
          <t>24/06/2026</t>
        </is>
      </c>
      <c r="C9" s="10" t="inlineStr">
        <is>
          <t>JULIO CESAR</t>
        </is>
      </c>
      <c r="D9" s="9" t="inlineStr">
        <is>
          <t>LH16062</t>
        </is>
      </c>
      <c r="E9" s="9" t="inlineStr">
        <is>
          <t>S/F</t>
        </is>
      </c>
      <c r="F9" s="11" t="n">
        <v>27</v>
      </c>
      <c r="G9" s="12" t="n">
        <v>300</v>
      </c>
      <c r="H9" s="11">
        <f>F9*G9</f>
        <v/>
      </c>
    </row>
    <row r="10">
      <c r="A10" s="5" t="inlineStr">
        <is>
          <t>Semana 26</t>
        </is>
      </c>
      <c r="B10" s="5" t="inlineStr">
        <is>
          <t>24/06/2026</t>
        </is>
      </c>
      <c r="C10" s="6" t="inlineStr">
        <is>
          <t>JORGE GARCIA</t>
        </is>
      </c>
      <c r="D10" s="5" t="inlineStr">
        <is>
          <t>MY7968B</t>
        </is>
      </c>
      <c r="E10" s="5" t="inlineStr">
        <is>
          <t>S/F</t>
        </is>
      </c>
      <c r="F10" s="7" t="n">
        <v>27</v>
      </c>
      <c r="G10" s="8" t="n">
        <v>370</v>
      </c>
      <c r="H10" s="7">
        <f>F10*G10</f>
        <v/>
      </c>
    </row>
    <row r="11">
      <c r="A11" s="9" t="inlineStr">
        <is>
          <t>Semana 26</t>
        </is>
      </c>
      <c r="B11" s="9" t="inlineStr">
        <is>
          <t>24/06/2026</t>
        </is>
      </c>
      <c r="C11" s="10" t="inlineStr">
        <is>
          <t>ALEJANDRO FLORES</t>
        </is>
      </c>
      <c r="D11" s="9" t="inlineStr">
        <is>
          <t>NR0950C</t>
        </is>
      </c>
      <c r="E11" s="9" t="inlineStr">
        <is>
          <t>S/F</t>
        </is>
      </c>
      <c r="F11" s="11" t="n">
        <v>27</v>
      </c>
      <c r="G11" s="12" t="n">
        <v>254</v>
      </c>
      <c r="H11" s="11">
        <f>F11*G11</f>
        <v/>
      </c>
    </row>
    <row r="12">
      <c r="A12" s="5" t="inlineStr">
        <is>
          <t>Semana 26</t>
        </is>
      </c>
      <c r="B12" s="5" t="inlineStr">
        <is>
          <t>24/06/2026</t>
        </is>
      </c>
      <c r="C12" s="6" t="inlineStr">
        <is>
          <t>ENRIQUE COLIN</t>
        </is>
      </c>
      <c r="D12" s="5" t="inlineStr">
        <is>
          <t>HG6103D</t>
        </is>
      </c>
      <c r="E12" s="5" t="inlineStr">
        <is>
          <t>S/F</t>
        </is>
      </c>
      <c r="F12" s="7" t="n">
        <v>27</v>
      </c>
      <c r="G12" s="8" t="n">
        <v>330.036</v>
      </c>
      <c r="H12" s="7">
        <f>F12*G12</f>
        <v/>
      </c>
    </row>
    <row r="13">
      <c r="A13" s="9" t="inlineStr">
        <is>
          <t>Semana 27</t>
        </is>
      </c>
      <c r="B13" s="9" t="inlineStr">
        <is>
          <t>01/07/2026</t>
        </is>
      </c>
      <c r="C13" s="10" t="inlineStr">
        <is>
          <t>ARTURO HERNANDEZ COLIN</t>
        </is>
      </c>
      <c r="D13" s="9" t="inlineStr">
        <is>
          <t>NB1258D</t>
        </is>
      </c>
      <c r="E13" s="9" t="inlineStr">
        <is>
          <t>S/F</t>
        </is>
      </c>
      <c r="F13" s="11" t="n">
        <v>27</v>
      </c>
      <c r="G13" s="12" t="n">
        <v>300.004</v>
      </c>
      <c r="H13" s="11">
        <f>F13*G13</f>
        <v/>
      </c>
    </row>
    <row r="14">
      <c r="A14" s="5" t="inlineStr">
        <is>
          <t>Semana 27</t>
        </is>
      </c>
      <c r="B14" s="5" t="inlineStr">
        <is>
          <t>04/07/2026</t>
        </is>
      </c>
      <c r="C14" s="6" t="inlineStr">
        <is>
          <t>JULIO CESAR HERNANDEZ</t>
        </is>
      </c>
      <c r="D14" s="5" t="inlineStr">
        <is>
          <t>LH16062</t>
        </is>
      </c>
      <c r="E14" s="5" t="inlineStr">
        <is>
          <t>S/F</t>
        </is>
      </c>
      <c r="F14" s="7" t="n">
        <v>27</v>
      </c>
      <c r="G14" s="8" t="n">
        <v>300</v>
      </c>
      <c r="H14" s="7">
        <f>F14*G14</f>
        <v/>
      </c>
    </row>
    <row r="15">
      <c r="A15" s="9" t="inlineStr">
        <is>
          <t>Semana 27</t>
        </is>
      </c>
      <c r="B15" s="9" t="inlineStr">
        <is>
          <t>04/07/2026</t>
        </is>
      </c>
      <c r="C15" s="10" t="inlineStr">
        <is>
          <t>JORGE GARCIA</t>
        </is>
      </c>
      <c r="D15" s="9" t="inlineStr">
        <is>
          <t>MY7968B</t>
        </is>
      </c>
      <c r="E15" s="9" t="inlineStr">
        <is>
          <t>S/F</t>
        </is>
      </c>
      <c r="F15" s="11" t="n">
        <v>27</v>
      </c>
      <c r="G15" s="12" t="n">
        <v>30.005</v>
      </c>
      <c r="H15" s="11">
        <f>F15*G15</f>
        <v/>
      </c>
    </row>
    <row r="16">
      <c r="A16" s="5" t="inlineStr">
        <is>
          <t>Semana 27</t>
        </is>
      </c>
      <c r="B16" s="5" t="inlineStr">
        <is>
          <t>04/07/2026</t>
        </is>
      </c>
      <c r="C16" s="6" t="inlineStr">
        <is>
          <t>JORGE GARCIA</t>
        </is>
      </c>
      <c r="D16" s="5" t="inlineStr">
        <is>
          <t>MY7968B</t>
        </is>
      </c>
      <c r="E16" s="5" t="inlineStr">
        <is>
          <t>S/F</t>
        </is>
      </c>
      <c r="F16" s="7" t="n">
        <v>27</v>
      </c>
      <c r="G16" s="8" t="n">
        <v>370</v>
      </c>
      <c r="H16" s="7">
        <f>F16*G16</f>
        <v/>
      </c>
    </row>
    <row r="17">
      <c r="A17" s="9" t="inlineStr">
        <is>
          <t>Semana 28</t>
        </is>
      </c>
      <c r="B17" s="9" t="inlineStr">
        <is>
          <t>07/07/2026</t>
        </is>
      </c>
      <c r="C17" s="10" t="inlineStr">
        <is>
          <t>ARTURO HERNANDEZ COLIN</t>
        </is>
      </c>
      <c r="D17" s="9" t="inlineStr">
        <is>
          <t>NR0950C</t>
        </is>
      </c>
      <c r="E17" s="9" t="inlineStr">
        <is>
          <t>S/F</t>
        </is>
      </c>
      <c r="F17" s="11" t="n">
        <v>27</v>
      </c>
      <c r="G17" s="12" t="n">
        <v>370</v>
      </c>
      <c r="H17" s="11">
        <f>F17*G17</f>
        <v/>
      </c>
    </row>
    <row r="18">
      <c r="A18" s="5" t="inlineStr">
        <is>
          <t>Semana 28</t>
        </is>
      </c>
      <c r="B18" s="5" t="inlineStr">
        <is>
          <t>07/07/2026</t>
        </is>
      </c>
      <c r="C18" s="6" t="inlineStr">
        <is>
          <t>ARTURO HERNANDEZ COLIN</t>
        </is>
      </c>
      <c r="D18" s="5" t="inlineStr">
        <is>
          <t>NR0950C</t>
        </is>
      </c>
      <c r="E18" s="5" t="inlineStr">
        <is>
          <t>S/F</t>
        </is>
      </c>
      <c r="F18" s="7" t="n">
        <v>27</v>
      </c>
      <c r="G18" s="8" t="n">
        <v>20.004</v>
      </c>
      <c r="H18" s="7">
        <f>F18*G18</f>
        <v/>
      </c>
    </row>
    <row r="19">
      <c r="A19" s="9" t="inlineStr">
        <is>
          <t>Semana 29</t>
        </is>
      </c>
      <c r="B19" s="9" t="inlineStr">
        <is>
          <t>13/07/2026</t>
        </is>
      </c>
      <c r="C19" s="10" t="inlineStr">
        <is>
          <t>ARTURO HERNANDEZ COLIN</t>
        </is>
      </c>
      <c r="D19" s="9" t="inlineStr">
        <is>
          <t>LH16062</t>
        </is>
      </c>
      <c r="E19" s="9" t="inlineStr">
        <is>
          <t>6301</t>
        </is>
      </c>
      <c r="F19" s="11" t="n">
        <v>27</v>
      </c>
      <c r="G19" s="12" t="n">
        <v>310.005</v>
      </c>
      <c r="H19" s="11">
        <f>F19*G19</f>
        <v/>
      </c>
    </row>
    <row r="20">
      <c r="A20" s="5" t="inlineStr">
        <is>
          <t>Semana 29</t>
        </is>
      </c>
      <c r="B20" s="5" t="inlineStr">
        <is>
          <t>14/07/2026</t>
        </is>
      </c>
      <c r="C20" s="6" t="inlineStr">
        <is>
          <t>ARTURO HERNANDEZ COLIN</t>
        </is>
      </c>
      <c r="D20" s="5" t="inlineStr">
        <is>
          <t>MY7968B</t>
        </is>
      </c>
      <c r="E20" s="5" t="inlineStr">
        <is>
          <t>6303</t>
        </is>
      </c>
      <c r="F20" s="7" t="n">
        <v>27</v>
      </c>
      <c r="G20" s="8" t="n">
        <v>23.001</v>
      </c>
      <c r="H20" s="7">
        <f>F20*G20</f>
        <v/>
      </c>
    </row>
    <row r="21">
      <c r="A21" s="9" t="inlineStr">
        <is>
          <t>Semana 29</t>
        </is>
      </c>
      <c r="B21" s="9" t="inlineStr">
        <is>
          <t>14/07/2026</t>
        </is>
      </c>
      <c r="C21" s="10" t="inlineStr">
        <is>
          <t>ARTURO HERNANDEZ COLIN</t>
        </is>
      </c>
      <c r="D21" s="9" t="inlineStr">
        <is>
          <t>MY7968B</t>
        </is>
      </c>
      <c r="E21" s="9" t="inlineStr">
        <is>
          <t>6303</t>
        </is>
      </c>
      <c r="F21" s="11" t="n">
        <v>27</v>
      </c>
      <c r="G21" s="12" t="n">
        <v>370</v>
      </c>
      <c r="H21" s="11">
        <f>F21*G21</f>
        <v/>
      </c>
    </row>
    <row r="22">
      <c r="A22" s="5" t="inlineStr">
        <is>
          <t>Semana 29</t>
        </is>
      </c>
      <c r="B22" s="5" t="inlineStr">
        <is>
          <t>14/07/2026</t>
        </is>
      </c>
      <c r="C22" s="6" t="inlineStr">
        <is>
          <t>ARTURO HERNANDEZ COLIN</t>
        </is>
      </c>
      <c r="D22" s="5" t="inlineStr">
        <is>
          <t>NB1258D</t>
        </is>
      </c>
      <c r="E22" s="5" t="inlineStr">
        <is>
          <t>6302</t>
        </is>
      </c>
      <c r="F22" s="7" t="n">
        <v>27</v>
      </c>
      <c r="G22" s="8" t="n">
        <v>305.006</v>
      </c>
      <c r="H22" s="7">
        <f>F22*G22</f>
        <v/>
      </c>
    </row>
    <row r="23">
      <c r="A23" s="9" t="inlineStr">
        <is>
          <t>Semana 29</t>
        </is>
      </c>
      <c r="B23" s="9" t="inlineStr">
        <is>
          <t>16/07/2026</t>
        </is>
      </c>
      <c r="C23" s="10" t="inlineStr">
        <is>
          <t>ARTURO HERNANDEZ COLIN</t>
        </is>
      </c>
      <c r="D23" s="9" t="inlineStr">
        <is>
          <t>NR0950C</t>
        </is>
      </c>
      <c r="E23" s="9" t="inlineStr">
        <is>
          <t>6304</t>
        </is>
      </c>
      <c r="F23" s="11" t="n">
        <v>27</v>
      </c>
      <c r="G23" s="12" t="n">
        <v>350.004</v>
      </c>
      <c r="H23" s="11">
        <f>F23*G23</f>
        <v/>
      </c>
    </row>
    <row r="24">
      <c r="A24" s="5" t="inlineStr">
        <is>
          <t>Semana 30</t>
        </is>
      </c>
      <c r="B24" s="5" t="inlineStr">
        <is>
          <t>18/07/2026</t>
        </is>
      </c>
      <c r="C24" s="6" t="inlineStr">
        <is>
          <t>ARTURO HERNANDEZ COLIN</t>
        </is>
      </c>
      <c r="D24" s="5" t="inlineStr">
        <is>
          <t>NB1258D</t>
        </is>
      </c>
      <c r="E24" s="5" t="inlineStr">
        <is>
          <t>6307</t>
        </is>
      </c>
      <c r="F24" s="7" t="n">
        <v>27</v>
      </c>
      <c r="G24" s="8" t="n">
        <v>308.038</v>
      </c>
      <c r="H24" s="7">
        <f>F24*G24</f>
        <v/>
      </c>
    </row>
    <row r="25">
      <c r="A25" s="9" t="inlineStr">
        <is>
          <t>Semana 30</t>
        </is>
      </c>
      <c r="B25" s="9" t="inlineStr">
        <is>
          <t>18/07/2026</t>
        </is>
      </c>
      <c r="C25" s="10" t="inlineStr">
        <is>
          <t>ARTURO HERNANDEZ COLIN</t>
        </is>
      </c>
      <c r="D25" s="9" t="inlineStr">
        <is>
          <t>LH16062</t>
        </is>
      </c>
      <c r="E25" s="9" t="inlineStr">
        <is>
          <t>6306</t>
        </is>
      </c>
      <c r="F25" s="11" t="n">
        <v>27</v>
      </c>
      <c r="G25" s="12" t="n">
        <v>320.004</v>
      </c>
      <c r="H25" s="11">
        <f>F25*G25</f>
        <v/>
      </c>
    </row>
    <row r="26">
      <c r="A26" s="5" t="inlineStr">
        <is>
          <t>Semana 30</t>
        </is>
      </c>
      <c r="B26" s="5" t="inlineStr">
        <is>
          <t>20/07/2026</t>
        </is>
      </c>
      <c r="C26" s="6" t="inlineStr">
        <is>
          <t>HECTOR</t>
        </is>
      </c>
      <c r="D26" s="5" t="inlineStr">
        <is>
          <t>HB0596J</t>
        </is>
      </c>
      <c r="E26" s="5" t="inlineStr">
        <is>
          <t>6305</t>
        </is>
      </c>
      <c r="F26" s="7" t="n">
        <v>27</v>
      </c>
      <c r="G26" s="8" t="n">
        <v>150</v>
      </c>
      <c r="H26" s="7">
        <f>F26*G26</f>
        <v/>
      </c>
    </row>
    <row r="27">
      <c r="A27" s="9" t="inlineStr">
        <is>
          <t>Semana 30</t>
        </is>
      </c>
      <c r="B27" s="9" t="inlineStr">
        <is>
          <t>20/07/2026</t>
        </is>
      </c>
      <c r="C27" s="10" t="inlineStr">
        <is>
          <t>DANIEL SANCHEZ</t>
        </is>
      </c>
      <c r="D27" s="9" t="inlineStr">
        <is>
          <t>HB9249J</t>
        </is>
      </c>
      <c r="E27" s="9" t="inlineStr">
        <is>
          <t>6308</t>
        </is>
      </c>
      <c r="F27" s="11" t="n">
        <v>27</v>
      </c>
      <c r="G27" s="12" t="n">
        <v>200</v>
      </c>
      <c r="H27" s="11">
        <f>F27*G27</f>
        <v/>
      </c>
    </row>
    <row r="28">
      <c r="A28" s="5" t="inlineStr">
        <is>
          <t>Semana 30</t>
        </is>
      </c>
      <c r="B28" s="5" t="inlineStr">
        <is>
          <t>21/07/2026</t>
        </is>
      </c>
      <c r="C28" s="6" t="inlineStr">
        <is>
          <t>ARTURO HERNANDEZ COLIN</t>
        </is>
      </c>
      <c r="D28" s="5" t="inlineStr">
        <is>
          <t>MY7968B</t>
        </is>
      </c>
      <c r="E28" s="5" t="inlineStr">
        <is>
          <t>6310</t>
        </is>
      </c>
      <c r="F28" s="7" t="n">
        <v>27</v>
      </c>
      <c r="G28" s="8" t="n">
        <v>26.008</v>
      </c>
      <c r="H28" s="7">
        <f>F28*G28</f>
        <v/>
      </c>
    </row>
    <row r="29">
      <c r="A29" s="9" t="inlineStr">
        <is>
          <t>Semana 30</t>
        </is>
      </c>
      <c r="B29" s="9" t="inlineStr">
        <is>
          <t>21/07/2026</t>
        </is>
      </c>
      <c r="C29" s="10" t="inlineStr">
        <is>
          <t>ARTURO HERNANDEZ COLIN</t>
        </is>
      </c>
      <c r="D29" s="9" t="inlineStr">
        <is>
          <t>MY7968B</t>
        </is>
      </c>
      <c r="E29" s="9" t="inlineStr">
        <is>
          <t>6310</t>
        </is>
      </c>
      <c r="F29" s="11" t="n">
        <v>27</v>
      </c>
      <c r="G29" s="12" t="n">
        <v>370</v>
      </c>
      <c r="H29" s="11">
        <f>F29*G29</f>
        <v/>
      </c>
    </row>
    <row r="30">
      <c r="A30" s="5" t="inlineStr">
        <is>
          <t>Semana 30</t>
        </is>
      </c>
      <c r="B30" s="5" t="inlineStr">
        <is>
          <t>21/07/2026</t>
        </is>
      </c>
      <c r="C30" s="6" t="inlineStr">
        <is>
          <t>ARTURO HERNANDEZ COLIN</t>
        </is>
      </c>
      <c r="D30" s="5" t="inlineStr">
        <is>
          <t>NR0950C</t>
        </is>
      </c>
      <c r="E30" s="5" t="inlineStr">
        <is>
          <t>6309</t>
        </is>
      </c>
      <c r="F30" s="7" t="n">
        <v>27</v>
      </c>
      <c r="G30" s="8" t="n">
        <v>370</v>
      </c>
      <c r="H30" s="7">
        <f>F30*G30</f>
        <v/>
      </c>
    </row>
    <row r="31">
      <c r="A31" s="9" t="inlineStr">
        <is>
          <t>Semana 30</t>
        </is>
      </c>
      <c r="B31" s="9" t="inlineStr">
        <is>
          <t>23/07/2026</t>
        </is>
      </c>
      <c r="C31" s="10" t="inlineStr">
        <is>
          <t>ARTURO HERNANDEZ COLIN</t>
        </is>
      </c>
      <c r="D31" s="9" t="inlineStr">
        <is>
          <t>NB1258D</t>
        </is>
      </c>
      <c r="E31" s="9" t="inlineStr">
        <is>
          <t>6311</t>
        </is>
      </c>
      <c r="F31" s="11" t="n">
        <v>27</v>
      </c>
      <c r="G31" s="12" t="n">
        <v>306.009</v>
      </c>
      <c r="H31" s="11">
        <f>F31*G31</f>
        <v/>
      </c>
    </row>
    <row r="32">
      <c r="A32" s="5" t="inlineStr">
        <is>
          <t>Semana 30</t>
        </is>
      </c>
      <c r="B32" s="5" t="inlineStr">
        <is>
          <t>23/07/2026</t>
        </is>
      </c>
      <c r="C32" s="6" t="inlineStr">
        <is>
          <t>ARTURO HERNANDEZ COLIN</t>
        </is>
      </c>
      <c r="D32" s="5" t="inlineStr">
        <is>
          <t>HG5430G</t>
        </is>
      </c>
      <c r="E32" s="5" t="inlineStr">
        <is>
          <t>6314</t>
        </is>
      </c>
      <c r="F32" s="7" t="n">
        <v>27</v>
      </c>
      <c r="G32" s="8" t="n">
        <v>183.898</v>
      </c>
      <c r="H32" s="7">
        <f>F32*G32</f>
        <v/>
      </c>
    </row>
    <row r="33">
      <c r="A33" s="9" t="inlineStr">
        <is>
          <t>Semana 30</t>
        </is>
      </c>
      <c r="B33" s="9" t="inlineStr">
        <is>
          <t>23/07/2026</t>
        </is>
      </c>
      <c r="C33" s="10" t="inlineStr">
        <is>
          <t>ONESIMO HERNANDEZ GONZALEZ</t>
        </is>
      </c>
      <c r="D33" s="9" t="inlineStr">
        <is>
          <t>S/P</t>
        </is>
      </c>
      <c r="E33" s="9" t="inlineStr">
        <is>
          <t>6313</t>
        </is>
      </c>
      <c r="F33" s="11" t="n">
        <v>27</v>
      </c>
      <c r="G33" s="12" t="n">
        <v>155.16</v>
      </c>
      <c r="H33" s="11">
        <f>F33*G33</f>
        <v/>
      </c>
    </row>
    <row r="34">
      <c r="A34" s="5" t="inlineStr">
        <is>
          <t>Semana 30</t>
        </is>
      </c>
      <c r="B34" s="5" t="inlineStr">
        <is>
          <t>23/07/2026</t>
        </is>
      </c>
      <c r="C34" s="6" t="inlineStr">
        <is>
          <t>ARTURO HERNANDEZ COLIN</t>
        </is>
      </c>
      <c r="D34" s="5" t="inlineStr">
        <is>
          <t>LD57526</t>
        </is>
      </c>
      <c r="E34" s="5" t="inlineStr">
        <is>
          <t>6312</t>
        </is>
      </c>
      <c r="F34" s="7" t="n">
        <v>27</v>
      </c>
      <c r="G34" s="8" t="n">
        <v>322.226</v>
      </c>
      <c r="H34" s="7">
        <f>F34*G34</f>
        <v/>
      </c>
    </row>
    <row r="35">
      <c r="A35" s="9" t="inlineStr">
        <is>
          <t>Semana 30</t>
        </is>
      </c>
      <c r="B35" s="9" t="inlineStr">
        <is>
          <t>23/07/2026</t>
        </is>
      </c>
      <c r="C35" s="10" t="inlineStr">
        <is>
          <t>LEONARDO DIAZ RODRIGUEZ</t>
        </is>
      </c>
      <c r="D35" s="9" t="inlineStr">
        <is>
          <t>6X3053G</t>
        </is>
      </c>
      <c r="E35" s="9" t="inlineStr">
        <is>
          <t>6315</t>
        </is>
      </c>
      <c r="F35" s="11" t="n">
        <v>27</v>
      </c>
      <c r="G35" s="12" t="n">
        <v>5.944</v>
      </c>
      <c r="H35" s="11">
        <f>F35*G35</f>
        <v/>
      </c>
    </row>
    <row r="36">
      <c r="A36" s="5" t="inlineStr">
        <is>
          <t>Semana 30</t>
        </is>
      </c>
      <c r="B36" s="5" t="inlineStr">
        <is>
          <t>23/07/2026</t>
        </is>
      </c>
      <c r="C36" s="6" t="inlineStr">
        <is>
          <t>LEONARDO DIAZ RODRIGUEZ</t>
        </is>
      </c>
      <c r="D36" s="5" t="inlineStr">
        <is>
          <t>6X3053G</t>
        </is>
      </c>
      <c r="E36" s="5" t="inlineStr">
        <is>
          <t>6315</t>
        </is>
      </c>
      <c r="F36" s="7" t="n">
        <v>27</v>
      </c>
      <c r="G36" s="8" t="n">
        <v>62.002</v>
      </c>
      <c r="H36" s="7">
        <f>F36*G36</f>
        <v/>
      </c>
    </row>
    <row r="37">
      <c r="A37" s="9" t="inlineStr">
        <is>
          <t>Semana 30</t>
        </is>
      </c>
      <c r="B37" s="9" t="inlineStr">
        <is>
          <t>23/07/2026</t>
        </is>
      </c>
      <c r="C37" s="10" t="inlineStr">
        <is>
          <t>LEONARDO DIAZ RODRIGUEZ</t>
        </is>
      </c>
      <c r="D37" s="9" t="inlineStr">
        <is>
          <t>6X3053G</t>
        </is>
      </c>
      <c r="E37" s="9" t="inlineStr">
        <is>
          <t>6315</t>
        </is>
      </c>
      <c r="F37" s="11" t="n">
        <v>27</v>
      </c>
      <c r="G37" s="12" t="n">
        <v>370</v>
      </c>
      <c r="H37" s="11">
        <f>F37*G37</f>
        <v/>
      </c>
    </row>
    <row r="38">
      <c r="A38" s="5" t="inlineStr">
        <is>
          <t>Semana 30</t>
        </is>
      </c>
      <c r="B38" s="5" t="inlineStr">
        <is>
          <t>24/07/2026</t>
        </is>
      </c>
      <c r="C38" s="6" t="inlineStr">
        <is>
          <t>ARTURO HERNANDEZ COLIN</t>
        </is>
      </c>
      <c r="D38" s="5" t="inlineStr">
        <is>
          <t>LH16062</t>
        </is>
      </c>
      <c r="E38" s="5" t="inlineStr">
        <is>
          <t>6316</t>
        </is>
      </c>
      <c r="F38" s="7" t="n">
        <v>27</v>
      </c>
      <c r="G38" s="8" t="n">
        <v>300</v>
      </c>
      <c r="H38" s="7">
        <f>F38*G38</f>
        <v/>
      </c>
    </row>
    <row r="39">
      <c r="A39" s="9" t="inlineStr">
        <is>
          <t>Semana 30</t>
        </is>
      </c>
      <c r="B39" s="9" t="inlineStr">
        <is>
          <t>25/07/2026</t>
        </is>
      </c>
      <c r="C39" s="10" t="inlineStr">
        <is>
          <t>JORGE GARCIA</t>
        </is>
      </c>
      <c r="D39" s="9" t="inlineStr">
        <is>
          <t>MY7968B</t>
        </is>
      </c>
      <c r="E39" s="9" t="inlineStr">
        <is>
          <t>6317</t>
        </is>
      </c>
      <c r="F39" s="11" t="n">
        <v>27</v>
      </c>
      <c r="G39" s="12" t="n">
        <v>350.011</v>
      </c>
      <c r="H39" s="11">
        <f>F39*G39</f>
        <v/>
      </c>
    </row>
    <row r="40">
      <c r="A40" s="5" t="inlineStr">
        <is>
          <t>Semana 31</t>
        </is>
      </c>
      <c r="B40" s="5" t="inlineStr">
        <is>
          <t>27/07/2026</t>
        </is>
      </c>
      <c r="C40" s="6" t="inlineStr">
        <is>
          <t>ARTURO COLIN</t>
        </is>
      </c>
      <c r="D40" s="5" t="inlineStr">
        <is>
          <t>NR0950C</t>
        </is>
      </c>
      <c r="E40" s="5" t="inlineStr">
        <is>
          <t>6318</t>
        </is>
      </c>
      <c r="F40" s="7" t="n">
        <v>27</v>
      </c>
      <c r="G40" s="8" t="n">
        <v>350.015</v>
      </c>
      <c r="H40" s="7">
        <f>F40*G40</f>
        <v/>
      </c>
    </row>
    <row r="41">
      <c r="A41" s="9" t="inlineStr">
        <is>
          <t>Semana 32</t>
        </is>
      </c>
      <c r="B41" s="9" t="inlineStr">
        <is>
          <t>03/08/2026</t>
        </is>
      </c>
      <c r="C41" s="10" t="inlineStr">
        <is>
          <t>ARTURO HERNANDEZ COLIN</t>
        </is>
      </c>
      <c r="D41" s="9" t="inlineStr">
        <is>
          <t>MY7968B</t>
        </is>
      </c>
      <c r="E41" s="9" t="inlineStr">
        <is>
          <t>6320</t>
        </is>
      </c>
      <c r="F41" s="11" t="n">
        <v>27</v>
      </c>
      <c r="G41" s="12" t="n">
        <v>400</v>
      </c>
      <c r="H41" s="11">
        <f>F41*G41</f>
        <v/>
      </c>
    </row>
    <row r="42">
      <c r="A42" s="5" t="inlineStr">
        <is>
          <t>Semana 32</t>
        </is>
      </c>
      <c r="B42" s="5" t="inlineStr">
        <is>
          <t>03/08/2026</t>
        </is>
      </c>
      <c r="C42" s="6" t="inlineStr">
        <is>
          <t>ARTURO HERNANDEZ COLIN</t>
        </is>
      </c>
      <c r="D42" s="5" t="inlineStr">
        <is>
          <t>NR0950C</t>
        </is>
      </c>
      <c r="E42" s="5" t="inlineStr">
        <is>
          <t>6319</t>
        </is>
      </c>
      <c r="F42" s="7" t="n">
        <v>27</v>
      </c>
      <c r="G42" s="8" t="n">
        <v>370</v>
      </c>
      <c r="H42" s="7">
        <f>F42*G42</f>
        <v/>
      </c>
    </row>
    <row r="43">
      <c r="A43" s="9" t="inlineStr">
        <is>
          <t>Semana 32</t>
        </is>
      </c>
      <c r="B43" s="9" t="inlineStr">
        <is>
          <t>03/08/2026</t>
        </is>
      </c>
      <c r="C43" s="10" t="inlineStr">
        <is>
          <t>ARTURO HERNANDEZ COLIN</t>
        </is>
      </c>
      <c r="D43" s="9" t="inlineStr">
        <is>
          <t>NB1258D</t>
        </is>
      </c>
      <c r="E43" s="9" t="inlineStr">
        <is>
          <t>6322</t>
        </is>
      </c>
      <c r="F43" s="11" t="n">
        <v>27</v>
      </c>
      <c r="G43" s="12" t="n">
        <v>308.007</v>
      </c>
      <c r="H43" s="11">
        <f>F43*G43</f>
        <v/>
      </c>
    </row>
    <row r="44">
      <c r="A44" s="5" t="inlineStr">
        <is>
          <t>Semana 32</t>
        </is>
      </c>
      <c r="B44" s="5" t="inlineStr">
        <is>
          <t>03/08/2026</t>
        </is>
      </c>
      <c r="C44" s="6" t="inlineStr">
        <is>
          <t>ARTURO HERNANDEZ COLIN</t>
        </is>
      </c>
      <c r="D44" s="5" t="inlineStr">
        <is>
          <t>LH16062</t>
        </is>
      </c>
      <c r="E44" s="5" t="inlineStr">
        <is>
          <t>6321</t>
        </is>
      </c>
      <c r="F44" s="7" t="n">
        <v>27</v>
      </c>
      <c r="G44" s="8" t="n">
        <v>325.008</v>
      </c>
      <c r="H44" s="7">
        <f>F44*G44</f>
        <v/>
      </c>
    </row>
    <row r="45">
      <c r="A45" s="9" t="inlineStr">
        <is>
          <t>Semana 32</t>
        </is>
      </c>
      <c r="B45" s="9" t="inlineStr">
        <is>
          <t>04/08/2026</t>
        </is>
      </c>
      <c r="C45" s="10" t="inlineStr">
        <is>
          <t>ARTURO HERNANDEZ COLIN</t>
        </is>
      </c>
      <c r="D45" s="9" t="inlineStr">
        <is>
          <t>LD57526</t>
        </is>
      </c>
      <c r="E45" s="9" t="inlineStr">
        <is>
          <t>6323</t>
        </is>
      </c>
      <c r="F45" s="11" t="n">
        <v>27</v>
      </c>
      <c r="G45" s="12" t="n">
        <v>317.922</v>
      </c>
      <c r="H45" s="11">
        <f>F45*G45</f>
        <v/>
      </c>
    </row>
    <row r="46">
      <c r="A46" s="5" t="inlineStr">
        <is>
          <t>Semana 32</t>
        </is>
      </c>
      <c r="B46" s="5" t="inlineStr">
        <is>
          <t>07/08/2026</t>
        </is>
      </c>
      <c r="C46" s="6" t="inlineStr">
        <is>
          <t>ARTURO HERNANDEZ COLIN</t>
        </is>
      </c>
      <c r="D46" s="5" t="inlineStr">
        <is>
          <t>NB1258D</t>
        </is>
      </c>
      <c r="E46" s="5" t="inlineStr">
        <is>
          <t>6324</t>
        </is>
      </c>
      <c r="F46" s="7" t="n">
        <v>27</v>
      </c>
      <c r="G46" s="8" t="n">
        <v>315.005</v>
      </c>
      <c r="H46" s="7">
        <f>F46*G46</f>
        <v/>
      </c>
    </row>
    <row r="47">
      <c r="A47" s="9" t="inlineStr">
        <is>
          <t>Semana 33</t>
        </is>
      </c>
      <c r="B47" s="9" t="inlineStr">
        <is>
          <t>10/08/2026</t>
        </is>
      </c>
      <c r="C47" s="10" t="inlineStr">
        <is>
          <t>ARTURO HERNANDEZ COLIN</t>
        </is>
      </c>
      <c r="D47" s="9" t="inlineStr">
        <is>
          <t>N53489C</t>
        </is>
      </c>
      <c r="E47" s="9" t="inlineStr">
        <is>
          <t>6327</t>
        </is>
      </c>
      <c r="F47" s="11" t="n">
        <v>27</v>
      </c>
      <c r="G47" s="12" t="n">
        <v>308.004</v>
      </c>
      <c r="H47" s="11">
        <f>F47*G47</f>
        <v/>
      </c>
    </row>
    <row r="48">
      <c r="A48" s="5" t="inlineStr">
        <is>
          <t>Semana 33</t>
        </is>
      </c>
      <c r="B48" s="5" t="inlineStr">
        <is>
          <t>10/08/2026</t>
        </is>
      </c>
      <c r="C48" s="6" t="inlineStr">
        <is>
          <t>ARTURO HERNANDEZ COLIN</t>
        </is>
      </c>
      <c r="D48" s="5" t="inlineStr">
        <is>
          <t>LH16062</t>
        </is>
      </c>
      <c r="E48" s="5" t="inlineStr">
        <is>
          <t>6331</t>
        </is>
      </c>
      <c r="F48" s="7" t="n">
        <v>27</v>
      </c>
      <c r="G48" s="8" t="n">
        <v>320.007</v>
      </c>
      <c r="H48" s="7">
        <f>F48*G48</f>
        <v/>
      </c>
    </row>
    <row r="49">
      <c r="A49" s="9" t="inlineStr">
        <is>
          <t>Semana 33</t>
        </is>
      </c>
      <c r="B49" s="9" t="inlineStr">
        <is>
          <t>10/08/2026</t>
        </is>
      </c>
      <c r="C49" s="10" t="inlineStr">
        <is>
          <t>ARTURO HERNANDEZ COLIN</t>
        </is>
      </c>
      <c r="D49" s="9" t="inlineStr">
        <is>
          <t>MY7968B</t>
        </is>
      </c>
      <c r="E49" s="9" t="inlineStr">
        <is>
          <t>6325</t>
        </is>
      </c>
      <c r="F49" s="11" t="n">
        <v>27</v>
      </c>
      <c r="G49" s="12" t="n">
        <v>403.018</v>
      </c>
      <c r="H49" s="11">
        <f>F49*G49</f>
        <v/>
      </c>
    </row>
    <row r="50">
      <c r="A50" s="5" t="inlineStr">
        <is>
          <t>Semana 33</t>
        </is>
      </c>
      <c r="B50" s="5" t="inlineStr">
        <is>
          <t>10/08/2026</t>
        </is>
      </c>
      <c r="C50" s="6" t="inlineStr">
        <is>
          <t>ARTURO HERNANDEZ COLIN</t>
        </is>
      </c>
      <c r="D50" s="5" t="inlineStr">
        <is>
          <t>412AT3</t>
        </is>
      </c>
      <c r="E50" s="5" t="inlineStr">
        <is>
          <t>6328</t>
        </is>
      </c>
      <c r="F50" s="7" t="n">
        <v>27</v>
      </c>
      <c r="G50" s="8" t="n">
        <v>424.002</v>
      </c>
      <c r="H50" s="7">
        <f>F50*G50</f>
        <v/>
      </c>
    </row>
    <row r="51">
      <c r="A51" s="9" t="inlineStr">
        <is>
          <t>Semana 33</t>
        </is>
      </c>
      <c r="B51" s="9" t="inlineStr">
        <is>
          <t>10/08/2026</t>
        </is>
      </c>
      <c r="C51" s="10" t="inlineStr">
        <is>
          <t>ARTURO HERNANDEZ COLIN</t>
        </is>
      </c>
      <c r="D51" s="9" t="inlineStr">
        <is>
          <t>HC1139G</t>
        </is>
      </c>
      <c r="E51" s="9" t="inlineStr">
        <is>
          <t>6326</t>
        </is>
      </c>
      <c r="F51" s="11" t="n">
        <v>27</v>
      </c>
      <c r="G51" s="12" t="n">
        <v>318.002</v>
      </c>
      <c r="H51" s="11">
        <f>F51*G51</f>
        <v/>
      </c>
    </row>
    <row r="52">
      <c r="A52" s="5" t="inlineStr">
        <is>
          <t>Semana 33</t>
        </is>
      </c>
      <c r="B52" s="5" t="inlineStr">
        <is>
          <t>10/08/2026</t>
        </is>
      </c>
      <c r="C52" s="6" t="inlineStr">
        <is>
          <t>ARTURO HERNANDEZ COLIN</t>
        </is>
      </c>
      <c r="D52" s="5" t="inlineStr">
        <is>
          <t>MY7968B</t>
        </is>
      </c>
      <c r="E52" s="5" t="inlineStr">
        <is>
          <t>6329</t>
        </is>
      </c>
      <c r="F52" s="7" t="n">
        <v>27</v>
      </c>
      <c r="G52" s="8" t="n">
        <v>370</v>
      </c>
      <c r="H52" s="7">
        <f>F52*G52</f>
        <v/>
      </c>
    </row>
    <row r="53">
      <c r="A53" s="9" t="inlineStr">
        <is>
          <t>Semana 33</t>
        </is>
      </c>
      <c r="B53" s="9" t="inlineStr">
        <is>
          <t>10/08/2026</t>
        </is>
      </c>
      <c r="C53" s="10" t="inlineStr">
        <is>
          <t>ARTURO HERNANDEZ COLIN</t>
        </is>
      </c>
      <c r="D53" s="9" t="inlineStr">
        <is>
          <t>NR0950C</t>
        </is>
      </c>
      <c r="E53" s="9" t="inlineStr">
        <is>
          <t>6330</t>
        </is>
      </c>
      <c r="F53" s="11" t="n">
        <v>27</v>
      </c>
      <c r="G53" s="12" t="n">
        <v>365.019</v>
      </c>
      <c r="H53" s="11">
        <f>F53*G53</f>
        <v/>
      </c>
    </row>
    <row r="54">
      <c r="A54" s="5" t="inlineStr">
        <is>
          <t>Semana 33</t>
        </is>
      </c>
      <c r="B54" s="5" t="inlineStr">
        <is>
          <t>12/08/2026</t>
        </is>
      </c>
      <c r="C54" s="6" t="inlineStr">
        <is>
          <t>ARTURO HERNANDEZ COLIN</t>
        </is>
      </c>
      <c r="D54" s="5" t="inlineStr">
        <is>
          <t>NB1258D</t>
        </is>
      </c>
      <c r="E54" s="5" t="inlineStr">
        <is>
          <t>6332</t>
        </is>
      </c>
      <c r="F54" s="7" t="n">
        <v>27</v>
      </c>
      <c r="G54" s="8" t="n">
        <v>306.001</v>
      </c>
      <c r="H54" s="7">
        <f>F54*G54</f>
        <v/>
      </c>
    </row>
    <row r="55">
      <c r="A55" s="9" t="inlineStr">
        <is>
          <t>Semana 33</t>
        </is>
      </c>
      <c r="B55" s="9" t="inlineStr">
        <is>
          <t>15/08/2026</t>
        </is>
      </c>
      <c r="C55" s="10" t="inlineStr">
        <is>
          <t>ARTURO HERNANDEZ COLIN</t>
        </is>
      </c>
      <c r="D55" s="9" t="inlineStr">
        <is>
          <t>MY7968B</t>
        </is>
      </c>
      <c r="E55" s="9" t="inlineStr">
        <is>
          <t>6333</t>
        </is>
      </c>
      <c r="F55" s="11" t="n">
        <v>27</v>
      </c>
      <c r="G55" s="12" t="n">
        <v>399.546</v>
      </c>
      <c r="H55" s="11">
        <f>F55*G55</f>
        <v/>
      </c>
    </row>
    <row r="56">
      <c r="A56" s="5" t="inlineStr">
        <is>
          <t>Semana 33</t>
        </is>
      </c>
      <c r="B56" s="5" t="inlineStr">
        <is>
          <t>15/08/2026</t>
        </is>
      </c>
      <c r="C56" s="6" t="inlineStr">
        <is>
          <t>ARTURO HERNANDEZ COLIN</t>
        </is>
      </c>
      <c r="D56" s="5" t="inlineStr">
        <is>
          <t>LH16062</t>
        </is>
      </c>
      <c r="E56" s="5" t="inlineStr">
        <is>
          <t>6334</t>
        </is>
      </c>
      <c r="F56" s="7" t="n">
        <v>27</v>
      </c>
      <c r="G56" s="8" t="n">
        <v>311.03</v>
      </c>
      <c r="H56" s="7">
        <f>F56*G56</f>
        <v/>
      </c>
    </row>
    <row r="57">
      <c r="A57" s="9" t="inlineStr">
        <is>
          <t>Semana 34</t>
        </is>
      </c>
      <c r="B57" s="9" t="inlineStr">
        <is>
          <t>17/08/2026</t>
        </is>
      </c>
      <c r="C57" s="10" t="inlineStr">
        <is>
          <t>ARTURO HERNANDEZ COLIN</t>
        </is>
      </c>
      <c r="D57" s="9" t="inlineStr">
        <is>
          <t>NR0950C</t>
        </is>
      </c>
      <c r="E57" s="9" t="inlineStr">
        <is>
          <t>6335</t>
        </is>
      </c>
      <c r="F57" s="11" t="n">
        <v>27</v>
      </c>
      <c r="G57" s="12" t="n">
        <v>350.022</v>
      </c>
      <c r="H57" s="11">
        <f>F57*G57</f>
        <v/>
      </c>
    </row>
    <row r="58">
      <c r="A58" s="5" t="inlineStr">
        <is>
          <t>Semana 34</t>
        </is>
      </c>
      <c r="B58" s="5" t="inlineStr">
        <is>
          <t>18/08/2026</t>
        </is>
      </c>
      <c r="C58" s="6" t="inlineStr">
        <is>
          <t>ARTURO HERNANDEZ COLIN</t>
        </is>
      </c>
      <c r="D58" s="5" t="inlineStr">
        <is>
          <t>N53489C</t>
        </is>
      </c>
      <c r="E58" s="5" t="inlineStr">
        <is>
          <t>6338</t>
        </is>
      </c>
      <c r="F58" s="7" t="n">
        <v>27</v>
      </c>
      <c r="G58" s="8" t="n">
        <v>259.265</v>
      </c>
      <c r="H58" s="7">
        <f>F58*G58</f>
        <v/>
      </c>
    </row>
    <row r="59">
      <c r="A59" s="9" t="inlineStr">
        <is>
          <t>Semana 34</t>
        </is>
      </c>
      <c r="B59" s="9" t="inlineStr">
        <is>
          <t>19/08/2026</t>
        </is>
      </c>
      <c r="C59" s="10" t="inlineStr">
        <is>
          <t>ARTURO HERNANDEZ COLIN</t>
        </is>
      </c>
      <c r="D59" s="9" t="inlineStr">
        <is>
          <t>LD57526</t>
        </is>
      </c>
      <c r="E59" s="9" t="inlineStr">
        <is>
          <t>6337</t>
        </is>
      </c>
      <c r="F59" s="11" t="n">
        <v>27</v>
      </c>
      <c r="G59" s="12" t="n">
        <v>320</v>
      </c>
      <c r="H59" s="11">
        <f>F59*G59</f>
        <v/>
      </c>
    </row>
    <row r="60">
      <c r="A60" s="5" t="inlineStr">
        <is>
          <t>Semana 34</t>
        </is>
      </c>
      <c r="B60" s="5" t="inlineStr">
        <is>
          <t>19/08/2026</t>
        </is>
      </c>
      <c r="C60" s="6" t="inlineStr">
        <is>
          <t>ARTURO HERNANDEZ COLIN</t>
        </is>
      </c>
      <c r="D60" s="5" t="inlineStr">
        <is>
          <t>HC1139G</t>
        </is>
      </c>
      <c r="E60" s="5" t="inlineStr">
        <is>
          <t>6340</t>
        </is>
      </c>
      <c r="F60" s="7" t="n">
        <v>27</v>
      </c>
      <c r="G60" s="8" t="n">
        <v>310.002</v>
      </c>
      <c r="H60" s="7">
        <f>F60*G60</f>
        <v/>
      </c>
    </row>
    <row r="61">
      <c r="A61" s="9" t="inlineStr">
        <is>
          <t>Semana 34</t>
        </is>
      </c>
      <c r="B61" s="9" t="inlineStr">
        <is>
          <t>19/08/2026</t>
        </is>
      </c>
      <c r="C61" s="10" t="inlineStr">
        <is>
          <t>ARTURO HERNANDEZ COLIN</t>
        </is>
      </c>
      <c r="D61" s="9" t="inlineStr">
        <is>
          <t>412AT3</t>
        </is>
      </c>
      <c r="E61" s="9" t="inlineStr">
        <is>
          <t>6339</t>
        </is>
      </c>
      <c r="F61" s="11" t="n">
        <v>27</v>
      </c>
      <c r="G61" s="12" t="n">
        <v>284</v>
      </c>
      <c r="H61" s="11">
        <f>F61*G61</f>
        <v/>
      </c>
    </row>
    <row r="62">
      <c r="A62" s="13" t="inlineStr">
        <is>
          <t>TOTALES</t>
        </is>
      </c>
      <c r="B62" s="14" t="n"/>
      <c r="C62" s="14" t="n"/>
      <c r="D62" s="14" t="n"/>
      <c r="E62" s="14" t="n"/>
      <c r="F62" s="14" t="n"/>
      <c r="G62" s="15">
        <f>SUM(G6:G61)</f>
        <v/>
      </c>
      <c r="H62" s="16">
        <f>SUM(H6:H61)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29" customWidth="1" min="2" max="2"/>
    <col width="17" customWidth="1" min="3" max="3"/>
    <col width="19" customWidth="1" min="4" max="4"/>
    <col width="22" customWidth="1" min="5" max="5"/>
    <col width="20" customWidth="1" min="6" max="6"/>
  </cols>
  <sheetData>
    <row r="1">
      <c r="A1" s="1" t="inlineStr">
        <is>
          <t>RESUMEN DE CONSUMO DIESEL LEVET POR SEMANA</t>
        </is>
      </c>
    </row>
    <row r="2">
      <c r="A2" s="2" t="inlineStr">
        <is>
          <t>OBRA / CENTRO: COSUM TOLUCA | PRECIO FIJO: $27.00 / LT</t>
        </is>
      </c>
    </row>
    <row r="3"/>
    <row r="4" ht="24" customHeight="1">
      <c r="A4" s="17" t="inlineStr">
        <is>
          <t>SEMANA</t>
        </is>
      </c>
      <c r="B4" s="17" t="inlineStr">
        <is>
          <t>RANGO DE FECHAS</t>
        </is>
      </c>
      <c r="C4" s="17" t="inlineStr">
        <is>
          <t>NO. TICKETS</t>
        </is>
      </c>
      <c r="D4" s="17" t="inlineStr">
        <is>
          <t>LITROS TOTALES</t>
        </is>
      </c>
      <c r="E4" s="17" t="inlineStr">
        <is>
          <t>IMPORTE TOTAL ($)</t>
        </is>
      </c>
      <c r="F4" s="17" t="inlineStr">
        <is>
          <t>% PARTICIPACIÓN</t>
        </is>
      </c>
    </row>
    <row r="5">
      <c r="A5" s="9" t="inlineStr">
        <is>
          <t>Semana 26</t>
        </is>
      </c>
      <c r="B5" s="9" t="inlineStr">
        <is>
          <t>24/06/2026</t>
        </is>
      </c>
      <c r="C5" s="9" t="n">
        <v>7</v>
      </c>
      <c r="D5" s="12" t="n">
        <v>2054.04</v>
      </c>
      <c r="E5" s="11" t="n">
        <v>55459.08</v>
      </c>
      <c r="F5" s="18">
        <f>E5/$E$14</f>
        <v/>
      </c>
    </row>
    <row r="6">
      <c r="A6" s="5" t="inlineStr">
        <is>
          <t>Semana 27</t>
        </is>
      </c>
      <c r="B6" s="5" t="inlineStr">
        <is>
          <t>01/07/2026 al 04/07/2026</t>
        </is>
      </c>
      <c r="C6" s="5" t="n">
        <v>4</v>
      </c>
      <c r="D6" s="8" t="n">
        <v>1000.009</v>
      </c>
      <c r="E6" s="7" t="n">
        <v>27000.25</v>
      </c>
      <c r="F6" s="19">
        <f>E6/$E$14</f>
        <v/>
      </c>
    </row>
    <row r="7">
      <c r="A7" s="9" t="inlineStr">
        <is>
          <t>Semana 28</t>
        </is>
      </c>
      <c r="B7" s="9" t="inlineStr">
        <is>
          <t>07/07/2026</t>
        </is>
      </c>
      <c r="C7" s="9" t="n">
        <v>2</v>
      </c>
      <c r="D7" s="12" t="n">
        <v>390.004</v>
      </c>
      <c r="E7" s="11" t="n">
        <v>10530.11</v>
      </c>
      <c r="F7" s="18">
        <f>E7/$E$14</f>
        <v/>
      </c>
    </row>
    <row r="8">
      <c r="A8" s="5" t="inlineStr">
        <is>
          <t>Semana 29</t>
        </is>
      </c>
      <c r="B8" s="5" t="inlineStr">
        <is>
          <t>13/07/2026 al 16/07/2026</t>
        </is>
      </c>
      <c r="C8" s="5" t="n">
        <v>5</v>
      </c>
      <c r="D8" s="8" t="n">
        <v>1358.016</v>
      </c>
      <c r="E8" s="7" t="n">
        <v>36666.44</v>
      </c>
      <c r="F8" s="19">
        <f>E8/$E$14</f>
        <v/>
      </c>
    </row>
    <row r="9">
      <c r="A9" s="9" t="inlineStr">
        <is>
          <t>Semana 30</t>
        </is>
      </c>
      <c r="B9" s="9" t="inlineStr">
        <is>
          <t>18/07/2026 al 25/07/2026</t>
        </is>
      </c>
      <c r="C9" s="9" t="n">
        <v>16</v>
      </c>
      <c r="D9" s="12" t="n">
        <v>3799.3</v>
      </c>
      <c r="E9" s="11" t="n">
        <v>102581.11</v>
      </c>
      <c r="F9" s="18">
        <f>E9/$E$14</f>
        <v/>
      </c>
    </row>
    <row r="10">
      <c r="A10" s="5" t="inlineStr">
        <is>
          <t>Semana 31</t>
        </is>
      </c>
      <c r="B10" s="5" t="inlineStr">
        <is>
          <t>27/07/2026</t>
        </is>
      </c>
      <c r="C10" s="5" t="n">
        <v>1</v>
      </c>
      <c r="D10" s="8" t="n">
        <v>350.015</v>
      </c>
      <c r="E10" s="7" t="n">
        <v>9450.41</v>
      </c>
      <c r="F10" s="19">
        <f>E10/$E$14</f>
        <v/>
      </c>
    </row>
    <row r="11">
      <c r="A11" s="9" t="inlineStr">
        <is>
          <t>Semana 32</t>
        </is>
      </c>
      <c r="B11" s="9" t="inlineStr">
        <is>
          <t>03/08/2026 al 07/08/2026</t>
        </is>
      </c>
      <c r="C11" s="9" t="n">
        <v>6</v>
      </c>
      <c r="D11" s="12" t="n">
        <v>2035.942</v>
      </c>
      <c r="E11" s="11" t="n">
        <v>54970.44</v>
      </c>
      <c r="F11" s="18">
        <f>E11/$E$14</f>
        <v/>
      </c>
    </row>
    <row r="12">
      <c r="A12" s="5" t="inlineStr">
        <is>
          <t>Semana 33</t>
        </is>
      </c>
      <c r="B12" s="5" t="inlineStr">
        <is>
          <t>10/08/2026 al 15/08/2026</t>
        </is>
      </c>
      <c r="C12" s="5" t="n">
        <v>10</v>
      </c>
      <c r="D12" s="8" t="n">
        <v>3524.629</v>
      </c>
      <c r="E12" s="7" t="n">
        <v>95164.98</v>
      </c>
      <c r="F12" s="19">
        <f>E12/$E$14</f>
        <v/>
      </c>
    </row>
    <row r="13">
      <c r="A13" s="9" t="inlineStr">
        <is>
          <t>Semana 34</t>
        </is>
      </c>
      <c r="B13" s="9" t="inlineStr">
        <is>
          <t>17/08/2026 al 19/08/2026</t>
        </is>
      </c>
      <c r="C13" s="9" t="n">
        <v>5</v>
      </c>
      <c r="D13" s="12" t="n">
        <v>1523.289</v>
      </c>
      <c r="E13" s="11" t="n">
        <v>41128.8</v>
      </c>
      <c r="F13" s="18">
        <f>E13/$E$14</f>
        <v/>
      </c>
    </row>
    <row r="14">
      <c r="A14" s="13" t="inlineStr">
        <is>
          <t>TOTAL GENERAL</t>
        </is>
      </c>
      <c r="B14" s="13" t="inlineStr">
        <is>
          <t>24/06/2026 al 19/08/2026</t>
        </is>
      </c>
      <c r="C14" s="13">
        <f>SUM(C5:C13)</f>
        <v/>
      </c>
      <c r="D14" s="15">
        <f>SUM(D5:D13)</f>
        <v/>
      </c>
      <c r="E14" s="16">
        <f>SUM(E5:E13)</f>
        <v/>
      </c>
      <c r="F14" s="20">
        <f>SUM(F5:F13)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2026-08-24T23:43:11Z</dcterms:created>
  <dcterms:modified xsi:type="dcterms:W3CDTF">2026-08-24T23:43:11Z</dcterms:modified>
</cp:coreProperties>
</file>